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Analysis" sheetId="1" state="visible" r:id="rId1"/>
    <sheet name="Supply &amp; Absorption" sheetId="2" state="visible" r:id="rId2"/>
    <sheet name="Reconciliation Log" sheetId="3" state="visible" r:id="rId3"/>
    <sheet name="Dilig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;&quot;—&quot;"/>
    <numFmt numFmtId="166" formatCode="0.0&quot; mi&quot;;;&quot;—&quot;"/>
    <numFmt numFmtId="167" formatCode="&quot;$&quot;#,##0"/>
  </numFmts>
  <fonts count="1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color rgb="FF808080"/>
      <sz val="8"/>
    </font>
    <font>
      <name val="Calibri"/>
      <b val="1"/>
      <color rgb="FF000000"/>
      <sz val="9"/>
    </font>
    <font>
      <name val="Calibri"/>
      <i val="1"/>
      <color rgb="FF808080"/>
      <sz val="7"/>
    </font>
    <font>
      <name val="Calibri"/>
      <b val="1"/>
      <color rgb="FF0000FF"/>
      <sz val="9"/>
    </font>
    <font>
      <name val="Calibri"/>
      <b val="1"/>
      <color rgb="FFFFFFFF"/>
      <sz val="8"/>
    </font>
    <font>
      <name val="Calibri"/>
      <color rgb="FF0000FF"/>
      <sz val="9"/>
    </font>
    <font>
      <name val="Calibri"/>
      <i val="1"/>
      <color rgb="FF000000"/>
      <sz val="8"/>
    </font>
    <font>
      <name val="Calibri"/>
      <i val="1"/>
      <color rgb="FF808080"/>
      <sz val="8"/>
    </font>
    <font>
      <name val="Calibri"/>
      <b val="1"/>
      <color rgb="FF153D64"/>
      <sz val="9"/>
    </font>
    <font>
      <name val="Calibri"/>
      <b val="1"/>
      <color rgb="FF595959"/>
      <sz val="8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color rgb="FFC00000"/>
      <sz val="8"/>
    </font>
    <font>
      <name val="Calibri"/>
      <b val="1"/>
      <color rgb="FFFFFFFF"/>
      <sz val="11"/>
    </font>
  </fonts>
  <fills count="16">
    <fill>
      <patternFill/>
    </fill>
    <fill>
      <patternFill patternType="gray125"/>
    </fill>
    <fill>
      <patternFill patternType="solid">
        <fgColor rgb="FF153D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9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8" fillId="11" borderId="0" applyAlignment="1" pivotButton="0" quotePrefix="0" xfId="0">
      <alignment horizontal="center" vertical="center" wrapText="1"/>
    </xf>
    <xf numFmtId="3" fontId="8" fillId="11" borderId="0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7" fontId="4" fillId="12" borderId="1" applyAlignment="1" pivotButton="0" quotePrefix="0" xfId="0">
      <alignment horizontal="center" vertical="center" wrapText="1"/>
    </xf>
    <xf numFmtId="167" fontId="4" fillId="13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12" fillId="12" borderId="1" applyAlignment="1" pivotButton="0" quotePrefix="0" xfId="0">
      <alignment horizontal="center" vertical="center" wrapText="1"/>
    </xf>
    <xf numFmtId="164" fontId="12" fillId="13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12" borderId="0" pivotButton="0" quotePrefix="0" xfId="0"/>
    <xf numFmtId="0" fontId="0" fillId="12" borderId="0" pivotButton="0" quotePrefix="0" xfId="0"/>
    <xf numFmtId="0" fontId="6" fillId="14" borderId="0" pivotButton="0" quotePrefix="0" xfId="0"/>
    <xf numFmtId="0" fontId="0" fillId="14" borderId="0" pivotButton="0" quotePrefix="0" xfId="0"/>
    <xf numFmtId="164" fontId="6" fillId="14" borderId="1" applyAlignment="1" pivotButton="0" quotePrefix="0" xfId="0">
      <alignment horizontal="center" vertical="center" wrapText="1"/>
    </xf>
    <xf numFmtId="0" fontId="13" fillId="15" borderId="0" pivotButton="0" quotePrefix="0" xfId="0"/>
    <xf numFmtId="0" fontId="0" fillId="15" borderId="0" pivotButton="0" quotePrefix="0" xfId="0"/>
    <xf numFmtId="164" fontId="6" fillId="15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164" fontId="10" fillId="11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8" fillId="2" borderId="0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.5" customWidth="1" min="2" max="2"/>
    <col width="30" customWidth="1" min="3" max="3"/>
    <col width="8" customWidth="1" min="4" max="4"/>
    <col width="11.5" customWidth="1" min="5" max="5"/>
    <col width="10" customWidth="1" min="6" max="6"/>
    <col width="13" customWidth="1" min="7" max="7"/>
    <col width="22" customWidth="1" min="8" max="8"/>
    <col width="11" customWidth="1" min="9" max="9"/>
    <col width="14" customWidth="1" min="10" max="10"/>
    <col width="30" customWidth="1" min="11" max="11"/>
    <col hidden="1" width="13" customWidth="1" min="13" max="13"/>
  </cols>
  <sheetData>
    <row r="2" ht="22" customHeight="1">
      <c r="C2" s="1" t="inlineStr">
        <is>
          <t>SEASONS AT MERIDIAN — 5-Mile Competitive Supply</t>
        </is>
      </c>
    </row>
    <row r="3">
      <c r="B3" s="2" t="inlineStr">
        <is>
          <t>2022–2026 New Construction  |  5-mile radius  |  As of 2026 Q3 QTD</t>
        </is>
      </c>
    </row>
    <row r="4" ht="18" customHeight="1">
      <c r="B4" s="3" t="inlineStr">
        <is>
          <t>#</t>
        </is>
      </c>
      <c r="C4" s="3" t="inlineStr">
        <is>
          <t>Property</t>
        </is>
      </c>
      <c r="D4" s="3" t="inlineStr">
        <is>
          <t>Units</t>
        </is>
      </c>
      <c r="E4" s="3" t="inlineStr">
        <is>
          <t>Est. Delivery</t>
        </is>
      </c>
      <c r="F4" s="3" t="inlineStr">
        <is>
          <t>Occupancy</t>
        </is>
      </c>
      <c r="G4" s="3" t="inlineStr">
        <is>
          <t>Avg Mkt Rent</t>
        </is>
      </c>
      <c r="H4" s="3" t="inlineStr">
        <is>
          <t>Owner</t>
        </is>
      </c>
      <c r="I4" s="3" t="inlineStr">
        <is>
          <t>Proximity</t>
        </is>
      </c>
      <c r="J4" s="3" t="inlineStr">
        <is>
          <t>Type</t>
        </is>
      </c>
      <c r="K4" s="3" t="inlineStr">
        <is>
          <t>Notes</t>
        </is>
      </c>
    </row>
    <row r="5">
      <c r="B5" s="4" t="n"/>
      <c r="C5" s="5" t="inlineStr">
        <is>
          <t>STABILIZED / STABILIZING (21 properties, 2,519 units)</t>
        </is>
      </c>
    </row>
    <row r="6">
      <c r="B6" s="6" t="n">
        <v>1</v>
      </c>
      <c r="C6" s="7" t="inlineStr">
        <is>
          <t>The Lost Rapid Townhomes</t>
        </is>
      </c>
      <c r="D6" s="8" t="n">
        <v>72</v>
      </c>
      <c r="E6" s="6" t="inlineStr">
        <is>
          <t>Q1 2022</t>
        </is>
      </c>
      <c r="F6" s="9" t="n">
        <v>0.944444</v>
      </c>
      <c r="G6" s="10" t="inlineStr">
        <is>
          <t>—</t>
        </is>
      </c>
      <c r="H6" s="7" t="inlineStr">
        <is>
          <t>Baker, Matthew J</t>
        </is>
      </c>
      <c r="I6" s="11" t="n">
        <v>5</v>
      </c>
      <c r="J6" s="6" t="inlineStr">
        <is>
          <t>Townhome</t>
        </is>
      </c>
      <c r="K6" s="7" t="n"/>
      <c r="M6">
        <f>IFERROR(VALUE(RIGHT(E6,4))*4+MATCH(LEFT(E6,2),{"Q1","Q2","Q3","Q4"},0)-1,"")</f>
        <v/>
      </c>
    </row>
    <row r="7">
      <c r="B7" s="6" t="n">
        <v>2</v>
      </c>
      <c r="C7" s="7" t="inlineStr">
        <is>
          <t>South Ridge I</t>
        </is>
      </c>
      <c r="D7" s="8" t="n">
        <v>476</v>
      </c>
      <c r="E7" s="6" t="inlineStr">
        <is>
          <t>Q2 2022</t>
        </is>
      </c>
      <c r="F7" s="9" t="n">
        <v>0.994</v>
      </c>
      <c r="G7" s="10" t="inlineStr">
        <is>
          <t>—</t>
        </is>
      </c>
      <c r="H7" s="7" t="inlineStr">
        <is>
          <t>Privately Owned</t>
        </is>
      </c>
      <c r="I7" s="11" t="n">
        <v>3.1</v>
      </c>
      <c r="J7" s="6" t="inlineStr">
        <is>
          <t>Garden</t>
        </is>
      </c>
      <c r="K7" s="7" t="inlineStr">
        <is>
          <t>Delivery quarter estimated; RealPage-only — not in CoStar's 5-mi series</t>
        </is>
      </c>
      <c r="M7">
        <f>IFERROR(VALUE(RIGHT(E7,4))*4+MATCH(LEFT(E7,2),{"Q1","Q2","Q3","Q4"},0)-1,"")</f>
        <v/>
      </c>
    </row>
    <row r="8">
      <c r="B8" s="6" t="n">
        <v>3</v>
      </c>
      <c r="C8" s="7" t="inlineStr">
        <is>
          <t>Meritage West</t>
        </is>
      </c>
      <c r="D8" s="8" t="n">
        <v>83</v>
      </c>
      <c r="E8" s="6" t="inlineStr">
        <is>
          <t>Q2 2022</t>
        </is>
      </c>
      <c r="F8" s="9" t="n">
        <v>0.9879520000000001</v>
      </c>
      <c r="G8" s="10" t="n">
        <v>1651.435028248588</v>
      </c>
      <c r="H8" s="7" t="inlineStr">
        <is>
          <t>Pacific West Communities, Inc.</t>
        </is>
      </c>
      <c r="I8" s="11" t="n">
        <v>3.2</v>
      </c>
      <c r="J8" s="6" t="inlineStr">
        <is>
          <t>Mid-Rise</t>
        </is>
      </c>
      <c r="K8" s="7" t="n"/>
      <c r="M8">
        <f>IFERROR(VALUE(RIGHT(E8,4))*4+MATCH(LEFT(E8,2),{"Q1","Q2","Q3","Q4"},0)-1,"")</f>
        <v/>
      </c>
    </row>
    <row r="9">
      <c r="B9" s="6" t="n">
        <v>4</v>
      </c>
      <c r="C9" s="7" t="inlineStr">
        <is>
          <t>Ambleside Townhomes</t>
        </is>
      </c>
      <c r="D9" s="8" t="n">
        <v>67</v>
      </c>
      <c r="E9" s="6" t="inlineStr">
        <is>
          <t>Q2 2022</t>
        </is>
      </c>
      <c r="F9" s="9" t="n">
        <v>0.970149</v>
      </c>
      <c r="G9" s="10" t="n">
        <v>2130</v>
      </c>
      <c r="H9" s="7" t="inlineStr">
        <is>
          <t>Open Door Rentals Llc</t>
        </is>
      </c>
      <c r="I9" s="11" t="n">
        <v>2.8</v>
      </c>
      <c r="J9" s="6" t="inlineStr">
        <is>
          <t>Townhome</t>
        </is>
      </c>
      <c r="K9" s="7" t="n"/>
      <c r="M9">
        <f>IFERROR(VALUE(RIGHT(E9,4))*4+MATCH(LEFT(E9,2),{"Q1","Q2","Q3","Q4"},0)-1,"")</f>
        <v/>
      </c>
    </row>
    <row r="10">
      <c r="B10" s="6" t="n">
        <v>5</v>
      </c>
      <c r="C10" s="7" t="inlineStr">
        <is>
          <t>Celebration Acres</t>
        </is>
      </c>
      <c r="D10" s="8" t="n">
        <v>28</v>
      </c>
      <c r="E10" s="6" t="inlineStr">
        <is>
          <t>Q2 2022</t>
        </is>
      </c>
      <c r="F10" s="9" t="n">
        <v>0.964286</v>
      </c>
      <c r="G10" s="10" t="inlineStr">
        <is>
          <t>—</t>
        </is>
      </c>
      <c r="H10" s="7" t="inlineStr">
        <is>
          <t>El Ada Comm Action Agency Inc</t>
        </is>
      </c>
      <c r="I10" s="11" t="n">
        <v>2.7</v>
      </c>
      <c r="J10" s="6" t="inlineStr">
        <is>
          <t>Low-Rise</t>
        </is>
      </c>
      <c r="K10" s="7" t="n"/>
      <c r="M10">
        <f>IFERROR(VALUE(RIGHT(E10,4))*4+MATCH(LEFT(E10,2),{"Q1","Q2","Q3","Q4"},0)-1,"")</f>
        <v/>
      </c>
    </row>
    <row r="11">
      <c r="B11" s="6" t="n">
        <v>6</v>
      </c>
      <c r="C11" s="7" t="inlineStr">
        <is>
          <t>Pine 43</t>
        </is>
      </c>
      <c r="D11" s="8" t="n">
        <v>25</v>
      </c>
      <c r="E11" s="6" t="inlineStr">
        <is>
          <t>Q2 2022</t>
        </is>
      </c>
      <c r="F11" s="9" t="n">
        <v>1</v>
      </c>
      <c r="G11" s="10" t="n">
        <v>2236</v>
      </c>
      <c r="H11" s="7" t="inlineStr">
        <is>
          <t>Bruce M Reichard</t>
        </is>
      </c>
      <c r="I11" s="11" t="n">
        <v>1.7</v>
      </c>
      <c r="J11" s="6" t="inlineStr">
        <is>
          <t>Garden</t>
        </is>
      </c>
      <c r="K11" s="7" t="n"/>
      <c r="M11">
        <f>IFERROR(VALUE(RIGHT(E11,4))*4+MATCH(LEFT(E11,2),{"Q1","Q2","Q3","Q4"},0)-1,"")</f>
        <v/>
      </c>
    </row>
    <row r="12">
      <c r="B12" s="6" t="n">
        <v>7</v>
      </c>
      <c r="C12" s="7" t="inlineStr">
        <is>
          <t>Old Town Lofts</t>
        </is>
      </c>
      <c r="D12" s="8" t="n">
        <v>102</v>
      </c>
      <c r="E12" s="6" t="inlineStr">
        <is>
          <t>Q3 2022</t>
        </is>
      </c>
      <c r="F12" s="9" t="n">
        <v>0.990196</v>
      </c>
      <c r="G12" s="10" t="n">
        <v>1665.511627906977</v>
      </c>
      <c r="H12" s="7" t="inlineStr">
        <is>
          <t>Pacific West Communities, Inc.</t>
        </is>
      </c>
      <c r="I12" s="11" t="n">
        <v>2.1</v>
      </c>
      <c r="J12" s="6" t="inlineStr">
        <is>
          <t>Townhome</t>
        </is>
      </c>
      <c r="K12" s="7" t="inlineStr">
        <is>
          <t>Year built: 2022/2023</t>
        </is>
      </c>
      <c r="M12">
        <f>IFERROR(VALUE(RIGHT(E12,4))*4+MATCH(LEFT(E12,2),{"Q1","Q2","Q3","Q4"},0)-1,"")</f>
        <v/>
      </c>
    </row>
    <row r="13">
      <c r="B13" s="6" t="n">
        <v>8</v>
      </c>
      <c r="C13" s="7" t="inlineStr">
        <is>
          <t>Lavender Village</t>
        </is>
      </c>
      <c r="D13" s="8" t="n">
        <v>6</v>
      </c>
      <c r="E13" s="6" t="inlineStr">
        <is>
          <t>Q3 2022</t>
        </is>
      </c>
      <c r="F13" s="9" t="n">
        <v>1</v>
      </c>
      <c r="G13" s="10" t="n">
        <v>1747.513661202186</v>
      </c>
      <c r="H13" s="7" t="inlineStr">
        <is>
          <t>—</t>
        </is>
      </c>
      <c r="I13" s="11" t="n">
        <v>3.9</v>
      </c>
      <c r="J13" s="6" t="inlineStr">
        <is>
          <t>Garden</t>
        </is>
      </c>
      <c r="K13" s="7" t="inlineStr">
        <is>
          <t>Rent: HD mix-wtd $1,748 vs CoStar ask $2,110</t>
        </is>
      </c>
      <c r="M13">
        <f>IFERROR(VALUE(RIGHT(E13,4))*4+MATCH(LEFT(E13,2),{"Q1","Q2","Q3","Q4"},0)-1,"")</f>
        <v/>
      </c>
    </row>
    <row r="14">
      <c r="B14" s="6" t="n">
        <v>9</v>
      </c>
      <c r="C14" s="7" t="inlineStr">
        <is>
          <t>The Prospect</t>
        </is>
      </c>
      <c r="D14" s="8" t="n">
        <v>91</v>
      </c>
      <c r="E14" s="6" t="inlineStr">
        <is>
          <t>Q4 2022</t>
        </is>
      </c>
      <c r="F14" s="9" t="n">
        <v>0.989011</v>
      </c>
      <c r="G14" s="10" t="n">
        <v>1165.555555555556</v>
      </c>
      <c r="H14" s="7" t="inlineStr">
        <is>
          <t>Ke Holdings Llc</t>
        </is>
      </c>
      <c r="I14" s="11" t="n">
        <v>3.9</v>
      </c>
      <c r="J14" s="6" t="inlineStr">
        <is>
          <t>Garden</t>
        </is>
      </c>
      <c r="K14" s="7" t="n"/>
      <c r="M14">
        <f>IFERROR(VALUE(RIGHT(E14,4))*4+MATCH(LEFT(E14,2),{"Q1","Q2","Q3","Q4"},0)-1,"")</f>
        <v/>
      </c>
    </row>
    <row r="15">
      <c r="B15" s="6" t="n">
        <v>10</v>
      </c>
      <c r="C15" s="7" t="inlineStr">
        <is>
          <t>Etheridge Lane</t>
        </is>
      </c>
      <c r="D15" s="8" t="n">
        <v>12</v>
      </c>
      <c r="E15" s="6" t="inlineStr">
        <is>
          <t>Q4 2022</t>
        </is>
      </c>
      <c r="F15" s="9" t="n">
        <v>1</v>
      </c>
      <c r="G15" s="10" t="inlineStr">
        <is>
          <t>—</t>
        </is>
      </c>
      <c r="H15" s="7" t="inlineStr">
        <is>
          <t>Visser Building Co</t>
        </is>
      </c>
      <c r="I15" s="11" t="n">
        <v>4.4</v>
      </c>
      <c r="J15" s="6" t="inlineStr">
        <is>
          <t>Garden</t>
        </is>
      </c>
      <c r="K15" s="7" t="n"/>
      <c r="M15">
        <f>IFERROR(VALUE(RIGHT(E15,4))*4+MATCH(LEFT(E15,2),{"Q1","Q2","Q3","Q4"},0)-1,"")</f>
        <v/>
      </c>
    </row>
    <row r="16">
      <c r="B16" s="6" t="n">
        <v>11</v>
      </c>
      <c r="C16" s="7" t="inlineStr">
        <is>
          <t>Modern Craftsman Ten Mile</t>
        </is>
      </c>
      <c r="D16" s="8" t="n">
        <v>135</v>
      </c>
      <c r="E16" s="6" t="inlineStr">
        <is>
          <t>Q1 2023</t>
        </is>
      </c>
      <c r="F16" s="9" t="n">
        <v>0.948148</v>
      </c>
      <c r="G16" s="10" t="n">
        <v>2164.319806763285</v>
      </c>
      <c r="H16" s="7" t="inlineStr">
        <is>
          <t>Baron Properties</t>
        </is>
      </c>
      <c r="I16" s="11" t="n">
        <v>3.9</v>
      </c>
      <c r="J16" s="6" t="inlineStr">
        <is>
          <t>Single Family</t>
        </is>
      </c>
      <c r="K16" s="7" t="inlineStr">
        <is>
          <t>Year built: 2022/2023; Occ: CoStar 95% vs RealPage 99%</t>
        </is>
      </c>
      <c r="M16">
        <f>IFERROR(VALUE(RIGHT(E16,4))*4+MATCH(LEFT(E16,2),{"Q1","Q2","Q3","Q4"},0)-1,"")</f>
        <v/>
      </c>
    </row>
    <row r="17">
      <c r="B17" s="6" t="n">
        <v>12</v>
      </c>
      <c r="C17" s="7" t="inlineStr">
        <is>
          <t>WaterWalk Boise – Meridian</t>
        </is>
      </c>
      <c r="D17" s="8" t="n">
        <v>38</v>
      </c>
      <c r="E17" s="6" t="inlineStr">
        <is>
          <t>Q1 2023</t>
        </is>
      </c>
      <c r="F17" s="9" t="n">
        <v>0.947368</v>
      </c>
      <c r="G17" s="10" t="n">
        <v>1655</v>
      </c>
      <c r="H17" s="7" t="inlineStr">
        <is>
          <t>WaterWalk Live Stay</t>
        </is>
      </c>
      <c r="I17" s="11" t="n">
        <v>1</v>
      </c>
      <c r="J17" s="6" t="inlineStr">
        <is>
          <t>Mid-Rise</t>
        </is>
      </c>
      <c r="K17" s="7" t="n"/>
      <c r="M17">
        <f>IFERROR(VALUE(RIGHT(E17,4))*4+MATCH(LEFT(E17,2),{"Q1","Q2","Q3","Q4"},0)-1,"")</f>
        <v/>
      </c>
    </row>
    <row r="18">
      <c r="B18" s="6" t="n">
        <v>13</v>
      </c>
      <c r="C18" s="7" t="inlineStr">
        <is>
          <t>Alante Homes at Hazelwood</t>
        </is>
      </c>
      <c r="D18" s="8" t="n">
        <v>32</v>
      </c>
      <c r="E18" s="6" t="inlineStr">
        <is>
          <t>Q1 2023</t>
        </is>
      </c>
      <c r="F18" s="9" t="n">
        <v>0.96875</v>
      </c>
      <c r="G18" s="10" t="n">
        <v>2276</v>
      </c>
      <c r="H18" s="7" t="inlineStr">
        <is>
          <t>PEG Companies</t>
        </is>
      </c>
      <c r="I18" s="11" t="n">
        <v>3.8</v>
      </c>
      <c r="J18" s="6" t="inlineStr">
        <is>
          <t>Garden</t>
        </is>
      </c>
      <c r="K18" s="7" t="n"/>
      <c r="M18">
        <f>IFERROR(VALUE(RIGHT(E18,4))*4+MATCH(LEFT(E18,2),{"Q1","Q2","Q3","Q4"},0)-1,"")</f>
        <v/>
      </c>
    </row>
    <row r="19">
      <c r="B19" s="6" t="n">
        <v>14</v>
      </c>
      <c r="C19" s="7" t="inlineStr">
        <is>
          <t>Altair</t>
        </is>
      </c>
      <c r="D19" s="8" t="n">
        <v>240</v>
      </c>
      <c r="E19" s="6" t="inlineStr">
        <is>
          <t>Q2 2023</t>
        </is>
      </c>
      <c r="F19" s="9" t="n">
        <v>0.945833</v>
      </c>
      <c r="G19" s="10" t="n">
        <v>1624.407772304324</v>
      </c>
      <c r="H19" s="7" t="inlineStr">
        <is>
          <t>Brighton</t>
        </is>
      </c>
      <c r="I19" s="11" t="n">
        <v>3.4</v>
      </c>
      <c r="J19" s="6" t="inlineStr">
        <is>
          <t>Mid-Rise</t>
        </is>
      </c>
      <c r="K19" s="7" t="inlineStr">
        <is>
          <t>Occ: CoStar 95% vs RealPage 100%</t>
        </is>
      </c>
      <c r="M19">
        <f>IFERROR(VALUE(RIGHT(E19,4))*4+MATCH(LEFT(E19,2),{"Q1","Q2","Q3","Q4"},0)-1,"")</f>
        <v/>
      </c>
    </row>
    <row r="20">
      <c r="B20" s="6" t="n">
        <v>15</v>
      </c>
      <c r="C20" s="7" t="inlineStr">
        <is>
          <t>Dovetail</t>
        </is>
      </c>
      <c r="D20" s="8" t="n">
        <v>240</v>
      </c>
      <c r="E20" s="6" t="inlineStr">
        <is>
          <t>Q2 2023</t>
        </is>
      </c>
      <c r="F20" s="9" t="n">
        <v>0.958333</v>
      </c>
      <c r="G20" s="10" t="n">
        <v>1832</v>
      </c>
      <c r="H20" s="7" t="inlineStr">
        <is>
          <t>Kennedy Wilson, Inc.</t>
        </is>
      </c>
      <c r="I20" s="11" t="n">
        <v>1.8</v>
      </c>
      <c r="J20" s="6" t="inlineStr">
        <is>
          <t>Garden</t>
        </is>
      </c>
      <c r="K20" s="7" t="inlineStr">
        <is>
          <t>Units: CoStar 240 vs RealPage 480; Year built: 2020/2023; Occ: CoStar 96% vs RealPage 99%</t>
        </is>
      </c>
      <c r="M20">
        <f>IFERROR(VALUE(RIGHT(E20,4))*4+MATCH(LEFT(E20,2),{"Q1","Q2","Q3","Q4"},0)-1,"")</f>
        <v/>
      </c>
    </row>
    <row r="21">
      <c r="B21" s="6" t="n">
        <v>16</v>
      </c>
      <c r="C21" s="7" t="inlineStr">
        <is>
          <t>Yellowstone Apartments</t>
        </is>
      </c>
      <c r="D21" s="8" t="n">
        <v>216</v>
      </c>
      <c r="E21" s="6" t="inlineStr">
        <is>
          <t>Q2 2023</t>
        </is>
      </c>
      <c r="F21" s="9" t="n">
        <v>0.763889</v>
      </c>
      <c r="G21" s="10" t="n">
        <v>1735.469387755102</v>
      </c>
      <c r="H21" s="7" t="inlineStr">
        <is>
          <t>CBH Homes</t>
        </is>
      </c>
      <c r="I21" s="11" t="n">
        <v>4.1</v>
      </c>
      <c r="J21" s="6" t="inlineStr">
        <is>
          <t>Garden</t>
        </is>
      </c>
      <c r="K21" s="7" t="inlineStr">
        <is>
          <t>Year built: 2023/2025; Occ: CoStar 76% vs RealPage 94%</t>
        </is>
      </c>
      <c r="M21">
        <f>IFERROR(VALUE(RIGHT(E21,4))*4+MATCH(LEFT(E21,2),{"Q1","Q2","Q3","Q4"},0)-1,"")</f>
        <v/>
      </c>
    </row>
    <row r="22">
      <c r="B22" s="6" t="n">
        <v>17</v>
      </c>
      <c r="C22" s="7" t="inlineStr">
        <is>
          <t>Telluride</t>
        </is>
      </c>
      <c r="D22" s="8" t="n">
        <v>102</v>
      </c>
      <c r="E22" s="6" t="inlineStr">
        <is>
          <t>Q2 2023</t>
        </is>
      </c>
      <c r="F22" s="9" t="n">
        <v>0.990196</v>
      </c>
      <c r="G22" s="10" t="n">
        <v>1884.446808510638</v>
      </c>
      <c r="H22" s="7" t="inlineStr">
        <is>
          <t>Albert Meier</t>
        </is>
      </c>
      <c r="I22" s="11" t="n">
        <v>3.5</v>
      </c>
      <c r="J22" s="6" t="inlineStr">
        <is>
          <t>Low-Rise</t>
        </is>
      </c>
      <c r="K22" s="7" t="n"/>
      <c r="M22">
        <f>IFERROR(VALUE(RIGHT(E22,4))*4+MATCH(LEFT(E22,2),{"Q1","Q2","Q3","Q4"},0)-1,"")</f>
        <v/>
      </c>
    </row>
    <row r="23">
      <c r="B23" s="6" t="n">
        <v>18</v>
      </c>
      <c r="C23" s="7" t="inlineStr">
        <is>
          <t>Movado Village</t>
        </is>
      </c>
      <c r="D23" s="8" t="n">
        <v>60</v>
      </c>
      <c r="E23" s="6" t="inlineStr">
        <is>
          <t>Q1 2024</t>
        </is>
      </c>
      <c r="F23" s="9" t="n">
        <v>0.933333</v>
      </c>
      <c r="G23" s="10" t="n">
        <v>1995</v>
      </c>
      <c r="H23" s="7" t="inlineStr">
        <is>
          <t>Realty Asset Management, Inc.</t>
        </is>
      </c>
      <c r="I23" s="11" t="n">
        <v>1</v>
      </c>
      <c r="J23" s="6" t="inlineStr">
        <is>
          <t>Garden</t>
        </is>
      </c>
      <c r="K23" s="7" t="n"/>
      <c r="M23">
        <f>IFERROR(VALUE(RIGHT(E23,4))*4+MATCH(LEFT(E23,2),{"Q1","Q2","Q3","Q4"},0)-1,"")</f>
        <v/>
      </c>
    </row>
    <row r="24">
      <c r="B24" s="6" t="n">
        <v>19</v>
      </c>
      <c r="C24" s="7" t="inlineStr">
        <is>
          <t>Viera at Pinnacle</t>
        </is>
      </c>
      <c r="D24" s="8" t="n">
        <v>56</v>
      </c>
      <c r="E24" s="6" t="inlineStr">
        <is>
          <t>Q1 2024</t>
        </is>
      </c>
      <c r="F24" s="9" t="n">
        <v>1</v>
      </c>
      <c r="G24" s="10" t="n">
        <v>2489.375</v>
      </c>
      <c r="H24" s="7" t="inlineStr">
        <is>
          <t>Brighton</t>
        </is>
      </c>
      <c r="I24" s="11" t="n">
        <v>3.2</v>
      </c>
      <c r="J24" s="6" t="inlineStr">
        <is>
          <t>Garden</t>
        </is>
      </c>
      <c r="K24" s="7" t="n"/>
      <c r="M24">
        <f>IFERROR(VALUE(RIGHT(E24,4))*4+MATCH(LEFT(E24,2),{"Q1","Q2","Q3","Q4"},0)-1,"")</f>
        <v/>
      </c>
    </row>
    <row r="25">
      <c r="B25" s="6" t="n">
        <v>20</v>
      </c>
      <c r="C25" s="7" t="inlineStr">
        <is>
          <t>The Aren</t>
        </is>
      </c>
      <c r="D25" s="8" t="n">
        <v>396</v>
      </c>
      <c r="E25" s="6" t="inlineStr">
        <is>
          <t>Q2 2024</t>
        </is>
      </c>
      <c r="F25" s="9" t="n">
        <v>0.969697</v>
      </c>
      <c r="G25" s="10" t="n">
        <v>1739.209026472431</v>
      </c>
      <c r="H25" s="7" t="inlineStr">
        <is>
          <t>Brighton</t>
        </is>
      </c>
      <c r="I25" s="11" t="n">
        <v>0.9</v>
      </c>
      <c r="J25" s="6" t="inlineStr">
        <is>
          <t>Garden</t>
        </is>
      </c>
      <c r="K25" s="7" t="inlineStr">
        <is>
          <t>Year built: 2024/2025; Occ: CoStar 97% vs RealPage 100%</t>
        </is>
      </c>
      <c r="M25">
        <f>IFERROR(VALUE(RIGHT(E25,4))*4+MATCH(LEFT(E25,2),{"Q1","Q2","Q3","Q4"},0)-1,"")</f>
        <v/>
      </c>
    </row>
    <row r="26">
      <c r="B26" s="6" t="n">
        <v>21</v>
      </c>
      <c r="C26" s="7" t="inlineStr">
        <is>
          <t>Springtree Apartments</t>
        </is>
      </c>
      <c r="D26" s="8" t="n">
        <v>42</v>
      </c>
      <c r="E26" s="6" t="inlineStr">
        <is>
          <t>Q4 2024</t>
        </is>
      </c>
      <c r="F26" s="9" t="n">
        <v>0.952381</v>
      </c>
      <c r="G26" s="10" t="n">
        <v>1514</v>
      </c>
      <c r="H26" s="7" t="inlineStr">
        <is>
          <t>Commercial Northwest Property Management</t>
        </is>
      </c>
      <c r="I26" s="11" t="n">
        <v>4.8</v>
      </c>
      <c r="J26" s="6" t="inlineStr">
        <is>
          <t>Low-Rise</t>
        </is>
      </c>
      <c r="K26" s="7" t="n"/>
      <c r="M26">
        <f>IFERROR(VALUE(RIGHT(E26,4))*4+MATCH(LEFT(E26,2),{"Q1","Q2","Q3","Q4"},0)-1,"")</f>
        <v/>
      </c>
    </row>
    <row r="28">
      <c r="B28" s="12" t="n"/>
      <c r="C28" s="13" t="inlineStr">
        <is>
          <t>LEASING UP (5 properties, 815 units)</t>
        </is>
      </c>
    </row>
    <row r="29">
      <c r="B29" s="14" t="n">
        <v>22</v>
      </c>
      <c r="C29" s="15" t="inlineStr">
        <is>
          <t>Village Apartments</t>
        </is>
      </c>
      <c r="D29" s="16" t="n">
        <v>336</v>
      </c>
      <c r="E29" s="14" t="inlineStr">
        <is>
          <t>Q2 2024</t>
        </is>
      </c>
      <c r="F29" s="17" t="n">
        <v>0.119047619047619</v>
      </c>
      <c r="G29" s="18" t="n">
        <v>1747.513661202186</v>
      </c>
      <c r="H29" s="15" t="inlineStr">
        <is>
          <t>Rockworth Companies</t>
        </is>
      </c>
      <c r="I29" s="19" t="n">
        <v>2.6</v>
      </c>
      <c r="J29" s="14" t="inlineStr">
        <is>
          <t>Mid-Rise</t>
        </is>
      </c>
      <c r="K29" s="15" t="inlineStr">
        <is>
          <t>Occ: CoStar 80% vs RealPage 11%; Occ: HD ~12% (CoStar/RP showed 80%); HD (90d): occ ~12% (units leased), ~13 leases/mo</t>
        </is>
      </c>
      <c r="M29">
        <f>IFERROR(VALUE(RIGHT(E29,4))*4+MATCH(LEFT(E29,2),{"Q1","Q2","Q3","Q4"},0)-1,"")</f>
        <v/>
      </c>
    </row>
    <row r="30">
      <c r="B30" s="14" t="n">
        <v>23</v>
      </c>
      <c r="C30" s="15" t="inlineStr">
        <is>
          <t>Wesley Apartments and Townhomes</t>
        </is>
      </c>
      <c r="D30" s="16" t="n">
        <v>191</v>
      </c>
      <c r="E30" s="14" t="inlineStr">
        <is>
          <t>Q2 2024</t>
        </is>
      </c>
      <c r="F30" s="17" t="n">
        <v>0.4764397905759162</v>
      </c>
      <c r="G30" s="18" t="n">
        <v>1994.484728234728</v>
      </c>
      <c r="H30" s="15" t="inlineStr">
        <is>
          <t>Executive Management Services, LLC</t>
        </is>
      </c>
      <c r="I30" s="19" t="n">
        <v>3.5</v>
      </c>
      <c r="J30" s="14" t="inlineStr">
        <is>
          <t>Townhome</t>
        </is>
      </c>
      <c r="K30" s="15" t="inlineStr">
        <is>
          <t>Occ: CoStar 28% vs RealPage 84%; Rent: CoStar ask $1,716 vs RealPage eff $2,004; Rent: HD mix-wtd $1,994 vs CoStar ask $1,716; Occ: HD ~48% (CoStar/RP showed 28%); HD (90d): occ ~48% (units leased), ~22 leases/mo</t>
        </is>
      </c>
      <c r="M30">
        <f>IFERROR(VALUE(RIGHT(E30,4))*4+MATCH(LEFT(E30,2),{"Q1","Q2","Q3","Q4"},0)-1,"")</f>
        <v/>
      </c>
    </row>
    <row r="31">
      <c r="B31" s="14" t="n">
        <v>24</v>
      </c>
      <c r="C31" s="15" t="inlineStr">
        <is>
          <t>Shamrock Apartments</t>
        </is>
      </c>
      <c r="D31" s="16" t="n">
        <v>48</v>
      </c>
      <c r="E31" s="14" t="inlineStr">
        <is>
          <t>Q2 2025</t>
        </is>
      </c>
      <c r="F31" s="17" t="n">
        <v>0.833333</v>
      </c>
      <c r="G31" s="18" t="inlineStr">
        <is>
          <t>—</t>
        </is>
      </c>
      <c r="H31" s="15" t="inlineStr">
        <is>
          <t>Dc Fairview Llc</t>
        </is>
      </c>
      <c r="I31" s="19" t="n">
        <v>2.6</v>
      </c>
      <c r="J31" s="14" t="inlineStr">
        <is>
          <t>Low-Rise</t>
        </is>
      </c>
      <c r="K31" s="15" t="inlineStr">
        <is>
          <t>Verify rent/occ w/ HelloData</t>
        </is>
      </c>
      <c r="M31">
        <f>IFERROR(VALUE(RIGHT(E31,4))*4+MATCH(LEFT(E31,2),{"Q1","Q2","Q3","Q4"},0)-1,"")</f>
        <v/>
      </c>
    </row>
    <row r="32">
      <c r="B32" s="14" t="n">
        <v>25</v>
      </c>
      <c r="C32" s="15" t="inlineStr">
        <is>
          <t>Tauri Apartments</t>
        </is>
      </c>
      <c r="D32" s="16" t="n">
        <v>156</v>
      </c>
      <c r="E32" s="14" t="inlineStr">
        <is>
          <t>Q2 2026</t>
        </is>
      </c>
      <c r="F32" s="17" t="n">
        <v>1</v>
      </c>
      <c r="G32" s="18" t="n">
        <v>1833.726076373041</v>
      </c>
      <c r="H32" s="15" t="inlineStr">
        <is>
          <t>Brighton</t>
        </is>
      </c>
      <c r="I32" s="19" t="n">
        <v>4.6</v>
      </c>
      <c r="J32" s="14" t="inlineStr">
        <is>
          <t>Townhome</t>
        </is>
      </c>
      <c r="K32" s="15" t="inlineStr">
        <is>
          <t>Units: CoStar 156 vs RealPage 128; Year built: 2026/2027; Occ: CoStar 25% vs RealPage 18%; Rent: CoStar ask $1,862 vs RealPage eff $1,684; Occ: HD ~100% (CoStar/RP showed 25%); HD (90d): occ ~100% (units leased), ~20 leases/mo</t>
        </is>
      </c>
      <c r="M32">
        <f>IFERROR(VALUE(RIGHT(E32,4))*4+MATCH(LEFT(E32,2),{"Q1","Q2","Q3","Q4"},0)-1,"")</f>
        <v/>
      </c>
    </row>
    <row r="33">
      <c r="B33" s="14" t="n">
        <v>26</v>
      </c>
      <c r="C33" s="15" t="inlineStr">
        <is>
          <t>Delano</t>
        </is>
      </c>
      <c r="D33" s="16" t="n">
        <v>84</v>
      </c>
      <c r="E33" s="14" t="inlineStr">
        <is>
          <t>Q2 2026</t>
        </is>
      </c>
      <c r="F33" s="17" t="n">
        <v>0.452</v>
      </c>
      <c r="G33" s="18" t="inlineStr">
        <is>
          <t>—</t>
        </is>
      </c>
      <c r="H33" s="15" t="inlineStr">
        <is>
          <t>CBH Homes</t>
        </is>
      </c>
      <c r="I33" s="19" t="n">
        <v>3.3</v>
      </c>
      <c r="J33" s="14" t="inlineStr">
        <is>
          <t>Garden</t>
        </is>
      </c>
      <c r="K33" s="15" t="inlineStr">
        <is>
          <t>Delivery quarter estimated; Verify rent/occ w/ HelloData; RealPage-only — not in CoStar's 5-mi series</t>
        </is>
      </c>
      <c r="M33">
        <f>IFERROR(VALUE(RIGHT(E33,4))*4+MATCH(LEFT(E33,2),{"Q1","Q2","Q3","Q4"},0)-1,"")</f>
        <v/>
      </c>
    </row>
    <row r="35">
      <c r="B35" s="20" t="n"/>
      <c r="C35" s="21" t="inlineStr">
        <is>
          <t>UNDER CONSTRUCTION (2 properties, 716 units)</t>
        </is>
      </c>
    </row>
    <row r="36">
      <c r="B36" s="22" t="n">
        <v>27</v>
      </c>
      <c r="C36" s="23" t="inlineStr">
        <is>
          <t>South Ridge II</t>
        </is>
      </c>
      <c r="D36" s="24" t="n">
        <v>164</v>
      </c>
      <c r="E36" s="22" t="inlineStr">
        <is>
          <t>Q2 2027</t>
        </is>
      </c>
      <c r="F36" s="25" t="n"/>
      <c r="G36" s="26" t="inlineStr">
        <is>
          <t>—</t>
        </is>
      </c>
      <c r="H36" s="23" t="inlineStr">
        <is>
          <t>—</t>
        </is>
      </c>
      <c r="I36" s="27" t="n">
        <v>3.1</v>
      </c>
      <c r="J36" s="22" t="inlineStr">
        <is>
          <t>Garden</t>
        </is>
      </c>
      <c r="K36" s="23" t="n"/>
      <c r="M36">
        <f>IFERROR(VALUE(RIGHT(E36,4))*4+MATCH(LEFT(E36,2),{"Q1","Q2","Q3","Q4"},0)-1,"")</f>
        <v/>
      </c>
    </row>
    <row r="37">
      <c r="B37" s="22" t="n">
        <v>28</v>
      </c>
      <c r="C37" s="23" t="inlineStr">
        <is>
          <t>Vanguard Village</t>
        </is>
      </c>
      <c r="D37" s="24" t="n">
        <v>552</v>
      </c>
      <c r="E37" s="22" t="inlineStr">
        <is>
          <t>Q1 2028</t>
        </is>
      </c>
      <c r="F37" s="25" t="n"/>
      <c r="G37" s="26" t="inlineStr">
        <is>
          <t>—</t>
        </is>
      </c>
      <c r="H37" s="23" t="inlineStr">
        <is>
          <t>—</t>
        </is>
      </c>
      <c r="I37" s="27" t="n">
        <v>4.3</v>
      </c>
      <c r="J37" s="22" t="inlineStr">
        <is>
          <t>Mid-Rise</t>
        </is>
      </c>
      <c r="K37" s="23" t="n"/>
      <c r="M37">
        <f>IFERROR(VALUE(RIGHT(E37,4))*4+MATCH(LEFT(E37,2),{"Q1","Q2","Q3","Q4"},0)-1,"")</f>
        <v/>
      </c>
    </row>
    <row r="39">
      <c r="B39" s="28" t="n"/>
      <c r="C39" s="29" t="inlineStr">
        <is>
          <t>PROPOSED (13 properties, 3,176 units)</t>
        </is>
      </c>
    </row>
    <row r="40">
      <c r="B40" s="30" t="n">
        <v>29</v>
      </c>
      <c r="C40" s="31" t="inlineStr">
        <is>
          <t>Union 93</t>
        </is>
      </c>
      <c r="D40" s="32" t="n">
        <v>350</v>
      </c>
      <c r="E40" s="30" t="inlineStr">
        <is>
          <t>Q3 2026</t>
        </is>
      </c>
      <c r="F40" s="33" t="n"/>
      <c r="G40" s="34" t="inlineStr">
        <is>
          <t>—</t>
        </is>
      </c>
      <c r="H40" s="31" t="inlineStr">
        <is>
          <t>Grey Owl Holdings Llc</t>
        </is>
      </c>
      <c r="I40" s="35" t="n">
        <v>1.9</v>
      </c>
      <c r="J40" s="30" t="inlineStr">
        <is>
          <t>Mid-Rise</t>
        </is>
      </c>
      <c r="K40" s="31" t="inlineStr">
        <is>
          <t>Diligence: stalled - foreclosure since Nov 2022; no restart as of Jul 2026</t>
        </is>
      </c>
      <c r="M40">
        <f>IFERROR(VALUE(RIGHT(E40,4))*4+MATCH(LEFT(E40,2),{"Q1","Q2","Q3","Q4"},0)-1,"")</f>
        <v/>
      </c>
    </row>
    <row r="41">
      <c r="B41" s="30" t="n">
        <v>30</v>
      </c>
      <c r="C41" s="31" t="inlineStr">
        <is>
          <t>The Judy (Maple Grove &amp; Overland)</t>
        </is>
      </c>
      <c r="D41" s="32" t="n">
        <v>162</v>
      </c>
      <c r="E41" s="30" t="inlineStr">
        <is>
          <t>Q1 2028</t>
        </is>
      </c>
      <c r="F41" s="33" t="n"/>
      <c r="G41" s="34" t="inlineStr">
        <is>
          <t>—</t>
        </is>
      </c>
      <c r="H41" s="31" t="inlineStr">
        <is>
          <t>—</t>
        </is>
      </c>
      <c r="I41" s="35" t="n">
        <v>3.4</v>
      </c>
      <c r="J41" s="30" t="n"/>
      <c r="K41" s="31" t="inlineStr">
        <is>
          <t>Analyst-sourced deal (not in CoStar/RealPage); Diligence: proposed - equity raise underway; construction targeted Q3 2026</t>
        </is>
      </c>
      <c r="M41">
        <f>IFERROR(VALUE(RIGHT(E41,4))*4+MATCH(LEFT(E41,2),{"Q1","Q2","Q3","Q4"},0)-1,"")</f>
        <v/>
      </c>
    </row>
    <row r="42">
      <c r="B42" s="30" t="n">
        <v>31</v>
      </c>
      <c r="C42" s="31" t="inlineStr">
        <is>
          <t>Victory Flats</t>
        </is>
      </c>
      <c r="D42" s="32" t="n">
        <v>301</v>
      </c>
      <c r="E42" s="30" t="inlineStr">
        <is>
          <t>Q3 2028</t>
        </is>
      </c>
      <c r="F42" s="33" t="n"/>
      <c r="G42" s="34" t="inlineStr">
        <is>
          <t>—</t>
        </is>
      </c>
      <c r="H42" s="31" t="inlineStr">
        <is>
          <t>Welltower Inc.</t>
        </is>
      </c>
      <c r="I42" s="35" t="n">
        <v>3.9</v>
      </c>
      <c r="J42" s="30" t="inlineStr">
        <is>
          <t>Townhome</t>
        </is>
      </c>
      <c r="K42" s="31" t="inlineStr">
        <is>
          <t>Diligence: proposed</t>
        </is>
      </c>
      <c r="M42">
        <f>IFERROR(VALUE(RIGHT(E42,4))*4+MATCH(LEFT(E42,2),{"Q1","Q2","Q3","Q4"},0)-1,"")</f>
        <v/>
      </c>
    </row>
    <row r="43">
      <c r="B43" s="30" t="n">
        <v>32</v>
      </c>
      <c r="C43" s="31" t="inlineStr">
        <is>
          <t>The Gateway at Ten Mile</t>
        </is>
      </c>
      <c r="D43" s="32" t="n">
        <v>390</v>
      </c>
      <c r="E43" s="30" t="inlineStr">
        <is>
          <t>Q4 2028</t>
        </is>
      </c>
      <c r="F43" s="33" t="n"/>
      <c r="G43" s="34" t="inlineStr">
        <is>
          <t>—</t>
        </is>
      </c>
      <c r="H43" s="31" t="inlineStr">
        <is>
          <t>TGI Corp</t>
        </is>
      </c>
      <c r="I43" s="35" t="n">
        <v>3.7</v>
      </c>
      <c r="J43" s="30" t="inlineStr">
        <is>
          <t>Mid-Rise</t>
        </is>
      </c>
      <c r="K43" s="31" t="inlineStr">
        <is>
          <t>Diligence: proposed</t>
        </is>
      </c>
      <c r="M43">
        <f>IFERROR(VALUE(RIGHT(E43,4))*4+MATCH(LEFT(E43,2),{"Q1","Q2","Q3","Q4"},0)-1,"")</f>
        <v/>
      </c>
    </row>
    <row r="44">
      <c r="B44" s="30" t="n">
        <v>33</v>
      </c>
      <c r="C44" s="31" t="inlineStr">
        <is>
          <t>Ascent Overland</t>
        </is>
      </c>
      <c r="D44" s="32" t="n">
        <v>138</v>
      </c>
      <c r="E44" s="30" t="inlineStr">
        <is>
          <t>Q1 2029</t>
        </is>
      </c>
      <c r="F44" s="33" t="n"/>
      <c r="G44" s="34" t="inlineStr">
        <is>
          <t>—</t>
        </is>
      </c>
      <c r="H44" s="31" t="inlineStr">
        <is>
          <t>—</t>
        </is>
      </c>
      <c r="I44" s="35" t="n">
        <v>1.5</v>
      </c>
      <c r="J44" s="30" t="inlineStr">
        <is>
          <t>Mid-Rise</t>
        </is>
      </c>
      <c r="K44" s="31" t="inlineStr">
        <is>
          <t>Diligence: proposed</t>
        </is>
      </c>
      <c r="M44">
        <f>IFERROR(VALUE(RIGHT(E44,4))*4+MATCH(LEFT(E44,2),{"Q1","Q2","Q3","Q4"},0)-1,"")</f>
        <v/>
      </c>
    </row>
    <row r="45">
      <c r="B45" s="30" t="n">
        <v>34</v>
      </c>
      <c r="C45" s="31" t="inlineStr">
        <is>
          <t>Record</t>
        </is>
      </c>
      <c r="D45" s="32" t="n">
        <v>472</v>
      </c>
      <c r="E45" s="30" t="inlineStr">
        <is>
          <t>TBD</t>
        </is>
      </c>
      <c r="F45" s="33" t="n"/>
      <c r="G45" s="34" t="inlineStr">
        <is>
          <t>—</t>
        </is>
      </c>
      <c r="H45" s="31" t="inlineStr">
        <is>
          <t>—</t>
        </is>
      </c>
      <c r="I45" s="35" t="n">
        <v>1.9</v>
      </c>
      <c r="J45" s="30" t="inlineStr">
        <is>
          <t>Mid-Rise</t>
        </is>
      </c>
      <c r="K45" s="31" t="inlineStr">
        <is>
          <t>RealPage pipeline (not yet in CoStar); Diligence: proposed</t>
        </is>
      </c>
      <c r="M45">
        <f>IFERROR(VALUE(RIGHT(E45,4))*4+MATCH(LEFT(E45,2),{"Q1","Q2","Q3","Q4"},0)-1,"")</f>
        <v/>
      </c>
    </row>
    <row r="46">
      <c r="B46" s="30" t="n">
        <v>35</v>
      </c>
      <c r="C46" s="31" t="inlineStr">
        <is>
          <t>Syringa Crossing</t>
        </is>
      </c>
      <c r="D46" s="32" t="n">
        <v>322</v>
      </c>
      <c r="E46" s="30" t="inlineStr">
        <is>
          <t>TBD</t>
        </is>
      </c>
      <c r="F46" s="33" t="n"/>
      <c r="G46" s="34" t="inlineStr">
        <is>
          <t>—</t>
        </is>
      </c>
      <c r="H46" s="31" t="inlineStr">
        <is>
          <t>—</t>
        </is>
      </c>
      <c r="I46" s="35" t="n">
        <v>2.8</v>
      </c>
      <c r="J46" s="30" t="inlineStr">
        <is>
          <t>Mid-Rise</t>
        </is>
      </c>
      <c r="K46" s="31" t="inlineStr">
        <is>
          <t>RealPage pipeline (not yet in CoStar); Diligence: proposed</t>
        </is>
      </c>
      <c r="M46">
        <f>IFERROR(VALUE(RIGHT(E46,4))*4+MATCH(LEFT(E46,2),{"Q1","Q2","Q3","Q4"},0)-1,"")</f>
        <v/>
      </c>
    </row>
    <row r="47">
      <c r="B47" s="30" t="n">
        <v>36</v>
      </c>
      <c r="C47" s="31" t="inlineStr">
        <is>
          <t>12565 West Fairview Avenue</t>
        </is>
      </c>
      <c r="D47" s="32" t="n">
        <v>275</v>
      </c>
      <c r="E47" s="30" t="inlineStr">
        <is>
          <t>TBD</t>
        </is>
      </c>
      <c r="F47" s="33" t="n"/>
      <c r="G47" s="34" t="inlineStr">
        <is>
          <t>—</t>
        </is>
      </c>
      <c r="H47" s="31" t="inlineStr">
        <is>
          <t>—</t>
        </is>
      </c>
      <c r="I47" s="35" t="n">
        <v>2.1</v>
      </c>
      <c r="J47" s="30" t="inlineStr">
        <is>
          <t>Mid-Rise</t>
        </is>
      </c>
      <c r="K47" s="31" t="inlineStr">
        <is>
          <t>RealPage pipeline (not yet in CoStar); Diligence: proposed</t>
        </is>
      </c>
      <c r="M47">
        <f>IFERROR(VALUE(RIGHT(E47,4))*4+MATCH(LEFT(E47,2),{"Q1","Q2","Q3","Q4"},0)-1,"")</f>
        <v/>
      </c>
    </row>
    <row r="48">
      <c r="B48" s="30" t="n">
        <v>37</v>
      </c>
      <c r="C48" s="31" t="inlineStr">
        <is>
          <t>Cobalt Point</t>
        </is>
      </c>
      <c r="D48" s="32" t="n">
        <v>264</v>
      </c>
      <c r="E48" s="30" t="inlineStr">
        <is>
          <t>TBD</t>
        </is>
      </c>
      <c r="F48" s="33" t="n"/>
      <c r="G48" s="34" t="inlineStr">
        <is>
          <t>—</t>
        </is>
      </c>
      <c r="H48" s="31" t="inlineStr">
        <is>
          <t>—</t>
        </is>
      </c>
      <c r="I48" s="35" t="n">
        <v>0.6</v>
      </c>
      <c r="J48" s="30" t="inlineStr">
        <is>
          <t>Garden</t>
        </is>
      </c>
      <c r="K48" s="31" t="inlineStr">
        <is>
          <t>RealPage pipeline (not yet in CoStar); Diligence: proposed</t>
        </is>
      </c>
      <c r="M48">
        <f>IFERROR(VALUE(RIGHT(E48,4))*4+MATCH(LEFT(E48,2),{"Q1","Q2","Q3","Q4"},0)-1,"")</f>
        <v/>
      </c>
    </row>
    <row r="49">
      <c r="B49" s="30" t="n">
        <v>38</v>
      </c>
      <c r="C49" s="31" t="inlineStr">
        <is>
          <t>12548 West Overland Road</t>
        </is>
      </c>
      <c r="D49" s="32" t="n">
        <v>156</v>
      </c>
      <c r="E49" s="30" t="inlineStr">
        <is>
          <t>TBD</t>
        </is>
      </c>
      <c r="F49" s="33" t="n"/>
      <c r="G49" s="34" t="inlineStr">
        <is>
          <t>—</t>
        </is>
      </c>
      <c r="H49" s="31" t="inlineStr">
        <is>
          <t>—</t>
        </is>
      </c>
      <c r="I49" s="35" t="n">
        <v>1.1</v>
      </c>
      <c r="J49" s="30" t="inlineStr">
        <is>
          <t>Mid-Rise</t>
        </is>
      </c>
      <c r="K49" s="31" t="inlineStr">
        <is>
          <t>RealPage pipeline (not yet in CoStar); Diligence: proposed</t>
        </is>
      </c>
      <c r="M49">
        <f>IFERROR(VALUE(RIGHT(E49,4))*4+MATCH(LEFT(E49,2),{"Q1","Q2","Q3","Q4"},0)-1,"")</f>
        <v/>
      </c>
    </row>
    <row r="50">
      <c r="B50" s="30" t="n">
        <v>39</v>
      </c>
      <c r="C50" s="31" t="inlineStr">
        <is>
          <t>Fairview</t>
        </is>
      </c>
      <c r="D50" s="32" t="n">
        <v>150</v>
      </c>
      <c r="E50" s="30" t="inlineStr">
        <is>
          <t>TBD</t>
        </is>
      </c>
      <c r="F50" s="33" t="n"/>
      <c r="G50" s="34" t="inlineStr">
        <is>
          <t>—</t>
        </is>
      </c>
      <c r="H50" s="31" t="inlineStr">
        <is>
          <t>—</t>
        </is>
      </c>
      <c r="I50" s="35" t="n">
        <v>2.1</v>
      </c>
      <c r="J50" s="30" t="inlineStr">
        <is>
          <t>Townhome</t>
        </is>
      </c>
      <c r="K50" s="31" t="inlineStr">
        <is>
          <t>RealPage pipeline (not yet in CoStar); Diligence: proposed</t>
        </is>
      </c>
      <c r="M50">
        <f>IFERROR(VALUE(RIGHT(E50,4))*4+MATCH(LEFT(E50,2),{"Q1","Q2","Q3","Q4"},0)-1,"")</f>
        <v/>
      </c>
    </row>
    <row r="51">
      <c r="B51" s="30" t="n">
        <v>40</v>
      </c>
      <c r="C51" s="31" t="inlineStr">
        <is>
          <t>The Cole Denton</t>
        </is>
      </c>
      <c r="D51" s="32" t="n">
        <v>136</v>
      </c>
      <c r="E51" s="30" t="inlineStr">
        <is>
          <t>TBD</t>
        </is>
      </c>
      <c r="F51" s="33" t="n"/>
      <c r="G51" s="34" t="inlineStr">
        <is>
          <t>—</t>
        </is>
      </c>
      <c r="H51" s="31" t="inlineStr">
        <is>
          <t>—</t>
        </is>
      </c>
      <c r="I51" s="35" t="n">
        <v>4.5</v>
      </c>
      <c r="J51" s="30" t="inlineStr">
        <is>
          <t>Mid-Rise</t>
        </is>
      </c>
      <c r="K51" s="31" t="inlineStr">
        <is>
          <t>RealPage pipeline (not yet in CoStar); Diligence: proposed</t>
        </is>
      </c>
      <c r="M51">
        <f>IFERROR(VALUE(RIGHT(E51,4))*4+MATCH(LEFT(E51,2),{"Q1","Q2","Q3","Q4"},0)-1,"")</f>
        <v/>
      </c>
    </row>
    <row r="52">
      <c r="B52" s="30" t="n">
        <v>41</v>
      </c>
      <c r="C52" s="31" t="inlineStr">
        <is>
          <t>Meridian OZ Apartments</t>
        </is>
      </c>
      <c r="D52" s="32" t="n">
        <v>60</v>
      </c>
      <c r="E52" s="30" t="inlineStr">
        <is>
          <t>TBD</t>
        </is>
      </c>
      <c r="F52" s="33" t="n"/>
      <c r="G52" s="34" t="inlineStr">
        <is>
          <t>—</t>
        </is>
      </c>
      <c r="H52" s="31" t="inlineStr">
        <is>
          <t>Peak Capital Investments Llc</t>
        </is>
      </c>
      <c r="I52" s="35" t="n">
        <v>1.1</v>
      </c>
      <c r="J52" s="30" t="inlineStr">
        <is>
          <t>Garden</t>
        </is>
      </c>
      <c r="K52" s="31" t="inlineStr">
        <is>
          <t>Diligence: proposed</t>
        </is>
      </c>
      <c r="M52">
        <f>IFERROR(VALUE(RIGHT(E52,4))*4+MATCH(LEFT(E52,2),{"Q1","Q2","Q3","Q4"},0)-1,"")</f>
        <v/>
      </c>
    </row>
    <row r="55">
      <c r="B55" s="36" t="inlineStr">
        <is>
          <t>* 5-Mile radius. Rent ($) = HelloData mix-weighted asking where covered, else market asking (CoStar). Proximity (mi) = straight-line distance from the subject. Est. Delivery drives the Supply &amp; Absorption tab's per-window supply (edit it there or here — they are linked). See the 'Supply &amp; Absorption' tab for the forward supply / absorption / overall-occupancy forecast.</t>
        </is>
      </c>
    </row>
  </sheetData>
  <mergeCells count="7">
    <mergeCell ref="B3:G3"/>
    <mergeCell ref="C5:K5"/>
    <mergeCell ref="C2:G2"/>
    <mergeCell ref="C28:K28"/>
    <mergeCell ref="B55:K55"/>
    <mergeCell ref="C39:K39"/>
    <mergeCell ref="C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B1:Z7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28" customWidth="1" min="18" max="18"/>
    <col width="7" customWidth="1" min="19" max="19"/>
    <col width="11" customWidth="1" min="20" max="20"/>
    <col width="9" customWidth="1" min="21" max="21"/>
    <col hidden="1" width="8" customWidth="1" min="22" max="22"/>
    <col hidden="1" width="7" customWidth="1" min="23" max="23"/>
    <col hidden="1" width="6" customWidth="1" min="24" max="24"/>
    <col hidden="1" width="13" customWidth="1" min="26" max="26"/>
  </cols>
  <sheetData>
    <row r="1" ht="14.4" customHeight="1">
      <c r="Z1" t="n">
        <v>8105</v>
      </c>
    </row>
    <row r="2" ht="20" customHeight="1">
      <c r="B2" s="1" t="inlineStr">
        <is>
          <t>SUPPLY &amp; ABSORPTION  —  5-MILE MARKET (relative-year / TTM)</t>
        </is>
      </c>
      <c r="Z2">
        <f>IFERROR(VALUE(RIGHT($C$5,4))*4+MATCH(LEFT($C$5,2),{"Q1","Q2","Q3","Q4"},0)-1,0)</f>
        <v/>
      </c>
    </row>
    <row r="3" ht="14.4" customHeight="1">
      <c r="R3" s="37" t="inlineStr">
        <is>
          <t>UNDER CONSTRUCTION (linked from Competitive Analysis)</t>
        </is>
      </c>
      <c r="Z3">
        <f>IF($C$7="Bear",3,IF($C$7="Base",2,1))</f>
        <v/>
      </c>
    </row>
    <row r="4" ht="14.4" customHeight="1">
      <c r="B4" s="38" t="inlineStr">
        <is>
          <t>As-of Quarter (Y0 end)</t>
        </is>
      </c>
      <c r="C4" s="39" t="inlineStr">
        <is>
          <t>Q2 2026</t>
        </is>
      </c>
      <c r="D4" s="40" t="inlineStr">
        <is>
          <t>◂ Y0 = the trailing-12-months ending here (latest complete CoStar quarter); -Y1…-Y6 step back a year each.</t>
        </is>
      </c>
      <c r="R4" s="41" t="inlineStr">
        <is>
          <t>Property</t>
        </is>
      </c>
      <c r="S4" s="41" t="inlineStr">
        <is>
          <t>Units</t>
        </is>
      </c>
      <c r="T4" s="41" t="inlineStr">
        <is>
          <t>Est. Delivery</t>
        </is>
      </c>
    </row>
    <row r="5" ht="14.4" customHeight="1">
      <c r="B5" s="38" t="inlineStr">
        <is>
          <t>Close Quarter (Y1 start)</t>
        </is>
      </c>
      <c r="C5" s="42" t="inlineStr">
        <is>
          <t>Q4 2026</t>
        </is>
      </c>
      <c r="D5" s="40" t="inlineStr">
        <is>
          <t>◂ Expected deal close. Y1 = the 12 months starting here; pipeline deliveries bucket into hold years off this anchor — edit it and the Y1–Y6 windows &amp; supply shift.</t>
        </is>
      </c>
      <c r="R5" s="43">
        <f>'Competitive Analysis'!C37</f>
        <v/>
      </c>
      <c r="S5" s="44">
        <f>'Competitive Analysis'!D37</f>
        <v/>
      </c>
      <c r="T5" s="45">
        <f>'Competitive Analysis'!E37</f>
        <v/>
      </c>
      <c r="V5">
        <f>IFERROR(VALUE(RIGHT(T5,4))*4+MATCH(LEFT(T5,2),{"Q1","Q2","Q3","Q4"},0)-1,"")</f>
        <v/>
      </c>
      <c r="W5">
        <f>IF(V5="","",IF(V5&lt;=$Z$1,0,MAX(1,INT((V5-$Z$2)/4)+1)))</f>
        <v/>
      </c>
    </row>
    <row r="6" ht="14.4" customHeight="1">
      <c r="B6" s="38" t="inlineStr">
        <is>
          <t>Stabilization Target</t>
        </is>
      </c>
      <c r="C6" s="46" t="n">
        <v>0.95</v>
      </c>
      <c r="R6" s="43">
        <f>'Competitive Analysis'!C36</f>
        <v/>
      </c>
      <c r="S6" s="44">
        <f>'Competitive Analysis'!D36</f>
        <v/>
      </c>
      <c r="T6" s="45">
        <f>'Competitive Analysis'!E36</f>
        <v/>
      </c>
      <c r="V6">
        <f>IFERROR(VALUE(RIGHT(T6,4))*4+MATCH(LEFT(T6,2),{"Q1","Q2","Q3","Q4"},0)-1,"")</f>
        <v/>
      </c>
      <c r="W6">
        <f>IF(V6="","",IF(V6&lt;=$Z$1,0,MAX(1,INT((V6-$Z$2)/4)+1)))</f>
        <v/>
      </c>
    </row>
    <row r="7" ht="14.4" customHeight="1">
      <c r="B7" s="38" t="inlineStr">
        <is>
          <t>Demand Scenario</t>
        </is>
      </c>
      <c r="C7" s="42" t="inlineStr">
        <is>
          <t>Base</t>
        </is>
      </c>
    </row>
    <row r="8" ht="14.4" customHeight="1">
      <c r="B8" s="38" t="inlineStr">
        <is>
          <t>Bear Annual Absorption</t>
        </is>
      </c>
      <c r="C8" s="47" t="n">
        <v>425</v>
      </c>
      <c r="R8" s="37" t="inlineStr">
        <is>
          <t>PROPOSED PIPELINE (scenario toggle)</t>
        </is>
      </c>
    </row>
    <row r="9" ht="14.4" customHeight="1">
      <c r="B9" s="38" t="inlineStr">
        <is>
          <t>Base Annual Absorption</t>
        </is>
      </c>
      <c r="C9" s="47" t="n">
        <v>850</v>
      </c>
      <c r="R9" s="41" t="inlineStr">
        <is>
          <t>Property</t>
        </is>
      </c>
      <c r="S9" s="41" t="inlineStr">
        <is>
          <t>Units</t>
        </is>
      </c>
      <c r="T9" s="41" t="inlineStr">
        <is>
          <t>Est. Delivery</t>
        </is>
      </c>
      <c r="U9" s="41" t="inlineStr">
        <is>
          <t>Built In</t>
        </is>
      </c>
    </row>
    <row r="10" ht="14.4" customHeight="1">
      <c r="B10" s="38" t="inlineStr">
        <is>
          <t>Bull Annual Absorption</t>
        </is>
      </c>
      <c r="C10" s="47" t="n">
        <v>1275</v>
      </c>
      <c r="D10" s="40" t="inlineStr">
        <is>
          <t>◂ Base = trailing-3-yr CoStar average (annualized, complete quarters).</t>
        </is>
      </c>
      <c r="R10" s="43" t="inlineStr">
        <is>
          <t>Record</t>
        </is>
      </c>
      <c r="S10" s="44" t="n">
        <v>472</v>
      </c>
      <c r="T10" s="48" t="inlineStr"/>
      <c r="U10" s="48" t="inlineStr">
        <is>
          <t>Bear only</t>
        </is>
      </c>
      <c r="V10">
        <f>IFERROR(VALUE(RIGHT(T10,4))*4+MATCH(LEFT(T10,2),{"Q1","Q2","Q3","Q4"},0)-1,"")</f>
        <v/>
      </c>
      <c r="W10">
        <f>IF(V10="","",IF(V10&lt;=$Z$1,0,MAX(1,INT((V10-$Z$2)/4)+1)))</f>
        <v/>
      </c>
      <c r="X10">
        <f>IF(U10="All",1,IF(U10="Bear+Base",IF($Z$3&gt;=2,1,0),IF(U10="Bear only",IF($Z$3&gt;=3,1,0),0)))</f>
        <v/>
      </c>
    </row>
    <row r="11" ht="14.4" customHeight="1">
      <c r="B11" s="38" t="inlineStr">
        <is>
          <t>Selected Annual Demand</t>
        </is>
      </c>
      <c r="C11" s="49">
        <f>IF($C$7="Bear",$C$8,IF($C$7="Bull",$C$10,$C$9))</f>
        <v/>
      </c>
      <c r="R11" s="43" t="inlineStr">
        <is>
          <t>The Gateway at Ten Mile</t>
        </is>
      </c>
      <c r="S11" s="44" t="n">
        <v>390</v>
      </c>
      <c r="T11" s="48" t="inlineStr">
        <is>
          <t>Q4 2028</t>
        </is>
      </c>
      <c r="U11" s="48" t="inlineStr">
        <is>
          <t>Bear only</t>
        </is>
      </c>
      <c r="V11">
        <f>IFERROR(VALUE(RIGHT(T11,4))*4+MATCH(LEFT(T11,2),{"Q1","Q2","Q3","Q4"},0)-1,"")</f>
        <v/>
      </c>
      <c r="W11">
        <f>IF(V11="","",IF(V11&lt;=$Z$1,0,MAX(1,INT((V11-$Z$2)/4)+1)))</f>
        <v/>
      </c>
      <c r="X11">
        <f>IF(U11="All",1,IF(U11="Bear+Base",IF($Z$3&gt;=2,1,0),IF(U11="Bear only",IF($Z$3&gt;=3,1,0),0)))</f>
        <v/>
      </c>
    </row>
    <row r="12" ht="14.4" customHeight="1">
      <c r="R12" s="43" t="inlineStr">
        <is>
          <t>Union 93</t>
        </is>
      </c>
      <c r="S12" s="44" t="n">
        <v>350</v>
      </c>
      <c r="T12" s="48" t="inlineStr">
        <is>
          <t>Q3 2026</t>
        </is>
      </c>
      <c r="U12" s="48" t="inlineStr">
        <is>
          <t>Bear only</t>
        </is>
      </c>
      <c r="V12">
        <f>IFERROR(VALUE(RIGHT(T12,4))*4+MATCH(LEFT(T12,2),{"Q1","Q2","Q3","Q4"},0)-1,"")</f>
        <v/>
      </c>
      <c r="W12">
        <f>IF(V12="","",IF(V12&lt;=$Z$1,0,MAX(1,INT((V12-$Z$2)/4)+1)))</f>
        <v/>
      </c>
      <c r="X12">
        <f>IF(U12="All",1,IF(U12="Bear+Base",IF($Z$3&gt;=2,1,0),IF(U12="Bear only",IF($Z$3&gt;=3,1,0),0)))</f>
        <v/>
      </c>
    </row>
    <row r="13" ht="14.4" customHeight="1">
      <c r="R13" s="43" t="inlineStr">
        <is>
          <t>Syringa Crossing</t>
        </is>
      </c>
      <c r="S13" s="44" t="n">
        <v>322</v>
      </c>
      <c r="T13" s="48" t="inlineStr"/>
      <c r="U13" s="48" t="inlineStr">
        <is>
          <t>Bear only</t>
        </is>
      </c>
      <c r="V13">
        <f>IFERROR(VALUE(RIGHT(T13,4))*4+MATCH(LEFT(T13,2),{"Q1","Q2","Q3","Q4"},0)-1,"")</f>
        <v/>
      </c>
      <c r="W13">
        <f>IF(V13="","",IF(V13&lt;=$Z$1,0,MAX(1,INT((V13-$Z$2)/4)+1)))</f>
        <v/>
      </c>
      <c r="X13">
        <f>IF(U13="All",1,IF(U13="Bear+Base",IF($Z$3&gt;=2,1,0),IF(U13="Bear only",IF($Z$3&gt;=3,1,0),0)))</f>
        <v/>
      </c>
    </row>
    <row r="14" ht="14.4" customHeight="1">
      <c r="R14" s="43" t="inlineStr">
        <is>
          <t>Victory Flats</t>
        </is>
      </c>
      <c r="S14" s="44" t="n">
        <v>301</v>
      </c>
      <c r="T14" s="48" t="inlineStr">
        <is>
          <t>Q3 2028</t>
        </is>
      </c>
      <c r="U14" s="48" t="inlineStr">
        <is>
          <t>Bear only</t>
        </is>
      </c>
      <c r="V14">
        <f>IFERROR(VALUE(RIGHT(T14,4))*4+MATCH(LEFT(T14,2),{"Q1","Q2","Q3","Q4"},0)-1,"")</f>
        <v/>
      </c>
      <c r="W14">
        <f>IF(V14="","",IF(V14&lt;=$Z$1,0,MAX(1,INT((V14-$Z$2)/4)+1)))</f>
        <v/>
      </c>
      <c r="X14">
        <f>IF(U14="All",1,IF(U14="Bear+Base",IF($Z$3&gt;=2,1,0),IF(U14="Bear only",IF($Z$3&gt;=3,1,0),0)))</f>
        <v/>
      </c>
    </row>
    <row r="15" ht="14.4" customHeight="1">
      <c r="R15" s="43" t="inlineStr">
        <is>
          <t>12565 West Fairview Avenue</t>
        </is>
      </c>
      <c r="S15" s="44" t="n">
        <v>275</v>
      </c>
      <c r="T15" s="48" t="inlineStr"/>
      <c r="U15" s="48" t="inlineStr">
        <is>
          <t>Bear only</t>
        </is>
      </c>
      <c r="V15">
        <f>IFERROR(VALUE(RIGHT(T15,4))*4+MATCH(LEFT(T15,2),{"Q1","Q2","Q3","Q4"},0)-1,"")</f>
        <v/>
      </c>
      <c r="W15">
        <f>IF(V15="","",IF(V15&lt;=$Z$1,0,MAX(1,INT((V15-$Z$2)/4)+1)))</f>
        <v/>
      </c>
      <c r="X15">
        <f>IF(U15="All",1,IF(U15="Bear+Base",IF($Z$3&gt;=2,1,0),IF(U15="Bear only",IF($Z$3&gt;=3,1,0),0)))</f>
        <v/>
      </c>
    </row>
    <row r="16" ht="14.4" customHeight="1">
      <c r="R16" s="43" t="inlineStr">
        <is>
          <t>Cobalt Point</t>
        </is>
      </c>
      <c r="S16" s="44" t="n">
        <v>264</v>
      </c>
      <c r="T16" s="48" t="inlineStr"/>
      <c r="U16" s="48" t="inlineStr">
        <is>
          <t>Bear only</t>
        </is>
      </c>
      <c r="V16">
        <f>IFERROR(VALUE(RIGHT(T16,4))*4+MATCH(LEFT(T16,2),{"Q1","Q2","Q3","Q4"},0)-1,"")</f>
        <v/>
      </c>
      <c r="W16">
        <f>IF(V16="","",IF(V16&lt;=$Z$1,0,MAX(1,INT((V16-$Z$2)/4)+1)))</f>
        <v/>
      </c>
      <c r="X16">
        <f>IF(U16="All",1,IF(U16="Bear+Base",IF($Z$3&gt;=2,1,0),IF(U16="Bear only",IF($Z$3&gt;=3,1,0),0)))</f>
        <v/>
      </c>
    </row>
    <row r="17" ht="14.4" customHeight="1">
      <c r="B17" s="38" t="inlineStr">
        <is>
          <t>5-MILE MARKET</t>
        </is>
      </c>
      <c r="C17" s="3" t="inlineStr">
        <is>
          <t>-Y6</t>
        </is>
      </c>
      <c r="D17" s="3" t="inlineStr">
        <is>
          <t>-Y5</t>
        </is>
      </c>
      <c r="E17" s="3" t="inlineStr">
        <is>
          <t>-Y4</t>
        </is>
      </c>
      <c r="F17" s="3" t="inlineStr">
        <is>
          <t>-Y3</t>
        </is>
      </c>
      <c r="G17" s="3" t="inlineStr">
        <is>
          <t>-Y2</t>
        </is>
      </c>
      <c r="H17" s="3" t="inlineStr">
        <is>
          <t>-Y1</t>
        </is>
      </c>
      <c r="I17" s="3" t="inlineStr">
        <is>
          <t>Y0</t>
        </is>
      </c>
      <c r="J17" s="50" t="inlineStr">
        <is>
          <t>Y1</t>
        </is>
      </c>
      <c r="K17" s="50" t="inlineStr">
        <is>
          <t>Y2</t>
        </is>
      </c>
      <c r="L17" s="50" t="inlineStr">
        <is>
          <t>Y3</t>
        </is>
      </c>
      <c r="M17" s="50" t="inlineStr">
        <is>
          <t>Y4</t>
        </is>
      </c>
      <c r="N17" s="50" t="inlineStr">
        <is>
          <t>Y5</t>
        </is>
      </c>
      <c r="O17" s="50" t="inlineStr">
        <is>
          <t>Y6</t>
        </is>
      </c>
      <c r="R17" s="43" t="inlineStr">
        <is>
          <t>The Judy (Maple Grove &amp; Overland)</t>
        </is>
      </c>
      <c r="S17" s="44" t="n">
        <v>162</v>
      </c>
      <c r="T17" s="48" t="inlineStr">
        <is>
          <t>Q1 2028</t>
        </is>
      </c>
      <c r="U17" s="48" t="inlineStr">
        <is>
          <t>Bear only</t>
        </is>
      </c>
      <c r="V17">
        <f>IFERROR(VALUE(RIGHT(T17,4))*4+MATCH(LEFT(T17,2),{"Q1","Q2","Q3","Q4"},0)-1,"")</f>
        <v/>
      </c>
      <c r="W17">
        <f>IF(V17="","",IF(V17&lt;=$Z$1,0,MAX(1,INT((V17-$Z$2)/4)+1)))</f>
        <v/>
      </c>
      <c r="X17">
        <f>IF(U17="All",1,IF(U17="Bear+Base",IF($Z$3&gt;=2,1,0),IF(U17="Bear only",IF($Z$3&gt;=3,1,0),0)))</f>
        <v/>
      </c>
    </row>
    <row r="18" ht="14.4" customHeight="1">
      <c r="C18" s="51" t="inlineStr">
        <is>
          <t>Q3'19-Q2'20</t>
        </is>
      </c>
      <c r="D18" s="51" t="inlineStr">
        <is>
          <t>Q3'20-Q2'21</t>
        </is>
      </c>
      <c r="E18" s="51" t="inlineStr">
        <is>
          <t>Q3'21-Q2'22</t>
        </is>
      </c>
      <c r="F18" s="51" t="inlineStr">
        <is>
          <t>Q3'22-Q2'23</t>
        </is>
      </c>
      <c r="G18" s="51" t="inlineStr">
        <is>
          <t>Q3'23-Q2'24</t>
        </is>
      </c>
      <c r="H18" s="51" t="inlineStr">
        <is>
          <t>Q3'24-Q2'25</t>
        </is>
      </c>
      <c r="I18" s="51" t="inlineStr">
        <is>
          <t>Q3'25-Q2'26</t>
        </is>
      </c>
      <c r="J18" s="51">
        <f>"Q"&amp;(MOD(($Z$2+0),4)+1)&amp;"'"&amp;RIGHT(INT(($Z$2+0)/4),2)&amp;"-Q"&amp;(MOD(($Z$2+3),4)+1)&amp;"'"&amp;RIGHT(INT(($Z$2+3)/4),2)</f>
        <v/>
      </c>
      <c r="K18" s="51">
        <f>"Q"&amp;(MOD(($Z$2+4),4)+1)&amp;"'"&amp;RIGHT(INT(($Z$2+4)/4),2)&amp;"-Q"&amp;(MOD(($Z$2+7),4)+1)&amp;"'"&amp;RIGHT(INT(($Z$2+7)/4),2)</f>
        <v/>
      </c>
      <c r="L18" s="51">
        <f>"Q"&amp;(MOD(($Z$2+8),4)+1)&amp;"'"&amp;RIGHT(INT(($Z$2+8)/4),2)&amp;"-Q"&amp;(MOD(($Z$2+11),4)+1)&amp;"'"&amp;RIGHT(INT(($Z$2+11)/4),2)</f>
        <v/>
      </c>
      <c r="M18" s="51">
        <f>"Q"&amp;(MOD(($Z$2+12),4)+1)&amp;"'"&amp;RIGHT(INT(($Z$2+12)/4),2)&amp;"-Q"&amp;(MOD(($Z$2+15),4)+1)&amp;"'"&amp;RIGHT(INT(($Z$2+15)/4),2)</f>
        <v/>
      </c>
      <c r="N18" s="51">
        <f>"Q"&amp;(MOD(($Z$2+16),4)+1)&amp;"'"&amp;RIGHT(INT(($Z$2+16)/4),2)&amp;"-Q"&amp;(MOD(($Z$2+19),4)+1)&amp;"'"&amp;RIGHT(INT(($Z$2+19)/4),2)</f>
        <v/>
      </c>
      <c r="O18" s="51">
        <f>"Q"&amp;(MOD(($Z$2+20),4)+1)&amp;"'"&amp;RIGHT(INT(($Z$2+20)/4),2)&amp;"-Q"&amp;(MOD(($Z$2+23),4)+1)&amp;"'"&amp;RIGHT(INT(($Z$2+23)/4),2)</f>
        <v/>
      </c>
      <c r="R18" s="43" t="inlineStr">
        <is>
          <t>12548 West Overland Road</t>
        </is>
      </c>
      <c r="S18" s="44" t="n">
        <v>156</v>
      </c>
      <c r="T18" s="48" t="inlineStr"/>
      <c r="U18" s="48" t="inlineStr">
        <is>
          <t>Bear only</t>
        </is>
      </c>
      <c r="V18">
        <f>IFERROR(VALUE(RIGHT(T18,4))*4+MATCH(LEFT(T18,2),{"Q1","Q2","Q3","Q4"},0)-1,"")</f>
        <v/>
      </c>
      <c r="W18">
        <f>IF(V18="","",IF(V18&lt;=$Z$1,0,MAX(1,INT((V18-$Z$2)/4)+1)))</f>
        <v/>
      </c>
      <c r="X18">
        <f>IF(U18="All",1,IF(U18="Bear+Base",IF($Z$3&gt;=2,1,0),IF(U18="Bear only",IF($Z$3&gt;=3,1,0),0)))</f>
        <v/>
      </c>
    </row>
    <row r="19" ht="14.4" customHeight="1">
      <c r="B19" s="38" t="inlineStr">
        <is>
          <t>NEW SUPPLY (5-mi)</t>
        </is>
      </c>
      <c r="C19" s="52" t="n">
        <v>1227</v>
      </c>
      <c r="D19" s="52" t="n">
        <v>1575</v>
      </c>
      <c r="E19" s="52" t="n">
        <v>629</v>
      </c>
      <c r="F19" s="52" t="n">
        <v>1232</v>
      </c>
      <c r="G19" s="52" t="n">
        <v>1049</v>
      </c>
      <c r="H19" s="52" t="n">
        <v>450</v>
      </c>
      <c r="I19" s="52">
        <f>SUMIFS('Competitive Analysis'!$D$5:$D$52,'Competitive Analysis'!$M$5:$M$52,"&gt;="&amp;8102,'Competitive Analysis'!$M$5:$M$52,"&lt;="&amp;8105)</f>
        <v/>
      </c>
      <c r="J19" s="53">
        <f>SUMIFS($S$5:$S$6,$W$5:$W$6,1)+SUMIFS($S$10:$S$22,$W$10:$W$22,1,$X$10:$X$22,1)</f>
        <v/>
      </c>
      <c r="K19" s="53">
        <f>SUMIFS($S$5:$S$6,$W$5:$W$6,2)+SUMIFS($S$10:$S$22,$W$10:$W$22,2,$X$10:$X$22,1)</f>
        <v/>
      </c>
      <c r="L19" s="53">
        <f>SUMIFS($S$5:$S$6,$W$5:$W$6,3)+SUMIFS($S$10:$S$22,$W$10:$W$22,3,$X$10:$X$22,1)</f>
        <v/>
      </c>
      <c r="M19" s="53">
        <f>SUMIFS($S$5:$S$6,$W$5:$W$6,4)+SUMIFS($S$10:$S$22,$W$10:$W$22,4,$X$10:$X$22,1)</f>
        <v/>
      </c>
      <c r="N19" s="53">
        <f>SUMIFS($S$5:$S$6,$W$5:$W$6,5)+SUMIFS($S$10:$S$22,$W$10:$W$22,5,$X$10:$X$22,1)</f>
        <v/>
      </c>
      <c r="O19" s="53">
        <f>SUMIFS($S$5:$S$6,$W$5:$W$6,6)+SUMIFS($S$10:$S$22,$W$10:$W$22,6,$X$10:$X$22,1)</f>
        <v/>
      </c>
      <c r="R19" s="43" t="inlineStr">
        <is>
          <t>Fairview</t>
        </is>
      </c>
      <c r="S19" s="44" t="n">
        <v>150</v>
      </c>
      <c r="T19" s="48" t="inlineStr"/>
      <c r="U19" s="48" t="inlineStr">
        <is>
          <t>Bear only</t>
        </is>
      </c>
      <c r="V19">
        <f>IFERROR(VALUE(RIGHT(T19,4))*4+MATCH(LEFT(T19,2),{"Q1","Q2","Q3","Q4"},0)-1,"")</f>
        <v/>
      </c>
      <c r="W19">
        <f>IF(V19="","",IF(V19&lt;=$Z$1,0,MAX(1,INT((V19-$Z$2)/4)+1)))</f>
        <v/>
      </c>
      <c r="X19">
        <f>IF(U19="All",1,IF(U19="Bear+Base",IF($Z$3&gt;=2,1,0),IF(U19="Bear only",IF($Z$3&gt;=3,1,0),0)))</f>
        <v/>
      </c>
    </row>
    <row r="20" ht="14.4" customHeight="1">
      <c r="B20" s="38" t="inlineStr">
        <is>
          <t>ABSORPTION (5-mi)</t>
        </is>
      </c>
      <c r="C20" s="52" t="n">
        <v>1334</v>
      </c>
      <c r="D20" s="52" t="n">
        <v>1532</v>
      </c>
      <c r="E20" s="52" t="n">
        <v>736</v>
      </c>
      <c r="F20" s="52" t="n">
        <v>44</v>
      </c>
      <c r="G20" s="52" t="n">
        <v>852</v>
      </c>
      <c r="H20" s="52" t="n">
        <v>1144</v>
      </c>
      <c r="I20" s="52" t="n">
        <v>585</v>
      </c>
      <c r="J20" s="53">
        <f>J31-I31</f>
        <v/>
      </c>
      <c r="K20" s="53">
        <f>K31-J31</f>
        <v/>
      </c>
      <c r="L20" s="53">
        <f>L31-K31</f>
        <v/>
      </c>
      <c r="M20" s="53">
        <f>M31-L31</f>
        <v/>
      </c>
      <c r="N20" s="53">
        <f>N31-M31</f>
        <v/>
      </c>
      <c r="O20" s="53">
        <f>O31-N31</f>
        <v/>
      </c>
      <c r="R20" s="43" t="inlineStr">
        <is>
          <t>Ascent Overland</t>
        </is>
      </c>
      <c r="S20" s="44" t="n">
        <v>138</v>
      </c>
      <c r="T20" s="48" t="inlineStr">
        <is>
          <t>Q1 2029</t>
        </is>
      </c>
      <c r="U20" s="48" t="inlineStr">
        <is>
          <t>Bear only</t>
        </is>
      </c>
      <c r="V20">
        <f>IFERROR(VALUE(RIGHT(T20,4))*4+MATCH(LEFT(T20,2),{"Q1","Q2","Q3","Q4"},0)-1,"")</f>
        <v/>
      </c>
      <c r="W20">
        <f>IF(V20="","",IF(V20&lt;=$Z$1,0,MAX(1,INT((V20-$Z$2)/4)+1)))</f>
        <v/>
      </c>
      <c r="X20">
        <f>IF(U20="All",1,IF(U20="Bear+Base",IF($Z$3&gt;=2,1,0),IF(U20="Bear only",IF($Z$3&gt;=3,1,0),0)))</f>
        <v/>
      </c>
    </row>
    <row r="21" ht="14.4" customHeight="1">
      <c r="B21" s="38" t="inlineStr">
        <is>
          <t>OCCUPANCY (5-mi)</t>
        </is>
      </c>
      <c r="C21" s="54" t="n">
        <v>0.9350000000000001</v>
      </c>
      <c r="D21" s="54" t="n">
        <v>0.9399999999999999</v>
      </c>
      <c r="E21" s="54" t="n">
        <v>0.953</v>
      </c>
      <c r="F21" s="54" t="n">
        <v>0.865</v>
      </c>
      <c r="G21" s="54" t="n">
        <v>0.861</v>
      </c>
      <c r="H21" s="54" t="n">
        <v>0.914</v>
      </c>
      <c r="I21" s="54">
        <f>IFERROR(I31/I30,"")</f>
        <v/>
      </c>
      <c r="J21" s="55">
        <f>IFERROR(J31/J30,0)</f>
        <v/>
      </c>
      <c r="K21" s="55">
        <f>IFERROR(K31/K30,0)</f>
        <v/>
      </c>
      <c r="L21" s="55">
        <f>IFERROR(L31/L30,0)</f>
        <v/>
      </c>
      <c r="M21" s="55">
        <f>IFERROR(M31/M30,0)</f>
        <v/>
      </c>
      <c r="N21" s="55">
        <f>IFERROR(N31/N30,0)</f>
        <v/>
      </c>
      <c r="O21" s="55">
        <f>IFERROR(O31/O30,0)</f>
        <v/>
      </c>
      <c r="R21" s="43" t="inlineStr">
        <is>
          <t>The Cole Denton</t>
        </is>
      </c>
      <c r="S21" s="44" t="n">
        <v>136</v>
      </c>
      <c r="T21" s="48" t="inlineStr"/>
      <c r="U21" s="48" t="inlineStr">
        <is>
          <t>Bear only</t>
        </is>
      </c>
      <c r="V21">
        <f>IFERROR(VALUE(RIGHT(T21,4))*4+MATCH(LEFT(T21,2),{"Q1","Q2","Q3","Q4"},0)-1,"")</f>
        <v/>
      </c>
      <c r="W21">
        <f>IF(V21="","",IF(V21&lt;=$Z$1,0,MAX(1,INT((V21-$Z$2)/4)+1)))</f>
        <v/>
      </c>
      <c r="X21">
        <f>IF(U21="All",1,IF(U21="Bear+Base",IF($Z$3&gt;=2,1,0),IF(U21="Bear only",IF($Z$3&gt;=3,1,0),0)))</f>
        <v/>
      </c>
    </row>
    <row r="22" ht="14.4" customHeight="1">
      <c r="B22" s="38" t="inlineStr">
        <is>
          <t>SUBJECT (Seasons at Meridian)</t>
        </is>
      </c>
      <c r="R22" s="43" t="inlineStr">
        <is>
          <t>Meridian OZ Apartments</t>
        </is>
      </c>
      <c r="S22" s="44" t="n">
        <v>60</v>
      </c>
      <c r="T22" s="48" t="inlineStr"/>
      <c r="U22" s="48" t="inlineStr">
        <is>
          <t>Bear only</t>
        </is>
      </c>
      <c r="V22">
        <f>IFERROR(VALUE(RIGHT(T22,4))*4+MATCH(LEFT(T22,2),{"Q1","Q2","Q3","Q4"},0)-1,"")</f>
        <v/>
      </c>
      <c r="W22">
        <f>IF(V22="","",IF(V22&lt;=$Z$1,0,MAX(1,INT((V22-$Z$2)/4)+1)))</f>
        <v/>
      </c>
      <c r="X22">
        <f>IF(U22="All",1,IF(U22="Bear+Base",IF($Z$3&gt;=2,1,0),IF(U22="Bear only",IF($Z$3&gt;=3,1,0),0)))</f>
        <v/>
      </c>
    </row>
    <row r="23" ht="14.4" customHeight="1">
      <c r="B23" s="38" t="inlineStr">
        <is>
          <t xml:space="preserve">  Market Rent  (CoStar→HD)</t>
        </is>
      </c>
      <c r="C23" s="56" t="n">
        <v>1660</v>
      </c>
      <c r="D23" s="56" t="n">
        <v>1703</v>
      </c>
      <c r="E23" s="56" t="n">
        <v>1759</v>
      </c>
      <c r="F23" s="56" t="n">
        <v>1802</v>
      </c>
      <c r="G23" s="56" t="n">
        <v>1835</v>
      </c>
      <c r="H23" s="56" t="n">
        <v>1777</v>
      </c>
      <c r="I23" s="56">
        <f>IFERROR('Cash Flow (Annual)'!$F$4,1735)</f>
        <v/>
      </c>
      <c r="J23" s="57">
        <f>IFERROR('Cash Flow (Annual)'!$K$4,"")</f>
        <v/>
      </c>
      <c r="K23" s="57">
        <f>IFERROR('Cash Flow (Annual)'!$L$4,"")</f>
        <v/>
      </c>
      <c r="L23" s="57">
        <f>IFERROR('Cash Flow (Annual)'!$M$4,"")</f>
        <v/>
      </c>
      <c r="M23" s="57">
        <f>IFERROR('Cash Flow (Annual)'!$N$4,"")</f>
        <v/>
      </c>
      <c r="N23" s="57">
        <f>IFERROR('Cash Flow (Annual)'!$O$4,"")</f>
        <v/>
      </c>
      <c r="O23" s="57">
        <f>IFERROR('Cash Flow (Annual)'!$P$4,"")</f>
        <v/>
      </c>
    </row>
    <row r="24" ht="14.4" customHeight="1">
      <c r="B24" s="58" t="inlineStr">
        <is>
          <t xml:space="preserve">    Market Rent YoY %</t>
        </is>
      </c>
      <c r="C24" s="59" t="n"/>
      <c r="D24" s="59">
        <f>IFERROR(D23/C23-1,"")</f>
        <v/>
      </c>
      <c r="E24" s="59">
        <f>IFERROR(E23/D23-1,"")</f>
        <v/>
      </c>
      <c r="F24" s="59">
        <f>IFERROR(F23/E23-1,"")</f>
        <v/>
      </c>
      <c r="G24" s="59">
        <f>IFERROR(G23/F23-1,"")</f>
        <v/>
      </c>
      <c r="H24" s="59">
        <f>IFERROR(H23/G23-1,"")</f>
        <v/>
      </c>
      <c r="I24" s="59">
        <f>IFERROR(I23/H23-1,"")</f>
        <v/>
      </c>
      <c r="J24" s="60">
        <f>IFERROR(J23/I23-1,"")</f>
        <v/>
      </c>
      <c r="K24" s="60">
        <f>IFERROR(K23/J23-1,"")</f>
        <v/>
      </c>
      <c r="L24" s="60">
        <f>IFERROR(L23/K23-1,"")</f>
        <v/>
      </c>
      <c r="M24" s="60">
        <f>IFERROR(M23/L23-1,"")</f>
        <v/>
      </c>
      <c r="N24" s="60">
        <f>IFERROR(N23/M23-1,"")</f>
        <v/>
      </c>
      <c r="O24" s="60">
        <f>IFERROR(O23/N23-1,"")</f>
        <v/>
      </c>
    </row>
    <row r="25" ht="14.4" customHeight="1">
      <c r="B25" s="38" t="inlineStr">
        <is>
          <t xml:space="preserve">  Effective Rent</t>
        </is>
      </c>
      <c r="C25" s="56" t="n">
        <v>1643</v>
      </c>
      <c r="D25" s="56" t="n">
        <v>1691</v>
      </c>
      <c r="E25" s="56" t="n">
        <v>1742</v>
      </c>
      <c r="F25" s="56" t="n">
        <v>1785</v>
      </c>
      <c r="G25" s="56" t="n">
        <v>1835</v>
      </c>
      <c r="H25" s="56" t="n">
        <v>1619</v>
      </c>
      <c r="I25" s="56">
        <f>IFERROR('Cash Flow (Annual)'!$F$5,1578)</f>
        <v/>
      </c>
      <c r="J25" s="57">
        <f>IFERROR('Cash Flow (Annual)'!$K$5,"")</f>
        <v/>
      </c>
      <c r="K25" s="57">
        <f>IFERROR('Cash Flow (Annual)'!$L$5,"")</f>
        <v/>
      </c>
      <c r="L25" s="57">
        <f>IFERROR('Cash Flow (Annual)'!$M$5,"")</f>
        <v/>
      </c>
      <c r="M25" s="57">
        <f>IFERROR('Cash Flow (Annual)'!$N$5,"")</f>
        <v/>
      </c>
      <c r="N25" s="57">
        <f>IFERROR('Cash Flow (Annual)'!$O$5,"")</f>
        <v/>
      </c>
      <c r="O25" s="57">
        <f>IFERROR('Cash Flow (Annual)'!$P$5,"")</f>
        <v/>
      </c>
    </row>
    <row r="26" ht="14.4" customHeight="1">
      <c r="B26" s="58" t="inlineStr">
        <is>
          <t xml:space="preserve">    Effective Rent YoY %</t>
        </is>
      </c>
      <c r="C26" s="59" t="n"/>
      <c r="D26" s="59">
        <f>IFERROR(D25/C25-1,"")</f>
        <v/>
      </c>
      <c r="E26" s="59">
        <f>IFERROR(E25/D25-1,"")</f>
        <v/>
      </c>
      <c r="F26" s="59">
        <f>IFERROR(F25/E25-1,"")</f>
        <v/>
      </c>
      <c r="G26" s="59">
        <f>IFERROR(G25/F25-1,"")</f>
        <v/>
      </c>
      <c r="H26" s="59">
        <f>IFERROR(H25/G25-1,"")</f>
        <v/>
      </c>
      <c r="I26" s="59">
        <f>IFERROR(I25/H25-1,"")</f>
        <v/>
      </c>
      <c r="J26" s="60">
        <f>IFERROR(J25/I25-1,"")</f>
        <v/>
      </c>
      <c r="K26" s="60">
        <f>IFERROR(K25/J25-1,"")</f>
        <v/>
      </c>
      <c r="L26" s="60">
        <f>IFERROR(L25/K25-1,"")</f>
        <v/>
      </c>
      <c r="M26" s="60">
        <f>IFERROR(M25/L25-1,"")</f>
        <v/>
      </c>
      <c r="N26" s="60">
        <f>IFERROR(N25/M25-1,"")</f>
        <v/>
      </c>
      <c r="O26" s="60">
        <f>IFERROR(O25/N25-1,"")</f>
        <v/>
      </c>
    </row>
    <row r="27" ht="14.4" customHeight="1">
      <c r="B27" s="38" t="inlineStr">
        <is>
          <t xml:space="preserve">  Occupancy (financials / CoStar)</t>
        </is>
      </c>
      <c r="C27" s="61" t="n"/>
      <c r="D27" s="61" t="n"/>
      <c r="E27" s="61" t="n"/>
      <c r="F27" s="61" t="n"/>
      <c r="G27" s="61" t="n"/>
      <c r="H27" s="61" t="n">
        <v>0.5239428141342004</v>
      </c>
      <c r="I27" s="61">
        <f>IFERROR('Cash Flow (Annual)'!$F$14,0.8290265063352064)</f>
        <v/>
      </c>
      <c r="J27" s="62">
        <f>IFERROR('Cash Flow (Annual)'!$K$14,"")</f>
        <v/>
      </c>
      <c r="K27" s="62">
        <f>IFERROR('Cash Flow (Annual)'!$L$14,"")</f>
        <v/>
      </c>
      <c r="L27" s="62">
        <f>IFERROR('Cash Flow (Annual)'!$M$14,"")</f>
        <v/>
      </c>
      <c r="M27" s="62">
        <f>IFERROR('Cash Flow (Annual)'!$N$14,"")</f>
        <v/>
      </c>
      <c r="N27" s="62">
        <f>IFERROR('Cash Flow (Annual)'!$O$14,"")</f>
        <v/>
      </c>
      <c r="O27" s="62">
        <f>IFERROR('Cash Flow (Annual)'!$P$14,"")</f>
        <v/>
      </c>
    </row>
    <row r="28" ht="14.4" customHeight="1">
      <c r="B28" s="38" t="inlineStr">
        <is>
          <t xml:space="preserve">  Concession %</t>
        </is>
      </c>
      <c r="C28" s="61">
        <f>IFERROR((C23-C25)/C23,"")</f>
        <v/>
      </c>
      <c r="D28" s="61">
        <f>IFERROR((D23-D25)/D23,"")</f>
        <v/>
      </c>
      <c r="E28" s="61">
        <f>IFERROR((E23-E25)/E23,"")</f>
        <v/>
      </c>
      <c r="F28" s="61">
        <f>IFERROR((F23-F25)/F23,"")</f>
        <v/>
      </c>
      <c r="G28" s="61">
        <f>IFERROR((G23-G25)/G23,"")</f>
        <v/>
      </c>
      <c r="H28" s="61">
        <f>IFERROR((H23-H25)/H23,"")</f>
        <v/>
      </c>
      <c r="I28" s="61">
        <f>IFERROR((I23-I25)/I23,"")</f>
        <v/>
      </c>
      <c r="J28" s="62">
        <f>IFERROR((J23-J25)/J23,"")</f>
        <v/>
      </c>
      <c r="K28" s="62">
        <f>IFERROR((K23-K25)/K23,"")</f>
        <v/>
      </c>
      <c r="L28" s="62">
        <f>IFERROR((L23-L25)/L23,"")</f>
        <v/>
      </c>
      <c r="M28" s="62">
        <f>IFERROR((M23-M25)/M23,"")</f>
        <v/>
      </c>
      <c r="N28" s="62">
        <f>IFERROR((N23-N25)/N23,"")</f>
        <v/>
      </c>
      <c r="O28" s="62">
        <f>IFERROR((O23-O25)/O23,"")</f>
        <v/>
      </c>
    </row>
    <row r="29" ht="14.4" customHeight="1"/>
    <row r="30" hidden="1" ht="14.4" customHeight="1">
      <c r="B30" s="36" t="inlineStr">
        <is>
          <t xml:space="preserve">  inventory</t>
        </is>
      </c>
      <c r="C30" s="63" t="n">
        <v>9402</v>
      </c>
      <c r="D30" s="63" t="n">
        <v>10977</v>
      </c>
      <c r="E30" s="63" t="n">
        <v>11606</v>
      </c>
      <c r="F30" s="63" t="n">
        <v>12838</v>
      </c>
      <c r="G30" s="63" t="n">
        <v>13887</v>
      </c>
      <c r="H30" s="63" t="n">
        <v>14337</v>
      </c>
      <c r="I30" s="63">
        <f>H30+I19</f>
        <v/>
      </c>
      <c r="J30" s="63">
        <f>I30+J19</f>
        <v/>
      </c>
      <c r="K30" s="63">
        <f>J30+K19</f>
        <v/>
      </c>
      <c r="L30" s="63">
        <f>K30+L19</f>
        <v/>
      </c>
      <c r="M30" s="63">
        <f>L30+M19</f>
        <v/>
      </c>
      <c r="N30" s="63">
        <f>M30+N19</f>
        <v/>
      </c>
      <c r="O30" s="63">
        <f>N30+O19</f>
        <v/>
      </c>
    </row>
    <row r="31" hidden="1" ht="14.4" customHeight="1">
      <c r="B31" s="36" t="inlineStr">
        <is>
          <t xml:space="preserve">  occupied</t>
        </is>
      </c>
      <c r="C31" s="63" t="n">
        <v>8789</v>
      </c>
      <c r="D31" s="63" t="n">
        <v>10320</v>
      </c>
      <c r="E31" s="63" t="n">
        <v>11057</v>
      </c>
      <c r="F31" s="63" t="n">
        <v>11105</v>
      </c>
      <c r="G31" s="63" t="n">
        <v>11956</v>
      </c>
      <c r="H31" s="63" t="n">
        <v>13099</v>
      </c>
      <c r="I31" s="63">
        <f>H31+I20</f>
        <v/>
      </c>
      <c r="J31" s="63">
        <f>MIN($C$6*J30,I31+$C$11)</f>
        <v/>
      </c>
      <c r="K31" s="63">
        <f>MIN($C$6*K30,J31+$C$11)</f>
        <v/>
      </c>
      <c r="L31" s="63">
        <f>MIN($C$6*L30,K31+$C$11)</f>
        <v/>
      </c>
      <c r="M31" s="63">
        <f>MIN($C$6*M30,L31+$C$11)</f>
        <v/>
      </c>
      <c r="N31" s="63">
        <f>MIN($C$6*N30,M31+$C$11)</f>
        <v/>
      </c>
      <c r="O31" s="63">
        <f>MIN($C$6*O30,N31+$C$11)</f>
        <v/>
      </c>
    </row>
    <row r="32" ht="14.4" customHeight="1"/>
    <row r="33" ht="14.4" customHeight="1">
      <c r="B33" s="37" t="inlineStr">
        <is>
          <t>MARKET-RENT GROWTH — TMG vs 3RD-PARTY FORECAST</t>
        </is>
      </c>
      <c r="C33" s="64" t="n"/>
      <c r="D33" s="64" t="n"/>
      <c r="E33" s="64" t="n"/>
      <c r="F33" s="64" t="n"/>
      <c r="G33" s="64" t="n"/>
      <c r="H33" s="64" t="n"/>
      <c r="I33" s="64" t="n"/>
      <c r="J33" s="65" t="inlineStr">
        <is>
          <t>Y1</t>
        </is>
      </c>
      <c r="K33" s="65" t="inlineStr">
        <is>
          <t>Y2</t>
        </is>
      </c>
      <c r="L33" s="65" t="inlineStr">
        <is>
          <t>Y3</t>
        </is>
      </c>
      <c r="M33" s="65" t="inlineStr">
        <is>
          <t>Y4</t>
        </is>
      </c>
      <c r="N33" s="65" t="inlineStr">
        <is>
          <t>Y5</t>
        </is>
      </c>
      <c r="O33" s="65" t="inlineStr">
        <is>
          <t>Y6</t>
        </is>
      </c>
      <c r="P33" s="65" t="inlineStr">
        <is>
          <t>AVG</t>
        </is>
      </c>
    </row>
    <row r="34" ht="14.4" customHeight="1">
      <c r="B34" s="66" t="inlineStr">
        <is>
          <t xml:space="preserve">  CoStar</t>
        </is>
      </c>
      <c r="C34" s="67" t="n"/>
      <c r="D34" s="67" t="n"/>
      <c r="E34" s="67" t="n"/>
      <c r="F34" s="67" t="n"/>
      <c r="G34" s="67" t="n"/>
      <c r="H34" s="67" t="n"/>
      <c r="I34" s="67" t="n"/>
      <c r="J34" s="61">
        <f>IFERROR('Rent &amp; Occ Data'!$C$31,"")</f>
        <v/>
      </c>
      <c r="K34" s="61">
        <f>IFERROR('Rent &amp; Occ Data'!$D$31,"")</f>
        <v/>
      </c>
      <c r="L34" s="61">
        <f>IFERROR('Rent &amp; Occ Data'!$E$31,"")</f>
        <v/>
      </c>
      <c r="M34" s="61">
        <f>IFERROR('Rent &amp; Occ Data'!$F$31,"")</f>
        <v/>
      </c>
      <c r="N34" s="61">
        <f>IFERROR('Rent &amp; Occ Data'!$G$31,"")</f>
        <v/>
      </c>
      <c r="O34" s="61">
        <f>IFERROR('Rent &amp; Occ Data'!$H$31,"")</f>
        <v/>
      </c>
      <c r="P34" s="61">
        <f>IFERROR(AVERAGE(J34:O34),"")</f>
        <v/>
      </c>
    </row>
    <row r="35" ht="14.4" customHeight="1">
      <c r="B35" s="66" t="inlineStr">
        <is>
          <t xml:space="preserve">  RealPage</t>
        </is>
      </c>
      <c r="C35" s="67" t="n"/>
      <c r="D35" s="67" t="n"/>
      <c r="E35" s="67" t="n"/>
      <c r="F35" s="67" t="n"/>
      <c r="G35" s="67" t="n"/>
      <c r="H35" s="67" t="n"/>
      <c r="I35" s="67" t="n"/>
      <c r="J35" s="61">
        <f>IFERROR('Rent &amp; Occ Data'!$C$32,"")</f>
        <v/>
      </c>
      <c r="K35" s="61">
        <f>IFERROR('Rent &amp; Occ Data'!$D$32,"")</f>
        <v/>
      </c>
      <c r="L35" s="61">
        <f>IFERROR('Rent &amp; Occ Data'!$E$32,"")</f>
        <v/>
      </c>
      <c r="M35" s="61">
        <f>IFERROR('Rent &amp; Occ Data'!$F$32,"")</f>
        <v/>
      </c>
      <c r="N35" s="61">
        <f>IFERROR('Rent &amp; Occ Data'!$G$32,"")</f>
        <v/>
      </c>
      <c r="O35" s="61">
        <f>IFERROR('Rent &amp; Occ Data'!$H$32,"")</f>
        <v/>
      </c>
      <c r="P35" s="61">
        <f>IFERROR(AVERAGE(J35:O35),"")</f>
        <v/>
      </c>
    </row>
    <row r="36" ht="14.4" customHeight="1">
      <c r="B36" s="66" t="inlineStr">
        <is>
          <t xml:space="preserve">  Yardi</t>
        </is>
      </c>
      <c r="C36" s="67" t="n"/>
      <c r="D36" s="67" t="n"/>
      <c r="E36" s="67" t="n"/>
      <c r="F36" s="67" t="n"/>
      <c r="G36" s="67" t="n"/>
      <c r="H36" s="67" t="n"/>
      <c r="I36" s="67" t="n"/>
      <c r="J36" s="61">
        <f>IFERROR('Rent &amp; Occ Data'!$C$33,"")</f>
        <v/>
      </c>
      <c r="K36" s="61">
        <f>IFERROR('Rent &amp; Occ Data'!$D$33,"")</f>
        <v/>
      </c>
      <c r="L36" s="61">
        <f>IFERROR('Rent &amp; Occ Data'!$E$33,"")</f>
        <v/>
      </c>
      <c r="M36" s="61">
        <f>IFERROR('Rent &amp; Occ Data'!$F$33,"")</f>
        <v/>
      </c>
      <c r="N36" s="61">
        <f>IFERROR('Rent &amp; Occ Data'!$G$33,"")</f>
        <v/>
      </c>
      <c r="O36" s="61">
        <f>IFERROR('Rent &amp; Occ Data'!$H$33,"")</f>
        <v/>
      </c>
      <c r="P36" s="61">
        <f>IFERROR(AVERAGE(J36:O36),"")</f>
        <v/>
      </c>
    </row>
    <row r="37" ht="14.4" customHeight="1">
      <c r="B37" s="66" t="inlineStr">
        <is>
          <t xml:space="preserve">  GreenStreet</t>
        </is>
      </c>
      <c r="C37" s="67" t="n"/>
      <c r="D37" s="67" t="n"/>
      <c r="E37" s="67" t="n"/>
      <c r="F37" s="67" t="n"/>
      <c r="G37" s="67" t="n"/>
      <c r="H37" s="67" t="n"/>
      <c r="I37" s="67" t="n"/>
      <c r="J37" s="61">
        <f>IFERROR('Rent &amp; Occ Data'!$C$34,"")</f>
        <v/>
      </c>
      <c r="K37" s="61">
        <f>IFERROR('Rent &amp; Occ Data'!$D$34,"")</f>
        <v/>
      </c>
      <c r="L37" s="61">
        <f>IFERROR('Rent &amp; Occ Data'!$E$34,"")</f>
        <v/>
      </c>
      <c r="M37" s="61">
        <f>IFERROR('Rent &amp; Occ Data'!$F$34,"")</f>
        <v/>
      </c>
      <c r="N37" s="61">
        <f>IFERROR('Rent &amp; Occ Data'!$G$34,"")</f>
        <v/>
      </c>
      <c r="O37" s="61">
        <f>IFERROR('Rent &amp; Occ Data'!$H$34,"")</f>
        <v/>
      </c>
      <c r="P37" s="61">
        <f>IFERROR(AVERAGE(J37:O37),"")</f>
        <v/>
      </c>
    </row>
    <row r="38" ht="14.4" customHeight="1">
      <c r="B38" s="68" t="inlineStr">
        <is>
          <t xml:space="preserve">  Consensus (4-source avg)</t>
        </is>
      </c>
      <c r="C38" s="69" t="n"/>
      <c r="D38" s="69" t="n"/>
      <c r="E38" s="69" t="n"/>
      <c r="F38" s="69" t="n"/>
      <c r="G38" s="69" t="n"/>
      <c r="H38" s="69" t="n"/>
      <c r="I38" s="69" t="n"/>
      <c r="J38" s="70">
        <f>IFERROR(AVERAGE(J34:J37),"")</f>
        <v/>
      </c>
      <c r="K38" s="70">
        <f>IFERROR(AVERAGE(K34:K37),"")</f>
        <v/>
      </c>
      <c r="L38" s="70">
        <f>IFERROR(AVERAGE(L34:L37),"")</f>
        <v/>
      </c>
      <c r="M38" s="70">
        <f>IFERROR(AVERAGE(M34:M37),"")</f>
        <v/>
      </c>
      <c r="N38" s="70">
        <f>IFERROR(AVERAGE(N34:N37),"")</f>
        <v/>
      </c>
      <c r="O38" s="70">
        <f>IFERROR(AVERAGE(O34:O37),"")</f>
        <v/>
      </c>
      <c r="P38" s="70">
        <f>IFERROR(AVERAGE(P34:P37),"")</f>
        <v/>
      </c>
    </row>
    <row r="39" ht="14.4" customHeight="1">
      <c r="B39" s="71" t="inlineStr">
        <is>
          <t xml:space="preserve">  TMG — our market-rent growth  ◄</t>
        </is>
      </c>
      <c r="C39" s="72" t="n"/>
      <c r="D39" s="72" t="n"/>
      <c r="E39" s="72" t="n"/>
      <c r="F39" s="72" t="n"/>
      <c r="G39" s="72" t="n"/>
      <c r="H39" s="72" t="n"/>
      <c r="I39" s="72" t="n"/>
      <c r="J39" s="73">
        <f>IFERROR(J24,"")</f>
        <v/>
      </c>
      <c r="K39" s="73">
        <f>IFERROR(K24,"")</f>
        <v/>
      </c>
      <c r="L39" s="73">
        <f>IFERROR(L24,"")</f>
        <v/>
      </c>
      <c r="M39" s="73">
        <f>IFERROR(M24,"")</f>
        <v/>
      </c>
      <c r="N39" s="73">
        <f>IFERROR(N24,"")</f>
        <v/>
      </c>
      <c r="O39" s="73">
        <f>IFERROR(O24,"")</f>
        <v/>
      </c>
      <c r="P39" s="73">
        <f>IFERROR(AVERAGE(J39:O39),"")</f>
        <v/>
      </c>
    </row>
    <row r="40" ht="14.4" customHeight="1"/>
    <row r="41" ht="14.4" customHeight="1">
      <c r="B41" s="74" t="inlineStr">
        <is>
          <t>▸ SCENARIO INPUTS — Bear / Base / Bull  (implied occupancy, rent-growth &amp; concession assumptions — click + to expand)</t>
        </is>
      </c>
    </row>
    <row r="42" hidden="1" outlineLevel="1" ht="14.4" customHeight="1">
      <c r="B42" s="38" t="inlineStr">
        <is>
          <t>IMPLIED 5-MI OCCUPANCY BY DEMAND SCENARIO</t>
        </is>
      </c>
      <c r="J42" s="75" t="inlineStr">
        <is>
          <t>Y1</t>
        </is>
      </c>
      <c r="K42" s="75" t="inlineStr">
        <is>
          <t>Y2</t>
        </is>
      </c>
      <c r="L42" s="75" t="inlineStr">
        <is>
          <t>Y3</t>
        </is>
      </c>
      <c r="M42" s="75" t="inlineStr">
        <is>
          <t>Y4</t>
        </is>
      </c>
      <c r="N42" s="75" t="inlineStr">
        <is>
          <t>Y5</t>
        </is>
      </c>
      <c r="O42" s="75" t="inlineStr">
        <is>
          <t>Y6</t>
        </is>
      </c>
    </row>
    <row r="43" hidden="1" outlineLevel="1" ht="14.4" customHeight="1">
      <c r="B43" s="38" t="inlineStr">
        <is>
          <t>Bear</t>
        </is>
      </c>
      <c r="J43" s="76">
        <f>MIN($C$6,($I$31+$C$8*1)/J30)</f>
        <v/>
      </c>
      <c r="K43" s="76">
        <f>MIN($C$6,($I$31+$C$8*2)/K30)</f>
        <v/>
      </c>
      <c r="L43" s="76">
        <f>MIN($C$6,($I$31+$C$8*3)/L30)</f>
        <v/>
      </c>
      <c r="M43" s="76">
        <f>MIN($C$6,($I$31+$C$8*4)/M30)</f>
        <v/>
      </c>
      <c r="N43" s="76">
        <f>MIN($C$6,($I$31+$C$8*5)/N30)</f>
        <v/>
      </c>
      <c r="O43" s="76">
        <f>MIN($C$6,($I$31+$C$8*6)/O30)</f>
        <v/>
      </c>
    </row>
    <row r="44" hidden="1" outlineLevel="1" ht="14.4" customHeight="1">
      <c r="B44" s="38" t="inlineStr">
        <is>
          <t>Base</t>
        </is>
      </c>
      <c r="J44" s="76">
        <f>MIN($C$6,($I$31+$C$9*1)/J30)</f>
        <v/>
      </c>
      <c r="K44" s="76">
        <f>MIN($C$6,($I$31+$C$9*2)/K30)</f>
        <v/>
      </c>
      <c r="L44" s="76">
        <f>MIN($C$6,($I$31+$C$9*3)/L30)</f>
        <v/>
      </c>
      <c r="M44" s="76">
        <f>MIN($C$6,($I$31+$C$9*4)/M30)</f>
        <v/>
      </c>
      <c r="N44" s="76">
        <f>MIN($C$6,($I$31+$C$9*5)/N30)</f>
        <v/>
      </c>
      <c r="O44" s="76">
        <f>MIN($C$6,($I$31+$C$9*6)/O30)</f>
        <v/>
      </c>
    </row>
    <row r="45" hidden="1" outlineLevel="1" ht="14.4" customHeight="1">
      <c r="B45" s="38" t="inlineStr">
        <is>
          <t>Bull</t>
        </is>
      </c>
      <c r="J45" s="76">
        <f>MIN($C$6,($I$31+$C$10*1)/J30)</f>
        <v/>
      </c>
      <c r="K45" s="76">
        <f>MIN($C$6,($I$31+$C$10*2)/K30)</f>
        <v/>
      </c>
      <c r="L45" s="76">
        <f>MIN($C$6,($I$31+$C$10*3)/L30)</f>
        <v/>
      </c>
      <c r="M45" s="76">
        <f>MIN($C$6,($I$31+$C$10*4)/M30)</f>
        <v/>
      </c>
      <c r="N45" s="76">
        <f>MIN($C$6,($I$31+$C$10*5)/N30)</f>
        <v/>
      </c>
      <c r="O45" s="76">
        <f>MIN($C$6,($I$31+$C$10*6)/O30)</f>
        <v/>
      </c>
    </row>
    <row r="46" hidden="1" outlineLevel="1" ht="14.4" customHeight="1"/>
    <row r="47" hidden="1" outlineLevel="1" ht="14.4" customHeight="1">
      <c r="B47" s="38" t="inlineStr">
        <is>
          <t>MARKET RENT GROWTH (editable assumptions)</t>
        </is>
      </c>
      <c r="J47" s="77" t="inlineStr">
        <is>
          <t>Y1</t>
        </is>
      </c>
      <c r="K47" s="77" t="inlineStr">
        <is>
          <t>Y2</t>
        </is>
      </c>
      <c r="L47" s="77" t="inlineStr">
        <is>
          <t>Y3</t>
        </is>
      </c>
      <c r="M47" s="77" t="inlineStr">
        <is>
          <t>Y4</t>
        </is>
      </c>
      <c r="N47" s="77" t="inlineStr">
        <is>
          <t>Y5</t>
        </is>
      </c>
      <c r="O47" s="77" t="inlineStr">
        <is>
          <t>Y6</t>
        </is>
      </c>
    </row>
    <row r="48" hidden="1" outlineLevel="1" ht="14.4" customHeight="1">
      <c r="B48" s="38" t="inlineStr">
        <is>
          <t>Bear</t>
        </is>
      </c>
      <c r="J48" s="78" t="n">
        <v>-0.0025</v>
      </c>
      <c r="K48" s="78" t="n">
        <v>0.0175</v>
      </c>
      <c r="L48" s="78" t="n">
        <v>0.0275</v>
      </c>
      <c r="M48" s="78" t="n">
        <v>0.0375</v>
      </c>
      <c r="N48" s="78" t="n">
        <v>0.0275</v>
      </c>
      <c r="O48" s="78" t="n">
        <v>0.0175</v>
      </c>
    </row>
    <row r="49" hidden="1" outlineLevel="1" ht="14.4" customHeight="1">
      <c r="B49" s="38" t="inlineStr">
        <is>
          <t>Base</t>
        </is>
      </c>
      <c r="J49" s="78" t="n">
        <v>0.01</v>
      </c>
      <c r="K49" s="78" t="n">
        <v>0.03</v>
      </c>
      <c r="L49" s="78" t="n">
        <v>0.04</v>
      </c>
      <c r="M49" s="78" t="n">
        <v>0.05</v>
      </c>
      <c r="N49" s="78" t="n">
        <v>0.04</v>
      </c>
      <c r="O49" s="78" t="n">
        <v>0.03</v>
      </c>
    </row>
    <row r="50" hidden="1" outlineLevel="1" ht="14.4" customHeight="1">
      <c r="B50" s="38" t="inlineStr">
        <is>
          <t>Bull</t>
        </is>
      </c>
      <c r="J50" s="78" t="n">
        <v>0.02</v>
      </c>
      <c r="K50" s="78" t="n">
        <v>0.04</v>
      </c>
      <c r="L50" s="78" t="n">
        <v>0.05</v>
      </c>
      <c r="M50" s="78" t="n">
        <v>0.06</v>
      </c>
      <c r="N50" s="78" t="n">
        <v>0.05</v>
      </c>
      <c r="O50" s="78" t="n">
        <v>0.04</v>
      </c>
    </row>
    <row r="51" hidden="1" outlineLevel="1" ht="14.4" customHeight="1">
      <c r="B51" s="38" t="inlineStr">
        <is>
          <t>CONCESSIONS % — forward assumption (editable)</t>
        </is>
      </c>
    </row>
    <row r="52" hidden="1" outlineLevel="1" ht="14.4" customHeight="1">
      <c r="B52" s="38" t="inlineStr">
        <is>
          <t>Bear</t>
        </is>
      </c>
      <c r="J52" s="78" t="n">
        <v>0.06</v>
      </c>
      <c r="K52" s="78" t="n">
        <v>0.045</v>
      </c>
      <c r="L52" s="78" t="n">
        <v>0.035</v>
      </c>
      <c r="M52" s="78" t="n">
        <v>0.035</v>
      </c>
      <c r="N52" s="78" t="n">
        <v>0.035</v>
      </c>
      <c r="O52" s="78" t="n">
        <v>0.035</v>
      </c>
    </row>
    <row r="53" hidden="1" outlineLevel="1" ht="14.4" customHeight="1">
      <c r="B53" s="38" t="inlineStr">
        <is>
          <t>Base</t>
        </is>
      </c>
      <c r="J53" s="78" t="n">
        <v>0.03</v>
      </c>
      <c r="K53" s="78" t="n">
        <v>0.015</v>
      </c>
      <c r="L53" s="78" t="n">
        <v>0.005</v>
      </c>
      <c r="M53" s="78" t="n">
        <v>0.005</v>
      </c>
      <c r="N53" s="78" t="n">
        <v>0.005</v>
      </c>
      <c r="O53" s="78" t="n">
        <v>0.005</v>
      </c>
    </row>
    <row r="54" hidden="1" outlineLevel="1" ht="14.4" customHeight="1">
      <c r="B54" s="38" t="inlineStr">
        <is>
          <t>Bull</t>
        </is>
      </c>
      <c r="J54" s="78" t="n">
        <v>0.02</v>
      </c>
      <c r="K54" s="78" t="n">
        <v>0.005</v>
      </c>
      <c r="L54" s="78" t="n">
        <v>0</v>
      </c>
      <c r="M54" s="78" t="n">
        <v>0</v>
      </c>
      <c r="N54" s="78" t="n">
        <v>0</v>
      </c>
      <c r="O54" s="78" t="n">
        <v>0</v>
      </c>
    </row>
    <row r="55" hidden="1" outlineLevel="1" ht="14.4" customHeight="1">
      <c r="B55" s="38" t="inlineStr">
        <is>
          <t>EFFECTIVE RENT GROWTH (derived)</t>
        </is>
      </c>
    </row>
    <row r="56" hidden="1" outlineLevel="1" ht="14.4" customHeight="1">
      <c r="B56" s="38" t="inlineStr">
        <is>
          <t>Bear</t>
        </is>
      </c>
      <c r="J56" s="76">
        <f>(1+J48)*(1-J52)-1</f>
        <v/>
      </c>
      <c r="K56" s="76">
        <f>(1+K48)*(1-K52)/(1-J52)-1</f>
        <v/>
      </c>
      <c r="L56" s="76">
        <f>(1+L48)*(1-L52)/(1-K52)-1</f>
        <v/>
      </c>
      <c r="M56" s="76">
        <f>(1+M48)*(1-M52)/(1-L52)-1</f>
        <v/>
      </c>
      <c r="N56" s="76">
        <f>(1+N48)*(1-N52)/(1-M52)-1</f>
        <v/>
      </c>
      <c r="O56" s="76">
        <f>(1+O48)*(1-O52)/(1-N52)-1</f>
        <v/>
      </c>
    </row>
    <row r="57" hidden="1" outlineLevel="1" ht="14.4" customHeight="1">
      <c r="B57" s="38" t="inlineStr">
        <is>
          <t>Base</t>
        </is>
      </c>
      <c r="J57" s="76">
        <f>(1+J49)*(1-J53)-1</f>
        <v/>
      </c>
      <c r="K57" s="76">
        <f>(1+K49)*(1-K53)/(1-J53)-1</f>
        <v/>
      </c>
      <c r="L57" s="76">
        <f>(1+L49)*(1-L53)/(1-K53)-1</f>
        <v/>
      </c>
      <c r="M57" s="76">
        <f>(1+M49)*(1-M53)/(1-L53)-1</f>
        <v/>
      </c>
      <c r="N57" s="76">
        <f>(1+N49)*(1-N53)/(1-M53)-1</f>
        <v/>
      </c>
      <c r="O57" s="76">
        <f>(1+O49)*(1-O53)/(1-N53)-1</f>
        <v/>
      </c>
    </row>
    <row r="58" hidden="1" outlineLevel="1" ht="14.4" customHeight="1">
      <c r="B58" s="38" t="inlineStr">
        <is>
          <t>Bull</t>
        </is>
      </c>
      <c r="J58" s="76">
        <f>(1+J50)*(1-J54)-1</f>
        <v/>
      </c>
      <c r="K58" s="76">
        <f>(1+K50)*(1-K54)/(1-J54)-1</f>
        <v/>
      </c>
      <c r="L58" s="76">
        <f>(1+L50)*(1-L54)/(1-K54)-1</f>
        <v/>
      </c>
      <c r="M58" s="76">
        <f>(1+M50)*(1-M54)/(1-L54)-1</f>
        <v/>
      </c>
      <c r="N58" s="76">
        <f>(1+N50)*(1-N54)/(1-M54)-1</f>
        <v/>
      </c>
      <c r="O58" s="76">
        <f>(1+O50)*(1-O54)/(1-N54)-1</f>
        <v/>
      </c>
    </row>
    <row r="59" ht="14.4" customHeight="1"/>
    <row r="60" ht="14.4" customHeight="1">
      <c r="B60" s="77" t="inlineStr">
        <is>
          <t>▸ DETAIL: subject rent source by year, delivered-units tie-out &amp; reconciliation (grouped — click + to expand)</t>
        </is>
      </c>
    </row>
    <row r="61" hidden="1" outlineLevel="1" ht="14.4" customHeight="1">
      <c r="B61" s="79" t="inlineStr">
        <is>
          <t xml:space="preserve">  -Y6  Q3 2019–Q2 2020</t>
        </is>
      </c>
      <c r="E61" s="79" t="inlineStr">
        <is>
          <t>CoStar</t>
        </is>
      </c>
    </row>
    <row r="62" hidden="1" outlineLevel="1" ht="14.4" customHeight="1">
      <c r="B62" s="79" t="inlineStr">
        <is>
          <t xml:space="preserve">  -Y5  Q3 2020–Q2 2021</t>
        </is>
      </c>
      <c r="E62" s="79" t="inlineStr">
        <is>
          <t>CoStar</t>
        </is>
      </c>
    </row>
    <row r="63" hidden="1" outlineLevel="1" ht="14.4" customHeight="1">
      <c r="B63" s="79" t="inlineStr">
        <is>
          <t xml:space="preserve">  -Y4  Q3 2021–Q2 2022</t>
        </is>
      </c>
      <c r="E63" s="79" t="inlineStr">
        <is>
          <t>CoStar</t>
        </is>
      </c>
    </row>
    <row r="64" hidden="1" outlineLevel="1" ht="14.4" customHeight="1">
      <c r="B64" s="79" t="inlineStr">
        <is>
          <t xml:space="preserve">  -Y3  Q3 2022–Q2 2023</t>
        </is>
      </c>
      <c r="E64" s="79" t="inlineStr">
        <is>
          <t>CoStar</t>
        </is>
      </c>
    </row>
    <row r="65" hidden="1" outlineLevel="1" ht="14.4" customHeight="1">
      <c r="B65" s="79" t="inlineStr">
        <is>
          <t xml:space="preserve">  -Y2  Q3 2023–Q2 2024</t>
        </is>
      </c>
      <c r="E65" s="79" t="inlineStr">
        <is>
          <t>CoStar</t>
        </is>
      </c>
    </row>
    <row r="66" hidden="1" outlineLevel="1" ht="14.4" customHeight="1">
      <c r="B66" s="79" t="inlineStr">
        <is>
          <t xml:space="preserve">  -Y1  Q3 2024–Q2 2025</t>
        </is>
      </c>
      <c r="E66" s="79" t="inlineStr">
        <is>
          <t>HD</t>
        </is>
      </c>
    </row>
    <row r="67" hidden="1" outlineLevel="1" ht="14.4" customHeight="1">
      <c r="B67" s="79" t="inlineStr">
        <is>
          <t xml:space="preserve">  Y0  Q3 2025–Q2 2026</t>
        </is>
      </c>
      <c r="E67" s="79" t="inlineStr">
        <is>
          <t>HD</t>
        </is>
      </c>
    </row>
    <row r="68" hidden="1" outlineLevel="1" ht="14.4" customHeight="1">
      <c r="B68" s="79" t="inlineStr">
        <is>
          <t xml:space="preserve">  UC scheduled vs CoStar UC</t>
        </is>
      </c>
      <c r="E68" s="79" t="inlineStr">
        <is>
          <t>716 / 552</t>
        </is>
      </c>
    </row>
    <row r="69" hidden="1" outlineLevel="1" ht="14.4" customHeight="1">
      <c r="B69" s="77" t="inlineStr">
        <is>
          <t xml:space="preserve">  Delivered units — roster vs CoStar 5-mi series:</t>
        </is>
      </c>
    </row>
    <row r="70" hidden="1" outlineLevel="1" ht="14.4" customHeight="1">
      <c r="B70" s="80" t="inlineStr">
        <is>
          <t xml:space="preserve">    -Y4: roster (CoStar-tracked) 275 vs CoStar 629   (+354 sub-50/unnamed; roster also carries +476 RealPage-only supply CoStar misses)</t>
        </is>
      </c>
    </row>
    <row r="71" hidden="1" outlineLevel="1" ht="14.4" customHeight="1">
      <c r="B71" s="36" t="inlineStr">
        <is>
          <t xml:space="preserve">    -Y3: roster (CoStar-tracked) 1,214 vs CoStar 1,232   (+18 sub-50/unnamed)</t>
        </is>
      </c>
    </row>
    <row r="72" hidden="1" outlineLevel="1" ht="14.4" customHeight="1">
      <c r="B72" s="36" t="inlineStr">
        <is>
          <t xml:space="preserve">    -Y2: roster (CoStar-tracked) 1,039 vs CoStar 1,049   (+10 sub-50/unnamed)</t>
        </is>
      </c>
    </row>
    <row r="73" hidden="1" outlineLevel="1" ht="14.4" customHeight="1">
      <c r="B73" s="36" t="inlineStr">
        <is>
          <t xml:space="preserve">    -Y1: roster (CoStar-tracked) 90 + subj 360 vs CoStar 450   (tie ✓)</t>
        </is>
      </c>
    </row>
    <row r="74" hidden="1" outlineLevel="1" ht="14.4" customHeight="1">
      <c r="B74" s="36" t="inlineStr">
        <is>
          <t xml:space="preserve">    Y0: roster (CoStar-tracked) 156 vs CoStar 156   (tie ✓; roster also carries +84 RealPage-only supply CoStar misses)</t>
        </is>
      </c>
    </row>
    <row r="75" hidden="1" outlineLevel="1" ht="14.4" customHeight="1">
      <c r="B75" s="36" t="inlineStr">
        <is>
          <t xml:space="preserve">  Newest CoStar row (2026 Q3 QTD) is partial (QTD) — excluded from TTM sums; Y0 anchors to the latest complete quarter.</t>
        </is>
      </c>
    </row>
    <row r="76" ht="14.4" customHeight="1"/>
    <row r="77" ht="14.4" customHeight="1"/>
  </sheetData>
  <mergeCells count="1">
    <mergeCell ref="B2:O2"/>
  </mergeCells>
  <dataValidations count="2">
    <dataValidation sqref="C7" showDropDown="0" showInputMessage="0" showErrorMessage="0" allowBlank="0" type="list">
      <formula1>"Bear,Base,Bull"</formula1>
    </dataValidation>
    <dataValidation sqref="U10 U11 U12 U13 U14 U15 U16 U17 U18 U19 U20 U21 U22" showDropDown="0" showInputMessage="0" showErrorMessage="0" allowBlank="1" type="list">
      <formula1>"Bear only,Bear+Base,All,None"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44" customWidth="1" min="16" max="16"/>
  </cols>
  <sheetData>
    <row r="1">
      <c r="A1" s="65" t="inlineStr">
        <is>
          <t>Property</t>
        </is>
      </c>
      <c r="B1" s="65" t="inlineStr">
        <is>
          <t>Address</t>
        </is>
      </c>
      <c r="C1" s="65" t="inlineStr">
        <is>
          <t>Units</t>
        </is>
      </c>
      <c r="D1" s="65" t="inlineStr">
        <is>
          <t>Year Built</t>
        </is>
      </c>
      <c r="E1" s="65" t="inlineStr">
        <is>
          <t>Est. Delivery</t>
        </is>
      </c>
      <c r="F1" s="65" t="inlineStr">
        <is>
          <t>Deliv. Source</t>
        </is>
      </c>
      <c r="G1" s="65" t="inlineStr">
        <is>
          <t>Bucket</t>
        </is>
      </c>
      <c r="H1" s="65" t="inlineStr">
        <is>
          <t>CoStar Occ</t>
        </is>
      </c>
      <c r="I1" s="65" t="inlineStr">
        <is>
          <t>RealPage Occ</t>
        </is>
      </c>
      <c r="J1" s="65" t="inlineStr">
        <is>
          <t>HD Occ</t>
        </is>
      </c>
      <c r="K1" s="65" t="inlineStr">
        <is>
          <t>CoStar Ask Rent</t>
        </is>
      </c>
      <c r="L1" s="65" t="inlineStr">
        <is>
          <t>RealPage Eff Rent</t>
        </is>
      </c>
      <c r="M1" s="65" t="inlineStr">
        <is>
          <t>HD Ask (mix-wtd)</t>
        </is>
      </c>
      <c r="N1" s="65" t="inlineStr">
        <is>
          <t>HD Eff (mix-wtd)</t>
        </is>
      </c>
      <c r="O1" s="65" t="inlineStr">
        <is>
          <t>Sources</t>
        </is>
      </c>
      <c r="P1" s="65" t="inlineStr">
        <is>
          <t>Notes</t>
        </is>
      </c>
    </row>
    <row r="2">
      <c r="A2" t="inlineStr">
        <is>
          <t>Springtree Apartments</t>
        </is>
      </c>
      <c r="B2" t="inlineStr">
        <is>
          <t>121 S Springtree Ln</t>
        </is>
      </c>
      <c r="C2" t="n">
        <v>42</v>
      </c>
      <c r="D2" t="n">
        <v>2024</v>
      </c>
      <c r="E2" t="inlineStr">
        <is>
          <t>Q4 2024</t>
        </is>
      </c>
      <c r="F2" t="inlineStr">
        <is>
          <t>CoStar property analytics</t>
        </is>
      </c>
      <c r="G2" t="inlineStr">
        <is>
          <t>STABILIZED / STABILIZING</t>
        </is>
      </c>
      <c r="H2" s="81" t="n">
        <v>0.952381</v>
      </c>
      <c r="I2" s="81" t="n"/>
      <c r="J2" s="81" t="n"/>
      <c r="K2" s="82" t="n">
        <v>1514</v>
      </c>
      <c r="L2" s="82" t="n"/>
      <c r="M2" s="82" t="n"/>
      <c r="N2" s="82" t="n"/>
      <c r="O2" t="inlineStr">
        <is>
          <t>CoStar</t>
        </is>
      </c>
      <c r="P2" t="inlineStr"/>
    </row>
    <row r="3">
      <c r="A3" t="inlineStr">
        <is>
          <t>The Aren</t>
        </is>
      </c>
      <c r="B3" t="inlineStr">
        <is>
          <t>1066 S Silverstone Way</t>
        </is>
      </c>
      <c r="C3" t="n">
        <v>396</v>
      </c>
      <c r="D3" t="n">
        <v>2024</v>
      </c>
      <c r="E3" t="inlineStr">
        <is>
          <t>Q2 2024</t>
        </is>
      </c>
      <c r="F3" t="inlineStr">
        <is>
          <t>CoStar property analytics</t>
        </is>
      </c>
      <c r="G3" t="inlineStr">
        <is>
          <t>STABILIZED / STABILIZING</t>
        </is>
      </c>
      <c r="H3" s="81" t="n">
        <v>0.969697</v>
      </c>
      <c r="I3" s="81" t="n">
        <v>0.998</v>
      </c>
      <c r="J3" s="81" t="n"/>
      <c r="K3" s="82" t="n">
        <v>1762</v>
      </c>
      <c r="L3" s="82" t="n">
        <v>1841</v>
      </c>
      <c r="M3" s="82" t="n">
        <v>1739.209026472431</v>
      </c>
      <c r="N3" s="82" t="n">
        <v>1663.812235275689</v>
      </c>
      <c r="O3" t="inlineStr">
        <is>
          <t>CoStar+RealPage</t>
        </is>
      </c>
      <c r="P3" t="inlineStr">
        <is>
          <t>Year built: 2024/2025; Occ: CoStar 97% vs RealPage 100%</t>
        </is>
      </c>
    </row>
    <row r="4">
      <c r="A4" t="inlineStr">
        <is>
          <t>Viera at Pinnacle</t>
        </is>
      </c>
      <c r="B4" t="inlineStr">
        <is>
          <t>6269 S Aspiration Ave</t>
        </is>
      </c>
      <c r="C4" t="n">
        <v>56</v>
      </c>
      <c r="D4" t="n">
        <v>2024</v>
      </c>
      <c r="E4" t="inlineStr">
        <is>
          <t>Q1 2024</t>
        </is>
      </c>
      <c r="F4" t="inlineStr">
        <is>
          <t>CoStar property analytics</t>
        </is>
      </c>
      <c r="G4" t="inlineStr">
        <is>
          <t>STABILIZED / STABILIZING</t>
        </is>
      </c>
      <c r="H4" s="81" t="n">
        <v>1</v>
      </c>
      <c r="I4" s="81" t="n"/>
      <c r="J4" s="81" t="n"/>
      <c r="K4" s="82" t="n">
        <v>2595</v>
      </c>
      <c r="L4" s="82" t="n"/>
      <c r="M4" s="82" t="n">
        <v>2489.375</v>
      </c>
      <c r="N4" s="82" t="n">
        <v>2395.895833333333</v>
      </c>
      <c r="O4" t="inlineStr">
        <is>
          <t>CoStar</t>
        </is>
      </c>
      <c r="P4" t="inlineStr"/>
    </row>
    <row r="5">
      <c r="A5" t="inlineStr">
        <is>
          <t>Movado Village</t>
        </is>
      </c>
      <c r="B5" t="inlineStr">
        <is>
          <t>1711 S Movado Way</t>
        </is>
      </c>
      <c r="C5" t="n">
        <v>60</v>
      </c>
      <c r="D5" t="n">
        <v>2024</v>
      </c>
      <c r="E5" t="inlineStr">
        <is>
          <t>Q1 2024</t>
        </is>
      </c>
      <c r="F5" t="inlineStr">
        <is>
          <t>CoStar property analytics</t>
        </is>
      </c>
      <c r="G5" t="inlineStr">
        <is>
          <t>STABILIZED / STABILIZING</t>
        </is>
      </c>
      <c r="H5" s="81" t="n">
        <v>0.933333</v>
      </c>
      <c r="I5" s="81" t="n"/>
      <c r="J5" s="81" t="n"/>
      <c r="K5" s="82" t="n">
        <v>2070</v>
      </c>
      <c r="L5" s="82" t="n"/>
      <c r="M5" s="82" t="n">
        <v>1995</v>
      </c>
      <c r="N5" s="82" t="n">
        <v>1995</v>
      </c>
      <c r="O5" t="inlineStr">
        <is>
          <t>CoStar</t>
        </is>
      </c>
      <c r="P5" t="inlineStr"/>
    </row>
    <row r="6">
      <c r="A6" t="inlineStr">
        <is>
          <t>Telluride</t>
        </is>
      </c>
      <c r="B6" t="inlineStr">
        <is>
          <t>597 N Maple Grove Rd</t>
        </is>
      </c>
      <c r="C6" t="n">
        <v>102</v>
      </c>
      <c r="D6" t="n">
        <v>2023</v>
      </c>
      <c r="E6" t="inlineStr">
        <is>
          <t>Q2 2023</t>
        </is>
      </c>
      <c r="F6" t="inlineStr">
        <is>
          <t>CoStar property analytics</t>
        </is>
      </c>
      <c r="G6" t="inlineStr">
        <is>
          <t>STABILIZED / STABILIZING</t>
        </is>
      </c>
      <c r="H6" s="81" t="n">
        <v>0.990196</v>
      </c>
      <c r="I6" s="81" t="n"/>
      <c r="J6" s="81" t="n"/>
      <c r="K6" s="82" t="n">
        <v>1898</v>
      </c>
      <c r="L6" s="82" t="n"/>
      <c r="M6" s="82" t="n">
        <v>1884.446808510638</v>
      </c>
      <c r="N6" s="82" t="n">
        <v>1884.446808510638</v>
      </c>
      <c r="O6" t="inlineStr">
        <is>
          <t>CoStar</t>
        </is>
      </c>
      <c r="P6" t="inlineStr"/>
    </row>
    <row r="7">
      <c r="A7" t="inlineStr">
        <is>
          <t>Altair</t>
        </is>
      </c>
      <c r="B7" t="inlineStr">
        <is>
          <t>2743 W Peak Cloud Ln</t>
        </is>
      </c>
      <c r="C7" t="n">
        <v>240</v>
      </c>
      <c r="D7" t="n">
        <v>2023</v>
      </c>
      <c r="E7" t="inlineStr">
        <is>
          <t>Q2 2023</t>
        </is>
      </c>
      <c r="F7" t="inlineStr">
        <is>
          <t>CoStar property analytics</t>
        </is>
      </c>
      <c r="G7" t="inlineStr">
        <is>
          <t>STABILIZED / STABILIZING</t>
        </is>
      </c>
      <c r="H7" s="81" t="n">
        <v>0.945833</v>
      </c>
      <c r="I7" s="81" t="n">
        <v>0.996</v>
      </c>
      <c r="J7" s="81" t="n"/>
      <c r="K7" s="82" t="n">
        <v>1689</v>
      </c>
      <c r="L7" s="82" t="n">
        <v>1754</v>
      </c>
      <c r="M7" s="82" t="n">
        <v>1624.407772304324</v>
      </c>
      <c r="N7" s="82" t="n">
        <v>1573.192255062945</v>
      </c>
      <c r="O7" t="inlineStr">
        <is>
          <t>CoStar+RealPage</t>
        </is>
      </c>
      <c r="P7" t="inlineStr">
        <is>
          <t>Occ: CoStar 95% vs RealPage 100%</t>
        </is>
      </c>
    </row>
    <row r="8">
      <c r="A8" t="inlineStr">
        <is>
          <t>Dovetail</t>
        </is>
      </c>
      <c r="B8" t="inlineStr">
        <is>
          <t>1350 N Webb Way</t>
        </is>
      </c>
      <c r="C8" t="n">
        <v>240</v>
      </c>
      <c r="D8" t="n">
        <v>2023</v>
      </c>
      <c r="E8" t="inlineStr">
        <is>
          <t>Q2 2023</t>
        </is>
      </c>
      <c r="F8" t="inlineStr">
        <is>
          <t>CoStar property analytics</t>
        </is>
      </c>
      <c r="G8" t="inlineStr">
        <is>
          <t>STABILIZED / STABILIZING</t>
        </is>
      </c>
      <c r="H8" s="81" t="n">
        <v>0.958333</v>
      </c>
      <c r="I8" s="81" t="n">
        <v>0.992</v>
      </c>
      <c r="J8" s="81" t="n"/>
      <c r="K8" s="82" t="n">
        <v>1832</v>
      </c>
      <c r="L8" s="82" t="n">
        <v>1856</v>
      </c>
      <c r="M8" s="82" t="n"/>
      <c r="N8" s="82" t="n"/>
      <c r="O8" t="inlineStr">
        <is>
          <t>CoStar+RealPage</t>
        </is>
      </c>
      <c r="P8" t="inlineStr">
        <is>
          <t>Units: CoStar 240 vs RealPage 480; Year built: 2020/2023; Occ: CoStar 96% vs RealPage 99%</t>
        </is>
      </c>
    </row>
    <row r="9">
      <c r="A9" t="inlineStr">
        <is>
          <t>Yellowstone Apartments</t>
        </is>
      </c>
      <c r="B9" t="inlineStr">
        <is>
          <t>3500 West Pine Avenue</t>
        </is>
      </c>
      <c r="C9" t="n">
        <v>216</v>
      </c>
      <c r="D9" t="n">
        <v>2023</v>
      </c>
      <c r="E9" t="inlineStr">
        <is>
          <t>Q2 2023</t>
        </is>
      </c>
      <c r="F9" t="inlineStr">
        <is>
          <t>CoStar property analytics</t>
        </is>
      </c>
      <c r="G9" t="inlineStr">
        <is>
          <t>STABILIZED / STABILIZING</t>
        </is>
      </c>
      <c r="H9" s="81" t="n">
        <v>0.763889</v>
      </c>
      <c r="I9" s="81" t="n">
        <v>0.944</v>
      </c>
      <c r="J9" s="81" t="n"/>
      <c r="K9" s="82" t="n">
        <v>1707</v>
      </c>
      <c r="L9" s="82" t="n">
        <v>1691</v>
      </c>
      <c r="M9" s="82" t="n">
        <v>1735.469387755102</v>
      </c>
      <c r="N9" s="82" t="n">
        <v>1735.469387755102</v>
      </c>
      <c r="O9" t="inlineStr">
        <is>
          <t>CoStar+RealPage</t>
        </is>
      </c>
      <c r="P9" t="inlineStr">
        <is>
          <t>Year built: 2023/2025; Occ: CoStar 76% vs RealPage 94%</t>
        </is>
      </c>
    </row>
    <row r="10">
      <c r="A10" t="inlineStr">
        <is>
          <t>Alante Homes at Hazelwood</t>
        </is>
      </c>
      <c r="B10" t="inlineStr">
        <is>
          <t>6222 S Gloriosa Ln</t>
        </is>
      </c>
      <c r="C10" t="n">
        <v>32</v>
      </c>
      <c r="D10" t="n">
        <v>2023</v>
      </c>
      <c r="E10" t="inlineStr">
        <is>
          <t>Q1 2023</t>
        </is>
      </c>
      <c r="F10" t="inlineStr">
        <is>
          <t>CoStar property analytics</t>
        </is>
      </c>
      <c r="G10" t="inlineStr">
        <is>
          <t>STABILIZED / STABILIZING</t>
        </is>
      </c>
      <c r="H10" s="81" t="n">
        <v>0.96875</v>
      </c>
      <c r="I10" s="81" t="n"/>
      <c r="J10" s="81" t="n"/>
      <c r="K10" s="82" t="n">
        <v>2276</v>
      </c>
      <c r="L10" s="82" t="n"/>
      <c r="M10" s="82" t="n"/>
      <c r="N10" s="82" t="n"/>
      <c r="O10" t="inlineStr">
        <is>
          <t>CoStar</t>
        </is>
      </c>
      <c r="P10" t="inlineStr"/>
    </row>
    <row r="11">
      <c r="A11" t="inlineStr">
        <is>
          <t>Modern Craftsman Ten Mile</t>
        </is>
      </c>
      <c r="B11" t="inlineStr">
        <is>
          <t>3233 W Littleton Ln</t>
        </is>
      </c>
      <c r="C11" t="n">
        <v>135</v>
      </c>
      <c r="D11" t="n">
        <v>2023</v>
      </c>
      <c r="E11" t="inlineStr">
        <is>
          <t>Q1 2023</t>
        </is>
      </c>
      <c r="F11" t="inlineStr">
        <is>
          <t>CoStar property analytics</t>
        </is>
      </c>
      <c r="G11" t="inlineStr">
        <is>
          <t>STABILIZED / STABILIZING</t>
        </is>
      </c>
      <c r="H11" s="81" t="n">
        <v>0.948148</v>
      </c>
      <c r="I11" s="81" t="n">
        <v>0.993</v>
      </c>
      <c r="J11" s="81" t="n"/>
      <c r="K11" s="82" t="n">
        <v>2229</v>
      </c>
      <c r="L11" s="82" t="n">
        <v>2243</v>
      </c>
      <c r="M11" s="82" t="n">
        <v>2164.319806763285</v>
      </c>
      <c r="N11" s="82" t="n">
        <v>2140.342028985508</v>
      </c>
      <c r="O11" t="inlineStr">
        <is>
          <t>CoStar+RealPage</t>
        </is>
      </c>
      <c r="P11" t="inlineStr">
        <is>
          <t>Year built: 2022/2023; Occ: CoStar 95% vs RealPage 99%</t>
        </is>
      </c>
    </row>
    <row r="12">
      <c r="A12" t="inlineStr">
        <is>
          <t>WaterWalk Boise – Meridian</t>
        </is>
      </c>
      <c r="B12" t="inlineStr">
        <is>
          <t>88 n Olson Ave</t>
        </is>
      </c>
      <c r="C12" t="n">
        <v>38</v>
      </c>
      <c r="D12" t="n">
        <v>2023</v>
      </c>
      <c r="E12" t="inlineStr">
        <is>
          <t>Q1 2023</t>
        </is>
      </c>
      <c r="F12" t="inlineStr">
        <is>
          <t>CoStar property analytics</t>
        </is>
      </c>
      <c r="G12" t="inlineStr">
        <is>
          <t>STABILIZED / STABILIZING</t>
        </is>
      </c>
      <c r="H12" s="81" t="n">
        <v>0.947368</v>
      </c>
      <c r="I12" s="81" t="n"/>
      <c r="J12" s="81" t="n"/>
      <c r="K12" s="82" t="n">
        <v>1655</v>
      </c>
      <c r="L12" s="82" t="n"/>
      <c r="M12" s="82" t="n"/>
      <c r="N12" s="82" t="n"/>
      <c r="O12" t="inlineStr">
        <is>
          <t>CoStar</t>
        </is>
      </c>
      <c r="P12" t="inlineStr"/>
    </row>
    <row r="13">
      <c r="A13" t="inlineStr">
        <is>
          <t>The Prospect</t>
        </is>
      </c>
      <c r="B13" t="inlineStr">
        <is>
          <t>8002 W Overland Rd</t>
        </is>
      </c>
      <c r="C13" t="n">
        <v>91</v>
      </c>
      <c r="D13" t="n">
        <v>2022</v>
      </c>
      <c r="E13" t="inlineStr">
        <is>
          <t>Q4 2022</t>
        </is>
      </c>
      <c r="F13" t="inlineStr">
        <is>
          <t>CoStar property analytics</t>
        </is>
      </c>
      <c r="G13" t="inlineStr">
        <is>
          <t>STABILIZED / STABILIZING</t>
        </is>
      </c>
      <c r="H13" s="81" t="n">
        <v>0.989011</v>
      </c>
      <c r="I13" s="81" t="n"/>
      <c r="J13" s="81" t="n"/>
      <c r="K13" s="82" t="n">
        <v>1189</v>
      </c>
      <c r="L13" s="82" t="n"/>
      <c r="M13" s="82" t="n">
        <v>1165.555555555556</v>
      </c>
      <c r="N13" s="82" t="n">
        <v>1156.326599326599</v>
      </c>
      <c r="O13" t="inlineStr">
        <is>
          <t>CoStar</t>
        </is>
      </c>
      <c r="P13" t="inlineStr"/>
    </row>
    <row r="14">
      <c r="A14" t="inlineStr">
        <is>
          <t>Etheridge Lane</t>
        </is>
      </c>
      <c r="B14" t="inlineStr">
        <is>
          <t>1428 N Etheridge Ln</t>
        </is>
      </c>
      <c r="C14" t="n">
        <v>12</v>
      </c>
      <c r="D14" t="n">
        <v>2022</v>
      </c>
      <c r="E14" t="inlineStr">
        <is>
          <t>Q4 2022</t>
        </is>
      </c>
      <c r="F14" t="inlineStr">
        <is>
          <t>CoStar property analytics</t>
        </is>
      </c>
      <c r="G14" t="inlineStr">
        <is>
          <t>STABILIZED / STABILIZING</t>
        </is>
      </c>
      <c r="H14" s="81" t="n"/>
      <c r="I14" s="81" t="n"/>
      <c r="J14" s="81" t="n"/>
      <c r="K14" s="82" t="n"/>
      <c r="L14" s="82" t="n"/>
      <c r="M14" s="82" t="n"/>
      <c r="N14" s="82" t="n"/>
      <c r="O14" t="inlineStr">
        <is>
          <t>CoStar</t>
        </is>
      </c>
      <c r="P14" t="inlineStr"/>
    </row>
    <row r="15">
      <c r="A15" t="inlineStr">
        <is>
          <t>Old Town Lofts</t>
        </is>
      </c>
      <c r="B15" t="inlineStr">
        <is>
          <t>33 E Idaho Ave</t>
        </is>
      </c>
      <c r="C15" t="n">
        <v>102</v>
      </c>
      <c r="D15" t="n">
        <v>2022</v>
      </c>
      <c r="E15" t="inlineStr">
        <is>
          <t>Q3 2022</t>
        </is>
      </c>
      <c r="F15" t="inlineStr">
        <is>
          <t>CoStar property analytics</t>
        </is>
      </c>
      <c r="G15" t="inlineStr">
        <is>
          <t>STABILIZED / STABILIZING</t>
        </is>
      </c>
      <c r="H15" s="81" t="n">
        <v>0.990196</v>
      </c>
      <c r="I15" s="81" t="n">
        <v>0.99</v>
      </c>
      <c r="J15" s="81" t="n"/>
      <c r="K15" s="82" t="n">
        <v>1683</v>
      </c>
      <c r="L15" s="82" t="n">
        <v>1661</v>
      </c>
      <c r="M15" s="82" t="n">
        <v>1665.511627906977</v>
      </c>
      <c r="N15" s="82" t="n">
        <v>1665.511627906977</v>
      </c>
      <c r="O15" t="inlineStr">
        <is>
          <t>CoStar+RealPage</t>
        </is>
      </c>
      <c r="P15" t="inlineStr">
        <is>
          <t>Year built: 2022/2023</t>
        </is>
      </c>
    </row>
    <row r="16">
      <c r="A16" t="inlineStr">
        <is>
          <t>Lavender Village</t>
        </is>
      </c>
      <c r="B16" t="inlineStr">
        <is>
          <t>2607-2615 N Linda Vista Ln</t>
        </is>
      </c>
      <c r="C16" t="n">
        <v>6</v>
      </c>
      <c r="D16" t="n">
        <v>2022</v>
      </c>
      <c r="E16" t="inlineStr">
        <is>
          <t>Q3 2022</t>
        </is>
      </c>
      <c r="F16" t="inlineStr">
        <is>
          <t>CoStar property analytics</t>
        </is>
      </c>
      <c r="G16" t="inlineStr">
        <is>
          <t>STABILIZED / STABILIZING</t>
        </is>
      </c>
      <c r="H16" s="81" t="n"/>
      <c r="I16" s="81" t="n"/>
      <c r="J16" s="81" t="n"/>
      <c r="K16" s="82" t="n">
        <v>2110</v>
      </c>
      <c r="L16" s="82" t="n"/>
      <c r="M16" s="82" t="n">
        <v>1747.513661202186</v>
      </c>
      <c r="N16" s="82" t="n">
        <v>1747.513661202186</v>
      </c>
      <c r="O16" t="inlineStr">
        <is>
          <t>CoStar</t>
        </is>
      </c>
      <c r="P16" t="inlineStr">
        <is>
          <t>Rent: HD mix-wtd $1,748 vs CoStar ask $2,110</t>
        </is>
      </c>
    </row>
    <row r="17">
      <c r="A17" t="inlineStr">
        <is>
          <t>Meritage West</t>
        </is>
      </c>
      <c r="B17" t="inlineStr">
        <is>
          <t>13450 W Baldcypress St</t>
        </is>
      </c>
      <c r="C17" t="n">
        <v>83</v>
      </c>
      <c r="D17" t="n">
        <v>2022</v>
      </c>
      <c r="E17" t="inlineStr">
        <is>
          <t>Q2 2022</t>
        </is>
      </c>
      <c r="F17" t="inlineStr">
        <is>
          <t>CoStar property analytics</t>
        </is>
      </c>
      <c r="G17" t="inlineStr">
        <is>
          <t>STABILIZED / STABILIZING</t>
        </is>
      </c>
      <c r="H17" s="81" t="n">
        <v>0.9879520000000001</v>
      </c>
      <c r="I17" s="81" t="n">
        <v>0.976</v>
      </c>
      <c r="J17" s="81" t="n"/>
      <c r="K17" s="82" t="n">
        <v>1664</v>
      </c>
      <c r="L17" s="82" t="n">
        <v>1641</v>
      </c>
      <c r="M17" s="82" t="n">
        <v>1651.435028248588</v>
      </c>
      <c r="N17" s="82" t="n">
        <v>1651.435028248588</v>
      </c>
      <c r="O17" t="inlineStr">
        <is>
          <t>CoStar+RealPage</t>
        </is>
      </c>
      <c r="P17" t="inlineStr"/>
    </row>
    <row r="18">
      <c r="A18" t="inlineStr">
        <is>
          <t>Celebration Acres</t>
        </is>
      </c>
      <c r="B18" t="inlineStr">
        <is>
          <t>10881 W Florence Dr</t>
        </is>
      </c>
      <c r="C18" t="n">
        <v>28</v>
      </c>
      <c r="D18" t="n">
        <v>2022</v>
      </c>
      <c r="E18" t="inlineStr">
        <is>
          <t>Q2 2022</t>
        </is>
      </c>
      <c r="F18" t="inlineStr">
        <is>
          <t>CoStar property analytics</t>
        </is>
      </c>
      <c r="G18" t="inlineStr">
        <is>
          <t>STABILIZED / STABILIZING</t>
        </is>
      </c>
      <c r="H18" s="81" t="n">
        <v>0.964286</v>
      </c>
      <c r="I18" s="81" t="n"/>
      <c r="J18" s="81" t="n"/>
      <c r="K18" s="82" t="n"/>
      <c r="L18" s="82" t="n"/>
      <c r="M18" s="82" t="n"/>
      <c r="N18" s="82" t="n"/>
      <c r="O18" t="inlineStr">
        <is>
          <t>CoStar</t>
        </is>
      </c>
      <c r="P18" t="inlineStr"/>
    </row>
    <row r="19">
      <c r="A19" t="inlineStr">
        <is>
          <t>Ambleside Townhomes</t>
        </is>
      </c>
      <c r="B19" t="inlineStr">
        <is>
          <t>1890 N Shamrock Ave</t>
        </is>
      </c>
      <c r="C19" t="n">
        <v>67</v>
      </c>
      <c r="D19" t="n">
        <v>2022</v>
      </c>
      <c r="E19" t="inlineStr">
        <is>
          <t>Q2 2022</t>
        </is>
      </c>
      <c r="F19" t="inlineStr">
        <is>
          <t>CoStar property analytics</t>
        </is>
      </c>
      <c r="G19" t="inlineStr">
        <is>
          <t>STABILIZED / STABILIZING</t>
        </is>
      </c>
      <c r="H19" s="81" t="n">
        <v>0.970149</v>
      </c>
      <c r="I19" s="81" t="n"/>
      <c r="J19" s="81" t="n"/>
      <c r="K19" s="82" t="n">
        <v>2130</v>
      </c>
      <c r="L19" s="82" t="n"/>
      <c r="M19" s="82" t="n"/>
      <c r="N19" s="82" t="n"/>
      <c r="O19" t="inlineStr">
        <is>
          <t>CoStar</t>
        </is>
      </c>
      <c r="P19" t="inlineStr"/>
    </row>
    <row r="20">
      <c r="A20" t="inlineStr">
        <is>
          <t>Pine 43</t>
        </is>
      </c>
      <c r="B20" t="inlineStr">
        <is>
          <t>1301 N Meadowglen Ave</t>
        </is>
      </c>
      <c r="C20" t="n">
        <v>25</v>
      </c>
      <c r="D20" t="n">
        <v>2022</v>
      </c>
      <c r="E20" t="inlineStr">
        <is>
          <t>Q2 2022</t>
        </is>
      </c>
      <c r="F20" t="inlineStr">
        <is>
          <t>CoStar property analytics</t>
        </is>
      </c>
      <c r="G20" t="inlineStr">
        <is>
          <t>STABILIZED / STABILIZING</t>
        </is>
      </c>
      <c r="H20" s="81" t="n"/>
      <c r="I20" s="81" t="n"/>
      <c r="J20" s="81" t="n"/>
      <c r="K20" s="82" t="n">
        <v>2236</v>
      </c>
      <c r="L20" s="82" t="n"/>
      <c r="M20" s="82" t="n"/>
      <c r="N20" s="82" t="n"/>
      <c r="O20" t="inlineStr">
        <is>
          <t>CoStar</t>
        </is>
      </c>
      <c r="P20" t="inlineStr"/>
    </row>
    <row r="21">
      <c r="A21" t="inlineStr">
        <is>
          <t>South Ridge I</t>
        </is>
      </c>
      <c r="B21" t="inlineStr">
        <is>
          <t>1703 S Grand Frk Wy</t>
        </is>
      </c>
      <c r="C21" t="n">
        <v>476</v>
      </c>
      <c r="D21" t="n">
        <v>2022</v>
      </c>
      <c r="E21" t="inlineStr">
        <is>
          <t>Q2 2022</t>
        </is>
      </c>
      <c r="G21" t="inlineStr">
        <is>
          <t>STABILIZED / STABILIZING</t>
        </is>
      </c>
      <c r="H21" s="81" t="n"/>
      <c r="I21" s="81" t="n">
        <v>0.994</v>
      </c>
      <c r="J21" s="81" t="n"/>
      <c r="K21" s="82" t="n"/>
      <c r="L21" s="82" t="n">
        <v>1672</v>
      </c>
      <c r="M21" s="82" t="n"/>
      <c r="N21" s="82" t="n"/>
      <c r="O21" t="inlineStr">
        <is>
          <t>RealPage</t>
        </is>
      </c>
      <c r="P21" t="inlineStr">
        <is>
          <t>Delivery quarter estimated; RealPage-only — not in CoStar's 5-mi series</t>
        </is>
      </c>
    </row>
    <row r="22">
      <c r="A22" t="inlineStr">
        <is>
          <t>The Lost Rapid Townhomes</t>
        </is>
      </c>
      <c r="B22" t="inlineStr">
        <is>
          <t>3400 W Chinden Blvd</t>
        </is>
      </c>
      <c r="C22" t="n">
        <v>72</v>
      </c>
      <c r="D22" t="n">
        <v>2022</v>
      </c>
      <c r="E22" t="inlineStr">
        <is>
          <t>Q1 2022</t>
        </is>
      </c>
      <c r="F22" t="inlineStr">
        <is>
          <t>CoStar property analytics</t>
        </is>
      </c>
      <c r="G22" t="inlineStr">
        <is>
          <t>STABILIZED / STABILIZING</t>
        </is>
      </c>
      <c r="H22" s="81" t="n">
        <v>0.944444</v>
      </c>
      <c r="I22" s="81" t="n"/>
      <c r="J22" s="81" t="n"/>
      <c r="K22" s="82" t="n"/>
      <c r="L22" s="82" t="n"/>
      <c r="M22" s="82" t="n"/>
      <c r="N22" s="82" t="n"/>
      <c r="O22" t="inlineStr">
        <is>
          <t>CoStar</t>
        </is>
      </c>
      <c r="P22" t="inlineStr"/>
    </row>
    <row r="23">
      <c r="A23" t="inlineStr">
        <is>
          <t>Tauri Apartments</t>
        </is>
      </c>
      <c r="B23" t="inlineStr">
        <is>
          <t>12673 W Ashcreek St</t>
        </is>
      </c>
      <c r="C23" t="n">
        <v>156</v>
      </c>
      <c r="D23" t="n">
        <v>2026</v>
      </c>
      <c r="E23" t="inlineStr">
        <is>
          <t>Q2 2026</t>
        </is>
      </c>
      <c r="F23" t="inlineStr">
        <is>
          <t>CoStar property analytics</t>
        </is>
      </c>
      <c r="G23" t="inlineStr">
        <is>
          <t>LEASING UP</t>
        </is>
      </c>
      <c r="H23" s="81" t="n">
        <v>0.25</v>
      </c>
      <c r="I23" s="81" t="n">
        <v>0.18</v>
      </c>
      <c r="J23" s="81" t="n">
        <v>1</v>
      </c>
      <c r="K23" s="82" t="n">
        <v>1862</v>
      </c>
      <c r="L23" s="82" t="n">
        <v>1684</v>
      </c>
      <c r="M23" s="82" t="n">
        <v>1833.726076373041</v>
      </c>
      <c r="N23" s="82" t="n">
        <v>1813.154621177544</v>
      </c>
      <c r="O23" t="inlineStr">
        <is>
          <t>CoStar+RealPage</t>
        </is>
      </c>
      <c r="P23" t="inlineStr">
        <is>
          <t>Units: CoStar 156 vs RealPage 128; Year built: 2026/2027; Occ: CoStar 25% vs RealPage 18%; Rent: CoStar ask $1,862 vs RealPage eff $1,684; Occ: HD ~100% (CoStar/RP showed 25%); HD (90d): occ ~100% (units leased), ~20 leases/mo</t>
        </is>
      </c>
    </row>
    <row r="24">
      <c r="A24" t="inlineStr">
        <is>
          <t>Delano</t>
        </is>
      </c>
      <c r="B24" t="inlineStr">
        <is>
          <t>3858 N Centrepoint Way</t>
        </is>
      </c>
      <c r="C24" t="n">
        <v>84</v>
      </c>
      <c r="D24" t="n">
        <v>2026</v>
      </c>
      <c r="E24" t="inlineStr">
        <is>
          <t>Q2 2026</t>
        </is>
      </c>
      <c r="G24" t="inlineStr">
        <is>
          <t>LEASING UP</t>
        </is>
      </c>
      <c r="H24" s="81" t="n"/>
      <c r="I24" s="81" t="n">
        <v>0.452</v>
      </c>
      <c r="J24" s="81" t="n"/>
      <c r="K24" s="82" t="n"/>
      <c r="L24" s="82" t="n">
        <v>1491</v>
      </c>
      <c r="M24" s="82" t="n"/>
      <c r="N24" s="82" t="n"/>
      <c r="O24" t="inlineStr">
        <is>
          <t>RealPage</t>
        </is>
      </c>
      <c r="P24" t="inlineStr">
        <is>
          <t>Delivery quarter estimated; Verify rent/occ w/ HelloData; RealPage-only — not in CoStar's 5-mi series</t>
        </is>
      </c>
    </row>
    <row r="25">
      <c r="A25" t="inlineStr">
        <is>
          <t>Shamrock Apartments</t>
        </is>
      </c>
      <c r="B25" t="inlineStr">
        <is>
          <t>1590 N Shamrock St</t>
        </is>
      </c>
      <c r="C25" t="n">
        <v>48</v>
      </c>
      <c r="D25" t="n">
        <v>2025</v>
      </c>
      <c r="E25" t="inlineStr">
        <is>
          <t>Q2 2025</t>
        </is>
      </c>
      <c r="F25" t="inlineStr">
        <is>
          <t>CoStar property analytics</t>
        </is>
      </c>
      <c r="G25" t="inlineStr">
        <is>
          <t>LEASING UP</t>
        </is>
      </c>
      <c r="H25" s="81" t="n">
        <v>0.833333</v>
      </c>
      <c r="I25" s="81" t="n"/>
      <c r="J25" s="81" t="n"/>
      <c r="K25" s="82" t="n"/>
      <c r="L25" s="82" t="n"/>
      <c r="M25" s="82" t="n"/>
      <c r="N25" s="82" t="n"/>
      <c r="O25" t="inlineStr">
        <is>
          <t>CoStar</t>
        </is>
      </c>
      <c r="P25" t="inlineStr">
        <is>
          <t>Verify rent/occ w/ HelloData</t>
        </is>
      </c>
    </row>
    <row r="26">
      <c r="A26" t="inlineStr">
        <is>
          <t>Village Apartments</t>
        </is>
      </c>
      <c r="B26" t="inlineStr">
        <is>
          <t>2651 N Records Ave</t>
        </is>
      </c>
      <c r="C26" t="n">
        <v>336</v>
      </c>
      <c r="D26" t="n">
        <v>2024</v>
      </c>
      <c r="E26" t="inlineStr">
        <is>
          <t>Q2 2024</t>
        </is>
      </c>
      <c r="F26" t="inlineStr">
        <is>
          <t>CoStar property analytics</t>
        </is>
      </c>
      <c r="G26" t="inlineStr">
        <is>
          <t>LEASING UP</t>
        </is>
      </c>
      <c r="H26" s="81" t="n">
        <v>0.803571</v>
      </c>
      <c r="I26" s="81" t="n">
        <v>0.113</v>
      </c>
      <c r="J26" s="81" t="n">
        <v>0.119047619047619</v>
      </c>
      <c r="K26" s="82" t="n">
        <v>1742</v>
      </c>
      <c r="L26" s="82" t="n">
        <v>1677</v>
      </c>
      <c r="M26" s="82" t="n">
        <v>1747.513661202186</v>
      </c>
      <c r="N26" s="82" t="n">
        <v>1747.513661202186</v>
      </c>
      <c r="O26" t="inlineStr">
        <is>
          <t>CoStar+RealPage</t>
        </is>
      </c>
      <c r="P26" t="inlineStr">
        <is>
          <t>Occ: CoStar 80% vs RealPage 11%; Occ: HD ~12% (CoStar/RP showed 80%); HD (90d): occ ~12% (units leased), ~13 leases/mo</t>
        </is>
      </c>
    </row>
    <row r="27">
      <c r="A27" t="inlineStr">
        <is>
          <t>Wesley Apartments and Townhomes</t>
        </is>
      </c>
      <c r="B27" t="inlineStr">
        <is>
          <t>3104 N Venable Ln</t>
        </is>
      </c>
      <c r="C27" t="n">
        <v>191</v>
      </c>
      <c r="D27" t="n">
        <v>2024</v>
      </c>
      <c r="E27" t="inlineStr">
        <is>
          <t>Q2 2024</t>
        </is>
      </c>
      <c r="F27" t="inlineStr">
        <is>
          <t>CoStar property analytics</t>
        </is>
      </c>
      <c r="G27" t="inlineStr">
        <is>
          <t>LEASING UP</t>
        </is>
      </c>
      <c r="H27" s="81" t="n">
        <v>0.277487</v>
      </c>
      <c r="I27" s="81" t="n">
        <v>0.838</v>
      </c>
      <c r="J27" s="81" t="n">
        <v>0.4764397905759162</v>
      </c>
      <c r="K27" s="82" t="n">
        <v>1716</v>
      </c>
      <c r="L27" s="82" t="n">
        <v>2004</v>
      </c>
      <c r="M27" s="82" t="n">
        <v>1994.484728234728</v>
      </c>
      <c r="N27" s="82" t="n">
        <v>1994.484728234728</v>
      </c>
      <c r="O27" t="inlineStr">
        <is>
          <t>CoStar+RealPage</t>
        </is>
      </c>
      <c r="P27" t="inlineStr">
        <is>
          <t>Occ: CoStar 28% vs RealPage 84%; Rent: CoStar ask $1,716 vs RealPage eff $2,004; Rent: HD mix-wtd $1,994 vs CoStar ask $1,716; Occ: HD ~48% (CoStar/RP showed 28%); HD (90d): occ ~48% (units leased), ~22 leases/mo</t>
        </is>
      </c>
    </row>
    <row r="28">
      <c r="A28" t="inlineStr">
        <is>
          <t>Vanguard Village</t>
        </is>
      </c>
      <c r="B28" t="inlineStr">
        <is>
          <t>1085 S 10 Mile Rd</t>
        </is>
      </c>
      <c r="C28" t="n">
        <v>552</v>
      </c>
      <c r="D28" t="n">
        <v>2027</v>
      </c>
      <c r="E28" t="inlineStr">
        <is>
          <t>Q1 2028</t>
        </is>
      </c>
      <c r="G28" t="inlineStr">
        <is>
          <t>UNDER CONSTRUCTION</t>
        </is>
      </c>
      <c r="H28" s="81" t="n"/>
      <c r="I28" s="81" t="n"/>
      <c r="J28" s="81" t="n"/>
      <c r="K28" s="82" t="n"/>
      <c r="L28" s="82" t="n"/>
      <c r="M28" s="82" t="n">
        <v>1747.513661202186</v>
      </c>
      <c r="N28" s="82" t="n">
        <v>1747.513661202186</v>
      </c>
      <c r="O28" t="inlineStr">
        <is>
          <t>CoStar</t>
        </is>
      </c>
      <c r="P28" t="inlineStr"/>
    </row>
    <row r="29">
      <c r="A29" t="inlineStr">
        <is>
          <t>South Ridge II</t>
        </is>
      </c>
      <c r="B29" t="inlineStr">
        <is>
          <t>1703 S Grand Frk Wy</t>
        </is>
      </c>
      <c r="C29" t="n">
        <v>164</v>
      </c>
      <c r="D29" t="n">
        <v>2027</v>
      </c>
      <c r="E29" t="inlineStr">
        <is>
          <t>Q2 2027</t>
        </is>
      </c>
      <c r="G29" t="inlineStr">
        <is>
          <t>UNDER CONSTRUCTION</t>
        </is>
      </c>
      <c r="H29" s="81" t="n"/>
      <c r="I29" s="81" t="n"/>
      <c r="J29" s="81" t="n"/>
      <c r="K29" s="82" t="n"/>
      <c r="L29" s="82" t="n"/>
      <c r="M29" s="82" t="n"/>
      <c r="N29" s="82" t="n"/>
      <c r="O29" t="inlineStr">
        <is>
          <t>RealPage</t>
        </is>
      </c>
      <c r="P29" t="inlineStr"/>
    </row>
    <row r="30">
      <c r="A30" t="inlineStr">
        <is>
          <t>Ascent Overland</t>
        </is>
      </c>
      <c r="B30" t="inlineStr">
        <is>
          <t>11101 W Overland Rd</t>
        </is>
      </c>
      <c r="C30" t="n">
        <v>138</v>
      </c>
      <c r="D30" t="n">
        <v>2028</v>
      </c>
      <c r="E30" t="inlineStr">
        <is>
          <t>Q1 2029</t>
        </is>
      </c>
      <c r="G30" t="inlineStr">
        <is>
          <t>PROPOSED</t>
        </is>
      </c>
      <c r="H30" s="81" t="n"/>
      <c r="I30" s="81" t="n"/>
      <c r="J30" s="81" t="n"/>
      <c r="K30" s="82" t="n"/>
      <c r="L30" s="82" t="n"/>
      <c r="M30" s="82" t="n"/>
      <c r="N30" s="82" t="n"/>
      <c r="O30" t="inlineStr">
        <is>
          <t>CoStar</t>
        </is>
      </c>
      <c r="P30" t="inlineStr">
        <is>
          <t>Diligence: proposed</t>
        </is>
      </c>
    </row>
    <row r="31">
      <c r="A31" t="inlineStr">
        <is>
          <t>The Gateway at Ten Mile</t>
        </is>
      </c>
      <c r="B31" t="inlineStr">
        <is>
          <t>2954 W Franklin Rd</t>
        </is>
      </c>
      <c r="C31" t="n">
        <v>390</v>
      </c>
      <c r="D31" t="n">
        <v>2027</v>
      </c>
      <c r="E31" t="inlineStr">
        <is>
          <t>Q4 2028</t>
        </is>
      </c>
      <c r="G31" t="inlineStr">
        <is>
          <t>PROPOSED</t>
        </is>
      </c>
      <c r="H31" s="81" t="n"/>
      <c r="I31" s="81" t="n"/>
      <c r="J31" s="81" t="n"/>
      <c r="K31" s="82" t="n"/>
      <c r="L31" s="82" t="n"/>
      <c r="M31" s="82" t="n"/>
      <c r="N31" s="82" t="n"/>
      <c r="O31" t="inlineStr">
        <is>
          <t>CoStar</t>
        </is>
      </c>
      <c r="P31" t="inlineStr">
        <is>
          <t>Diligence: proposed</t>
        </is>
      </c>
    </row>
    <row r="32">
      <c r="A32" t="inlineStr">
        <is>
          <t>Victory Flats</t>
        </is>
      </c>
      <c r="B32" t="inlineStr">
        <is>
          <t>8373 West Victory Rd</t>
        </is>
      </c>
      <c r="C32" t="n">
        <v>301</v>
      </c>
      <c r="D32" t="n">
        <v>2027</v>
      </c>
      <c r="E32" t="inlineStr">
        <is>
          <t>Q3 2028</t>
        </is>
      </c>
      <c r="G32" t="inlineStr">
        <is>
          <t>PROPOSED</t>
        </is>
      </c>
      <c r="H32" s="81" t="n"/>
      <c r="I32" s="81" t="n"/>
      <c r="J32" s="81" t="n"/>
      <c r="K32" s="82" t="n"/>
      <c r="L32" s="82" t="n"/>
      <c r="M32" s="82" t="n"/>
      <c r="N32" s="82" t="n"/>
      <c r="O32" t="inlineStr">
        <is>
          <t>CoStar+RealPage</t>
        </is>
      </c>
      <c r="P32" t="inlineStr">
        <is>
          <t>Diligence: proposed</t>
        </is>
      </c>
    </row>
    <row r="33">
      <c r="A33" t="inlineStr">
        <is>
          <t>The Judy (Maple Grove &amp; Overland)</t>
        </is>
      </c>
      <c r="B33" t="inlineStr">
        <is>
          <t>1770 S Maple Grove Rd, Boise 83704</t>
        </is>
      </c>
      <c r="C33" t="n">
        <v>162</v>
      </c>
      <c r="E33" t="inlineStr">
        <is>
          <t>Q1 2028</t>
        </is>
      </c>
      <c r="G33" t="inlineStr">
        <is>
          <t>PROPOSED</t>
        </is>
      </c>
      <c r="H33" s="81" t="n"/>
      <c r="I33" s="81" t="n"/>
      <c r="J33" s="81" t="n"/>
      <c r="K33" s="82" t="n"/>
      <c r="L33" s="82" t="n"/>
      <c r="M33" s="82" t="n"/>
      <c r="N33" s="82" t="n"/>
      <c r="O33" t="inlineStr">
        <is>
          <t>Diligence</t>
        </is>
      </c>
      <c r="P33" t="inlineStr">
        <is>
          <t>Analyst-sourced deal (not in CoStar/RealPage); Diligence: proposed - equity raise underway; construction targeted Q3 2026</t>
        </is>
      </c>
    </row>
    <row r="34">
      <c r="A34" t="inlineStr">
        <is>
          <t>Union 93</t>
        </is>
      </c>
      <c r="B34" t="inlineStr">
        <is>
          <t>221-225 E Broadway Ave</t>
        </is>
      </c>
      <c r="C34" t="n">
        <v>350</v>
      </c>
      <c r="D34" t="n">
        <v>2026</v>
      </c>
      <c r="E34" t="inlineStr">
        <is>
          <t>Q3 2026</t>
        </is>
      </c>
      <c r="G34" t="inlineStr">
        <is>
          <t>PROPOSED</t>
        </is>
      </c>
      <c r="H34" s="81" t="n"/>
      <c r="I34" s="81" t="n"/>
      <c r="J34" s="81" t="n"/>
      <c r="K34" s="82" t="n"/>
      <c r="L34" s="82" t="n"/>
      <c r="M34" s="82" t="n"/>
      <c r="N34" s="82" t="n"/>
      <c r="O34" t="inlineStr">
        <is>
          <t>CoStar+RealPage</t>
        </is>
      </c>
      <c r="P34" t="inlineStr">
        <is>
          <t>Diligence: stalled - foreclosure since Nov 2022; no restart as of Jul 2026</t>
        </is>
      </c>
    </row>
    <row r="35">
      <c r="A35" t="inlineStr">
        <is>
          <t>Meridian OZ Apartments</t>
        </is>
      </c>
      <c r="B35" t="inlineStr">
        <is>
          <t>1475 E Franklin Rd</t>
        </is>
      </c>
      <c r="C35" t="n">
        <v>60</v>
      </c>
      <c r="G35" t="inlineStr">
        <is>
          <t>PROPOSED</t>
        </is>
      </c>
      <c r="H35" s="81" t="n"/>
      <c r="I35" s="81" t="n"/>
      <c r="J35" s="81" t="n"/>
      <c r="K35" s="82" t="n"/>
      <c r="L35" s="82" t="n"/>
      <c r="M35" s="82" t="n"/>
      <c r="N35" s="82" t="n"/>
      <c r="O35" t="inlineStr">
        <is>
          <t>CoStar+RealPage</t>
        </is>
      </c>
      <c r="P35" t="inlineStr">
        <is>
          <t>Diligence: proposed</t>
        </is>
      </c>
    </row>
    <row r="36">
      <c r="A36" t="inlineStr">
        <is>
          <t>The Cole Denton</t>
        </is>
      </c>
      <c r="B36" t="inlineStr">
        <is>
          <t>580 N Cole Rd</t>
        </is>
      </c>
      <c r="C36" t="n">
        <v>136</v>
      </c>
      <c r="G36" t="inlineStr">
        <is>
          <t>PROPOSED</t>
        </is>
      </c>
      <c r="H36" s="81" t="n"/>
      <c r="I36" s="81" t="n"/>
      <c r="J36" s="81" t="n"/>
      <c r="K36" s="82" t="n"/>
      <c r="L36" s="82" t="n"/>
      <c r="M36" s="82" t="n"/>
      <c r="N36" s="82" t="n"/>
      <c r="O36" t="inlineStr">
        <is>
          <t>RealPage</t>
        </is>
      </c>
      <c r="P36" t="inlineStr">
        <is>
          <t>RealPage pipeline (not yet in CoStar); Diligence: proposed</t>
        </is>
      </c>
    </row>
    <row r="37">
      <c r="A37" t="inlineStr">
        <is>
          <t>Record</t>
        </is>
      </c>
      <c r="B37" t="inlineStr">
        <is>
          <t>E Fairview Ave &amp; N Records Way</t>
        </is>
      </c>
      <c r="C37" t="n">
        <v>472</v>
      </c>
      <c r="G37" t="inlineStr">
        <is>
          <t>PROPOSED</t>
        </is>
      </c>
      <c r="H37" s="81" t="n"/>
      <c r="I37" s="81" t="n"/>
      <c r="J37" s="81" t="n"/>
      <c r="K37" s="82" t="n"/>
      <c r="L37" s="82" t="n"/>
      <c r="M37" s="82" t="n"/>
      <c r="N37" s="82" t="n"/>
      <c r="O37" t="inlineStr">
        <is>
          <t>RealPage</t>
        </is>
      </c>
      <c r="P37" t="inlineStr">
        <is>
          <t>RealPage pipeline (not yet in CoStar); Diligence: proposed</t>
        </is>
      </c>
    </row>
    <row r="38">
      <c r="A38" t="inlineStr">
        <is>
          <t>Cobalt Point</t>
        </is>
      </c>
      <c r="B38" t="inlineStr">
        <is>
          <t>S Cobalt Point Way &amp; E Copper Point Dr</t>
        </is>
      </c>
      <c r="C38" t="n">
        <v>264</v>
      </c>
      <c r="G38" t="inlineStr">
        <is>
          <t>PROPOSED</t>
        </is>
      </c>
      <c r="H38" s="81" t="n"/>
      <c r="I38" s="81" t="n"/>
      <c r="J38" s="81" t="n"/>
      <c r="K38" s="82" t="n"/>
      <c r="L38" s="82" t="n"/>
      <c r="M38" s="82" t="n"/>
      <c r="N38" s="82" t="n"/>
      <c r="O38" t="inlineStr">
        <is>
          <t>RealPage</t>
        </is>
      </c>
      <c r="P38" t="inlineStr">
        <is>
          <t>RealPage pipeline (not yet in CoStar); Diligence: proposed</t>
        </is>
      </c>
    </row>
    <row r="39">
      <c r="A39" t="inlineStr">
        <is>
          <t>Fairview</t>
        </is>
      </c>
      <c r="B39" t="inlineStr">
        <is>
          <t>1005 E Fairview Ave</t>
        </is>
      </c>
      <c r="C39" t="n">
        <v>150</v>
      </c>
      <c r="G39" t="inlineStr">
        <is>
          <t>PROPOSED</t>
        </is>
      </c>
      <c r="H39" s="81" t="n"/>
      <c r="I39" s="81" t="n"/>
      <c r="J39" s="81" t="n"/>
      <c r="K39" s="82" t="n"/>
      <c r="L39" s="82" t="n"/>
      <c r="M39" s="82" t="n">
        <v>1837.580964685616</v>
      </c>
      <c r="N39" s="82" t="n">
        <v>1837.580964685616</v>
      </c>
      <c r="O39" t="inlineStr">
        <is>
          <t>RealPage</t>
        </is>
      </c>
      <c r="P39" t="inlineStr">
        <is>
          <t>RealPage pipeline (not yet in CoStar); Diligence: proposed</t>
        </is>
      </c>
    </row>
    <row r="40">
      <c r="A40" t="inlineStr">
        <is>
          <t>12548 West Overland Road</t>
        </is>
      </c>
      <c r="B40" t="inlineStr">
        <is>
          <t>12548 W Overland Rd</t>
        </is>
      </c>
      <c r="C40" t="n">
        <v>156</v>
      </c>
      <c r="G40" t="inlineStr">
        <is>
          <t>PROPOSED</t>
        </is>
      </c>
      <c r="H40" s="81" t="n"/>
      <c r="I40" s="81" t="n"/>
      <c r="J40" s="81" t="n"/>
      <c r="K40" s="82" t="n"/>
      <c r="L40" s="82" t="n"/>
      <c r="M40" s="82" t="n"/>
      <c r="N40" s="82" t="n"/>
      <c r="O40" t="inlineStr">
        <is>
          <t>RealPage</t>
        </is>
      </c>
      <c r="P40" t="inlineStr">
        <is>
          <t>RealPage pipeline (not yet in CoStar); Diligence: proposed</t>
        </is>
      </c>
    </row>
    <row r="41">
      <c r="A41" t="inlineStr">
        <is>
          <t>12565 West Fairview Avenue</t>
        </is>
      </c>
      <c r="B41" t="inlineStr">
        <is>
          <t>12565 W Fairview Ave</t>
        </is>
      </c>
      <c r="C41" t="n">
        <v>275</v>
      </c>
      <c r="G41" t="inlineStr">
        <is>
          <t>PROPOSED</t>
        </is>
      </c>
      <c r="H41" s="81" t="n"/>
      <c r="I41" s="81" t="n"/>
      <c r="J41" s="81" t="n"/>
      <c r="K41" s="82" t="n"/>
      <c r="L41" s="82" t="n"/>
      <c r="M41" s="82" t="n"/>
      <c r="N41" s="82" t="n"/>
      <c r="O41" t="inlineStr">
        <is>
          <t>RealPage</t>
        </is>
      </c>
      <c r="P41" t="inlineStr">
        <is>
          <t>RealPage pipeline (not yet in CoStar); Diligence: proposed</t>
        </is>
      </c>
    </row>
    <row r="42">
      <c r="A42" t="inlineStr">
        <is>
          <t>Syringa Crossing</t>
        </is>
      </c>
      <c r="B42" t="inlineStr">
        <is>
          <t>Amity Ave &amp; Meridian Rd</t>
        </is>
      </c>
      <c r="C42" t="n">
        <v>322</v>
      </c>
      <c r="G42" t="inlineStr">
        <is>
          <t>PROPOSED</t>
        </is>
      </c>
      <c r="H42" s="81" t="n"/>
      <c r="I42" s="81" t="n"/>
      <c r="J42" s="81" t="n"/>
      <c r="K42" s="82" t="n"/>
      <c r="L42" s="82" t="n"/>
      <c r="M42" s="82" t="n"/>
      <c r="N42" s="82" t="n"/>
      <c r="O42" t="inlineStr">
        <is>
          <t>RealPage</t>
        </is>
      </c>
      <c r="P42" t="inlineStr">
        <is>
          <t>RealPage pipeline (not yet in CoStar); Diligence: 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8" customWidth="1" min="3" max="3"/>
    <col width="12" customWidth="1" min="4" max="4"/>
    <col width="16" customWidth="1" min="5" max="5"/>
    <col width="14" customWidth="1" min="6" max="6"/>
    <col width="50" customWidth="1" min="7" max="7"/>
    <col width="36" customWidth="1" min="8" max="8"/>
  </cols>
  <sheetData>
    <row r="2">
      <c r="B2" s="83" t="inlineStr">
        <is>
          <t>PIPELINE DILIGENCE</t>
        </is>
      </c>
    </row>
    <row r="3">
      <c r="B3" s="50" t="inlineStr">
        <is>
          <t>Property / Site</t>
        </is>
      </c>
      <c r="C3" s="50" t="inlineStr">
        <is>
          <t>Units</t>
        </is>
      </c>
      <c r="D3" s="50" t="inlineStr">
        <is>
          <t>Est. Delivery</t>
        </is>
      </c>
      <c r="E3" s="50" t="inlineStr">
        <is>
          <t>Status</t>
        </is>
      </c>
      <c r="F3" s="50" t="inlineStr">
        <is>
          <t>Leasing Pace</t>
        </is>
      </c>
      <c r="G3" s="50" t="inlineStr">
        <is>
          <t>Notes</t>
        </is>
      </c>
      <c r="H3" s="50" t="inlineStr">
        <is>
          <t>Source</t>
        </is>
      </c>
    </row>
    <row r="4">
      <c r="B4" s="43" t="inlineStr">
        <is>
          <t>The 10</t>
        </is>
      </c>
      <c r="C4" s="84" t="n"/>
      <c r="D4" s="84" t="n"/>
      <c r="E4" s="43" t="inlineStr">
        <is>
          <t>withdrawn - superseded by The Gateway at Ten Mile</t>
        </is>
      </c>
      <c r="F4" s="43" t="n"/>
      <c r="G4" s="43" t="inlineStr">
        <is>
          <t>Original 559-unit 'The 10' (Elk Ventures, 2021) never proceeded; the site was re-entitled as The Gateway at Ten Mile (H-2024-0010) for 390 units, approved Nov 2024. Removed to avoid double-counting the same site as two deals — the Gateway row carries the live entitlement.</t>
        </is>
      </c>
      <c r="H4" s="43" t="inlineStr">
        <is>
          <t>https://boisedev.com/news/2024/11/20/the-gateway-at-10-mile-meridian/</t>
        </is>
      </c>
    </row>
    <row r="5">
      <c r="B5" s="43" t="inlineStr">
        <is>
          <t>Record</t>
        </is>
      </c>
      <c r="C5" s="84" t="inlineStr">
        <is>
          <t>472</t>
        </is>
      </c>
      <c r="D5" s="84" t="n"/>
      <c r="E5" s="43" t="inlineStr">
        <is>
          <t>proposed</t>
        </is>
      </c>
      <c r="F5" s="43" t="n"/>
      <c r="G5" s="43" t="inlineStr">
        <is>
          <t>Brighton Corporation's 'Records': 472 urban-style units (84 studio/208 1BR/168 2BR/12 3BR) on ~10 ac at the NE corner of Fairview Ave &amp; Records Way adjacent to CarMax, proposed Feb 2022, two phases; Brighton's leasing site lists it 'coming soon' but no construction start could be independently confirmed.</t>
        </is>
      </c>
      <c r="H5" s="43" t="inlineStr">
        <is>
          <t>https://www.brighton.co/brighton-place/records-way-the-village-at-meridian/</t>
        </is>
      </c>
    </row>
    <row r="6">
      <c r="B6" s="43" t="inlineStr">
        <is>
          <t>Centrepoint</t>
        </is>
      </c>
      <c r="C6" s="84" t="n"/>
      <c r="D6" s="84" t="n"/>
      <c r="E6" s="43" t="inlineStr">
        <is>
          <t>withdrawn - entitlements terminated (financing)</t>
        </is>
      </c>
      <c r="F6" s="43" t="n"/>
      <c r="G6" s="43" t="inlineStr">
        <is>
          <t>A 2024 CUP/DA modification approved a 239-unit deed-restricted affordable/workforce development at Centrepoint Way near Eagle &amp; Ustick (earlier iterations 215-295 units), but per the Meridian staff report the applicant terminated entitlements and withdrew due to state-level financing complications — dead. Its parcel (S1105110111) reverts to latent land-use supply.</t>
        </is>
      </c>
      <c r="H6" s="43" t="inlineStr">
        <is>
          <t>https://boisedev.com/news/2024/05/30/centrepoint-apartments-meridian-village/</t>
        </is>
      </c>
    </row>
    <row r="7">
      <c r="B7" s="43" t="inlineStr">
        <is>
          <t>Cobalt Point</t>
        </is>
      </c>
      <c r="C7" s="84" t="inlineStr">
        <is>
          <t>264</t>
        </is>
      </c>
      <c r="D7" s="84" t="n"/>
      <c r="E7" s="43" t="inlineStr">
        <is>
          <t>proposed</t>
        </is>
      </c>
      <c r="F7" s="43" t="n"/>
      <c r="G7" s="43" t="inlineStr">
        <is>
          <t>264 units on ~13 ac east of E Copper Point Dr &amp; S Cobalt Point Way (Silverstone Park area near Eagle/Overland — NOT Ten Mile Crossing as RealPage implies), application prepared by The Land Group (BoiseDev June 2022); a marketing domain is indexed but the current stage could not be verified.</t>
        </is>
      </c>
      <c r="H7" s="43" t="inlineStr">
        <is>
          <t>https://boisedev.com/news/2022/06/13/cobalt-point-meridian/</t>
        </is>
      </c>
    </row>
    <row r="8">
      <c r="B8" s="43" t="inlineStr">
        <is>
          <t>Madison Town Square</t>
        </is>
      </c>
      <c r="C8" s="84" t="n"/>
      <c r="D8" s="84" t="n"/>
      <c r="E8" s="43" t="inlineStr">
        <is>
          <t>dead - plan pulled June 2024; site for sale</t>
        </is>
      </c>
      <c r="F8" s="43" t="n"/>
      <c r="G8" s="43" t="inlineStr">
        <is>
          <t>Madison Capital Group (MCG Boise Owner LLC) bought the old Sears at 460 N Milwaukee in 2021 and proposed 251 units, but pulled its design-review request and the plan was reported dead June 2024; site listed for sale at $8M (later $7.5M), still unsold.</t>
        </is>
      </c>
      <c r="H8" s="43" t="inlineStr">
        <is>
          <t>https://boisedev.com/news/2024/06/04/boise-sears-sale/</t>
        </is>
      </c>
    </row>
    <row r="9">
      <c r="B9" s="43" t="inlineStr">
        <is>
          <t>Syringa Crossing</t>
        </is>
      </c>
      <c r="C9" s="84" t="inlineStr">
        <is>
          <t>322</t>
        </is>
      </c>
      <c r="D9" s="84" t="n"/>
      <c r="E9" s="43" t="inlineStr">
        <is>
          <t>proposed</t>
        </is>
      </c>
      <c r="F9" s="43" t="n"/>
      <c r="G9" s="43" t="inlineStr">
        <is>
          <t>Hawkins Companies' plan at Amity &amp; Meridian Rd is still in hearings: P&amp;Z recommended denial April 2026, and on June 17 2026 City Council unanimously remanded the revised plan (more office/retail, fewer homes) back to P&amp;Z — no final approval; the 322-unit count may shrink. Bear-case supply only. Land-use dossier SM-12 covers the adjacent block.</t>
        </is>
      </c>
      <c r="H9" s="43" t="inlineStr">
        <is>
          <t>https://boisedev.com/news/2026/06/17/a-developer-made-changes-to-a-proposed-400-home-mixed-use-project-meridian-gives-commission-another-vote-on-it/</t>
        </is>
      </c>
    </row>
    <row r="10">
      <c r="B10" s="43" t="inlineStr">
        <is>
          <t>The Cole Denton</t>
        </is>
      </c>
      <c r="C10" s="84" t="inlineStr">
        <is>
          <t>136</t>
        </is>
      </c>
      <c r="D10" s="84" t="n"/>
      <c r="E10" s="43" t="inlineStr">
        <is>
          <t>proposed</t>
        </is>
      </c>
      <c r="F10" s="43" t="n"/>
      <c r="G10" s="43" t="inlineStr">
        <is>
          <t>136-unit five-story mixed-use (retail/self-storage/apartments) approved May 2021 as Boise's first Housing Bonus Ordinance project; the building permit submitted Sept 2022 was still 'in corrections' Jan 2023 and the 2.13-ac site is now listed for sale — stalled. Distinct from the delivered 191-unit Denton Apartments (Pacific Companies, Curtis Rd, opened Dec 2025).</t>
        </is>
      </c>
      <c r="H10" s="43" t="inlineStr">
        <is>
          <t>https://boisedev.com/news/2021/05/04/five-story-apartment-building-coming-to-lot-across-from-boise-town-square/</t>
        </is>
      </c>
    </row>
    <row r="11">
      <c r="B11" s="43" t="inlineStr">
        <is>
          <t>12565 West Fairview Avenue</t>
        </is>
      </c>
      <c r="C11" s="84" t="inlineStr">
        <is>
          <t>275</t>
        </is>
      </c>
      <c r="D11" s="84" t="n"/>
      <c r="E11" s="43" t="inlineStr">
        <is>
          <t>proposed</t>
        </is>
      </c>
      <c r="F11" s="43" t="n"/>
      <c r="G11" s="43" t="inlineStr">
        <is>
          <t>275 units in 4-5 story buildings over a ground-floor garage proposed on the 4.7-ac stalled AutoNation USA dealership site (AutoNation still owner; PivotNorth architect); early application / neighborhood-meeting stage per April 2025 reporting — no approval, permit, or construction as of July 2026. Sits on land-use developable parcel S1109110516.</t>
        </is>
      </c>
      <c r="H11" s="43" t="inlineStr">
        <is>
          <t>https://boisedev.com/news/2025/04/23/boise-fairview-apartments/</t>
        </is>
      </c>
    </row>
    <row r="12">
      <c r="B12" s="43" t="inlineStr">
        <is>
          <t>12548 West Overland Road</t>
        </is>
      </c>
      <c r="C12" s="84" t="inlineStr">
        <is>
          <t>156</t>
        </is>
      </c>
      <c r="D12" s="84" t="n"/>
      <c r="E12" s="43" t="inlineStr">
        <is>
          <t>proposed</t>
        </is>
      </c>
      <c r="F12" s="43" t="n"/>
      <c r="G12" s="43" t="inlineStr">
        <is>
          <t>Hook Family Trust (San Clemente CA) won PUD approval ~March 2024 to replace Overland RV Storage with five 4-story buildings, 156 units (84 1BR/72 2BR) + ~6,000 sf retail; as of mid-2026 the RV storage still operates and the entitled site is marketed for sale on LoopNet — no construction start.</t>
        </is>
      </c>
      <c r="H12" s="43" t="inlineStr">
        <is>
          <t>https://boisedev.com/news/2023/11/29/hook-trust-boise/</t>
        </is>
      </c>
    </row>
    <row r="13">
      <c r="B13" s="43" t="inlineStr">
        <is>
          <t>10975 West Lake Hazel Road</t>
        </is>
      </c>
      <c r="C13" s="84" t="n"/>
      <c r="D13" s="84" t="n"/>
      <c r="E13" s="43" t="inlineStr">
        <is>
          <t>exclude - unverifiable / likely misidentified</t>
        </is>
      </c>
      <c r="F13" s="43" t="n"/>
      <c r="G13" s="43" t="inlineStr">
        <is>
          <t>No development application found at this address (an 11.85-ac parcel with a 1994 single-family home per county records); the nearest real deal — PEG Companies' 118-unit proposal at Five Mile &amp; Lake Hazel — was denied twice by Ada County commissioners (2022 and May 2024). RealPage entry cannot be tied to any live project.</t>
        </is>
      </c>
      <c r="H13" s="43" t="inlineStr">
        <is>
          <t>https://boisedev.com/news/2024/05/22/southwest-boise-commercial/</t>
        </is>
      </c>
    </row>
    <row r="14">
      <c r="B14" s="43" t="inlineStr">
        <is>
          <t>Cole Road</t>
        </is>
      </c>
      <c r="C14" s="84" t="n"/>
      <c r="D14" s="84" t="n"/>
      <c r="E14" s="43" t="inlineStr">
        <is>
          <t>exclude - existing 1978-82 asset (76u Ridgeline Apartments); not new supply</t>
        </is>
      </c>
      <c r="F14" s="43" t="n"/>
      <c r="G14" s="43" t="inlineStr">
        <is>
          <t>709 N Cole Rd is the EXISTING 76-unit Ridgeline Apartments (built 1978-1982), marketed for sale by Berkadia — a misidentified pipeline entry; no evidence of any new 61-unit multifamily proposal or rezone at this address.</t>
        </is>
      </c>
      <c r="H14" s="43" t="inlineStr">
        <is>
          <t>https://properties.berkadia.com/cole-road-469858/</t>
        </is>
      </c>
    </row>
    <row r="15">
      <c r="B15" s="43" t="inlineStr">
        <is>
          <t>Villas at Twelve Oaks East</t>
        </is>
      </c>
      <c r="C15" s="84" t="n"/>
      <c r="D15" s="84" t="n"/>
      <c r="E15" s="43" t="inlineStr">
        <is>
          <t>exclude - likely duplicate of existing built Twelve Oaks community</t>
        </is>
      </c>
      <c r="F15" s="43" t="n"/>
      <c r="G15" s="43" t="inlineStr">
        <is>
          <t>Could not confirm a distinct 64-unit 'East' phase at 115 S Linder Rd; Meridian records show only ZV-2021-0055 'Twelve Oaks Apartments' and the existing CBH Twelve Oaks (~106u) is built and leasing — the RealPage entry likely duplicates or misidentifies it.</t>
        </is>
      </c>
      <c r="H15" s="43" t="inlineStr">
        <is>
          <t>https://weblink.meridiancity.org/WebLink/Browse.aspx?id=244917&amp;dbid=0&amp;repo=MeridianCity&amp;cr=1</t>
        </is>
      </c>
    </row>
    <row r="16">
      <c r="B16" s="43" t="inlineStr">
        <is>
          <t>Promenade Cottages I</t>
        </is>
      </c>
      <c r="C16" s="84" t="n"/>
      <c r="D16" s="84" t="n"/>
      <c r="E16" s="43" t="inlineStr">
        <is>
          <t>not multifamily - for-sale townhomes/cottages</t>
        </is>
      </c>
      <c r="F16" s="43" t="n"/>
      <c r="G16" s="43" t="inlineStr">
        <is>
          <t>Per BuildIdaho and a City of Meridian site plan, Promenade Cottages at the SE corner of Fairview Ave &amp; 3rd St (A-Team Consultants) is a 30-unit mix of FOR-SALE townhomes and single-family alley-load cottage homes — not a rental apartment community.</t>
        </is>
      </c>
      <c r="H16" s="43" t="inlineStr">
        <is>
          <t>https://www.buildidaho.com/meridian-homes-for-sale/promenade-cottages/</t>
        </is>
      </c>
    </row>
    <row r="17">
      <c r="B17" s="43" t="inlineStr">
        <is>
          <t>Meridian OZ Apartments</t>
        </is>
      </c>
      <c r="C17" s="84" t="inlineStr">
        <is>
          <t>60</t>
        </is>
      </c>
      <c r="D17" s="84" t="n"/>
      <c r="E17" s="43" t="inlineStr">
        <is>
          <t>proposed</t>
        </is>
      </c>
      <c r="F17" s="43" t="n"/>
      <c r="G17" s="43" t="inlineStr">
        <is>
          <t>CUP H-2022-0073 (Realm Venture Group): 60 units (30x1BR + 30x2BR) in five 3-story 12-plexes at 1475 E Franklin Rd, SWC Franklin &amp; Locust Grove; hearing record indicates the approval motion carried (early 2023) but no construction evidence found. Land-use dossier SM-155.</t>
        </is>
      </c>
      <c r="H17" s="43" t="inlineStr">
        <is>
          <t>https://boisedev.com/news/2023/01/23/meridian-oz-apartments/</t>
        </is>
      </c>
    </row>
    <row r="18">
      <c r="B18" s="43" t="inlineStr">
        <is>
          <t>Union 93</t>
        </is>
      </c>
      <c r="C18" s="84" t="n"/>
      <c r="D18" s="84" t="n"/>
      <c r="E18" s="43" t="inlineStr">
        <is>
          <t>stalled - foreclosure since Nov 2022; no restart as of Jul 2026</t>
        </is>
      </c>
      <c r="F18" s="43" t="n"/>
      <c r="G18" s="43" t="inlineStr">
        <is>
          <t>Galena Opportunity Fund's two-building ~385-unit Union 93 East/West at Main &amp; Broadway (downtown Meridian) stalled Nov 2022 after contractors went unpaid; the project entered foreclosure amid litigation and no evidence shows construction resumed — CoStar's 'under construction / Q3 2026 delivery' is stale. Demoted to proposed (Bear-case toggle); monitor for a post-foreclosure restart.</t>
        </is>
      </c>
      <c r="H18" s="43" t="inlineStr">
        <is>
          <t>https://www.yahoo.com/news/ambitious-downtown-meridian-development-foreclosure-160323894.html</t>
        </is>
      </c>
    </row>
    <row r="19">
      <c r="B19" s="43" t="inlineStr">
        <is>
          <t>Victory Flats</t>
        </is>
      </c>
      <c r="C19" s="84" t="inlineStr">
        <is>
          <t>301</t>
        </is>
      </c>
      <c r="D19" s="84" t="n"/>
      <c r="E19" s="43" t="inlineStr">
        <is>
          <t>proposed</t>
        </is>
      </c>
      <c r="F19" s="43" t="n"/>
      <c r="G19" s="43" t="inlineStr">
        <is>
          <t>Welltower's 301-unit apartment/townhome/SFR rental project at 8373 W Victory Rd (former Boise School District land, SW Boise) approved by Boise City Council March 8 2022 with first units once hoped for late 2023; no groundbreaking, permits, or leasing evidence through mid-2026 — CoStar's Q3 2028 delivery is unsupported.</t>
        </is>
      </c>
      <c r="H19" s="43" t="inlineStr">
        <is>
          <t>https://boisedev.com/news/2022/03/11/mix-of-hundreds-of-housing-units-approved-on-former-school-district-site-in-southwest-boise/</t>
        </is>
      </c>
    </row>
    <row r="20">
      <c r="B20" s="43" t="inlineStr">
        <is>
          <t>The Hummingbird</t>
        </is>
      </c>
      <c r="C20" s="84" t="n"/>
      <c r="D20" s="84" t="n"/>
      <c r="E20" s="43" t="inlineStr">
        <is>
          <t>dead - approval expired spring 2025</t>
        </is>
      </c>
      <c r="F20" s="43" t="n"/>
      <c r="G20" s="43" t="inlineStr">
        <is>
          <t>Approved 2023 at 170 units (reworked from ~200) on the Aquarium of Boise site at Franklin &amp; Cole (60 N Cole Rd); the two-year approval expired spring 2025 and the owner instead proposed an aquarium expansion on the site (Aug 2025) — CoStar's Q3 2028 delivery is not supported.</t>
        </is>
      </c>
      <c r="H20" s="43" t="inlineStr">
        <is>
          <t>https://boisedev.com/news/2025/08/18/aquarium-boise-expansion/</t>
        </is>
      </c>
    </row>
    <row r="21">
      <c r="B21" s="43" t="inlineStr">
        <is>
          <t>The Gateway at Ten Mile</t>
        </is>
      </c>
      <c r="C21" s="84" t="inlineStr">
        <is>
          <t>390</t>
        </is>
      </c>
      <c r="D21" s="84" t="n"/>
      <c r="E21" s="43" t="inlineStr">
        <is>
          <t>proposed</t>
        </is>
      </c>
      <c r="F21" s="43" t="n"/>
      <c r="G21" s="43" t="inlineStr">
        <is>
          <t>Approved unanimously Nov 2024 (H-2024-0010): 390 units (200 1BR/174 2BR/16 3BR) in six 4-story buildings plus townhomes and 15 commercial buildings at Ten Mile &amp; Franklin; the developer said commercial phases come first and residential is 5-7 years out — CoStar's Q4 2028 delivery looks optimistic. Supersedes the old 559-unit 'The 10' on the same site.</t>
        </is>
      </c>
      <c r="H21" s="43" t="inlineStr">
        <is>
          <t>https://boisedev.com/news/2024/11/20/the-gateway-at-10-mile-meridian/</t>
        </is>
      </c>
    </row>
    <row r="22">
      <c r="B22" s="43" t="inlineStr">
        <is>
          <t>Ascent Overland</t>
        </is>
      </c>
      <c r="C22" s="84" t="inlineStr">
        <is>
          <t>138</t>
        </is>
      </c>
      <c r="D22" s="84" t="n"/>
      <c r="E22" s="43" t="inlineStr">
        <is>
          <t>proposed</t>
        </is>
      </c>
      <c r="F22" s="43" t="n"/>
      <c r="G22" s="43" t="inlineStr">
        <is>
          <t>MVRK Development (Denver) 138-unit two-building project near Overland &amp; Cloverdale (West Boise, not Meridian) approved 5-1 by Boise City Council Nov 2023; MVRK's own projects page (July 2026) still lists planning-stage 'TBD' timing — no construction reported.</t>
        </is>
      </c>
      <c r="H22" s="43" t="inlineStr">
        <is>
          <t>https://boisedev.com/news/2023/11/15/boise-city-council-approves-overland-road-apartment-project-over-some-neighborhood-opposition/</t>
        </is>
      </c>
    </row>
    <row r="23">
      <c r="B23" s="43" t="inlineStr">
        <is>
          <t>Fairview</t>
        </is>
      </c>
      <c r="C23" s="84" t="inlineStr">
        <is>
          <t>150</t>
        </is>
      </c>
      <c r="D23" s="84" t="n"/>
      <c r="E23" s="43" t="inlineStr">
        <is>
          <t>proposed</t>
        </is>
      </c>
      <c r="F23" s="43" t="n"/>
      <c r="G23" s="43" t="inlineStr">
        <is>
          <t>Biltmore Co. / Pivot North Architecture application (Jan 2023) for 150 market-rate units (1-3BR, 797-1,872 sf, 2-3 story buildings) at 1005 E Fairview Ave; still needs Meridian P&amp;Z and City Council approval — no hearing date found, no construction.</t>
        </is>
      </c>
      <c r="H23" s="43" t="inlineStr">
        <is>
          <t>https://boisedev.com/news/2023/01/11/fairview-apartments-meridian/</t>
        </is>
      </c>
    </row>
    <row r="24">
      <c r="B24" s="43" t="inlineStr">
        <is>
          <t>Promenade Cottages II</t>
        </is>
      </c>
      <c r="C24" s="84" t="n"/>
      <c r="D24" s="84" t="n"/>
      <c r="E24" s="43" t="inlineStr">
        <is>
          <t>not multifamily - for-sale townhomes/cottages (same community as Phase I)</t>
        </is>
      </c>
      <c r="F24" s="43" t="n"/>
      <c r="G24" s="43" t="inlineStr">
        <is>
          <t>Phase II of the Promenade Cottages for-sale townhome/cottage community at Fairview &amp; 3rd (A-Team Consultants) — same for-sale product as Phase I; not rental apartment supply.</t>
        </is>
      </c>
      <c r="H24" s="43" t="inlineStr">
        <is>
          <t>https://www.buildidaho.com/meridian-homes-for-sale/promenade-cottages/</t>
        </is>
      </c>
    </row>
    <row r="25">
      <c r="B25" s="43" t="inlineStr">
        <is>
          <t>The Judy (Maple Grove &amp; Overland)</t>
        </is>
      </c>
      <c r="C25" s="84" t="inlineStr">
        <is>
          <t>162</t>
        </is>
      </c>
      <c r="D25" s="84" t="inlineStr">
        <is>
          <t>Q1 2028</t>
        </is>
      </c>
      <c r="E25" s="43" t="inlineStr">
        <is>
          <t>proposed - equity raise underway; construction targeted Q3 2026</t>
        </is>
      </c>
      <c r="F25" s="43" t="n"/>
      <c r="G25" s="43" t="inlineStr">
        <is>
          <t>Hawkins Companies OM (July 2026, research/oms/): 162-unit Class A garden (75x1BR $1,615 / 60x2BR / 27x3BR, avg $1,787 at 908sf) on 6.13 ac at 1770 S Maple Grove Rd, Boise — 3.4 mi from subject, inside the 5-mi ring. $41.7M TPC, GMP contract, construction targeted Q3 2026; OM lease-up: first occupancy month ~18 (=&gt; ~Q1 2028 first units), 20 units/mo absorption, ~42% occupied Yr 2. NOT tracked by CoStar or RealPage. Land-use analysis site 177: parcel S1124223215 in the developable-vacant set but zoned R-2 (Medium MF-threat, conditional) with 'single-family oriented' FLU — the OM proves the conditional path being exercised; reclassify from latent to tracked pipeline.</t>
        </is>
      </c>
      <c r="H25" s="43" t="inlineStr">
        <is>
          <t>Hawkins Capital Markets OM — research/oms/Maple_Grove_Overland_Equity_Hawkins_OM.pdf</t>
        </is>
      </c>
    </row>
    <row r="27">
      <c r="B27" s="83" t="inlineStr">
        <is>
          <t>SHADOW SUPPLY (latent / untracked — watch list)</t>
        </is>
      </c>
    </row>
    <row r="28">
      <c r="B28" s="50" t="inlineStr">
        <is>
          <t>Property / Site</t>
        </is>
      </c>
      <c r="C28" s="50" t="inlineStr">
        <is>
          <t>Units</t>
        </is>
      </c>
      <c r="D28" s="50" t="inlineStr">
        <is>
          <t>Est. Delivery</t>
        </is>
      </c>
      <c r="E28" s="50" t="inlineStr">
        <is>
          <t>Status</t>
        </is>
      </c>
      <c r="F28" s="50" t="inlineStr">
        <is>
          <t>Leasing Pace</t>
        </is>
      </c>
      <c r="G28" s="50" t="inlineStr">
        <is>
          <t>Notes</t>
        </is>
      </c>
      <c r="H28" s="50" t="inlineStr">
        <is>
          <t>Source</t>
        </is>
      </c>
    </row>
    <row r="29">
      <c r="B29" s="43" t="inlineStr">
        <is>
          <t>Emblem Meridian (Quarterra) / Artisan Victory Market site</t>
        </is>
      </c>
      <c r="C29" s="84" t="inlineStr">
        <is>
          <t>250</t>
        </is>
      </c>
      <c r="D29" s="84" t="n"/>
      <c r="E29" s="43" t="n"/>
      <c r="F29" s="43" t="n"/>
      <c r="G29" s="43" t="inlineStr">
        <is>
          <t>Land-use analysis site SM-76: ~12-ac BPS Eagle Road LLC assemblage on S Eagle Rd. 'Artisan Victory Market' (H-2022-0066) approved 2023 for 131 build-to-rent units + commercial but never built; superseded by Quarterra's 'Emblem Meridian' ~250-unit concept (pre-application June 2026). Closest large latent MF site to the subject (~1 mi).</t>
        </is>
      </c>
      <c r="H29" s="43" t="inlineStr">
        <is>
          <t>https://boisedev.com/news/2026/06/10/meridian-emblem-victory-eagle-homes-apartment/</t>
        </is>
      </c>
    </row>
    <row r="30">
      <c r="B30" s="43" t="inlineStr">
        <is>
          <t>Tanner Creek apartments (Waltman/Johnson Ln)</t>
        </is>
      </c>
      <c r="C30" s="84" t="inlineStr">
        <is>
          <t>280</t>
        </is>
      </c>
      <c r="D30" s="84" t="n"/>
      <c r="E30" s="43" t="n"/>
      <c r="F30" s="43" t="n"/>
      <c r="G30" s="43" t="inlineStr">
        <is>
          <t>Land-use analysis site SM-15: Tanner Creek (heard Nov 2023; moved forward) — 83 SF homes + 45 townhomes + 280 phased apartments on ~38 ac, paired with ~30-ac Hawkins commercial between I-84 and Waltman Ln. Residential now being built by CBH Homes; the 280-unit apartment component is latent supply not yet in the CoStar/RealPage pipeline.</t>
        </is>
      </c>
      <c r="H30" s="43" t="inlineStr">
        <is>
          <t>https://boisedev.com/news/2023/11/28/plans-for-two-large-developments-off-i-84-and-meridian-rd-move-forward/</t>
        </is>
      </c>
    </row>
    <row r="31">
      <c r="B31" s="43" t="inlineStr">
        <is>
          <t>Graycliff Estates R-40 block</t>
        </is>
      </c>
      <c r="C31" s="84" t="inlineStr">
        <is>
          <t>224</t>
        </is>
      </c>
      <c r="D31" s="84" t="n"/>
      <c r="E31" s="43" t="n"/>
      <c r="F31" s="43" t="n"/>
      <c r="G31" s="43" t="inlineStr">
        <is>
          <t>Land-use analysis site SM-3: Graycliff Estates (Star Development) approved preliminary plat of ~200 SF homes PLUS 224 apartments (R-40 high-density block) on ~52 ac; SF portion building since 2021. The 224-unit apartment block remains unbuilt latent supply.</t>
        </is>
      </c>
      <c r="H31" s="43" t="inlineStr">
        <is>
          <t>https://www.weknowboise.com/graycliff-estates.php</t>
        </is>
      </c>
    </row>
    <row r="32">
      <c r="B32" s="43" t="inlineStr">
        <is>
          <t>Touchmark Meadow Lake Village expansion</t>
        </is>
      </c>
      <c r="C32" s="84" t="n"/>
      <c r="D32" s="84" t="n"/>
      <c r="E32" s="43" t="n"/>
      <c r="F32" s="43" t="n"/>
      <c r="G32" s="43" t="inlineStr">
        <is>
          <t>Land-use analysis site SM-9: ~64 undeveloped ac of Touchmark's ~121-ac senior community. July 2025 development-modification agreement + rezone + PUD in progress to a broader 'Touchmark Mixed Use' (mixed housing types). Senior-oriented, but adds rental housing capacity 1.5 mi from subject.</t>
        </is>
      </c>
      <c r="H32" s="43" t="inlineStr">
        <is>
          <t>https://boisedev.com/news/2025/07/14/touchmark-meridian-meadowlake-mixed-use/</t>
        </is>
      </c>
    </row>
    <row r="33">
      <c r="B33" s="43" t="inlineStr">
        <is>
          <t>Ten Mile Crossing residual HDR parcels</t>
        </is>
      </c>
      <c r="C33" s="84" t="n"/>
      <c r="D33" s="84" t="n"/>
      <c r="E33" s="43" t="n"/>
      <c r="F33" s="43" t="n"/>
      <c r="G33" s="43" t="inlineStr">
        <is>
          <t>Land-use analysis site SM-4: residential portion (R-15/R-8) of Brighton's Ten Mile Crossing at SW Overland &amp; Ten Mile — partially built (Cortland South Meridian + CBH SF); remaining High-Density Residential parcels planned/dormant, including an 8.6-ac and a 14.4-ac R-15 vacant parcel (highest-interest sites in the land-use ranking). Note: South Ridge II (164u UC, tracked in the chart) is rising in this same corridor.</t>
        </is>
      </c>
      <c r="H33" s="43" t="inlineStr">
        <is>
          <t>https://www.brighton.co/brighton-place/ten-mile-crossing/</t>
        </is>
      </c>
    </row>
    <row r="34">
      <c r="B34" s="43" t="inlineStr">
        <is>
          <t>Brighton Apex R-15 parcel (Lake Hazel)</t>
        </is>
      </c>
      <c r="C34" s="84" t="n"/>
      <c r="D34" s="84" t="n"/>
      <c r="E34" s="43" t="n"/>
      <c r="F34" s="43" t="n"/>
      <c r="G34" s="43" t="inlineStr">
        <is>
          <t>Land-use analysis site SM-61: 15.1-ac R-15 (med-high-density) parcel on E Lake Hazel Rd inside Brighton's approved Apex/Pinnacle master-plan footprint; adjacent phases actively building. Latent MF-capable ground in the fast-growing S Meridian corridor.</t>
        </is>
      </c>
      <c r="H34" s="43" t="inlineStr">
        <is>
          <t>https://boisedev.com/news/2024/12/20/brighton-pinnacle-costco-meridian/</t>
        </is>
      </c>
    </row>
    <row r="35">
      <c r="B35" s="43" t="inlineStr">
        <is>
          <t>Outer Banks Subdivision (TM Creek / Cobalt Dr)</t>
        </is>
      </c>
      <c r="C35" s="84" t="n"/>
      <c r="D35" s="84" t="n"/>
      <c r="E35" s="43" t="n"/>
      <c r="F35" s="43" t="n"/>
      <c r="G35" s="43" t="inlineStr">
        <is>
          <t>Land-use analysis site SM-1: Ten Mile/I-84 high-density employment/mixed-use core (TMISAP) with heavy MF already delivered (Flats/Lofts/Cortland at Ten Mile). Outer Banks Subdivision approved 2021; balance of the ~198-ac district planned — further MF phases likely alongside the tracked pipeline.</t>
        </is>
      </c>
      <c r="H35" s="43" t="inlineStr">
        <is>
          <t>https://boisedev.com/news/2021/12/17/outer-banks-pera-place/</t>
        </is>
      </c>
    </row>
  </sheetData>
  <mergeCells count="2">
    <mergeCell ref="B2:H2"/>
    <mergeCell ref="B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2026-07-16T00:34:47Z</dcterms:created>
  <dcterms:modified xsi:type="dcterms:W3CDTF">2026-07-16T00:34:47Z</dcterms:modified>
</cp:coreProperties>
</file>