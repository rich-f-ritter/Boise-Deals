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(21 properties, 2,519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Units: CoStar 476 vs RealPage 164; Year built: 2022/2027; 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1651.435028248588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1665.511627906977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1747.513661202186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1165.555555555556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2164.319806763285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1624.407772304324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1735.469387755102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1884.446808510638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1995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2489.375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1739.209026472431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Springtree Apartments</t>
        </is>
      </c>
      <c r="D26" s="8" t="n">
        <v>42</v>
      </c>
      <c r="E26" s="6" t="inlineStr">
        <is>
          <t>Q4 2024</t>
        </is>
      </c>
      <c r="F26" s="9" t="n">
        <v>0.952381</v>
      </c>
      <c r="G26" s="10" t="n">
        <v>1514</v>
      </c>
      <c r="H26" s="7" t="inlineStr">
        <is>
          <t>Commercial Northwest Property Management</t>
        </is>
      </c>
      <c r="I26" s="11" t="n">
        <v>4.8</v>
      </c>
      <c r="J26" s="6" t="inlineStr">
        <is>
          <t>Low-Rise</t>
        </is>
      </c>
      <c r="K26" s="7" t="n"/>
      <c r="M26">
        <f>IFERROR(VALUE(RIGHT(E26,4))*4+MATCH(LEFT(E26,2),{"Q1","Q2","Q3","Q4"},0)-1,"")</f>
        <v/>
      </c>
    </row>
    <row r="28">
      <c r="B28" s="12" t="n"/>
      <c r="C28" s="13" t="inlineStr">
        <is>
          <t>LEASING UP (5 properties, 815 units)</t>
        </is>
      </c>
    </row>
    <row r="29">
      <c r="B29" s="14" t="n">
        <v>22</v>
      </c>
      <c r="C29" s="15" t="inlineStr">
        <is>
          <t>Village Apartments</t>
        </is>
      </c>
      <c r="D29" s="16" t="n">
        <v>336</v>
      </c>
      <c r="E29" s="14" t="inlineStr">
        <is>
          <t>Q2 2024</t>
        </is>
      </c>
      <c r="F29" s="17" t="n">
        <v>0.119047619047619</v>
      </c>
      <c r="G29" s="18" t="n">
        <v>1747.513661202186</v>
      </c>
      <c r="H29" s="15" t="inlineStr">
        <is>
          <t>Rockworth Companies</t>
        </is>
      </c>
      <c r="I29" s="19" t="n">
        <v>2.6</v>
      </c>
      <c r="J29" s="14" t="inlineStr">
        <is>
          <t>Mid-Rise</t>
        </is>
      </c>
      <c r="K29" s="15" t="inlineStr">
        <is>
          <t>Units: CoStar 336 vs RealPage 96; Year built: 2018/2024; Units: CoStar 336 vs RealPage 36; Year built: 2021/2024; Units: CoStar 336 vs RealPage 64; Year built: 1993/2024; Units: CoStar 336 vs RealPage 336; Year built: 2024/2027; Occ: CoStar 80% vs RealPage 11%; Occ: HD ~12% (CoStar/RP showed 80%); HD (90d): occ ~12% (units leased), ~13 leases/mo</t>
        </is>
      </c>
      <c r="M29">
        <f>IFERROR(VALUE(RIGHT(E29,4))*4+MATCH(LEFT(E29,2),{"Q1","Q2","Q3","Q4"},0)-1,"")</f>
        <v/>
      </c>
    </row>
    <row r="30">
      <c r="B30" s="14" t="n">
        <v>23</v>
      </c>
      <c r="C30" s="15" t="inlineStr">
        <is>
          <t>Wesley Apartments and Townhomes</t>
        </is>
      </c>
      <c r="D30" s="16" t="n">
        <v>191</v>
      </c>
      <c r="E30" s="14" t="inlineStr">
        <is>
          <t>Q2 2024</t>
        </is>
      </c>
      <c r="F30" s="17" t="n">
        <v>0.4764397905759162</v>
      </c>
      <c r="G30" s="18" t="n">
        <v>1994.484728234728</v>
      </c>
      <c r="H30" s="15" t="inlineStr">
        <is>
          <t>Executive Management Services, LLC</t>
        </is>
      </c>
      <c r="I30" s="19" t="n">
        <v>3.5</v>
      </c>
      <c r="J30" s="14" t="inlineStr">
        <is>
          <t>Townhome</t>
        </is>
      </c>
      <c r="K30" s="15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Shamrock Apartments</t>
        </is>
      </c>
      <c r="D31" s="16" t="n">
        <v>48</v>
      </c>
      <c r="E31" s="14" t="inlineStr">
        <is>
          <t>Q2 2025</t>
        </is>
      </c>
      <c r="F31" s="17" t="n">
        <v>0.833333</v>
      </c>
      <c r="G31" s="18" t="inlineStr">
        <is>
          <t>—</t>
        </is>
      </c>
      <c r="H31" s="15" t="inlineStr">
        <is>
          <t>Dc Fairview Llc</t>
        </is>
      </c>
      <c r="I31" s="19" t="n">
        <v>2.6</v>
      </c>
      <c r="J31" s="14" t="inlineStr">
        <is>
          <t>Low-Rise</t>
        </is>
      </c>
      <c r="K31" s="15" t="inlineStr">
        <is>
          <t>Verify rent/occ w/ HelloData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Tauri Apartments</t>
        </is>
      </c>
      <c r="D32" s="16" t="n">
        <v>156</v>
      </c>
      <c r="E32" s="14" t="inlineStr">
        <is>
          <t>Q2 2026</t>
        </is>
      </c>
      <c r="F32" s="17" t="n">
        <v>1</v>
      </c>
      <c r="G32" s="18" t="n">
        <v>1833.726076373041</v>
      </c>
      <c r="H32" s="15" t="inlineStr">
        <is>
          <t>Brighton</t>
        </is>
      </c>
      <c r="I32" s="19" t="n">
        <v>4.6</v>
      </c>
      <c r="J32" s="14" t="inlineStr">
        <is>
          <t>Townhome</t>
        </is>
      </c>
      <c r="K32" s="15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Delano</t>
        </is>
      </c>
      <c r="D33" s="16" t="n">
        <v>84</v>
      </c>
      <c r="E33" s="14" t="inlineStr">
        <is>
          <t>Q2 2026</t>
        </is>
      </c>
      <c r="F33" s="17" t="n">
        <v>0.452</v>
      </c>
      <c r="G33" s="18" t="inlineStr">
        <is>
          <t>—</t>
        </is>
      </c>
      <c r="H33" s="15" t="inlineStr">
        <is>
          <t>CBH Homes</t>
        </is>
      </c>
      <c r="I33" s="19" t="n">
        <v>3.3</v>
      </c>
      <c r="J33" s="14" t="inlineStr">
        <is>
          <t>Garden</t>
        </is>
      </c>
      <c r="K33" s="15" t="inlineStr">
        <is>
          <t>Delivery quarter estimated; Verify rent/occ w/ HelloData; RealPage-only — not in CoStar's 5-mi series</t>
        </is>
      </c>
      <c r="M33">
        <f>IFERROR(VALUE(RIGHT(E33,4))*4+MATCH(LEFT(E33,2),{"Q1","Q2","Q3","Q4"},0)-1,"")</f>
        <v/>
      </c>
    </row>
    <row r="35">
      <c r="B35" s="20" t="n"/>
      <c r="C35" s="21" t="inlineStr">
        <is>
          <t>UNDER CONSTRUCTION (1 properties, 350 units)</t>
        </is>
      </c>
    </row>
    <row r="36">
      <c r="B36" s="22" t="n">
        <v>27</v>
      </c>
      <c r="C36" s="23" t="inlineStr">
        <is>
          <t>Union 93</t>
        </is>
      </c>
      <c r="D36" s="24" t="n">
        <v>350</v>
      </c>
      <c r="E36" s="22" t="inlineStr">
        <is>
          <t>Q3 2026</t>
        </is>
      </c>
      <c r="F36" s="25" t="n"/>
      <c r="G36" s="26" t="inlineStr">
        <is>
          <t>—</t>
        </is>
      </c>
      <c r="H36" s="23" t="inlineStr">
        <is>
          <t>Grey Owl Holdings Llc</t>
        </is>
      </c>
      <c r="I36" s="27" t="n">
        <v>1.9</v>
      </c>
      <c r="J36" s="22" t="inlineStr">
        <is>
          <t>Mid-Rise</t>
        </is>
      </c>
      <c r="K36" s="23" t="n"/>
      <c r="M36">
        <f>IFERROR(VALUE(RIGHT(E36,4))*4+MATCH(LEFT(E36,2),{"Q1","Q2","Q3","Q4"},0)-1,"")</f>
        <v/>
      </c>
    </row>
    <row r="38">
      <c r="B38" s="28" t="n"/>
      <c r="C38" s="29" t="inlineStr">
        <is>
          <t>PROPOSED (18 properties, 4,022 units)</t>
        </is>
      </c>
    </row>
    <row r="39">
      <c r="B39" s="30" t="n">
        <v>28</v>
      </c>
      <c r="C39" s="31" t="inlineStr">
        <is>
          <t>Victory Flats</t>
        </is>
      </c>
      <c r="D39" s="32" t="n">
        <v>301</v>
      </c>
      <c r="E39" s="30" t="inlineStr">
        <is>
          <t>Q3 2028</t>
        </is>
      </c>
      <c r="F39" s="33" t="n"/>
      <c r="G39" s="34" t="inlineStr">
        <is>
          <t>—</t>
        </is>
      </c>
      <c r="H39" s="31" t="inlineStr">
        <is>
          <t>Welltower Inc.</t>
        </is>
      </c>
      <c r="I39" s="35" t="n">
        <v>3.9</v>
      </c>
      <c r="J39" s="30" t="inlineStr">
        <is>
          <t>Townhome</t>
        </is>
      </c>
      <c r="K39" s="31" t="n"/>
      <c r="M39">
        <f>IFERROR(VALUE(RIGHT(E39,4))*4+MATCH(LEFT(E39,2),{"Q1","Q2","Q3","Q4"},0)-1,"")</f>
        <v/>
      </c>
    </row>
    <row r="40">
      <c r="B40" s="30" t="n">
        <v>29</v>
      </c>
      <c r="C40" s="31" t="inlineStr">
        <is>
          <t>The Hummingbird</t>
        </is>
      </c>
      <c r="D40" s="32" t="n">
        <v>200</v>
      </c>
      <c r="E40" s="30" t="inlineStr">
        <is>
          <t>Q3 2028</t>
        </is>
      </c>
      <c r="F40" s="33" t="n"/>
      <c r="G40" s="34" t="inlineStr">
        <is>
          <t>—</t>
        </is>
      </c>
      <c r="H40" s="31" t="inlineStr">
        <is>
          <t>Shannon Robnett Industries</t>
        </is>
      </c>
      <c r="I40" s="35" t="n">
        <v>4.5</v>
      </c>
      <c r="J40" s="30" t="inlineStr">
        <is>
          <t>Mid-Rise</t>
        </is>
      </c>
      <c r="K40" s="31" t="inlineStr">
        <is>
          <t>Units: CoStar 200 vs RealPage 170</t>
        </is>
      </c>
      <c r="M40">
        <f>IFERROR(VALUE(RIGHT(E40,4))*4+MATCH(LEFT(E40,2),{"Q1","Q2","Q3","Q4"},0)-1,"")</f>
        <v/>
      </c>
    </row>
    <row r="41">
      <c r="B41" s="30" t="n">
        <v>30</v>
      </c>
      <c r="C41" s="31" t="inlineStr">
        <is>
          <t>The Gateway at Ten Mile</t>
        </is>
      </c>
      <c r="D41" s="32" t="n">
        <v>390</v>
      </c>
      <c r="E41" s="30" t="inlineStr">
        <is>
          <t>Q4 2028</t>
        </is>
      </c>
      <c r="F41" s="33" t="n"/>
      <c r="G41" s="34" t="inlineStr">
        <is>
          <t>—</t>
        </is>
      </c>
      <c r="H41" s="31" t="inlineStr">
        <is>
          <t>TGI Corp</t>
        </is>
      </c>
      <c r="I41" s="35" t="n">
        <v>3.7</v>
      </c>
      <c r="J41" s="30" t="inlineStr">
        <is>
          <t>Mid-Rise</t>
        </is>
      </c>
      <c r="K41" s="31" t="n"/>
      <c r="M41">
        <f>IFERROR(VALUE(RIGHT(E41,4))*4+MATCH(LEFT(E41,2),{"Q1","Q2","Q3","Q4"},0)-1,"")</f>
        <v/>
      </c>
    </row>
    <row r="42">
      <c r="B42" s="30" t="n">
        <v>31</v>
      </c>
      <c r="C42" s="31" t="inlineStr">
        <is>
          <t>Ascent Overland</t>
        </is>
      </c>
      <c r="D42" s="32" t="n">
        <v>138</v>
      </c>
      <c r="E42" s="30" t="inlineStr">
        <is>
          <t>Q1 2029</t>
        </is>
      </c>
      <c r="F42" s="33" t="n"/>
      <c r="G42" s="34" t="inlineStr">
        <is>
          <t>—</t>
        </is>
      </c>
      <c r="H42" s="31" t="inlineStr">
        <is>
          <t>—</t>
        </is>
      </c>
      <c r="I42" s="35" t="n">
        <v>1.5</v>
      </c>
      <c r="J42" s="30" t="inlineStr">
        <is>
          <t>Mid-Rise</t>
        </is>
      </c>
      <c r="K42" s="31" t="n"/>
      <c r="M42">
        <f>IFERROR(VALUE(RIGHT(E42,4))*4+MATCH(LEFT(E42,2),{"Q1","Q2","Q3","Q4"},0)-1,"")</f>
        <v/>
      </c>
    </row>
    <row r="43">
      <c r="B43" s="30" t="n">
        <v>32</v>
      </c>
      <c r="C43" s="31" t="inlineStr">
        <is>
          <t>The 10</t>
        </is>
      </c>
      <c r="D43" s="32" t="n">
        <v>559</v>
      </c>
      <c r="E43" s="30" t="inlineStr">
        <is>
          <t>TBD</t>
        </is>
      </c>
      <c r="F43" s="33" t="n"/>
      <c r="G43" s="34" t="inlineStr">
        <is>
          <t>—</t>
        </is>
      </c>
      <c r="H43" s="31" t="inlineStr">
        <is>
          <t>—</t>
        </is>
      </c>
      <c r="I43" s="35" t="n">
        <v>3.8</v>
      </c>
      <c r="J43" s="30" t="inlineStr">
        <is>
          <t>Garden</t>
        </is>
      </c>
      <c r="K43" s="31" t="inlineStr">
        <is>
          <t>RealPage pipeline (not yet in CoStar)</t>
        </is>
      </c>
      <c r="M43">
        <f>IFERROR(VALUE(RIGHT(E43,4))*4+MATCH(LEFT(E43,2),{"Q1","Q2","Q3","Q4"},0)-1,"")</f>
        <v/>
      </c>
    </row>
    <row r="44">
      <c r="B44" s="30" t="n">
        <v>33</v>
      </c>
      <c r="C44" s="31" t="inlineStr">
        <is>
          <t>Record</t>
        </is>
      </c>
      <c r="D44" s="32" t="n">
        <v>472</v>
      </c>
      <c r="E44" s="30" t="inlineStr">
        <is>
          <t>TBD</t>
        </is>
      </c>
      <c r="F44" s="33" t="n"/>
      <c r="G44" s="34" t="inlineStr">
        <is>
          <t>—</t>
        </is>
      </c>
      <c r="H44" s="31" t="inlineStr">
        <is>
          <t>—</t>
        </is>
      </c>
      <c r="I44" s="35" t="n">
        <v>1.9</v>
      </c>
      <c r="J44" s="30" t="inlineStr">
        <is>
          <t>Mid-Rise</t>
        </is>
      </c>
      <c r="K44" s="31" t="inlineStr">
        <is>
          <t>RealPage pipeline (not yet in CoStar)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Syringa Crossing</t>
        </is>
      </c>
      <c r="D45" s="32" t="n">
        <v>322</v>
      </c>
      <c r="E45" s="30" t="inlineStr">
        <is>
          <t>TBD</t>
        </is>
      </c>
      <c r="F45" s="33" t="n"/>
      <c r="G45" s="34" t="inlineStr">
        <is>
          <t>—</t>
        </is>
      </c>
      <c r="H45" s="31" t="inlineStr">
        <is>
          <t>—</t>
        </is>
      </c>
      <c r="I45" s="35" t="n">
        <v>2.8</v>
      </c>
      <c r="J45" s="30" t="inlineStr">
        <is>
          <t>Mid-Rise</t>
        </is>
      </c>
      <c r="K45" s="31" t="inlineStr">
        <is>
          <t>RealPage pipeline (not yet in CoStar)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12565 West Fairview Avenue</t>
        </is>
      </c>
      <c r="D46" s="32" t="n">
        <v>275</v>
      </c>
      <c r="E46" s="30" t="inlineStr">
        <is>
          <t>TBD</t>
        </is>
      </c>
      <c r="F46" s="33" t="n"/>
      <c r="G46" s="34" t="inlineStr">
        <is>
          <t>—</t>
        </is>
      </c>
      <c r="H46" s="31" t="inlineStr">
        <is>
          <t>—</t>
        </is>
      </c>
      <c r="I46" s="35" t="n">
        <v>2.1</v>
      </c>
      <c r="J46" s="30" t="inlineStr">
        <is>
          <t>Mid-Rise</t>
        </is>
      </c>
      <c r="K46" s="31" t="inlineStr">
        <is>
          <t>RealPage pipeline (not yet in CoStar)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Cobalt Point</t>
        </is>
      </c>
      <c r="D47" s="32" t="n">
        <v>264</v>
      </c>
      <c r="E47" s="30" t="inlineStr">
        <is>
          <t>TBD</t>
        </is>
      </c>
      <c r="F47" s="33" t="n"/>
      <c r="G47" s="34" t="inlineStr">
        <is>
          <t>—</t>
        </is>
      </c>
      <c r="H47" s="31" t="inlineStr">
        <is>
          <t>—</t>
        </is>
      </c>
      <c r="I47" s="35" t="n">
        <v>0.6</v>
      </c>
      <c r="J47" s="30" t="inlineStr">
        <is>
          <t>Garden</t>
        </is>
      </c>
      <c r="K47" s="31" t="inlineStr">
        <is>
          <t>RealPage pipeline (not yet in CoStar)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Madison Town Square</t>
        </is>
      </c>
      <c r="D48" s="32" t="n">
        <v>251</v>
      </c>
      <c r="E48" s="30" t="inlineStr">
        <is>
          <t>TBD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4.2</v>
      </c>
      <c r="J48" s="30" t="inlineStr">
        <is>
          <t>Townhome</t>
        </is>
      </c>
      <c r="K48" s="31" t="inlineStr">
        <is>
          <t>RealPage pipeline (not yet in CoStar)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Centrepoint</t>
        </is>
      </c>
      <c r="D49" s="32" t="n">
        <v>213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Privately Owned</t>
        </is>
      </c>
      <c r="I49" s="35" t="n">
        <v>2.9</v>
      </c>
      <c r="J49" s="30" t="inlineStr">
        <is>
          <t>Mid-Rise</t>
        </is>
      </c>
      <c r="K49" s="31" t="inlineStr">
        <is>
          <t>RealPage pipeline (not yet in CoStar)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12548 West Overland Road</t>
        </is>
      </c>
      <c r="D50" s="32" t="n">
        <v>156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1.1</v>
      </c>
      <c r="J50" s="30" t="inlineStr">
        <is>
          <t>Mid-Rise</t>
        </is>
      </c>
      <c r="K50" s="31" t="inlineStr">
        <is>
          <t>RealPage pipeline (not yet in CoStar)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The Cole Denton</t>
        </is>
      </c>
      <c r="D51" s="32" t="n">
        <v>136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—</t>
        </is>
      </c>
      <c r="I51" s="35" t="n">
        <v>4.5</v>
      </c>
      <c r="J51" s="30" t="inlineStr">
        <is>
          <t>Mid-Rise</t>
        </is>
      </c>
      <c r="K51" s="31" t="inlineStr">
        <is>
          <t>RealPage pipeline (not yet in CoStar)</t>
        </is>
      </c>
      <c r="M51">
        <f>IFERROR(VALUE(RIGHT(E51,4))*4+MATCH(LEFT(E51,2),{"Q1","Q2","Q3","Q4"},0)-1,"")</f>
        <v/>
      </c>
    </row>
    <row r="52">
      <c r="B52" s="30" t="n">
        <v>41</v>
      </c>
      <c r="C52" s="31" t="inlineStr">
        <is>
          <t>10975 West Lake Hazel Road</t>
        </is>
      </c>
      <c r="D52" s="32" t="n">
        <v>130</v>
      </c>
      <c r="E52" s="30" t="inlineStr">
        <is>
          <t>TBD</t>
        </is>
      </c>
      <c r="F52" s="33" t="n"/>
      <c r="G52" s="34" t="inlineStr">
        <is>
          <t>—</t>
        </is>
      </c>
      <c r="H52" s="31" t="inlineStr">
        <is>
          <t>—</t>
        </is>
      </c>
      <c r="I52" s="35" t="n">
        <v>3.7</v>
      </c>
      <c r="J52" s="30" t="inlineStr">
        <is>
          <t>Garden</t>
        </is>
      </c>
      <c r="K52" s="31" t="inlineStr">
        <is>
          <t>RealPage pipeline (not yet in CoStar)</t>
        </is>
      </c>
      <c r="M52">
        <f>IFERROR(VALUE(RIGHT(E52,4))*4+MATCH(LEFT(E52,2),{"Q1","Q2","Q3","Q4"},0)-1,"")</f>
        <v/>
      </c>
    </row>
    <row r="53">
      <c r="B53" s="30" t="n">
        <v>42</v>
      </c>
      <c r="C53" s="31" t="inlineStr">
        <is>
          <t>Villas at Twelve Oaks East</t>
        </is>
      </c>
      <c r="D53" s="32" t="n">
        <v>64</v>
      </c>
      <c r="E53" s="30" t="inlineStr">
        <is>
          <t>TBD</t>
        </is>
      </c>
      <c r="F53" s="33" t="n"/>
      <c r="G53" s="34" t="inlineStr">
        <is>
          <t>—</t>
        </is>
      </c>
      <c r="H53" s="31" t="inlineStr">
        <is>
          <t>—</t>
        </is>
      </c>
      <c r="I53" s="35" t="n">
        <v>2.8</v>
      </c>
      <c r="J53" s="30" t="inlineStr">
        <is>
          <t>Garden</t>
        </is>
      </c>
      <c r="K53" s="31" t="inlineStr">
        <is>
          <t>RealPage pipeline (not yet in CoStar)</t>
        </is>
      </c>
      <c r="M53">
        <f>IFERROR(VALUE(RIGHT(E53,4))*4+MATCH(LEFT(E53,2),{"Q1","Q2","Q3","Q4"},0)-1,"")</f>
        <v/>
      </c>
    </row>
    <row r="54">
      <c r="B54" s="30" t="n">
        <v>43</v>
      </c>
      <c r="C54" s="31" t="inlineStr">
        <is>
          <t>Cole Road</t>
        </is>
      </c>
      <c r="D54" s="32" t="n">
        <v>61</v>
      </c>
      <c r="E54" s="30" t="inlineStr">
        <is>
          <t>TBD</t>
        </is>
      </c>
      <c r="F54" s="33" t="n"/>
      <c r="G54" s="34" t="inlineStr">
        <is>
          <t>—</t>
        </is>
      </c>
      <c r="H54" s="31" t="inlineStr">
        <is>
          <t>—</t>
        </is>
      </c>
      <c r="I54" s="35" t="n">
        <v>4.5</v>
      </c>
      <c r="J54" s="30" t="inlineStr">
        <is>
          <t>Mid-Rise</t>
        </is>
      </c>
      <c r="K54" s="31" t="inlineStr">
        <is>
          <t>RealPage pipeline (not yet in CoStar)</t>
        </is>
      </c>
      <c r="M54">
        <f>IFERROR(VALUE(RIGHT(E54,4))*4+MATCH(LEFT(E54,2),{"Q1","Q2","Q3","Q4"},0)-1,"")</f>
        <v/>
      </c>
    </row>
    <row r="55">
      <c r="B55" s="30" t="n">
        <v>44</v>
      </c>
      <c r="C55" s="31" t="inlineStr">
        <is>
          <t>Meridian OZ Apartments</t>
        </is>
      </c>
      <c r="D55" s="32" t="n">
        <v>60</v>
      </c>
      <c r="E55" s="30" t="inlineStr">
        <is>
          <t>TBD</t>
        </is>
      </c>
      <c r="F55" s="33" t="n"/>
      <c r="G55" s="34" t="inlineStr">
        <is>
          <t>—</t>
        </is>
      </c>
      <c r="H55" s="31" t="inlineStr">
        <is>
          <t>Peak Capital Investments Llc</t>
        </is>
      </c>
      <c r="I55" s="35" t="n">
        <v>1.1</v>
      </c>
      <c r="J55" s="30" t="inlineStr">
        <is>
          <t>Garden</t>
        </is>
      </c>
      <c r="K55" s="31" t="n"/>
      <c r="M55">
        <f>IFERROR(VALUE(RIGHT(E55,4))*4+MATCH(LEFT(E55,2),{"Q1","Q2","Q3","Q4"},0)-1,"")</f>
        <v/>
      </c>
    </row>
    <row r="56">
      <c r="B56" s="30" t="n">
        <v>45</v>
      </c>
      <c r="C56" s="31" t="inlineStr">
        <is>
          <t>Promenade Cottages I</t>
        </is>
      </c>
      <c r="D56" s="32" t="n">
        <v>30</v>
      </c>
      <c r="E56" s="30" t="inlineStr">
        <is>
          <t>TBD</t>
        </is>
      </c>
      <c r="F56" s="33" t="n"/>
      <c r="G56" s="34" t="inlineStr">
        <is>
          <t>—</t>
        </is>
      </c>
      <c r="H56" s="31" t="inlineStr">
        <is>
          <t>—</t>
        </is>
      </c>
      <c r="I56" s="35" t="n">
        <v>2.2</v>
      </c>
      <c r="J56" s="30" t="inlineStr">
        <is>
          <t>Townhome</t>
        </is>
      </c>
      <c r="K56" s="31" t="inlineStr">
        <is>
          <t>Units: CoStar 90 vs RealPage 90; RealPage pipeline (not yet in CoStar); RealPage only (sub-50 unit)</t>
        </is>
      </c>
      <c r="M56">
        <f>IFERROR(VALUE(RIGHT(E56,4))*4+MATCH(LEFT(E56,2),{"Q1","Q2","Q3","Q4"},0)-1,"")</f>
        <v/>
      </c>
    </row>
    <row r="59">
      <c r="B59" s="36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38:K38"/>
    <mergeCell ref="C5:K5"/>
    <mergeCell ref="C2:G2"/>
    <mergeCell ref="C28:K28"/>
    <mergeCell ref="C35:K35"/>
    <mergeCell ref="B59:K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Analysis'!C36</f>
        <v/>
      </c>
      <c r="S5" s="44">
        <f>'Competitive Analysis'!D36</f>
        <v/>
      </c>
      <c r="T5" s="45">
        <f>'Competitive Analysis'!E36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</row>
    <row r="7" ht="14.4" customHeight="1">
      <c r="B7" s="38" t="inlineStr">
        <is>
          <t>Demand Scenario</t>
        </is>
      </c>
      <c r="C7" s="42" t="inlineStr">
        <is>
          <t>Base</t>
        </is>
      </c>
      <c r="R7" s="37" t="inlineStr">
        <is>
          <t>PROPOSED PIPELINE (scenario toggle)</t>
        </is>
      </c>
    </row>
    <row r="8" ht="14.4" customHeight="1">
      <c r="B8" s="38" t="inlineStr">
        <is>
          <t>Bear Annual Absorption</t>
        </is>
      </c>
      <c r="C8" s="47" t="n">
        <v>425</v>
      </c>
      <c r="R8" s="41" t="inlineStr">
        <is>
          <t>Property</t>
        </is>
      </c>
      <c r="S8" s="41" t="inlineStr">
        <is>
          <t>Units</t>
        </is>
      </c>
      <c r="T8" s="41" t="inlineStr">
        <is>
          <t>Est. Delivery</t>
        </is>
      </c>
      <c r="U8" s="41" t="inlineStr">
        <is>
          <t>Built In</t>
        </is>
      </c>
    </row>
    <row r="9" ht="14.4" customHeight="1">
      <c r="B9" s="38" t="inlineStr">
        <is>
          <t>Base Annual Absorption</t>
        </is>
      </c>
      <c r="C9" s="47" t="n">
        <v>850</v>
      </c>
      <c r="R9" s="43" t="inlineStr">
        <is>
          <t>The 10</t>
        </is>
      </c>
      <c r="S9" s="44" t="n">
        <v>559</v>
      </c>
      <c r="T9" s="48" t="inlineStr"/>
      <c r="U9" s="48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  <c r="R10" s="43" t="inlineStr">
        <is>
          <t>Record</t>
        </is>
      </c>
      <c r="S10" s="44" t="n">
        <v>472</v>
      </c>
      <c r="T10" s="48" t="inlineStr"/>
      <c r="U10" s="48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38" t="inlineStr">
        <is>
          <t>Selected Annual Demand</t>
        </is>
      </c>
      <c r="C11" s="49">
        <f>IF($C$7="Bear",$C$8,IF($C$7="Bull",$C$10,$C$9))</f>
        <v/>
      </c>
      <c r="R11" s="43" t="inlineStr">
        <is>
          <t>The Gateway at Ten Mile</t>
        </is>
      </c>
      <c r="S11" s="44" t="n">
        <v>390</v>
      </c>
      <c r="T11" s="48" t="inlineStr">
        <is>
          <t>Q4 2028</t>
        </is>
      </c>
      <c r="U11" s="48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43" t="inlineStr">
        <is>
          <t>Syringa Crossing</t>
        </is>
      </c>
      <c r="S12" s="44" t="n">
        <v>322</v>
      </c>
      <c r="T12" s="48" t="inlineStr"/>
      <c r="U12" s="48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43" t="inlineStr">
        <is>
          <t>Victory Flats</t>
        </is>
      </c>
      <c r="S13" s="44" t="n">
        <v>301</v>
      </c>
      <c r="T13" s="48" t="inlineStr">
        <is>
          <t>Q3 2028</t>
        </is>
      </c>
      <c r="U13" s="4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12565 West Fairview Avenue</t>
        </is>
      </c>
      <c r="S14" s="44" t="n">
        <v>275</v>
      </c>
      <c r="T14" s="48" t="inlineStr"/>
      <c r="U14" s="4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Cobalt Point</t>
        </is>
      </c>
      <c r="S15" s="44" t="n">
        <v>264</v>
      </c>
      <c r="T15" s="48" t="inlineStr"/>
      <c r="U15" s="4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Madison Town Square</t>
        </is>
      </c>
      <c r="S16" s="44" t="n">
        <v>251</v>
      </c>
      <c r="T16" s="48" t="inlineStr"/>
      <c r="U16" s="4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Centrepoint</t>
        </is>
      </c>
      <c r="S17" s="44" t="n">
        <v>213</v>
      </c>
      <c r="T17" s="48" t="inlineStr"/>
      <c r="U17" s="4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The Hummingbird</t>
        </is>
      </c>
      <c r="S18" s="44" t="n">
        <v>200</v>
      </c>
      <c r="T18" s="48" t="inlineStr">
        <is>
          <t>Q3 2028</t>
        </is>
      </c>
      <c r="U18" s="48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Analysis'!$D$5:$D$56,'Competitive Analysis'!$M$5:$M$56,"&gt;="&amp;8102,'Competitive Analysis'!$M$5:$M$56,"&lt;="&amp;8105)</f>
        <v/>
      </c>
      <c r="J19" s="53">
        <f>SUMIFS($S$5:$S$5,$W$5:$W$5,1)+SUMIFS($S$9:$S$26,$W$9:$W$26,1,$X$9:$X$26,1)</f>
        <v/>
      </c>
      <c r="K19" s="53">
        <f>SUMIFS($S$5:$S$5,$W$5:$W$5,2)+SUMIFS($S$9:$S$26,$W$9:$W$26,2,$X$9:$X$26,1)</f>
        <v/>
      </c>
      <c r="L19" s="53">
        <f>SUMIFS($S$5:$S$5,$W$5:$W$5,3)+SUMIFS($S$9:$S$26,$W$9:$W$26,3,$X$9:$X$26,1)</f>
        <v/>
      </c>
      <c r="M19" s="53">
        <f>SUMIFS($S$5:$S$5,$W$5:$W$5,4)+SUMIFS($S$9:$S$26,$W$9:$W$26,4,$X$9:$X$26,1)</f>
        <v/>
      </c>
      <c r="N19" s="53">
        <f>SUMIFS($S$5:$S$5,$W$5:$W$5,5)+SUMIFS($S$9:$S$26,$W$9:$W$26,5,$X$9:$X$26,1)</f>
        <v/>
      </c>
      <c r="O19" s="53">
        <f>SUMIFS($S$5:$S$5,$W$5:$W$5,6)+SUMIFS($S$9:$S$26,$W$9:$W$26,6,$X$9:$X$26,1)</f>
        <v/>
      </c>
      <c r="R19" s="43" t="inlineStr">
        <is>
          <t>12548 West Overland Road</t>
        </is>
      </c>
      <c r="S19" s="44" t="n">
        <v>156</v>
      </c>
      <c r="T19" s="48" t="inlineStr"/>
      <c r="U19" s="48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Ascent Overland</t>
        </is>
      </c>
      <c r="S20" s="44" t="n">
        <v>138</v>
      </c>
      <c r="T20" s="48" t="inlineStr">
        <is>
          <t>Q1 2029</t>
        </is>
      </c>
      <c r="U20" s="48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The Cole Denton</t>
        </is>
      </c>
      <c r="S21" s="44" t="n">
        <v>136</v>
      </c>
      <c r="T21" s="48" t="inlineStr"/>
      <c r="U21" s="48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  <c r="R22" s="43" t="inlineStr">
        <is>
          <t>10975 West Lake Hazel Road</t>
        </is>
      </c>
      <c r="S22" s="44" t="n">
        <v>130</v>
      </c>
      <c r="T22" s="48" t="inlineStr"/>
      <c r="U22" s="48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>
      <c r="B23" s="38" t="inlineStr">
        <is>
          <t xml:space="preserve">  Market Rent  (CoStar→HD)</t>
        </is>
      </c>
      <c r="C23" s="56" t="n">
        <v>1660</v>
      </c>
      <c r="D23" s="56" t="n">
        <v>1703</v>
      </c>
      <c r="E23" s="56" t="n">
        <v>1759</v>
      </c>
      <c r="F23" s="56" t="n">
        <v>1802</v>
      </c>
      <c r="G23" s="56" t="n">
        <v>1835</v>
      </c>
      <c r="H23" s="56" t="n">
        <v>1777</v>
      </c>
      <c r="I23" s="56">
        <f>IFERROR('Cash Flow (Annual)'!$F$4,1735)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  <c r="R23" s="43" t="inlineStr">
        <is>
          <t>Villas at Twelve Oaks East</t>
        </is>
      </c>
      <c r="S23" s="44" t="n">
        <v>64</v>
      </c>
      <c r="T23" s="48" t="inlineStr"/>
      <c r="U23" s="48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  <c r="R24" s="43" t="inlineStr">
        <is>
          <t>Cole Road</t>
        </is>
      </c>
      <c r="S24" s="44" t="n">
        <v>61</v>
      </c>
      <c r="T24" s="48" t="inlineStr"/>
      <c r="U24" s="48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>
      <c r="B25" s="38" t="inlineStr">
        <is>
          <t xml:space="preserve">  Effective Rent</t>
        </is>
      </c>
      <c r="C25" s="56" t="n">
        <v>1643</v>
      </c>
      <c r="D25" s="56" t="n">
        <v>1691</v>
      </c>
      <c r="E25" s="56" t="n">
        <v>1742</v>
      </c>
      <c r="F25" s="56" t="n">
        <v>1785</v>
      </c>
      <c r="G25" s="56" t="n">
        <v>1835</v>
      </c>
      <c r="H25" s="56" t="n">
        <v>1619</v>
      </c>
      <c r="I25" s="56">
        <f>IFERROR('Cash Flow (Annual)'!$F$5,1578)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  <c r="R25" s="43" t="inlineStr">
        <is>
          <t>Meridian OZ Apartments</t>
        </is>
      </c>
      <c r="S25" s="44" t="n">
        <v>60</v>
      </c>
      <c r="T25" s="48" t="inlineStr"/>
      <c r="U25" s="48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  <c r="R26" s="43" t="inlineStr">
        <is>
          <t>Promenade Cottages I</t>
        </is>
      </c>
      <c r="S26" s="44" t="n">
        <v>30</v>
      </c>
      <c r="T26" s="48" t="inlineStr"/>
      <c r="U26" s="48" t="inlineStr">
        <is>
          <t>Bear only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CoStar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CoStar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CoStar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CoStar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CoStar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HD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350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90 + subj 360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 U15 U16 U17 U18 U19 U20 U21 U22 U23 U24 U25 U26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The Aren</t>
        </is>
      </c>
      <c r="B3" t="inlineStr">
        <is>
          <t>1066 S Silverstone Way</t>
        </is>
      </c>
      <c r="C3" t="n">
        <v>396</v>
      </c>
      <c r="D3" t="n">
        <v>2024</v>
      </c>
      <c r="E3" t="inlineStr">
        <is>
          <t>Q2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0.969697</v>
      </c>
      <c r="I3" s="81" t="n">
        <v>0.998</v>
      </c>
      <c r="J3" s="81" t="n"/>
      <c r="K3" s="82" t="n">
        <v>1762</v>
      </c>
      <c r="L3" s="82" t="n">
        <v>1841</v>
      </c>
      <c r="M3" s="82" t="n">
        <v>1739.209026472431</v>
      </c>
      <c r="N3" s="82" t="n">
        <v>1663.812235275689</v>
      </c>
      <c r="O3" t="inlineStr">
        <is>
          <t>CoStar+RealPage</t>
        </is>
      </c>
      <c r="P3" t="inlineStr">
        <is>
          <t>Year built: 2024/2025; Occ: CoStar 97% vs RealPage 100%</t>
        </is>
      </c>
    </row>
    <row r="4">
      <c r="A4" t="inlineStr">
        <is>
          <t>Viera at Pinnacle</t>
        </is>
      </c>
      <c r="B4" t="inlineStr">
        <is>
          <t>6269 S Aspiration Ave</t>
        </is>
      </c>
      <c r="C4" t="n">
        <v>56</v>
      </c>
      <c r="D4" t="n">
        <v>2024</v>
      </c>
      <c r="E4" t="inlineStr">
        <is>
          <t>Q1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1</v>
      </c>
      <c r="I4" s="81" t="n"/>
      <c r="J4" s="81" t="n"/>
      <c r="K4" s="82" t="n">
        <v>2595</v>
      </c>
      <c r="L4" s="82" t="n"/>
      <c r="M4" s="82" t="n">
        <v>2489.375</v>
      </c>
      <c r="N4" s="82" t="n">
        <v>2395.895833333333</v>
      </c>
      <c r="O4" t="inlineStr">
        <is>
          <t>CoStar</t>
        </is>
      </c>
      <c r="P4" t="inlineStr"/>
    </row>
    <row r="5">
      <c r="A5" t="inlineStr">
        <is>
          <t>Movado Village</t>
        </is>
      </c>
      <c r="B5" t="inlineStr">
        <is>
          <t>1711 S Movado Way</t>
        </is>
      </c>
      <c r="C5" t="n">
        <v>60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0.933333</v>
      </c>
      <c r="I5" s="81" t="n"/>
      <c r="J5" s="81" t="n"/>
      <c r="K5" s="82" t="n">
        <v>2070</v>
      </c>
      <c r="L5" s="82" t="n"/>
      <c r="M5" s="82" t="n">
        <v>1995</v>
      </c>
      <c r="N5" s="82" t="n">
        <v>1995</v>
      </c>
      <c r="O5" t="inlineStr">
        <is>
          <t>CoStar</t>
        </is>
      </c>
      <c r="P5" t="inlineStr"/>
    </row>
    <row r="6">
      <c r="A6" t="inlineStr">
        <is>
          <t>Telluride</t>
        </is>
      </c>
      <c r="B6" t="inlineStr">
        <is>
          <t>597 N Maple Grove Rd</t>
        </is>
      </c>
      <c r="C6" t="n">
        <v>102</v>
      </c>
      <c r="D6" t="n">
        <v>2023</v>
      </c>
      <c r="E6" t="inlineStr">
        <is>
          <t>Q2 2023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0.990196</v>
      </c>
      <c r="I6" s="81" t="n"/>
      <c r="J6" s="81" t="n"/>
      <c r="K6" s="82" t="n">
        <v>1898</v>
      </c>
      <c r="L6" s="82" t="n"/>
      <c r="M6" s="82" t="n">
        <v>1884.446808510638</v>
      </c>
      <c r="N6" s="82" t="n">
        <v>1884.446808510638</v>
      </c>
      <c r="O6" t="inlineStr">
        <is>
          <t>CoStar</t>
        </is>
      </c>
      <c r="P6" t="inlineStr"/>
    </row>
    <row r="7">
      <c r="A7" t="inlineStr">
        <is>
          <t>Altair</t>
        </is>
      </c>
      <c r="B7" t="inlineStr">
        <is>
          <t>2743 W Peak Cloud Ln</t>
        </is>
      </c>
      <c r="C7" t="n">
        <v>240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0.945833</v>
      </c>
      <c r="I7" s="81" t="n">
        <v>0.996</v>
      </c>
      <c r="J7" s="81" t="n"/>
      <c r="K7" s="82" t="n">
        <v>1689</v>
      </c>
      <c r="L7" s="82" t="n">
        <v>1754</v>
      </c>
      <c r="M7" s="82" t="n">
        <v>1624.407772304324</v>
      </c>
      <c r="N7" s="82" t="n">
        <v>1573.192255062945</v>
      </c>
      <c r="O7" t="inlineStr">
        <is>
          <t>CoStar+RealPage</t>
        </is>
      </c>
      <c r="P7" t="inlineStr">
        <is>
          <t>Occ: CoStar 95% vs RealPage 100%</t>
        </is>
      </c>
    </row>
    <row r="8">
      <c r="A8" t="inlineStr">
        <is>
          <t>Dovetail</t>
        </is>
      </c>
      <c r="B8" t="inlineStr">
        <is>
          <t>1350 N Webb Way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0.958333</v>
      </c>
      <c r="I8" s="81" t="n">
        <v>0.992</v>
      </c>
      <c r="J8" s="81" t="n"/>
      <c r="K8" s="82" t="n">
        <v>1832</v>
      </c>
      <c r="L8" s="82" t="n">
        <v>1856</v>
      </c>
      <c r="M8" s="82" t="n"/>
      <c r="N8" s="82" t="n"/>
      <c r="O8" t="inlineStr">
        <is>
          <t>CoStar+RealPage</t>
        </is>
      </c>
      <c r="P8" t="inlineStr">
        <is>
          <t>Units: CoStar 240 vs RealPage 480; Year built: 2020/2023; Occ: CoStar 96% vs RealPage 99%</t>
        </is>
      </c>
    </row>
    <row r="9">
      <c r="A9" t="inlineStr">
        <is>
          <t>Yellowstone Apartments</t>
        </is>
      </c>
      <c r="B9" t="inlineStr">
        <is>
          <t>3500 West Pine Avenue</t>
        </is>
      </c>
      <c r="C9" t="n">
        <v>216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0.763889</v>
      </c>
      <c r="I9" s="81" t="n">
        <v>0.944</v>
      </c>
      <c r="J9" s="81" t="n"/>
      <c r="K9" s="82" t="n">
        <v>1707</v>
      </c>
      <c r="L9" s="82" t="n">
        <v>1691</v>
      </c>
      <c r="M9" s="82" t="n">
        <v>1735.469387755102</v>
      </c>
      <c r="N9" s="82" t="n">
        <v>1735.469387755102</v>
      </c>
      <c r="O9" t="inlineStr">
        <is>
          <t>CoStar+RealPage</t>
        </is>
      </c>
      <c r="P9" t="inlineStr">
        <is>
          <t>Year built: 2023/2025; Occ: CoStar 76% vs RealPage 94%</t>
        </is>
      </c>
    </row>
    <row r="10">
      <c r="A10" t="inlineStr">
        <is>
          <t>Alante Homes at Hazelwood</t>
        </is>
      </c>
      <c r="B10" t="inlineStr">
        <is>
          <t>6222 S Gloriosa Ln</t>
        </is>
      </c>
      <c r="C10" t="n">
        <v>32</v>
      </c>
      <c r="D10" t="n">
        <v>2023</v>
      </c>
      <c r="E10" t="inlineStr">
        <is>
          <t>Q1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0.96875</v>
      </c>
      <c r="I10" s="81" t="n"/>
      <c r="J10" s="81" t="n"/>
      <c r="K10" s="82" t="n">
        <v>2276</v>
      </c>
      <c r="L10" s="82" t="n"/>
      <c r="M10" s="82" t="n"/>
      <c r="N10" s="82" t="n"/>
      <c r="O10" t="inlineStr">
        <is>
          <t>CoStar</t>
        </is>
      </c>
      <c r="P10" t="inlineStr"/>
    </row>
    <row r="11">
      <c r="A11" t="inlineStr">
        <is>
          <t>Modern Craftsman Ten Mile</t>
        </is>
      </c>
      <c r="B11" t="inlineStr">
        <is>
          <t>3233 W Littleton Ln</t>
        </is>
      </c>
      <c r="C11" t="n">
        <v>135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0.948148</v>
      </c>
      <c r="I11" s="81" t="n">
        <v>0.993</v>
      </c>
      <c r="J11" s="81" t="n"/>
      <c r="K11" s="82" t="n">
        <v>2229</v>
      </c>
      <c r="L11" s="82" t="n">
        <v>2243</v>
      </c>
      <c r="M11" s="82" t="n">
        <v>2164.319806763285</v>
      </c>
      <c r="N11" s="82" t="n">
        <v>2140.342028985508</v>
      </c>
      <c r="O11" t="inlineStr">
        <is>
          <t>CoStar+RealPage</t>
        </is>
      </c>
      <c r="P11" t="inlineStr">
        <is>
          <t>Year built: 2022/2023; Occ: CoStar 95% vs RealPage 99%</t>
        </is>
      </c>
    </row>
    <row r="12">
      <c r="A12" t="inlineStr">
        <is>
          <t>WaterWalk Boise – Meridian</t>
        </is>
      </c>
      <c r="B12" t="inlineStr">
        <is>
          <t>88 n Olson Ave</t>
        </is>
      </c>
      <c r="C12" t="n">
        <v>38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0.947368</v>
      </c>
      <c r="I12" s="81" t="n"/>
      <c r="J12" s="81" t="n"/>
      <c r="K12" s="82" t="n">
        <v>1655</v>
      </c>
      <c r="L12" s="82" t="n"/>
      <c r="M12" s="82" t="n"/>
      <c r="N12" s="82" t="n"/>
      <c r="O12" t="inlineStr">
        <is>
          <t>CoStar</t>
        </is>
      </c>
      <c r="P12" t="inlineStr"/>
    </row>
    <row r="13">
      <c r="A13" t="inlineStr">
        <is>
          <t>The Prospect</t>
        </is>
      </c>
      <c r="B13" t="inlineStr">
        <is>
          <t>8002 W Overland Rd</t>
        </is>
      </c>
      <c r="C13" t="n">
        <v>91</v>
      </c>
      <c r="D13" t="n">
        <v>2022</v>
      </c>
      <c r="E13" t="inlineStr">
        <is>
          <t>Q4 2022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0.989011</v>
      </c>
      <c r="I13" s="81" t="n"/>
      <c r="J13" s="81" t="n"/>
      <c r="K13" s="82" t="n">
        <v>1189</v>
      </c>
      <c r="L13" s="82" t="n"/>
      <c r="M13" s="82" t="n">
        <v>1165.555555555556</v>
      </c>
      <c r="N13" s="82" t="n">
        <v>1156.326599326599</v>
      </c>
      <c r="O13" t="inlineStr">
        <is>
          <t>CoStar</t>
        </is>
      </c>
      <c r="P13" t="inlineStr"/>
    </row>
    <row r="14">
      <c r="A14" t="inlineStr">
        <is>
          <t>Etheridge Lane</t>
        </is>
      </c>
      <c r="B14" t="inlineStr">
        <is>
          <t>1428 N Etheridge Ln</t>
        </is>
      </c>
      <c r="C14" t="n">
        <v>12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/>
      <c r="I14" s="81" t="n"/>
      <c r="J14" s="81" t="n"/>
      <c r="K14" s="82" t="n"/>
      <c r="L14" s="82" t="n"/>
      <c r="M14" s="82" t="n"/>
      <c r="N14" s="82" t="n"/>
      <c r="O14" t="inlineStr">
        <is>
          <t>CoStar</t>
        </is>
      </c>
      <c r="P14" t="inlineStr"/>
    </row>
    <row r="15">
      <c r="A15" t="inlineStr">
        <is>
          <t>Old Town Lofts</t>
        </is>
      </c>
      <c r="B15" t="inlineStr">
        <is>
          <t>33 E Idaho Ave</t>
        </is>
      </c>
      <c r="C15" t="n">
        <v>102</v>
      </c>
      <c r="D15" t="n">
        <v>2022</v>
      </c>
      <c r="E15" t="inlineStr">
        <is>
          <t>Q3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>
        <v>0.990196</v>
      </c>
      <c r="I15" s="81" t="n">
        <v>0.99</v>
      </c>
      <c r="J15" s="81" t="n"/>
      <c r="K15" s="82" t="n">
        <v>1683</v>
      </c>
      <c r="L15" s="82" t="n">
        <v>1661</v>
      </c>
      <c r="M15" s="82" t="n">
        <v>1665.511627906977</v>
      </c>
      <c r="N15" s="82" t="n">
        <v>1665.511627906977</v>
      </c>
      <c r="O15" t="inlineStr">
        <is>
          <t>CoStar+RealPage</t>
        </is>
      </c>
      <c r="P15" t="inlineStr">
        <is>
          <t>Year built: 2022/2023</t>
        </is>
      </c>
    </row>
    <row r="16">
      <c r="A16" t="inlineStr">
        <is>
          <t>Lavender Village</t>
        </is>
      </c>
      <c r="B16" t="inlineStr">
        <is>
          <t>2607-2615 N Linda Vista Ln</t>
        </is>
      </c>
      <c r="C16" t="n">
        <v>6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/>
      <c r="I16" s="81" t="n"/>
      <c r="J16" s="81" t="n"/>
      <c r="K16" s="82" t="n">
        <v>2110</v>
      </c>
      <c r="L16" s="82" t="n"/>
      <c r="M16" s="82" t="n">
        <v>1747.513661202186</v>
      </c>
      <c r="N16" s="82" t="n">
        <v>1747.513661202186</v>
      </c>
      <c r="O16" t="inlineStr">
        <is>
          <t>CoStar</t>
        </is>
      </c>
      <c r="P16" t="inlineStr">
        <is>
          <t>Rent: HD mix-wtd $1,748 vs CoStar ask $2,110</t>
        </is>
      </c>
    </row>
    <row r="17">
      <c r="A17" t="inlineStr">
        <is>
          <t>Meritage West</t>
        </is>
      </c>
      <c r="B17" t="inlineStr">
        <is>
          <t>13450 W Baldcypress St</t>
        </is>
      </c>
      <c r="C17" t="n">
        <v>83</v>
      </c>
      <c r="D17" t="n">
        <v>2022</v>
      </c>
      <c r="E17" t="inlineStr">
        <is>
          <t>Q2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>
        <v>0.9879520000000001</v>
      </c>
      <c r="I17" s="81" t="n">
        <v>0.976</v>
      </c>
      <c r="J17" s="81" t="n"/>
      <c r="K17" s="82" t="n">
        <v>1664</v>
      </c>
      <c r="L17" s="82" t="n">
        <v>1641</v>
      </c>
      <c r="M17" s="82" t="n">
        <v>1651.435028248588</v>
      </c>
      <c r="N17" s="82" t="n">
        <v>1651.435028248588</v>
      </c>
      <c r="O17" t="inlineStr">
        <is>
          <t>CoStar+RealPage</t>
        </is>
      </c>
      <c r="P17" t="inlineStr"/>
    </row>
    <row r="18">
      <c r="A18" t="inlineStr">
        <is>
          <t>Celebration Acres</t>
        </is>
      </c>
      <c r="B18" t="inlineStr">
        <is>
          <t>10881 W Florence Dr</t>
        </is>
      </c>
      <c r="C18" t="n">
        <v>28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0.964286</v>
      </c>
      <c r="I18" s="81" t="n"/>
      <c r="J18" s="81" t="n"/>
      <c r="K18" s="82" t="n"/>
      <c r="L18" s="82" t="n"/>
      <c r="M18" s="82" t="n"/>
      <c r="N18" s="82" t="n"/>
      <c r="O18" t="inlineStr">
        <is>
          <t>CoStar</t>
        </is>
      </c>
      <c r="P18" t="inlineStr"/>
    </row>
    <row r="19">
      <c r="A19" t="inlineStr">
        <is>
          <t>Ambleside Townhomes</t>
        </is>
      </c>
      <c r="B19" t="inlineStr">
        <is>
          <t>1890 N Shamrock Ave</t>
        </is>
      </c>
      <c r="C19" t="n">
        <v>67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0.970149</v>
      </c>
      <c r="I19" s="81" t="n"/>
      <c r="J19" s="81" t="n"/>
      <c r="K19" s="82" t="n">
        <v>2130</v>
      </c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Pine 43</t>
        </is>
      </c>
      <c r="B20" t="inlineStr">
        <is>
          <t>1301 N Meadowglen Ave</t>
        </is>
      </c>
      <c r="C20" t="n">
        <v>25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/>
      <c r="I20" s="81" t="n"/>
      <c r="J20" s="81" t="n"/>
      <c r="K20" s="82" t="n">
        <v>2236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South Ridge I</t>
        </is>
      </c>
      <c r="B21" t="inlineStr">
        <is>
          <t>1703 S Grand Frk Wy</t>
        </is>
      </c>
      <c r="C21" t="n">
        <v>476</v>
      </c>
      <c r="D21" t="n">
        <v>2022</v>
      </c>
      <c r="E21" t="inlineStr">
        <is>
          <t>Q2 2022</t>
        </is>
      </c>
      <c r="G21" t="inlineStr">
        <is>
          <t>STABILIZED / STABILIZING</t>
        </is>
      </c>
      <c r="H21" s="81" t="n"/>
      <c r="I21" s="81" t="n">
        <v>0.994</v>
      </c>
      <c r="J21" s="81" t="n"/>
      <c r="K21" s="82" t="n"/>
      <c r="L21" s="82" t="n">
        <v>1672</v>
      </c>
      <c r="M21" s="82" t="n"/>
      <c r="N21" s="82" t="n"/>
      <c r="O21" t="inlineStr">
        <is>
          <t>RealPage</t>
        </is>
      </c>
      <c r="P21" t="inlineStr">
        <is>
          <t>Units: CoStar 476 vs RealPage 164; Year built: 2022/2027; Delivery quarter estimated; RealPage-only — not in CoStar's 5-mi series</t>
        </is>
      </c>
    </row>
    <row r="22">
      <c r="A22" t="inlineStr">
        <is>
          <t>The Lost Rapid Townhomes</t>
        </is>
      </c>
      <c r="B22" t="inlineStr">
        <is>
          <t>3400 W Chinden Blvd</t>
        </is>
      </c>
      <c r="C22" t="n">
        <v>72</v>
      </c>
      <c r="D22" t="n">
        <v>2022</v>
      </c>
      <c r="E22" t="inlineStr">
        <is>
          <t>Q1 2022</t>
        </is>
      </c>
      <c r="F22" t="inlineStr">
        <is>
          <t>CoStar property analytics</t>
        </is>
      </c>
      <c r="G22" t="inlineStr">
        <is>
          <t>STABILIZED / STABILIZING</t>
        </is>
      </c>
      <c r="H22" s="81" t="n">
        <v>0.944444</v>
      </c>
      <c r="I22" s="81" t="n"/>
      <c r="J22" s="81" t="n"/>
      <c r="K22" s="82" t="n"/>
      <c r="L22" s="82" t="n"/>
      <c r="M22" s="82" t="n"/>
      <c r="N22" s="82" t="n"/>
      <c r="O22" t="inlineStr">
        <is>
          <t>CoStar</t>
        </is>
      </c>
      <c r="P22" t="inlineStr"/>
    </row>
    <row r="23">
      <c r="A23" t="inlineStr">
        <is>
          <t>Tauri Apartments</t>
        </is>
      </c>
      <c r="B23" t="inlineStr">
        <is>
          <t>12673 W Ashcreek St</t>
        </is>
      </c>
      <c r="C23" t="n">
        <v>156</v>
      </c>
      <c r="D23" t="n">
        <v>2026</v>
      </c>
      <c r="E23" t="inlineStr">
        <is>
          <t>Q2 2026</t>
        </is>
      </c>
      <c r="F23" t="inlineStr">
        <is>
          <t>CoStar property analytics</t>
        </is>
      </c>
      <c r="G23" t="inlineStr">
        <is>
          <t>LEASING UP</t>
        </is>
      </c>
      <c r="H23" s="81" t="n">
        <v>0.25</v>
      </c>
      <c r="I23" s="81" t="n">
        <v>0.18</v>
      </c>
      <c r="J23" s="81" t="n">
        <v>1</v>
      </c>
      <c r="K23" s="82" t="n">
        <v>1862</v>
      </c>
      <c r="L23" s="82" t="n">
        <v>1684</v>
      </c>
      <c r="M23" s="82" t="n">
        <v>1833.726076373041</v>
      </c>
      <c r="N23" s="82" t="n">
        <v>1813.154621177544</v>
      </c>
      <c r="O23" t="inlineStr">
        <is>
          <t>CoStar+RealPage</t>
        </is>
      </c>
      <c r="P23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4">
      <c r="A24" t="inlineStr">
        <is>
          <t>Delano</t>
        </is>
      </c>
      <c r="B24" t="inlineStr">
        <is>
          <t>3858 N Centrepoint Way</t>
        </is>
      </c>
      <c r="C24" t="n">
        <v>84</v>
      </c>
      <c r="D24" t="n">
        <v>2026</v>
      </c>
      <c r="E24" t="inlineStr">
        <is>
          <t>Q2 2026</t>
        </is>
      </c>
      <c r="G24" t="inlineStr">
        <is>
          <t>LEASING UP</t>
        </is>
      </c>
      <c r="H24" s="81" t="n"/>
      <c r="I24" s="81" t="n">
        <v>0.452</v>
      </c>
      <c r="J24" s="81" t="n"/>
      <c r="K24" s="82" t="n"/>
      <c r="L24" s="82" t="n">
        <v>1491</v>
      </c>
      <c r="M24" s="82" t="n"/>
      <c r="N24" s="82" t="n"/>
      <c r="O24" t="inlineStr">
        <is>
          <t>RealPage</t>
        </is>
      </c>
      <c r="P24" t="inlineStr">
        <is>
          <t>Delivery quarter estimated; Verify rent/occ w/ HelloData; RealPage-only — not in CoStar's 5-mi series</t>
        </is>
      </c>
    </row>
    <row r="25">
      <c r="A25" t="inlineStr">
        <is>
          <t>Shamrock Apartments</t>
        </is>
      </c>
      <c r="B25" t="inlineStr">
        <is>
          <t>1590 N Shamrock St</t>
        </is>
      </c>
      <c r="C25" t="n">
        <v>48</v>
      </c>
      <c r="D25" t="n">
        <v>2025</v>
      </c>
      <c r="E25" t="inlineStr">
        <is>
          <t>Q2 2025</t>
        </is>
      </c>
      <c r="F25" t="inlineStr">
        <is>
          <t>CoStar property analytics</t>
        </is>
      </c>
      <c r="G25" t="inlineStr">
        <is>
          <t>LEASING UP</t>
        </is>
      </c>
      <c r="H25" s="81" t="n">
        <v>0.833333</v>
      </c>
      <c r="I25" s="81" t="n"/>
      <c r="J25" s="81" t="n"/>
      <c r="K25" s="82" t="n"/>
      <c r="L25" s="82" t="n"/>
      <c r="M25" s="82" t="n"/>
      <c r="N25" s="82" t="n"/>
      <c r="O25" t="inlineStr">
        <is>
          <t>CoStar</t>
        </is>
      </c>
      <c r="P25" t="inlineStr">
        <is>
          <t>Verify rent/occ w/ HelloData</t>
        </is>
      </c>
    </row>
    <row r="26">
      <c r="A26" t="inlineStr">
        <is>
          <t>Village Apartments</t>
        </is>
      </c>
      <c r="B26" t="inlineStr">
        <is>
          <t>2651 N Records Ave</t>
        </is>
      </c>
      <c r="C26" t="n">
        <v>336</v>
      </c>
      <c r="D26" t="n">
        <v>2024</v>
      </c>
      <c r="E26" t="inlineStr">
        <is>
          <t>Q2 2024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0.803571</v>
      </c>
      <c r="I26" s="81" t="n">
        <v>0.113</v>
      </c>
      <c r="J26" s="81" t="n">
        <v>0.119047619047619</v>
      </c>
      <c r="K26" s="82" t="n">
        <v>1742</v>
      </c>
      <c r="L26" s="82" t="n">
        <v>1677</v>
      </c>
      <c r="M26" s="82" t="n">
        <v>1747.513661202186</v>
      </c>
      <c r="N26" s="82" t="n">
        <v>1747.513661202186</v>
      </c>
      <c r="O26" t="inlineStr">
        <is>
          <t>CoStar+RealPage</t>
        </is>
      </c>
      <c r="P26" t="inlineStr">
        <is>
          <t>Units: CoStar 336 vs RealPage 96; Year built: 2018/2024; Units: CoStar 336 vs RealPage 36; Year built: 2021/2024; Units: CoStar 336 vs RealPage 64; Year built: 1993/2024; Units: CoStar 336 vs RealPage 336; Year built: 2024/2027; Occ: CoStar 80% vs RealPage 11%; Occ: HD ~12% (CoStar/RP showed 80%); HD (90d): occ ~12% (units leased), ~13 leases/mo</t>
        </is>
      </c>
    </row>
    <row r="27">
      <c r="A27" t="inlineStr">
        <is>
          <t>Wesley Apartments and Townhomes</t>
        </is>
      </c>
      <c r="B27" t="inlineStr">
        <is>
          <t>3104 N Venable Ln</t>
        </is>
      </c>
      <c r="C27" t="n">
        <v>191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0.277487</v>
      </c>
      <c r="I27" s="81" t="n">
        <v>0.838</v>
      </c>
      <c r="J27" s="81" t="n">
        <v>0.4764397905759162</v>
      </c>
      <c r="K27" s="82" t="n">
        <v>1716</v>
      </c>
      <c r="L27" s="82" t="n">
        <v>2004</v>
      </c>
      <c r="M27" s="82" t="n">
        <v>1994.484728234728</v>
      </c>
      <c r="N27" s="82" t="n">
        <v>1994.484728234728</v>
      </c>
      <c r="O27" t="inlineStr">
        <is>
          <t>CoStar+RealPage</t>
        </is>
      </c>
      <c r="P27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8">
      <c r="A28" t="inlineStr">
        <is>
          <t>Union 93</t>
        </is>
      </c>
      <c r="B28" t="inlineStr">
        <is>
          <t>221-225 E Broadway Ave</t>
        </is>
      </c>
      <c r="C28" t="n">
        <v>350</v>
      </c>
      <c r="D28" t="n">
        <v>2026</v>
      </c>
      <c r="E28" t="inlineStr">
        <is>
          <t>Q3 2026</t>
        </is>
      </c>
      <c r="G28" t="inlineStr">
        <is>
          <t>UNDER CONSTRUCTION</t>
        </is>
      </c>
      <c r="H28" s="81" t="n"/>
      <c r="I28" s="81" t="n"/>
      <c r="J28" s="81" t="n"/>
      <c r="K28" s="82" t="n"/>
      <c r="L28" s="82" t="n"/>
      <c r="M28" s="82" t="n"/>
      <c r="N28" s="82" t="n"/>
      <c r="O28" t="inlineStr">
        <is>
          <t>CoStar+RealPage</t>
        </is>
      </c>
      <c r="P28" t="inlineStr"/>
    </row>
    <row r="29">
      <c r="A29" t="inlineStr">
        <is>
          <t>Ascent Overland</t>
        </is>
      </c>
      <c r="B29" t="inlineStr">
        <is>
          <t>11101 W Overland Rd</t>
        </is>
      </c>
      <c r="C29" t="n">
        <v>138</v>
      </c>
      <c r="D29" t="n">
        <v>2028</v>
      </c>
      <c r="E29" t="inlineStr">
        <is>
          <t>Q1 2029</t>
        </is>
      </c>
      <c r="G29" t="inlineStr">
        <is>
          <t>PROPOSED</t>
        </is>
      </c>
      <c r="H29" s="81" t="n"/>
      <c r="I29" s="81" t="n"/>
      <c r="J29" s="81" t="n"/>
      <c r="K29" s="82" t="n"/>
      <c r="L29" s="82" t="n"/>
      <c r="M29" s="82" t="n"/>
      <c r="N29" s="82" t="n"/>
      <c r="O29" t="inlineStr">
        <is>
          <t>CoStar</t>
        </is>
      </c>
      <c r="P29" t="inlineStr"/>
    </row>
    <row r="30">
      <c r="A30" t="inlineStr">
        <is>
          <t>The Gateway at Ten Mile</t>
        </is>
      </c>
      <c r="B30" t="inlineStr">
        <is>
          <t>2954 W Franklin Rd</t>
        </is>
      </c>
      <c r="C30" t="n">
        <v>390</v>
      </c>
      <c r="D30" t="n">
        <v>2027</v>
      </c>
      <c r="E30" t="inlineStr">
        <is>
          <t>Q4 2028</t>
        </is>
      </c>
      <c r="G30" t="inlineStr">
        <is>
          <t>PROPOSED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CoStar</t>
        </is>
      </c>
      <c r="P30" t="inlineStr"/>
    </row>
    <row r="31">
      <c r="A31" t="inlineStr">
        <is>
          <t>The Hummingbird</t>
        </is>
      </c>
      <c r="B31" t="inlineStr">
        <is>
          <t>60 N Cole Rd</t>
        </is>
      </c>
      <c r="C31" t="n">
        <v>200</v>
      </c>
      <c r="D31" t="n">
        <v>2028</v>
      </c>
      <c r="E31" t="inlineStr">
        <is>
          <t>Q3 2028</t>
        </is>
      </c>
      <c r="G31" t="inlineStr">
        <is>
          <t>PROPOSED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CoStar+RealPage</t>
        </is>
      </c>
      <c r="P31" t="inlineStr">
        <is>
          <t>Units: CoStar 200 vs RealPage 170</t>
        </is>
      </c>
    </row>
    <row r="32">
      <c r="A32" t="inlineStr">
        <is>
          <t>Victory Flats</t>
        </is>
      </c>
      <c r="B32" t="inlineStr">
        <is>
          <t>8373 West Victory Rd</t>
        </is>
      </c>
      <c r="C32" t="n">
        <v>301</v>
      </c>
      <c r="D32" t="n">
        <v>2027</v>
      </c>
      <c r="E32" t="inlineStr">
        <is>
          <t>Q3 2028</t>
        </is>
      </c>
      <c r="G32" t="inlineStr">
        <is>
          <t>PROPOSED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CoStar+RealPage</t>
        </is>
      </c>
      <c r="P32" t="inlineStr"/>
    </row>
    <row r="33">
      <c r="A33" t="inlineStr">
        <is>
          <t>Meridian OZ Apartments</t>
        </is>
      </c>
      <c r="B33" t="inlineStr">
        <is>
          <t>1475 E Franklin Rd</t>
        </is>
      </c>
      <c r="C33" t="n">
        <v>60</v>
      </c>
      <c r="G33" t="inlineStr">
        <is>
          <t>PROPOSED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CoStar+RealPage</t>
        </is>
      </c>
      <c r="P33" t="inlineStr"/>
    </row>
    <row r="34">
      <c r="A34" t="inlineStr">
        <is>
          <t>Cole Road</t>
        </is>
      </c>
      <c r="B34" t="inlineStr">
        <is>
          <t>709 N Cole Rd</t>
        </is>
      </c>
      <c r="C34" t="n">
        <v>61</v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RealPage</t>
        </is>
      </c>
      <c r="P34" t="inlineStr">
        <is>
          <t>RealPage pipeline (not yet in CoStar)</t>
        </is>
      </c>
    </row>
    <row r="35">
      <c r="A35" t="inlineStr">
        <is>
          <t>The 10</t>
        </is>
      </c>
      <c r="B35" t="inlineStr">
        <is>
          <t>75 S Ten Mile Rd</t>
        </is>
      </c>
      <c r="C35" t="n">
        <v>559</v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RealPage</t>
        </is>
      </c>
      <c r="P35" t="inlineStr">
        <is>
          <t>RealPage pipeline (not yet in CoStar)</t>
        </is>
      </c>
    </row>
    <row r="36">
      <c r="A36" t="inlineStr">
        <is>
          <t>The Cole Denton</t>
        </is>
      </c>
      <c r="B36" t="inlineStr">
        <is>
          <t>580 N Cole Rd</t>
        </is>
      </c>
      <c r="C36" t="n">
        <v>136</v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RealPage</t>
        </is>
      </c>
      <c r="P36" t="inlineStr">
        <is>
          <t>RealPage pipeline (not yet in CoStar)</t>
        </is>
      </c>
    </row>
    <row r="37">
      <c r="A37" t="inlineStr">
        <is>
          <t>Madison Town Square</t>
        </is>
      </c>
      <c r="B37" t="inlineStr">
        <is>
          <t>460 N Milwaukee St</t>
        </is>
      </c>
      <c r="C37" t="n">
        <v>251</v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RealPage</t>
        </is>
      </c>
      <c r="P37" t="inlineStr">
        <is>
          <t>RealPage pipeline (not yet in CoStar)</t>
        </is>
      </c>
    </row>
    <row r="38">
      <c r="A38" t="inlineStr">
        <is>
          <t>Centrepoint</t>
        </is>
      </c>
      <c r="B38" t="inlineStr">
        <is>
          <t>3100 N Centrepoint Way</t>
        </is>
      </c>
      <c r="C38" t="n">
        <v>213</v>
      </c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/>
      <c r="N38" s="82" t="n"/>
      <c r="O38" t="inlineStr">
        <is>
          <t>RealPage</t>
        </is>
      </c>
      <c r="P38" t="inlineStr">
        <is>
          <t>RealPage pipeline (not yet in CoStar)</t>
        </is>
      </c>
    </row>
    <row r="39">
      <c r="A39" t="inlineStr">
        <is>
          <t>Record</t>
        </is>
      </c>
      <c r="B39" t="inlineStr">
        <is>
          <t>E Fairview Ave &amp; N Records Way</t>
        </is>
      </c>
      <c r="C39" t="n">
        <v>472</v>
      </c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RealPage</t>
        </is>
      </c>
      <c r="P39" t="inlineStr">
        <is>
          <t>RealPage pipeline (not yet in CoStar)</t>
        </is>
      </c>
    </row>
    <row r="40">
      <c r="A40" t="inlineStr">
        <is>
          <t>Villas at Twelve Oaks East</t>
        </is>
      </c>
      <c r="B40" t="inlineStr">
        <is>
          <t>115 S Linder Rd</t>
        </is>
      </c>
      <c r="C40" t="n">
        <v>64</v>
      </c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RealPage</t>
        </is>
      </c>
      <c r="P40" t="inlineStr">
        <is>
          <t>RealPage pipeline (not yet in CoStar)</t>
        </is>
      </c>
    </row>
    <row r="41">
      <c r="A41" t="inlineStr">
        <is>
          <t>10975 West Lake Hazel Road</t>
        </is>
      </c>
      <c r="B41" t="inlineStr">
        <is>
          <t>10975 W Lake Hazel Rd</t>
        </is>
      </c>
      <c r="C41" t="n">
        <v>130</v>
      </c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RealPage</t>
        </is>
      </c>
      <c r="P41" t="inlineStr">
        <is>
          <t>RealPage pipeline (not yet in CoStar)</t>
        </is>
      </c>
    </row>
    <row r="42">
      <c r="A42" t="inlineStr">
        <is>
          <t>Cobalt Point</t>
        </is>
      </c>
      <c r="B42" t="inlineStr">
        <is>
          <t>S Cobalt Point Way &amp; E Copper Point Dr</t>
        </is>
      </c>
      <c r="C42" t="n">
        <v>264</v>
      </c>
      <c r="G42" t="inlineStr">
        <is>
          <t>PROPOSED</t>
        </is>
      </c>
      <c r="H42" s="81" t="n"/>
      <c r="I42" s="81" t="n"/>
      <c r="J42" s="81" t="n"/>
      <c r="K42" s="82" t="n"/>
      <c r="L42" s="82" t="n"/>
      <c r="M42" s="82" t="n"/>
      <c r="N42" s="82" t="n"/>
      <c r="O42" t="inlineStr">
        <is>
          <t>RealPage</t>
        </is>
      </c>
      <c r="P42" t="inlineStr">
        <is>
          <t>RealPage pipeline (not yet in CoStar)</t>
        </is>
      </c>
    </row>
    <row r="43">
      <c r="A43" t="inlineStr">
        <is>
          <t>Promenade Cottages I</t>
        </is>
      </c>
      <c r="B43" t="inlineStr">
        <is>
          <t>403 E Fairview Ave</t>
        </is>
      </c>
      <c r="C43" t="n">
        <v>30</v>
      </c>
      <c r="G43" t="inlineStr">
        <is>
          <t>PROPOSED</t>
        </is>
      </c>
      <c r="H43" s="81" t="n"/>
      <c r="I43" s="81" t="n"/>
      <c r="J43" s="81" t="n"/>
      <c r="K43" s="82" t="n"/>
      <c r="L43" s="82" t="n"/>
      <c r="M43" s="82" t="n"/>
      <c r="N43" s="82" t="n"/>
      <c r="O43" t="inlineStr">
        <is>
          <t>RealPage</t>
        </is>
      </c>
      <c r="P43" t="inlineStr">
        <is>
          <t>Units: CoStar 90 vs RealPage 90; RealPage pipeline (not yet in CoStar); RealPage only (sub-50 unit)</t>
        </is>
      </c>
    </row>
    <row r="44">
      <c r="A44" t="inlineStr">
        <is>
          <t>12548 West Overland Road</t>
        </is>
      </c>
      <c r="B44" t="inlineStr">
        <is>
          <t>12548 W Overland Rd</t>
        </is>
      </c>
      <c r="C44" t="n">
        <v>156</v>
      </c>
      <c r="G44" t="inlineStr">
        <is>
          <t>PROPOSED</t>
        </is>
      </c>
      <c r="H44" s="81" t="n"/>
      <c r="I44" s="81" t="n"/>
      <c r="J44" s="81" t="n"/>
      <c r="K44" s="82" t="n"/>
      <c r="L44" s="82" t="n"/>
      <c r="M44" s="82" t="n"/>
      <c r="N44" s="82" t="n"/>
      <c r="O44" t="inlineStr">
        <is>
          <t>RealPage</t>
        </is>
      </c>
      <c r="P44" t="inlineStr">
        <is>
          <t>RealPage pipeline (not yet in CoStar)</t>
        </is>
      </c>
    </row>
    <row r="45">
      <c r="A45" t="inlineStr">
        <is>
          <t>12565 West Fairview Avenue</t>
        </is>
      </c>
      <c r="B45" t="inlineStr">
        <is>
          <t>12565 W Fairview Ave</t>
        </is>
      </c>
      <c r="C45" t="n">
        <v>275</v>
      </c>
      <c r="G45" t="inlineStr">
        <is>
          <t>PROPOSED</t>
        </is>
      </c>
      <c r="H45" s="81" t="n"/>
      <c r="I45" s="81" t="n"/>
      <c r="J45" s="81" t="n"/>
      <c r="K45" s="82" t="n"/>
      <c r="L45" s="82" t="n"/>
      <c r="M45" s="82" t="n"/>
      <c r="N45" s="82" t="n"/>
      <c r="O45" t="inlineStr">
        <is>
          <t>RealPage</t>
        </is>
      </c>
      <c r="P45" t="inlineStr">
        <is>
          <t>RealPage pipeline (not yet in CoStar)</t>
        </is>
      </c>
    </row>
    <row r="46">
      <c r="A46" t="inlineStr">
        <is>
          <t>Syringa Crossing</t>
        </is>
      </c>
      <c r="B46" t="inlineStr">
        <is>
          <t>Amity Ave &amp; Meridian Rd</t>
        </is>
      </c>
      <c r="C46" t="n">
        <v>322</v>
      </c>
      <c r="G46" t="inlineStr">
        <is>
          <t>PROPOSED</t>
        </is>
      </c>
      <c r="H46" s="81" t="n"/>
      <c r="I46" s="81" t="n"/>
      <c r="J46" s="81" t="n"/>
      <c r="K46" s="82" t="n"/>
      <c r="L46" s="82" t="n"/>
      <c r="M46" s="82" t="n"/>
      <c r="N46" s="82" t="n"/>
      <c r="O46" t="inlineStr">
        <is>
          <t>RealPage</t>
        </is>
      </c>
      <c r="P46" t="inlineStr">
        <is>
          <t>RealPage pipeline (not yet in CoStar)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Meridian OZ Apartments</t>
        </is>
      </c>
      <c r="C4" s="84" t="n"/>
      <c r="D4" s="84" t="n"/>
      <c r="E4" s="43" t="n"/>
      <c r="F4" s="43" t="n"/>
      <c r="G4" s="43" t="inlineStr">
        <is>
          <t>Land-use dossier SM-155: CUP H-2022-0073 for 60 units (30x1BR + 30x2BR) at ~25 du/ac in R-40 at Franklin &amp; Locust Grove; final approval unconfirmed, not built. Keep as proposed; timing unknown.</t>
        </is>
      </c>
      <c r="H4" s="43" t="inlineStr">
        <is>
          <t>https://boisedev.com/news/2023/01/23/meridian-oz-apartments/</t>
        </is>
      </c>
    </row>
    <row r="5">
      <c r="B5" s="43" t="inlineStr">
        <is>
          <t>Syringa Crossing</t>
        </is>
      </c>
      <c r="C5" s="84" t="n"/>
      <c r="D5" s="84" t="n"/>
      <c r="E5" s="43" t="n"/>
      <c r="F5" s="43" t="n"/>
      <c r="G5" s="43" t="inlineStr">
        <is>
          <t>Land-use dossier SM-12: Hawkins Companies' proposal on E Amity Rd near S Meridian Rd (~400 homes + grocery) is contested — Meridian council skeptical, application remanded (Apr 2026). Delivery timing highly uncertain; treat as Bear-case supply.</t>
        </is>
      </c>
      <c r="H5" s="43" t="inlineStr">
        <is>
          <t>https://boisedev.com/news/2026/04/09/meridian-skeptical-of-project-proposing-400-homes-grocery-store</t>
        </is>
      </c>
    </row>
    <row r="7">
      <c r="B7" s="83" t="inlineStr">
        <is>
          <t>SHADOW SUPPLY (latent / untracked — watch list)</t>
        </is>
      </c>
    </row>
    <row r="8">
      <c r="B8" s="50" t="inlineStr">
        <is>
          <t>Property / Site</t>
        </is>
      </c>
      <c r="C8" s="50" t="inlineStr">
        <is>
          <t>Units</t>
        </is>
      </c>
      <c r="D8" s="50" t="inlineStr">
        <is>
          <t>Est. Delivery</t>
        </is>
      </c>
      <c r="E8" s="50" t="inlineStr">
        <is>
          <t>Status</t>
        </is>
      </c>
      <c r="F8" s="50" t="inlineStr">
        <is>
          <t>Leasing Pace</t>
        </is>
      </c>
      <c r="G8" s="50" t="inlineStr">
        <is>
          <t>Notes</t>
        </is>
      </c>
      <c r="H8" s="50" t="inlineStr">
        <is>
          <t>Source</t>
        </is>
      </c>
    </row>
    <row r="9">
      <c r="B9" s="43" t="inlineStr">
        <is>
          <t>Emblem Meridian (Quarterra) / Artisan Victory Market site</t>
        </is>
      </c>
      <c r="C9" s="84" t="inlineStr">
        <is>
          <t>250</t>
        </is>
      </c>
      <c r="D9" s="84" t="n"/>
      <c r="E9" s="43" t="n"/>
      <c r="F9" s="43" t="n"/>
      <c r="G9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9" s="43" t="inlineStr">
        <is>
          <t>https://boisedev.com/news/2026/06/10/meridian-emblem-victory-eagle-homes-apartment/</t>
        </is>
      </c>
    </row>
    <row r="10">
      <c r="B10" s="43" t="inlineStr">
        <is>
          <t>Tanner Creek apartments (Waltman/Johnson Ln)</t>
        </is>
      </c>
      <c r="C10" s="84" t="inlineStr">
        <is>
          <t>280</t>
        </is>
      </c>
      <c r="D10" s="84" t="n"/>
      <c r="E10" s="43" t="n"/>
      <c r="F10" s="43" t="n"/>
      <c r="G10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CoStar/RealPage pipeline.</t>
        </is>
      </c>
      <c r="H10" s="43" t="inlineStr">
        <is>
          <t>https://boisedev.com/news/2023/11/28/plans-for-two-large-developments-off-i-84-and-meridian-rd-move-forward/</t>
        </is>
      </c>
    </row>
    <row r="11">
      <c r="B11" s="43" t="inlineStr">
        <is>
          <t>Graycliff Estates R-40 block</t>
        </is>
      </c>
      <c r="C11" s="84" t="inlineStr">
        <is>
          <t>224</t>
        </is>
      </c>
      <c r="D11" s="84" t="n"/>
      <c r="E11" s="43" t="n"/>
      <c r="F11" s="43" t="n"/>
      <c r="G11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11" s="43" t="inlineStr">
        <is>
          <t>https://www.weknowboise.com/graycliff-estates.php</t>
        </is>
      </c>
    </row>
    <row r="12">
      <c r="B12" s="43" t="inlineStr">
        <is>
          <t>Touchmark Meadow Lake Village expansion</t>
        </is>
      </c>
      <c r="C12" s="84" t="n"/>
      <c r="D12" s="84" t="n"/>
      <c r="E12" s="43" t="n"/>
      <c r="F12" s="43" t="n"/>
      <c r="G12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12" s="43" t="inlineStr">
        <is>
          <t>https://boisedev.com/news/2025/07/14/touchmark-meridian-meadowlake-mixed-use/</t>
        </is>
      </c>
    </row>
    <row r="13">
      <c r="B13" s="43" t="inlineStr">
        <is>
          <t>Ten Mile Crossing residual HDR parcels</t>
        </is>
      </c>
      <c r="C13" s="84" t="n"/>
      <c r="D13" s="84" t="n"/>
      <c r="E13" s="43" t="n"/>
      <c r="F13" s="43" t="n"/>
      <c r="G13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</t>
        </is>
      </c>
      <c r="H13" s="43" t="inlineStr">
        <is>
          <t>https://www.brighton.co/brighton-place/ten-mile-crossing/</t>
        </is>
      </c>
    </row>
    <row r="14">
      <c r="B14" s="43" t="inlineStr">
        <is>
          <t>Brighton Apex R-15 parcel (Lake Hazel)</t>
        </is>
      </c>
      <c r="C14" s="84" t="n"/>
      <c r="D14" s="84" t="n"/>
      <c r="E14" s="43" t="n"/>
      <c r="F14" s="43" t="n"/>
      <c r="G14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14" s="43" t="inlineStr">
        <is>
          <t>https://boisedev.com/news/2024/12/20/brighton-pinnacle-costco-meridian/</t>
        </is>
      </c>
    </row>
    <row r="15">
      <c r="B15" s="43" t="inlineStr">
        <is>
          <t>Outer Banks Subdivision (TM Creek / Cobalt Dr)</t>
        </is>
      </c>
      <c r="C15" s="84" t="n"/>
      <c r="D15" s="84" t="n"/>
      <c r="E15" s="43" t="n"/>
      <c r="F15" s="43" t="n"/>
      <c r="G15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Cobalt Point / The 10 pipeline deals.</t>
        </is>
      </c>
      <c r="H15" s="43" t="inlineStr">
        <is>
          <t>https://boisedev.com/news/2021/12/17/outer-banks-pera-place/</t>
        </is>
      </c>
    </row>
  </sheetData>
  <mergeCells count="2">
    <mergeCell ref="B2:H2"/>
    <mergeCell ref="B7:H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2026-07-15T21:54:05Z</dcterms:created>
  <dcterms:modified xsi:type="dcterms:W3CDTF">2026-07-15T21:54:05Z</dcterms:modified>
</cp:coreProperties>
</file>