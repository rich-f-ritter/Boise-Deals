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(4 properties, 661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Centrepoint</t>
        </is>
      </c>
      <c r="D40" s="19" t="n">
        <v>213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Privately Owned</t>
        </is>
      </c>
      <c r="I40" s="22" t="n">
        <v>2.9</v>
      </c>
      <c r="J40" s="17" t="inlineStr">
        <is>
          <t>Mid-Rise</t>
        </is>
      </c>
      <c r="K40" s="18" t="inlineStr">
        <is>
          <t>RealPage pipeline (not yet in CoStar); Diligence: under construction - revived; permits issuing 2026</t>
        </is>
      </c>
      <c r="M40">
        <f>IFERROR(VALUE(RIGHT(E40,4))*4+MATCH(LEFT(E40,2),{"Q1","Q2","Q3","Q4"},0)-1,"")</f>
        <v/>
      </c>
    </row>
    <row r="41"/>
    <row r="42">
      <c r="B42" s="23" t="n"/>
      <c r="C42" s="83" t="inlineStr">
        <is>
          <t>PROPOSED (16 properties, 4,494 units)</t>
        </is>
      </c>
    </row>
    <row r="43">
      <c r="B43" s="24" t="n">
        <v>32</v>
      </c>
      <c r="C43" s="25" t="inlineStr">
        <is>
          <t>Outer Banks Apartments</t>
        </is>
      </c>
      <c r="D43" s="26" t="n">
        <v>516</v>
      </c>
      <c r="E43" s="24" t="inlineStr">
        <is>
          <t>Q4 2027</t>
        </is>
      </c>
      <c r="F43" s="27" t="n"/>
      <c r="G43" s="28" t="inlineStr">
        <is>
          <t>—</t>
        </is>
      </c>
      <c r="H43" s="25" t="inlineStr">
        <is>
          <t>Elk Ventures</t>
        </is>
      </c>
      <c r="I43" s="29" t="n">
        <v>3.3</v>
      </c>
      <c r="J43" s="24" t="inlineStr">
        <is>
          <t>Garden</t>
        </is>
      </c>
      <c r="K43" s="25" t="inlineStr">
        <is>
          <t>Audit find Aug 2026: 2024 CUP (364 apts/126 flats/26 TH, 19.34 ac R-40/C-C, SW Franklin &amp; Ten Mile); groundbreaking expected 2026, first units summer 2027 (Statesman); Diligence: proposed - near-UC</t>
        </is>
      </c>
      <c r="M43">
        <f>IFERROR(VALUE(RIGHT(E43,4))*4+MATCH(LEFT(E43,2),{"Q1","Q2","Q3","Q4"},0)-1,"")</f>
        <v/>
      </c>
    </row>
    <row r="44">
      <c r="B44" s="24" t="n">
        <v>33</v>
      </c>
      <c r="C44" s="25" t="inlineStr">
        <is>
          <t>Vanguard Village</t>
        </is>
      </c>
      <c r="D44" s="26" t="n">
        <v>552</v>
      </c>
      <c r="E44" s="24" t="inlineStr">
        <is>
          <t>Q1 2028</t>
        </is>
      </c>
      <c r="F44" s="27" t="n"/>
      <c r="G44" s="28" t="inlineStr">
        <is>
          <t>—</t>
        </is>
      </c>
      <c r="H44" s="25" t="inlineStr">
        <is>
          <t>Endurance Holdings / Challenger Development (CBH)</t>
        </is>
      </c>
      <c r="I44" s="29" t="n">
        <v>4.3</v>
      </c>
      <c r="J44" s="24" t="inlineStr">
        <is>
          <t>Mid-Rise</t>
        </is>
      </c>
      <c r="K44" s="25" t="inlineStr">
        <is>
          <t>Moved from UC to PROPOSED (analyst call Aug 2026): CoStar carries it UC (Q1 2028) but no C-MULTI permit found in Meridian public reports and no groundbreaking press. Developer: Endurance Holdings/Challenger Development (CBH org); ex-"Vanguard Commons" 432u (2022).</t>
        </is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Analyst-sourced deal (not in CoStar/RealPage); Diligence: proposed - announced Jul 13 2026; Union 93 skeleton repurposed</t>
        </is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RealPage pipeline (not yet in CoStar); Diligence: proposed - refiled May/Jun 2026 as 6-story, raised to 224 units (BoiseDev 7/27/26; PLN26-00493)</t>
        </is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Analyst-sourced deal (not in CoStar/RealPage); Diligence: proposed</t>
        </is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RealPage pipeline (not yet in CoStar); Diligence: proposed - stalled; CUP likely lapsed - Brighton silent 4+ years</t>
        </is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Diligence: proposed - long-dated; residential 5-7 yrs out per developer</t>
        </is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RealPage pipeline (not yet in CoStar); Diligence: proposed - remanded; revised 302u CUP (15.23 ac R-40) re-heard P&amp;Z 8/6/2026, outcome unpublished</t>
        </is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Diligence: proposed - stalled; Jan 2024 start extension lapsed unbuilt</t>
        </is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RealPage pipeline (not yet in CoStar); Diligence: proposed - stalled; pre-application only - silent since Apr 2025</t>
        </is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(H-2024-0071 CUP)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Analyst-sourced; Diligence: proposed. 270u CUP (two bldgs, 6.28 ac C-G, height exception) in the Pine 43 expansion approved 10/21/2025, E Pine Ave betw Locust Grove &amp; Hickory. DISTINCT from built Dovetail (#15, 1350 N Webb Way) in the same master plan; same MDA also allows up to 604 VI units (shadow row).</t>
        </is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Quarterra</t>
        </is>
      </c>
      <c r="I55" s="29" t="n">
        <v>1</v>
      </c>
      <c r="J55" s="24" t="inlineStr">
        <is>
          <t>Garden</t>
        </is>
      </c>
      <c r="K55" s="25" t="inlineStr">
        <is>
          <t>Analyst-sourced (not in CoStar/RealPage); Diligence: proposed - formal early plans filed June 2026; 250u (apts+TH) on ~13 ac R-15, N of Eagle &amp; Victory; ex-Artisan Victory Market site; nearest live MF application to subject</t>
        </is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1.1</v>
      </c>
      <c r="J56" s="24" t="inlineStr">
        <is>
          <t>Mid-Rise</t>
        </is>
      </c>
      <c r="K56" s="25" t="inlineStr">
        <is>
          <t>RealPage pipeline (not yet in CoStar); Diligence: proposed - stalled; PUD likely lapsed ~Mar 2026 - RV storage still operating</t>
        </is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—</t>
        </is>
      </c>
      <c r="I57" s="29" t="n">
        <v>1.5</v>
      </c>
      <c r="J57" s="24" t="inlineStr">
        <is>
          <t>Mid-Rise</t>
        </is>
      </c>
      <c r="K57" s="25" t="inlineStr">
        <is>
          <t>Diligence: proposed - stalled; entitled site for sale via CBRE at $5.0M</t>
        </is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25" t="inlineStr">
        <is>
          <t>Peak Capital Investments Llc</t>
        </is>
      </c>
      <c r="I58" s="29" t="n">
        <v>1.1</v>
      </c>
      <c r="J58" s="24" t="inlineStr">
        <is>
          <t>Garden</t>
        </is>
      </c>
      <c r="K58" s="25" t="inlineStr">
        <is>
          <t>Diligence: proposed - stalled; downsized to 36u Oct 2024 - entitled site listed then off-market</t>
        </is>
      </c>
      <c r="M58">
        <f>IFERROR(VALUE(RIGHT(E58,4))*4+MATCH(LEFT(E58,2),{"Q1","Q2","Q3","Q4"},0)-1,"")</f>
        <v/>
      </c>
    </row>
    <row r="59"/>
    <row r="60"/>
    <row r="61">
      <c r="B61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36:K36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Analysis'!C37</f>
        <v/>
      </c>
      <c r="S6" s="38">
        <f>'Competitive Analysis'!D37</f>
        <v/>
      </c>
      <c r="T6" s="39">
        <f>'Competitive Analysis'!E37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Analysis'!C39</f>
        <v/>
      </c>
      <c r="S8" s="38">
        <f>'Competitive Analysis'!D39</f>
        <v/>
      </c>
      <c r="T8" s="39">
        <f>'Competitive Analysis'!E39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 t="inlineStr"/>
      <c r="S9" s="38" t="inlineStr"/>
      <c r="T9" s="39" t="inlineStr"/>
      <c r="V9" t="inlineStr"/>
      <c r="W9" t="inlineStr"/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SUMIFS($S$5:$S$9,$W$5:$W$9,1)+SUMIFS($S$13:$S$28,$W$13:$W$28,1,$X$13:$X$28,1)</f>
        <v/>
      </c>
      <c r="K19" s="47">
        <f>SUMIFS($S$5:$S$9,$W$5:$W$9,2)+SUMIFS($S$13:$S$28,$W$13:$W$28,2,$X$13:$X$28,1)</f>
        <v/>
      </c>
      <c r="L19" s="47">
        <f>SUMIFS($S$5:$S$9,$W$5:$W$9,3)+SUMIFS($S$13:$S$28,$W$13:$W$28,3,$X$13:$X$28,1)</f>
        <v/>
      </c>
      <c r="M19" s="47">
        <f>SUMIFS($S$5:$S$9,$W$5:$W$9,4)+SUMIFS($S$13:$S$28,$W$13:$W$28,4,$X$13:$X$28,1)</f>
        <v/>
      </c>
      <c r="N19" s="47">
        <f>SUMIFS($S$5:$S$9,$W$5:$W$9,5)+SUMIFS($S$13:$S$28,$W$13:$W$28,5,$X$13:$X$28,1)</f>
        <v/>
      </c>
      <c r="O19" s="47">
        <f>SUMIFS($S$5:$S$9,$W$5:$W$9,6)+SUMIFS($S$13:$S$28,$W$13:$W$28,6,$X$13:$X$28,1)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inlineStr">
        <is>
          <t>Outer Banks Apartments</t>
        </is>
      </c>
      <c r="S26" s="38" t="n">
        <v>516</v>
      </c>
      <c r="T26" s="43" t="inlineStr">
        <is>
          <t>Q4 2027</t>
        </is>
      </c>
      <c r="U26" s="43" t="inlineStr">
        <is>
          <t>Bear+Base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  <c r="R28" s="37" t="inlineStr">
        <is>
          <t>Vanguard Village</t>
        </is>
      </c>
      <c r="S28" s="38" t="n">
        <v>552</v>
      </c>
      <c r="T28" s="43" t="inlineStr">
        <is>
          <t>Q1 2028</t>
        </is>
      </c>
      <c r="U28" s="43" t="inlineStr">
        <is>
          <t>Bear+Base</t>
        </is>
      </c>
      <c r="V28">
        <f>IFERROR(VALUE(RIGHT(T28,4))*4+MATCH(LEFT(T28,2),{"Q1","Q2","Q3","Q4"},0)-1,"")</f>
        <v/>
      </c>
      <c r="W28">
        <f>IF(V28="","",IF(V28&lt;=$Z$1,0,MAX(1,INT((V28-$Z$2)/4)+1)))</f>
        <v/>
      </c>
      <c r="X28">
        <f>IF(U28="All",1,IF(U28="Bear+Base",IF($Z$3&gt;=2,1,0),IF(U28="Bear only",IF($Z$3&gt;=3,1,0),0)))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661 / 552 (Vanguard 552u moved to Proposed pending permit verification)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PROPOSED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  <c r="P29" t="inlineStr">
        <is>
          <t>Aug 2026: developer = Endurance Holdings/Challenger (CBH); ex-Vanguard Commons 432u (2022); CoStar UC flag unconfirmed by city permit record — verify | Moved UC→PROPOSED Aug 2026 (permit unverified)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78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1"/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1"/>
    <row r="32">
      <c r="B32" s="37" t="inlineStr">
        <is>
          <t>Outer Banks Apartments</t>
        </is>
      </c>
      <c r="C32" s="87" t="n"/>
      <c r="D32" s="87" t="n"/>
      <c r="E32" s="87" t="n"/>
      <c r="F32" s="87" t="n"/>
      <c r="G32" s="87" t="n"/>
      <c r="H32" s="88" t="n"/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37" t="inlineStr">
        <is>
          <t>PROMOTED from shadow watch Aug 2026 (user call: it is a live proposal). Quarterra "Emblem Meridian" 250 units (apartments + TH) on ~13 ac R-15, N of Eagle &amp; Victory — ex-Artisan Victory Market site (H-2022-0066 131u BTR approved 2023, never built). Formal early plans filed June 2026 per BoiseDev 6/10/26; no hearing date yet. Nearest live MF application to the subject (1.0 mi, same Eagle Rd corridor).</t>
        </is>
      </c>
      <c r="H34" s="37" t="inlineStr">
        <is>
          <t>https://boisedev.com/news/2026/06/10/meridian-emblem-victory-eagle-homes-apartment/</t>
        </is>
      </c>
    </row>
    <row r="35">
      <c r="B35" s="37" t="inlineStr">
        <is>
          <t>Vanguard Village</t>
        </is>
      </c>
      <c r="C35" s="77" t="n">
        <v>552</v>
      </c>
      <c r="D35" s="77" t="inlineStr">
        <is>
          <t>Q1 2028</t>
        </is>
      </c>
      <c r="E35" s="37" t="inlineStr">
        <is>
          <t>proposed - moved from UC (analyst call): CoStar UC flag unconfirmed by permits</t>
        </is>
      </c>
      <c r="F35" s="37" t="n"/>
      <c r="G35" s="37" t="inlineStr">
        <is>
          <t>AUG 2026: Developer identified = Endurance Holdings LLC + Challenger Development Inc (Corey Barton / CBH Homes org; same family as Yellowstone #16). Filed 2022 as "Vanguard Commons" (432u: 3-story apts + 2-story TH, 760-1,690 SF); DA amendment hearings into Sept 2024; CoStar now carries 552u UC / Q1 2028 — and its whole 5-mi UC series equals this one deal (552u), implying observed construction. BUT no C-MULTI permit for 1085 S Ten Mile appears in Meridian public permit reports 2025-26 (only unrelated commercial on Vanguard Way) and no groundbreaking press. Verify with Meridian Building or site visit before relying on delivery timing.</t>
        </is>
      </c>
      <c r="H35" s="37" t="inlineStr">
        <is>
          <t>https://boisedev.com/news/2022/08/01/vanguard-commons-meridian/</t>
        </is>
      </c>
    </row>
    <row r="36">
      <c r="B36" s="86" t="inlineStr">
        <is>
          <t>SHADOW SUPPLY (latent / untracked — watch list)</t>
        </is>
      </c>
    </row>
    <row r="37">
      <c r="B37" s="44" t="inlineStr">
        <is>
          <t>Property / Site</t>
        </is>
      </c>
      <c r="C37" s="44" t="inlineStr">
        <is>
          <t>Units</t>
        </is>
      </c>
      <c r="D37" s="44" t="inlineStr">
        <is>
          <t>Est. Delivery</t>
        </is>
      </c>
      <c r="E37" s="44" t="inlineStr">
        <is>
          <t>Status</t>
        </is>
      </c>
      <c r="F37" s="44" t="inlineStr">
        <is>
          <t>Leasing Pace</t>
        </is>
      </c>
      <c r="G37" s="44" t="inlineStr">
        <is>
          <t>Notes</t>
        </is>
      </c>
      <c r="H37" s="44" t="inlineStr">
        <is>
          <t>Source</t>
        </is>
      </c>
    </row>
    <row r="38">
      <c r="B38" s="37" t="inlineStr">
        <is>
          <t>Emblem Meridian (Quarterra) / Artisan Victory Market site</t>
        </is>
      </c>
      <c r="C38" s="77" t="inlineStr">
        <is>
          <t>250</t>
        </is>
      </c>
      <c r="D38" s="77" t="n"/>
      <c r="E38" s="37" t="n"/>
      <c r="F38" s="37" t="n"/>
      <c r="G38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8" s="37" t="inlineStr">
        <is>
          <t>https://boisedev.com/news/2026/06/10/meridian-emblem-victory-eagle-homes-apartment/</t>
        </is>
      </c>
    </row>
    <row r="39">
      <c r="B39" s="37" t="inlineStr">
        <is>
          <t>Tanner Creek apartments (Waltman/Johnson Ln)</t>
        </is>
      </c>
      <c r="C39" s="77" t="inlineStr">
        <is>
          <t>280</t>
        </is>
      </c>
      <c r="D39" s="77" t="n"/>
      <c r="E39" s="37" t="n"/>
      <c r="F39" s="37" t="n"/>
      <c r="G39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9" s="37" t="inlineStr">
        <is>
          <t>https://boisedev.com/news/2023/11/28/plans-for-two-large-developments-off-i-84-and-meridian-rd-move-forward/</t>
        </is>
      </c>
    </row>
    <row r="40">
      <c r="B40" s="37" t="inlineStr">
        <is>
          <t>Graycliff Estates R-40 block</t>
        </is>
      </c>
      <c r="C40" s="77" t="inlineStr">
        <is>
          <t>224</t>
        </is>
      </c>
      <c r="D40" s="77" t="n"/>
      <c r="E40" s="37" t="n"/>
      <c r="F40" s="37" t="n"/>
      <c r="G40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40" s="37" t="inlineStr">
        <is>
          <t>https://www.weknowboise.com/graycliff-estates.php</t>
        </is>
      </c>
    </row>
    <row r="41">
      <c r="B41" s="37" t="inlineStr">
        <is>
          <t>Touchmark Meadow Lake Village expansion</t>
        </is>
      </c>
      <c r="C41" s="77" t="n"/>
      <c r="D41" s="77" t="n"/>
      <c r="E41" s="37" t="n"/>
      <c r="F41" s="37" t="n"/>
      <c r="G41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1" s="37" t="inlineStr">
        <is>
          <t>https://boisedev.com/news/2025/07/14/touchmark-meridian-meadowlake-mixed-use/</t>
        </is>
      </c>
    </row>
    <row r="42">
      <c r="B42" s="37" t="inlineStr">
        <is>
          <t>Ten Mile Crossing residual HDR parcels</t>
        </is>
      </c>
      <c r="C42" s="77" t="n"/>
      <c r="D42" s="77" t="n"/>
      <c r="E42" s="37" t="n"/>
      <c r="F42" s="37" t="n"/>
      <c r="G42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2" s="37" t="inlineStr">
        <is>
          <t>https://www.brighton.co/brighton-place/ten-mile-crossing/</t>
        </is>
      </c>
    </row>
    <row r="43">
      <c r="B43" s="37" t="inlineStr">
        <is>
          <t>Brighton Apex R-15 parcel (Lake Hazel)</t>
        </is>
      </c>
      <c r="C43" s="77" t="n"/>
      <c r="D43" s="77" t="n"/>
      <c r="E43" s="37" t="n"/>
      <c r="F43" s="37" t="n"/>
      <c r="G43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3" s="37" t="inlineStr">
        <is>
          <t>https://boisedev.com/news/2024/12/20/brighton-pinnacle-costco-meridian/</t>
        </is>
      </c>
    </row>
    <row r="44">
      <c r="B44" s="37" t="inlineStr">
        <is>
          <t>Outer Banks Subdivision (TM Creek / Cobalt Dr)</t>
        </is>
      </c>
      <c r="C44" s="77" t="n"/>
      <c r="D44" s="77" t="n"/>
      <c r="E44" s="37" t="n"/>
      <c r="F44" s="37" t="n"/>
      <c r="G44" s="37" t="inlineStr">
        <is>
          <t xml:space="preserve">PROMOTED Aug 2026 to pipeline row #33 "Outer Banks Apartments" (516u, groundbreaking expected 2026) — kept here for history. </t>
        </is>
      </c>
      <c r="H44" s="37" t="inlineStr">
        <is>
          <t>https://boisedev.com/news/2021/12/17/outer-banks-pera-place/</t>
        </is>
      </c>
    </row>
    <row r="45">
      <c r="B45" s="37" t="inlineStr">
        <is>
          <t>Grandview Communities (Lake Hazel &amp; Linder)</t>
        </is>
      </c>
      <c r="C45" s="77" t="inlineStr">
        <is>
          <t>130</t>
        </is>
      </c>
      <c r="D45" s="77" t="n"/>
      <c r="E45" s="37" t="n"/>
      <c r="F45" s="37" t="n"/>
      <c r="G45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5" s="37" t="inlineStr">
        <is>
          <t>https://boisedev.com/news/2025/07/07/hundreds-of-homes-apartments-planned-for-lake-hazel-and-linder/</t>
        </is>
      </c>
    </row>
    <row r="46">
      <c r="B46" s="37" t="inlineStr">
        <is>
          <t>Discovery project (Lake Hazel &amp; Locust Grove)</t>
        </is>
      </c>
      <c r="C46" s="77" t="inlineStr">
        <is>
          <t>200</t>
        </is>
      </c>
      <c r="D46" s="77" t="n"/>
      <c r="E46" s="37" t="n"/>
      <c r="F46" s="37" t="n"/>
      <c r="G46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6" s="37" t="inlineStr">
        <is>
          <t>https://boisedev.com/news/2024/04/12/200-apartments-meridian-discovery/</t>
        </is>
      </c>
    </row>
    <row r="47">
      <c r="B47" s="37" t="inlineStr">
        <is>
          <t>709 N Cole Rd (city land trust)</t>
        </is>
      </c>
      <c r="C47" s="77" t="n"/>
      <c r="D47" s="77" t="n"/>
      <c r="E47" s="37" t="n"/>
      <c r="F47" s="37" t="n"/>
      <c r="G47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7" s="37" t="inlineStr">
        <is>
          <t>https://boisedev.com/news/2026/06/01/709-cole-boise/</t>
        </is>
      </c>
    </row>
    <row r="48">
      <c r="B48" s="37" t="inlineStr">
        <is>
          <t>Aren east phase (verify)</t>
        </is>
      </c>
      <c r="C48" s="77" t="n"/>
      <c r="D48" s="77" t="n"/>
      <c r="E48" s="37" t="n"/>
      <c r="F48" s="37" t="n"/>
      <c r="G48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8" s="37" t="inlineStr">
        <is>
          <t>https://arenmeridian.com/</t>
        </is>
      </c>
    </row>
    <row r="49">
      <c r="B49" s="37" t="inlineStr">
        <is>
          <t>Murio Farms MF phases (SW Boise)</t>
        </is>
      </c>
      <c r="C49" s="77" t="n"/>
      <c r="D49" s="77" t="n"/>
      <c r="E49" s="37" t="n"/>
      <c r="F49" s="37" t="n"/>
      <c r="G49" s="37" t="inlineStr">
        <is>
          <t>AUDIT WATCH: 380-ac, 3,500-home master plan approved 2024 between Maple Grove &amp; Cole at the New York Canal; apartments in later phases (15-20 yr buildout) — long-dated only.</t>
        </is>
      </c>
      <c r="H49" s="37" t="inlineStr">
        <is>
          <t>https://www.ktvb.com/article/news/local/idaho-press/city-council-approves-murio-farms-3500-homes-southwest-boise/277-eb746dad-15bb-4c8e-868d-ca9d6c1e355e</t>
        </is>
      </c>
    </row>
    <row r="50">
      <c r="B50" s="37" t="inlineStr">
        <is>
          <t>Pine 43 VI residential (same MDA as the 270u CUP)</t>
        </is>
      </c>
      <c r="C50" s="77" t="n">
        <v>604</v>
      </c>
      <c r="D50" s="77" t="n"/>
      <c r="E50" s="37" t="n"/>
      <c r="F50" s="37" t="n"/>
      <c r="G50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50" s="37" t="inlineStr">
        <is>
          <t>https://boisedev.com/news/2025/10/22/large-urban-project-gets-green-light-from-meridian-city-council/</t>
        </is>
      </c>
    </row>
    <row r="51">
      <c r="B51" s="37" t="inlineStr">
        <is>
          <t>The District at Ten Mile (BVA + CenterCal principals)</t>
        </is>
      </c>
      <c r="C51" s="77" t="n">
        <v>1800</v>
      </c>
      <c r="D51" s="77" t="n"/>
      <c r="E51" s="37" t="n"/>
      <c r="F51" s="37" t="n"/>
      <c r="G51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1" s="37" t="inlineStr">
        <is>
          <t>https://idahobusinessreview.com/2026/06/22/district-at-ten-mile-meridian-development/</t>
        </is>
      </c>
    </row>
    <row r="52">
      <c r="B52" s="37" t="inlineStr">
        <is>
          <t>Modern Craftsman Franklin (Baron BTR, Franklin &amp; Black Cat)</t>
        </is>
      </c>
      <c r="C52" s="77" t="n">
        <v>122</v>
      </c>
      <c r="D52" s="77" t="n"/>
      <c r="E52" s="37" t="n"/>
      <c r="F52" s="37" t="n"/>
      <c r="G52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2" s="37" t="inlineStr">
        <is>
          <t>https://boisedev.com/news/2023/02/17/modern-craftsman-subdivision/</t>
        </is>
      </c>
    </row>
    <row r="53">
      <c r="B53" s="37" t="inlineStr">
        <is>
          <t>Kleiner Trust field (Fairview &amp; Eagle, 71.8 ac C-G)</t>
        </is>
      </c>
      <c r="C53" s="77" t="n"/>
      <c r="D53" s="77" t="n"/>
      <c r="E53" s="37" t="n"/>
      <c r="F53" s="37" t="n"/>
      <c r="G53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3" s="37" t="inlineStr">
        <is>
          <t>https://boisedev.com/news/2022/09/20/kleiner-eagle-fairview/</t>
        </is>
      </c>
    </row>
    <row r="54">
      <c r="B54" s="37" t="inlineStr">
        <is>
          <t>1780 E Overland Rd (5.4 ac ag-exempt C-G)</t>
        </is>
      </c>
      <c r="C54" s="77" t="n"/>
      <c r="D54" s="77" t="n"/>
      <c r="E54" s="37" t="n"/>
      <c r="F54" s="37" t="n"/>
      <c r="G54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4" s="37" t="inlineStr"/>
    </row>
    <row r="55">
      <c r="B55" s="37" t="inlineStr">
        <is>
          <t>1450 E Franklin Rd (12.8 ac ag-exempt C-G)</t>
        </is>
      </c>
      <c r="C55" s="77" t="n"/>
      <c r="D55" s="77" t="n"/>
      <c r="E55" s="37" t="n"/>
      <c r="F55" s="37" t="n"/>
      <c r="G55" s="37" t="inlineStr">
        <is>
          <t>AUG 2026 AUDIT: Was on LoopNet ("Northeast Meridian Land"), now delisted; no application (1.2 mi). Stalled 36u OZ project across the street signals weak small-MF economics.</t>
        </is>
      </c>
      <c r="H55" s="37" t="inlineStr"/>
    </row>
    <row r="56">
      <c r="B56" s="37" t="inlineStr">
        <is>
          <t>Latitude Forty Three (675/715/955 S Wells St — benign marker)</t>
        </is>
      </c>
      <c r="C56" s="77" t="n"/>
      <c r="D56" s="77" t="n"/>
      <c r="E56" s="37" t="n"/>
      <c r="F56" s="37" t="n"/>
      <c r="G56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6" s="37" t="inlineStr"/>
    </row>
    <row r="57"/>
    <row r="58">
      <c r="B58" s="86" t="inlineStr">
        <is>
          <t>SHOT-DOWN MF REGISTER (denied / withdrawn / expired / converted — 2015-2026 sweep, Aug 14 2026)</t>
        </is>
      </c>
    </row>
    <row r="59">
      <c r="B59" s="44" t="inlineStr">
        <is>
          <t>Project</t>
        </is>
      </c>
      <c r="C59" s="44" t="inlineStr">
        <is>
          <t>Units</t>
        </is>
      </c>
      <c r="D59" s="44" t="n"/>
      <c r="E59" s="44" t="inlineStr">
        <is>
          <t>Outcome / year</t>
        </is>
      </c>
      <c r="F59" s="44" t="n"/>
      <c r="G59" s="44" t="inlineStr">
        <is>
          <t>Notes</t>
        </is>
      </c>
      <c r="H59" s="44" t="inlineStr">
        <is>
          <t>Source</t>
        </is>
      </c>
    </row>
    <row r="60">
      <c r="B60" s="37" t="inlineStr">
        <is>
          <t>Overland &amp; Wells II / "Seasons at Meridian II" (H-2022-0030)</t>
        </is>
      </c>
      <c r="C60" s="77" t="n">
        <v>345</v>
      </c>
      <c r="D60" s="77" t="n"/>
      <c r="E60" s="37" t="inlineStr">
        <is>
          <t>DENIED Nov 2022</t>
        </is>
      </c>
      <c r="F60" s="37" t="n"/>
      <c r="G60" s="37" t="inlineStr">
        <is>
          <t>Touching parcel. Employment-land loss, failing intersections, MF over-concentration. WinCo owns; retail pads marketed. ~5% revival, earliest ~2030.</t>
        </is>
      </c>
      <c r="H60" s="37" t="inlineStr">
        <is>
          <t>meetings.municode.com MERIDIANID 11/9/2022</t>
        </is>
      </c>
    </row>
    <row r="61">
      <c r="B61" s="37" t="inlineStr">
        <is>
          <t>Andorra Senior Living (H-2019-0127) + 2021 assisted-living</t>
        </is>
      </c>
      <c r="C61" s="77" t="n">
        <v>164</v>
      </c>
      <c r="D61" s="77" t="n"/>
      <c r="E61" s="37" t="inlineStr">
        <is>
          <t>EXPIRED 2020 / DENIED 2021</t>
        </is>
      </c>
      <c r="F61" s="37" t="n"/>
      <c r="G61" s="37" t="inlineStr">
        <is>
          <t>Magic View enclave 0.3 mi: senior annexation approved 2019 but DA never signed; 2021 assisted-living denied. Site now in the for-sale Latitude 43 plat.</t>
        </is>
      </c>
      <c r="H61" s="37" t="inlineStr">
        <is>
          <t>Meridian records</t>
        </is>
      </c>
    </row>
    <row r="62">
      <c r="B62" s="37" t="inlineStr">
        <is>
          <t>Cobalt Point (H-2022-0042)</t>
        </is>
      </c>
      <c r="C62" s="77" t="n">
        <v>264</v>
      </c>
      <c r="D62" s="77" t="n"/>
      <c r="E62" s="37" t="inlineStr">
        <is>
          <t>WITHDRAWN Dec 2022</t>
        </is>
      </c>
      <c r="F62" s="37" t="n"/>
      <c r="G62" s="37" t="inlineStr">
        <is>
          <t>11.95-ac C-G at Copper Point/Cobalt Point Way (0.8 mi); never re-filed; land still vacant — entitled-once dirt, kept Low-Watch.</t>
        </is>
      </c>
      <c r="H62" s="37" t="inlineStr">
        <is>
          <t>Meridian records</t>
        </is>
      </c>
    </row>
    <row r="63">
      <c r="B63" s="37" t="inlineStr">
        <is>
          <t>Fairview Apartments (H-2023-0001)</t>
        </is>
      </c>
      <c r="C63" s="77" t="n">
        <v>150</v>
      </c>
      <c r="D63" s="77" t="n"/>
      <c r="E63" s="37" t="inlineStr">
        <is>
          <t>WITHDRAWN Jun 2023</t>
        </is>
      </c>
      <c r="F63" s="37" t="n"/>
      <c r="G63" s="37" t="inlineStr">
        <is>
          <t>1005 E Fairview; site re-tenanted as RV dealership Apr 2024.</t>
        </is>
      </c>
      <c r="H63" s="37" t="inlineStr">
        <is>
          <t>Meridian records</t>
        </is>
      </c>
    </row>
    <row r="64">
      <c r="B64" s="37" t="inlineStr">
        <is>
          <t>The 10 at Meridian (Elk Ventures)</t>
        </is>
      </c>
      <c r="C64" s="77" t="n">
        <v>559</v>
      </c>
      <c r="D64" s="77" t="n"/>
      <c r="E64" s="37" t="inlineStr">
        <is>
          <t>ABANDONED ~2024</t>
        </is>
      </c>
      <c r="F64" s="37" t="n"/>
      <c r="G64" s="37" t="inlineStr">
        <is>
          <t>SW Franklin &amp; Ten Mile; superseded by Gateway (#39) / Outer Banks (#33) — VERIFY footprint split.</t>
        </is>
      </c>
      <c r="H64" s="37" t="inlineStr">
        <is>
          <t>BoiseDev</t>
        </is>
      </c>
    </row>
    <row r="65">
      <c r="B65" s="37" t="inlineStr">
        <is>
          <t>Rolling Hill original plan</t>
        </is>
      </c>
      <c r="C65" s="77" t="n">
        <v>154</v>
      </c>
      <c r="D65" s="77" t="n"/>
      <c r="E65" s="37" t="inlineStr">
        <is>
          <t>DENIED 2024</t>
        </is>
      </c>
      <c r="F65" s="37" t="n"/>
      <c r="G65" s="37" t="inlineStr">
        <is>
          <t>First Assemble plan denied (county enclave); revised 200u APPROVED 5/19/2026 → row #37.</t>
        </is>
      </c>
      <c r="H65" s="37" t="inlineStr">
        <is>
          <t>BoiseDev 5/20/26</t>
        </is>
      </c>
    </row>
    <row r="66">
      <c r="B66" s="37" t="inlineStr">
        <is>
          <t>Madison Town Square</t>
        </is>
      </c>
      <c r="C66" s="77" t="n">
        <v>251</v>
      </c>
      <c r="D66" s="77" t="n"/>
      <c r="E66" s="37" t="inlineStr">
        <is>
          <t>WITHDRAWN Jun 2024</t>
        </is>
      </c>
      <c r="F66" s="37" t="n"/>
      <c r="G66" s="37" t="inlineStr">
        <is>
          <t>Old Sears site, 460 N Milwaukee (Boise); pulled; site for sale.</t>
        </is>
      </c>
      <c r="H66" s="37" t="inlineStr">
        <is>
          <t>BoiseDev</t>
        </is>
      </c>
    </row>
    <row r="67">
      <c r="B67" s="37" t="inlineStr">
        <is>
          <t>The Bridge at Village at Meridian</t>
        </is>
      </c>
      <c r="C67" s="77" t="n">
        <v>549</v>
      </c>
      <c r="D67" s="77" t="n"/>
      <c r="E67" s="37" t="inlineStr">
        <is>
          <t>ABANDONED Aug 2024</t>
        </is>
      </c>
      <c r="F67" s="37" t="n"/>
      <c r="G67" s="37" t="inlineStr">
        <is>
          <t>CenterCal dropped residential expansion "for lack of demand"; retail-only rebuild.</t>
        </is>
      </c>
      <c r="H67" s="37" t="inlineStr">
        <is>
          <t>BoiseDev 8/19/24</t>
        </is>
      </c>
    </row>
    <row r="68">
      <c r="B68" s="37" t="inlineStr">
        <is>
          <t>Lake Hazel &amp; Five Mile (Ada County)</t>
        </is>
      </c>
      <c r="C68" s="77" t="n">
        <v>128</v>
      </c>
      <c r="D68" s="77" t="n"/>
      <c r="E68" s="37" t="inlineStr">
        <is>
          <t>DENIED 2022 &amp; 2024</t>
        </is>
      </c>
      <c r="F68" s="37" t="n"/>
      <c r="G68" s="37" t="inlineStr">
        <is>
          <t>128u then 118u denied; 2025 commercial-only approved. Dead as MF.</t>
        </is>
      </c>
      <c r="H68" s="37" t="inlineStr">
        <is>
          <t>Ada County records</t>
        </is>
      </c>
    </row>
    <row r="69">
      <c r="B69" s="37" t="inlineStr">
        <is>
          <t>Centrepoint — Devco affordable (H-2024-0019)</t>
        </is>
      </c>
      <c r="C69" s="77" t="n">
        <v>239</v>
      </c>
      <c r="D69" s="77" t="n"/>
      <c r="E69" s="37" t="inlineStr">
        <is>
          <t>WITHDRAWN 2025</t>
        </is>
      </c>
      <c r="F69" s="37" t="n"/>
      <c r="G69" s="37" t="inlineStr">
        <is>
          <t>Affordable plan killed; superseded by 213u market-rate approval Dec 2025 → row #32.</t>
        </is>
      </c>
      <c r="H69" s="37" t="inlineStr">
        <is>
          <t>Meridian records</t>
        </is>
      </c>
    </row>
    <row r="70">
      <c r="B70" s="37" t="inlineStr">
        <is>
          <t>Newkirk (H-2024-0043)</t>
        </is>
      </c>
      <c r="C70" s="77" t="n">
        <v>216</v>
      </c>
      <c r="D70" s="77" t="n"/>
      <c r="E70" s="37" t="inlineStr">
        <is>
          <t>CONVERTED Feb 2025</t>
        </is>
      </c>
      <c r="F70" s="37" t="n"/>
      <c r="G70" s="37" t="inlineStr">
        <is>
          <t>Approved 216 apartments converted to 95 for-sale attached homes (Franklin &amp; Black Cat).</t>
        </is>
      </c>
      <c r="H70" s="37" t="inlineStr">
        <is>
          <t>BoiseDev 2/13/25</t>
        </is>
      </c>
    </row>
    <row r="71">
      <c r="B71" s="37" t="inlineStr">
        <is>
          <t>The Hummingbird</t>
        </is>
      </c>
      <c r="C71" s="77" t="n">
        <v>170</v>
      </c>
      <c r="D71" s="77" t="n"/>
      <c r="E71" s="37" t="inlineStr">
        <is>
          <t>EXPIRED spring 2025</t>
        </is>
      </c>
      <c r="F71" s="37" t="n"/>
      <c r="G71" s="37" t="inlineStr">
        <is>
          <t>60 N Cole Rd; approval lapsed; aquarium expansion planned instead.</t>
        </is>
      </c>
      <c r="H71" s="37" t="inlineStr">
        <is>
          <t>BoiseDev 8/18/25</t>
        </is>
      </c>
    </row>
    <row r="72">
      <c r="B72" s="37" t="inlineStr">
        <is>
          <t>Union 93</t>
        </is>
      </c>
      <c r="C72" s="77" t="n">
        <v>93</v>
      </c>
      <c r="D72" s="77" t="n"/>
      <c r="E72" s="37" t="inlineStr">
        <is>
          <t>FORECLOSED Oct 2025</t>
        </is>
      </c>
      <c r="F72" s="37" t="n"/>
      <c r="G72" s="37" t="inlineStr">
        <is>
          <t>Main &amp; Broadway skeleton foreclosed/auctioned; superseded by Heritage Square 250u → row #35.</t>
        </is>
      </c>
      <c r="H72" s="37" t="inlineStr">
        <is>
          <t>BoiseDev</t>
        </is>
      </c>
    </row>
    <row r="73">
      <c r="B73" s="37" t="inlineStr">
        <is>
          <t>Tanner Creek original (Schulz)</t>
        </is>
      </c>
      <c r="C73" s="77" t="n">
        <v>272</v>
      </c>
      <c r="D73" s="77" t="n"/>
      <c r="E73" s="37" t="inlineStr">
        <is>
          <t>DENIED 2018</t>
        </is>
      </c>
      <c r="F73" s="37" t="n"/>
      <c r="G73" s="37" t="inlineStr">
        <is>
          <t>Waltman Ln; corridor later approved as phased Tanner Creek (280 apts, CBH) — on watch list.</t>
        </is>
      </c>
      <c r="H73" s="37" t="inlineStr">
        <is>
          <t>Meridian records</t>
        </is>
      </c>
    </row>
    <row r="74">
      <c r="B74" t="inlineStr">
        <is>
          <t>(pattern read)</t>
        </is>
      </c>
      <c r="G74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5"/>
    <row r="76">
      <c r="B76" s="86" t="inlineStr">
        <is>
          <t>SHADOW WATCH — ADDED AUG 14 2026 (agent sweep)</t>
        </is>
      </c>
    </row>
    <row r="77">
      <c r="B77" s="37" t="inlineStr">
        <is>
          <t>Apex Zenith (Brighton) — Lake Hazel &amp; Meridian Rd</t>
        </is>
      </c>
      <c r="C77" s="77" t="n"/>
      <c r="D77" s="77" t="n"/>
      <c r="E77" s="37" t="n"/>
      <c r="F77" s="37" t="n"/>
      <c r="G77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7" s="37" t="inlineStr">
        <is>
          <t>BoiseDev / Meridian records</t>
        </is>
      </c>
    </row>
    <row r="78">
      <c r="B78" s="37" t="inlineStr">
        <is>
          <t>Victory &amp; Ten Mile mixed-use pre-app (~142 ac)</t>
        </is>
      </c>
      <c r="C78" s="77" t="n"/>
      <c r="D78" s="77" t="n"/>
      <c r="E78" s="37" t="n"/>
      <c r="F78" s="37" t="n"/>
      <c r="G78" s="37" t="inlineStr">
        <is>
          <t>AUG 2026 SWEEP: Oct 2025 pre-application concept (Mark Bottles RE / West Ada SD land) with a second housing product plausibly attached/MF; no formal file yet (~2.9 mi).</t>
        </is>
      </c>
      <c r="H78" s="37" t="inlineStr">
        <is>
          <t>Oct 2025 reporting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2026-08-14T19:25:21Z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