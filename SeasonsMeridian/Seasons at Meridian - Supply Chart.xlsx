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760" yWindow="-16320" windowWidth="29040" windowHeight="15720" tabRatio="600" firstSheet="0" activeTab="0" autoFilterDateGrouping="1"/>
  </bookViews>
  <sheets>
    <sheet name="Competitive Analysis" sheetId="1" state="visible" r:id="rId1"/>
    <sheet name="Supply &amp; Absorption" sheetId="2" state="visible" r:id="rId2"/>
    <sheet name="Reconciliation Log" sheetId="3" state="visible" r:id="rId3"/>
    <sheet name="Diligence" sheetId="4" state="visible" r:id="rId4"/>
  </sheets>
  <externalReferences>
    <externalReference r:id="rId5"/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;;&quot;—&quot;"/>
    <numFmt numFmtId="166" formatCode="0.0&quot; mi&quot;;;&quot;—&quot;"/>
    <numFmt numFmtId="167" formatCode="&quot;$&quot;#,##0"/>
  </numFmts>
  <fonts count="19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color rgb="FFFFFFFF"/>
      <sz val="9"/>
    </font>
    <font>
      <name val="Calibri"/>
      <b val="1"/>
      <color rgb="FFFFFFFF"/>
      <sz val="9"/>
    </font>
    <font>
      <name val="Calibri"/>
      <color rgb="FF000000"/>
      <sz val="9"/>
    </font>
    <font>
      <name val="Calibri"/>
      <color rgb="FF808080"/>
      <sz val="8"/>
    </font>
    <font>
      <name val="Calibri"/>
      <b val="1"/>
      <color rgb="FF000000"/>
      <sz val="9"/>
    </font>
    <font>
      <name val="Calibri"/>
      <i val="1"/>
      <color rgb="FF808080"/>
      <sz val="7"/>
    </font>
    <font>
      <name val="Calibri"/>
      <b val="1"/>
      <color rgb="FF0000FF"/>
      <sz val="9"/>
    </font>
    <font>
      <name val="Calibri"/>
      <b val="1"/>
      <color rgb="FFFFFFFF"/>
      <sz val="8"/>
    </font>
    <font>
      <name val="Calibri"/>
      <color rgb="FF0000FF"/>
      <sz val="9"/>
    </font>
    <font>
      <name val="Calibri"/>
      <i val="1"/>
      <color rgb="FF000000"/>
      <sz val="8"/>
    </font>
    <font>
      <name val="Calibri"/>
      <i val="1"/>
      <color rgb="FF808080"/>
      <sz val="8"/>
    </font>
    <font>
      <name val="Calibri"/>
      <b val="1"/>
      <color rgb="FF153D64"/>
      <sz val="9"/>
    </font>
    <font>
      <name val="Calibri"/>
      <b val="1"/>
      <color rgb="FF595959"/>
      <sz val="8"/>
    </font>
    <font>
      <name val="Calibri"/>
      <b val="1"/>
      <color rgb="FF000000"/>
      <sz val="8"/>
    </font>
    <font>
      <name val="Calibri"/>
      <color rgb="FF000000"/>
      <sz val="8"/>
    </font>
    <font>
      <name val="Calibri"/>
      <color rgb="FFC00000"/>
      <sz val="8"/>
    </font>
    <font>
      <name val="Calibri"/>
      <b val="1"/>
      <color rgb="FFFFFFFF"/>
      <sz val="11"/>
    </font>
  </fonts>
  <fills count="16">
    <fill>
      <patternFill/>
    </fill>
    <fill>
      <patternFill patternType="gray125"/>
    </fill>
    <fill>
      <patternFill patternType="solid">
        <fgColor rgb="FF153D64"/>
      </patternFill>
    </fill>
    <fill>
      <patternFill patternType="solid">
        <fgColor rgb="FF2E75B6"/>
      </patternFill>
    </fill>
    <fill>
      <patternFill patternType="solid">
        <fgColor rgb="FFDDEBF7"/>
      </patternFill>
    </fill>
    <fill>
      <patternFill patternType="solid">
        <fgColor rgb="FFED7D31"/>
      </patternFill>
    </fill>
    <fill>
      <patternFill patternType="solid">
        <fgColor rgb="FFFCE4D6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0000"/>
      </patternFill>
    </fill>
    <fill>
      <patternFill patternType="solid">
        <fgColor rgb="FFFCE4E4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6E0F0"/>
      </patternFill>
    </fill>
    <fill>
      <patternFill patternType="solid">
        <fgColor rgb="FFFFE699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166" fontId="4" fillId="6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/>
    </xf>
    <xf numFmtId="3" fontId="4" fillId="8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center" vertical="center" wrapText="1"/>
    </xf>
    <xf numFmtId="166" fontId="4" fillId="8" borderId="1" applyAlignment="1" pivotButton="0" quotePrefix="0" xfId="0">
      <alignment horizontal="center" vertical="center" wrapText="1"/>
    </xf>
    <xf numFmtId="0" fontId="0" fillId="9" borderId="0" pivotButton="0" quotePrefix="0" xfId="0"/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/>
    </xf>
    <xf numFmtId="3" fontId="4" fillId="10" borderId="1" applyAlignment="1" pivotButton="0" quotePrefix="0" xfId="0">
      <alignment horizontal="center" vertical="center" wrapText="1"/>
    </xf>
    <xf numFmtId="164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2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9" fontId="8" fillId="11" borderId="0" applyAlignment="1" pivotButton="0" quotePrefix="0" xfId="0">
      <alignment horizontal="center" vertical="center" wrapText="1"/>
    </xf>
    <xf numFmtId="3" fontId="8" fillId="11" borderId="0" applyAlignment="1" pivotButton="0" quotePrefix="0" xfId="0">
      <alignment horizontal="center" vertical="center" wrapText="1"/>
    </xf>
    <xf numFmtId="3" fontId="6" fillId="0" borderId="0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3" fontId="4" fillId="12" borderId="1" applyAlignment="1" pivotButton="0" quotePrefix="0" xfId="0">
      <alignment horizontal="center" vertical="center" wrapText="1"/>
    </xf>
    <xf numFmtId="3" fontId="4" fillId="13" borderId="1" applyAlignment="1" pivotButton="0" quotePrefix="0" xfId="0">
      <alignment horizontal="center" vertical="center" wrapText="1"/>
    </xf>
    <xf numFmtId="164" fontId="6" fillId="12" borderId="1" applyAlignment="1" pivotButton="0" quotePrefix="0" xfId="0">
      <alignment horizontal="center" vertical="center" wrapText="1"/>
    </xf>
    <xf numFmtId="164" fontId="6" fillId="13" borderId="1" applyAlignment="1" pivotButton="0" quotePrefix="0" xfId="0">
      <alignment horizontal="center" vertical="center" wrapText="1"/>
    </xf>
    <xf numFmtId="167" fontId="4" fillId="12" borderId="1" applyAlignment="1" pivotButton="0" quotePrefix="0" xfId="0">
      <alignment horizontal="center" vertical="center" wrapText="1"/>
    </xf>
    <xf numFmtId="167" fontId="4" fillId="13" borderId="1" applyAlignment="1" pivotButton="0" quotePrefix="0" xfId="0">
      <alignment horizontal="center" vertical="center" wrapText="1"/>
    </xf>
    <xf numFmtId="0" fontId="11" fillId="0" borderId="0" pivotButton="0" quotePrefix="0" xfId="0"/>
    <xf numFmtId="164" fontId="12" fillId="12" borderId="1" applyAlignment="1" pivotButton="0" quotePrefix="0" xfId="0">
      <alignment horizontal="center" vertical="center" wrapText="1"/>
    </xf>
    <xf numFmtId="164" fontId="12" fillId="13" borderId="1" applyAlignment="1" pivotButton="0" quotePrefix="0" xfId="0">
      <alignment horizontal="center" vertical="center" wrapText="1"/>
    </xf>
    <xf numFmtId="164" fontId="4" fillId="12" borderId="1" applyAlignment="1" pivotButton="0" quotePrefix="0" xfId="0">
      <alignment horizontal="center" vertical="center" wrapText="1"/>
    </xf>
    <xf numFmtId="164" fontId="4" fillId="13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12" borderId="0" pivotButton="0" quotePrefix="0" xfId="0"/>
    <xf numFmtId="0" fontId="0" fillId="12" borderId="0" pivotButton="0" quotePrefix="0" xfId="0"/>
    <xf numFmtId="0" fontId="6" fillId="14" borderId="0" pivotButton="0" quotePrefix="0" xfId="0"/>
    <xf numFmtId="0" fontId="0" fillId="14" borderId="0" pivotButton="0" quotePrefix="0" xfId="0"/>
    <xf numFmtId="164" fontId="6" fillId="14" borderId="1" applyAlignment="1" pivotButton="0" quotePrefix="0" xfId="0">
      <alignment horizontal="center" vertical="center" wrapText="1"/>
    </xf>
    <xf numFmtId="0" fontId="13" fillId="15" borderId="0" pivotButton="0" quotePrefix="0" xfId="0"/>
    <xf numFmtId="0" fontId="0" fillId="15" borderId="0" pivotButton="0" quotePrefix="0" xfId="0"/>
    <xf numFmtId="164" fontId="6" fillId="15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15" fillId="0" borderId="0" pivotButton="0" quotePrefix="0" xfId="0"/>
    <xf numFmtId="164" fontId="10" fillId="11" borderId="1" applyAlignment="1" pivotButton="0" quotePrefix="0" xfId="0">
      <alignment horizontal="center" vertical="center" wrapText="1"/>
    </xf>
    <xf numFmtId="0" fontId="16" fillId="0" borderId="0" pivotButton="0" quotePrefix="0" xfId="0"/>
    <xf numFmtId="0" fontId="17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left" vertical="center"/>
    </xf>
    <xf numFmtId="0" fontId="5" fillId="0" borderId="0" pivotButton="0" quotePrefix="0" xfId="0"/>
    <xf numFmtId="0" fontId="3" fillId="5" borderId="0" applyAlignment="1" pivotButton="0" quotePrefix="0" xfId="0">
      <alignment horizontal="left" vertical="center"/>
    </xf>
    <xf numFmtId="0" fontId="18" fillId="2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externalLink" Target="/xl/externalLinks/externalLink2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Cash%20Flow%20(Annual)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Rent%20&amp;%20Occ%20Data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ash Flow (Annual)"/>
    </sheetNames>
    <sheetDataSet>
      <sheetData sheetId="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Rent &amp; Occ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M61"/>
  <sheetViews>
    <sheetView showGridLines="0" tabSelected="1" workbookViewId="0">
      <selection activeCell="H16" sqref="H16"/>
    </sheetView>
  </sheetViews>
  <sheetFormatPr baseColWidth="8" defaultRowHeight="14.4"/>
  <cols>
    <col width="3" customWidth="1" style="79" min="1" max="1"/>
    <col width="3.44140625" customWidth="1" style="79" min="2" max="2"/>
    <col width="30" customWidth="1" style="79" min="3" max="3"/>
    <col width="8" customWidth="1" style="79" min="4" max="4"/>
    <col width="11.44140625" customWidth="1" style="79" min="5" max="5"/>
    <col width="10" customWidth="1" style="79" min="6" max="6"/>
    <col width="13" customWidth="1" style="79" min="7" max="7"/>
    <col width="22" customWidth="1" style="79" min="8" max="8"/>
    <col width="11" customWidth="1" style="79" min="9" max="9"/>
    <col width="14" customWidth="1" style="79" min="10" max="10"/>
    <col width="30" customWidth="1" style="79" min="11" max="11"/>
    <col hidden="1" width="13" customWidth="1" style="79" min="13" max="13"/>
  </cols>
  <sheetData>
    <row r="2" ht="22.05" customHeight="1" s="79">
      <c r="C2" s="82" t="inlineStr">
        <is>
          <t>SEASONS AT MERIDIAN — 5-Mile Competitive Supply</t>
        </is>
      </c>
    </row>
    <row r="3">
      <c r="B3" s="78" t="inlineStr">
        <is>
          <t>2022–2026 New Construction  |  5-mile radius  |  As of 2026 Q3 QTD  |  rev. Aug 14 2026 — blind-spot audit</t>
        </is>
      </c>
    </row>
    <row r="4" ht="18" customHeight="1" s="79">
      <c r="B4" s="1" t="inlineStr">
        <is>
          <t>#</t>
        </is>
      </c>
      <c r="C4" s="1" t="inlineStr">
        <is>
          <t>Property</t>
        </is>
      </c>
      <c r="D4" s="1" t="inlineStr">
        <is>
          <t>Units</t>
        </is>
      </c>
      <c r="E4" s="1" t="inlineStr">
        <is>
          <t>Est. Delivery</t>
        </is>
      </c>
      <c r="F4" s="1" t="inlineStr">
        <is>
          <t>Occupancy</t>
        </is>
      </c>
      <c r="G4" s="1" t="inlineStr">
        <is>
          <t>Avg Mkt Rent</t>
        </is>
      </c>
      <c r="H4" s="1" t="inlineStr">
        <is>
          <t>Owner</t>
        </is>
      </c>
      <c r="I4" s="1" t="inlineStr">
        <is>
          <t>Proximity</t>
        </is>
      </c>
      <c r="J4" s="1" t="inlineStr">
        <is>
          <t>Type</t>
        </is>
      </c>
      <c r="K4" s="1" t="inlineStr">
        <is>
          <t>Notes</t>
        </is>
      </c>
    </row>
    <row r="5">
      <c r="B5" s="2" t="n"/>
      <c r="C5" s="80" t="inlineStr">
        <is>
          <t>STABILIZED / STABILIZING (22 properties, 2,879 units)</t>
        </is>
      </c>
    </row>
    <row r="6">
      <c r="B6" s="3" t="n">
        <v>1</v>
      </c>
      <c r="C6" s="4" t="inlineStr">
        <is>
          <t>The Lost Rapid Townhomes</t>
        </is>
      </c>
      <c r="D6" s="5" t="n">
        <v>72</v>
      </c>
      <c r="E6" s="3" t="inlineStr">
        <is>
          <t>Q1 2022</t>
        </is>
      </c>
      <c r="F6" s="6" t="n">
        <v>0.944444</v>
      </c>
      <c r="G6" s="7" t="inlineStr">
        <is>
          <t>—</t>
        </is>
      </c>
      <c r="H6" s="4" t="inlineStr">
        <is>
          <t>Baker, Matthew J</t>
        </is>
      </c>
      <c r="I6" s="8" t="n">
        <v>5</v>
      </c>
      <c r="J6" s="3" t="inlineStr">
        <is>
          <t>Townhome</t>
        </is>
      </c>
      <c r="K6" s="4" t="n"/>
      <c r="M6">
        <f>IFERROR(VALUE(RIGHT(E6,4))*4+MATCH(LEFT(E6,2),{"Q1","Q2","Q3","Q4"},0)-1,"")</f>
        <v/>
      </c>
    </row>
    <row r="7">
      <c r="B7" s="3" t="n">
        <v>2</v>
      </c>
      <c r="C7" s="4" t="inlineStr">
        <is>
          <t>South Ridge I</t>
        </is>
      </c>
      <c r="D7" s="5" t="n">
        <v>476</v>
      </c>
      <c r="E7" s="3" t="inlineStr">
        <is>
          <t>Q2 2022</t>
        </is>
      </c>
      <c r="F7" s="6" t="n">
        <v>0.994</v>
      </c>
      <c r="G7" s="7" t="inlineStr">
        <is>
          <t>—</t>
        </is>
      </c>
      <c r="H7" s="4" t="inlineStr">
        <is>
          <t>Privately Owned</t>
        </is>
      </c>
      <c r="I7" s="8" t="n">
        <v>3.1</v>
      </c>
      <c r="J7" s="3" t="inlineStr">
        <is>
          <t>Garden</t>
        </is>
      </c>
      <c r="K7" s="4" t="inlineStr">
        <is>
          <t>Delivery quarter estimated; RealPage-only — not in CoStar's 5-mi series</t>
        </is>
      </c>
      <c r="M7">
        <f>IFERROR(VALUE(RIGHT(E7,4))*4+MATCH(LEFT(E7,2),{"Q1","Q2","Q3","Q4"},0)-1,"")</f>
        <v/>
      </c>
    </row>
    <row r="8">
      <c r="B8" s="3" t="n">
        <v>3</v>
      </c>
      <c r="C8" s="4" t="inlineStr">
        <is>
          <t>Meritage West</t>
        </is>
      </c>
      <c r="D8" s="5" t="n">
        <v>83</v>
      </c>
      <c r="E8" s="3" t="inlineStr">
        <is>
          <t>Q2 2022</t>
        </is>
      </c>
      <c r="F8" s="6" t="n">
        <v>0.9879520000000001</v>
      </c>
      <c r="G8" s="7" t="n">
        <v>1651.435028248588</v>
      </c>
      <c r="H8" s="4" t="inlineStr">
        <is>
          <t>Pacific West Communities, Inc.</t>
        </is>
      </c>
      <c r="I8" s="8" t="n">
        <v>3.2</v>
      </c>
      <c r="J8" s="3" t="inlineStr">
        <is>
          <t>Mid-Rise</t>
        </is>
      </c>
      <c r="K8" s="4" t="n"/>
      <c r="M8">
        <f>IFERROR(VALUE(RIGHT(E8,4))*4+MATCH(LEFT(E8,2),{"Q1","Q2","Q3","Q4"},0)-1,"")</f>
        <v/>
      </c>
    </row>
    <row r="9">
      <c r="B9" s="3" t="n">
        <v>4</v>
      </c>
      <c r="C9" s="4" t="inlineStr">
        <is>
          <t>Ambleside Townhomes</t>
        </is>
      </c>
      <c r="D9" s="5" t="n">
        <v>67</v>
      </c>
      <c r="E9" s="3" t="inlineStr">
        <is>
          <t>Q2 2022</t>
        </is>
      </c>
      <c r="F9" s="6" t="n">
        <v>0.970149</v>
      </c>
      <c r="G9" s="7" t="n">
        <v>2130</v>
      </c>
      <c r="H9" s="4" t="inlineStr">
        <is>
          <t>Open Door Rentals Llc</t>
        </is>
      </c>
      <c r="I9" s="8" t="n">
        <v>2.8</v>
      </c>
      <c r="J9" s="3" t="inlineStr">
        <is>
          <t>Townhome</t>
        </is>
      </c>
      <c r="K9" s="4" t="n"/>
      <c r="M9">
        <f>IFERROR(VALUE(RIGHT(E9,4))*4+MATCH(LEFT(E9,2),{"Q1","Q2","Q3","Q4"},0)-1,"")</f>
        <v/>
      </c>
    </row>
    <row r="10">
      <c r="B10" s="3" t="n">
        <v>5</v>
      </c>
      <c r="C10" s="4" t="inlineStr">
        <is>
          <t>Celebration Acres</t>
        </is>
      </c>
      <c r="D10" s="5" t="n">
        <v>28</v>
      </c>
      <c r="E10" s="3" t="inlineStr">
        <is>
          <t>Q2 2022</t>
        </is>
      </c>
      <c r="F10" s="6" t="n">
        <v>0.964286</v>
      </c>
      <c r="G10" s="7" t="inlineStr">
        <is>
          <t>—</t>
        </is>
      </c>
      <c r="H10" s="4" t="inlineStr">
        <is>
          <t>El Ada Comm Action Agency Inc</t>
        </is>
      </c>
      <c r="I10" s="8" t="n">
        <v>2.7</v>
      </c>
      <c r="J10" s="3" t="inlineStr">
        <is>
          <t>Low-Rise</t>
        </is>
      </c>
      <c r="K10" s="4" t="n"/>
      <c r="M10">
        <f>IFERROR(VALUE(RIGHT(E10,4))*4+MATCH(LEFT(E10,2),{"Q1","Q2","Q3","Q4"},0)-1,"")</f>
        <v/>
      </c>
    </row>
    <row r="11">
      <c r="B11" s="3" t="n">
        <v>6</v>
      </c>
      <c r="C11" s="4" t="inlineStr">
        <is>
          <t>Pine 43</t>
        </is>
      </c>
      <c r="D11" s="5" t="n">
        <v>25</v>
      </c>
      <c r="E11" s="3" t="inlineStr">
        <is>
          <t>Q2 2022</t>
        </is>
      </c>
      <c r="F11" s="6" t="n">
        <v>1</v>
      </c>
      <c r="G11" s="7" t="n">
        <v>2236</v>
      </c>
      <c r="H11" s="4" t="inlineStr">
        <is>
          <t>Bruce M Reichard</t>
        </is>
      </c>
      <c r="I11" s="8" t="n">
        <v>1.7</v>
      </c>
      <c r="J11" s="3" t="inlineStr">
        <is>
          <t>Garden</t>
        </is>
      </c>
      <c r="K11" s="4" t="n"/>
      <c r="M11">
        <f>IFERROR(VALUE(RIGHT(E11,4))*4+MATCH(LEFT(E11,2),{"Q1","Q2","Q3","Q4"},0)-1,"")</f>
        <v/>
      </c>
    </row>
    <row r="12">
      <c r="B12" s="3" t="n">
        <v>7</v>
      </c>
      <c r="C12" s="4" t="inlineStr">
        <is>
          <t>Old Town Lofts</t>
        </is>
      </c>
      <c r="D12" s="5" t="n">
        <v>102</v>
      </c>
      <c r="E12" s="3" t="inlineStr">
        <is>
          <t>Q3 2022</t>
        </is>
      </c>
      <c r="F12" s="6" t="n">
        <v>0.990196</v>
      </c>
      <c r="G12" s="7" t="n">
        <v>1665.511627906977</v>
      </c>
      <c r="H12" s="4" t="inlineStr">
        <is>
          <t>Pacific West Communities, Inc.</t>
        </is>
      </c>
      <c r="I12" s="8" t="n">
        <v>2.1</v>
      </c>
      <c r="J12" s="3" t="inlineStr">
        <is>
          <t>Townhome</t>
        </is>
      </c>
      <c r="K12" s="4" t="inlineStr">
        <is>
          <t>Year built: 2022/2023</t>
        </is>
      </c>
      <c r="M12">
        <f>IFERROR(VALUE(RIGHT(E12,4))*4+MATCH(LEFT(E12,2),{"Q1","Q2","Q3","Q4"},0)-1,"")</f>
        <v/>
      </c>
    </row>
    <row r="13">
      <c r="B13" s="3" t="n">
        <v>8</v>
      </c>
      <c r="C13" s="4" t="inlineStr">
        <is>
          <t>Lavender Village</t>
        </is>
      </c>
      <c r="D13" s="5" t="n">
        <v>6</v>
      </c>
      <c r="E13" s="3" t="inlineStr">
        <is>
          <t>Q3 2022</t>
        </is>
      </c>
      <c r="F13" s="6" t="n">
        <v>1</v>
      </c>
      <c r="G13" s="7" t="n">
        <v>1747.513661202186</v>
      </c>
      <c r="H13" s="4" t="inlineStr">
        <is>
          <t>—</t>
        </is>
      </c>
      <c r="I13" s="8" t="n">
        <v>3.9</v>
      </c>
      <c r="J13" s="3" t="inlineStr">
        <is>
          <t>Garden</t>
        </is>
      </c>
      <c r="K13" s="4" t="inlineStr">
        <is>
          <t>Rent: HD mix-wtd $1,748 vs CoStar ask $2,110</t>
        </is>
      </c>
      <c r="M13">
        <f>IFERROR(VALUE(RIGHT(E13,4))*4+MATCH(LEFT(E13,2),{"Q1","Q2","Q3","Q4"},0)-1,"")</f>
        <v/>
      </c>
    </row>
    <row r="14">
      <c r="B14" s="3" t="n">
        <v>9</v>
      </c>
      <c r="C14" s="4" t="inlineStr">
        <is>
          <t>The Prospect</t>
        </is>
      </c>
      <c r="D14" s="5" t="n">
        <v>91</v>
      </c>
      <c r="E14" s="3" t="inlineStr">
        <is>
          <t>Q4 2022</t>
        </is>
      </c>
      <c r="F14" s="6" t="n">
        <v>0.989011</v>
      </c>
      <c r="G14" s="7" t="n">
        <v>1165.555555555556</v>
      </c>
      <c r="H14" s="4" t="inlineStr">
        <is>
          <t>Ke Holdings Llc</t>
        </is>
      </c>
      <c r="I14" s="8" t="n">
        <v>3.9</v>
      </c>
      <c r="J14" s="3" t="inlineStr">
        <is>
          <t>Garden</t>
        </is>
      </c>
      <c r="K14" s="4" t="n"/>
      <c r="M14">
        <f>IFERROR(VALUE(RIGHT(E14,4))*4+MATCH(LEFT(E14,2),{"Q1","Q2","Q3","Q4"},0)-1,"")</f>
        <v/>
      </c>
    </row>
    <row r="15">
      <c r="B15" s="3" t="n">
        <v>10</v>
      </c>
      <c r="C15" s="4" t="inlineStr">
        <is>
          <t>Etheridge Lane</t>
        </is>
      </c>
      <c r="D15" s="5" t="n">
        <v>12</v>
      </c>
      <c r="E15" s="3" t="inlineStr">
        <is>
          <t>Q4 2022</t>
        </is>
      </c>
      <c r="F15" s="6" t="n">
        <v>1</v>
      </c>
      <c r="G15" s="7" t="inlineStr">
        <is>
          <t>—</t>
        </is>
      </c>
      <c r="H15" s="4" t="inlineStr">
        <is>
          <t>Visser Building Co</t>
        </is>
      </c>
      <c r="I15" s="8" t="n">
        <v>4.4</v>
      </c>
      <c r="J15" s="3" t="inlineStr">
        <is>
          <t>Garden</t>
        </is>
      </c>
      <c r="K15" s="4" t="n"/>
      <c r="M15">
        <f>IFERROR(VALUE(RIGHT(E15,4))*4+MATCH(LEFT(E15,2),{"Q1","Q2","Q3","Q4"},0)-1,"")</f>
        <v/>
      </c>
    </row>
    <row r="16">
      <c r="B16" s="3" t="n">
        <v>11</v>
      </c>
      <c r="C16" s="4" t="inlineStr">
        <is>
          <t>Modern Craftsman Ten Mile</t>
        </is>
      </c>
      <c r="D16" s="5" t="n">
        <v>135</v>
      </c>
      <c r="E16" s="3" t="inlineStr">
        <is>
          <t>Q1 2023</t>
        </is>
      </c>
      <c r="F16" s="6" t="n">
        <v>0.948148</v>
      </c>
      <c r="G16" s="7" t="n">
        <v>2164.319806763285</v>
      </c>
      <c r="H16" s="4" t="inlineStr">
        <is>
          <t>Baron Properties</t>
        </is>
      </c>
      <c r="I16" s="8" t="n">
        <v>3.9</v>
      </c>
      <c r="J16" s="3" t="inlineStr">
        <is>
          <t>Single Family</t>
        </is>
      </c>
      <c r="K16" s="4" t="inlineStr">
        <is>
          <t>Year built: 2022/2023; Occ: CoStar 95% vs RealPage 99%</t>
        </is>
      </c>
      <c r="M16">
        <f>IFERROR(VALUE(RIGHT(E16,4))*4+MATCH(LEFT(E16,2),{"Q1","Q2","Q3","Q4"},0)-1,"")</f>
        <v/>
      </c>
    </row>
    <row r="17">
      <c r="B17" s="3" t="n">
        <v>12</v>
      </c>
      <c r="C17" s="4" t="inlineStr">
        <is>
          <t>WaterWalk Boise – Meridian</t>
        </is>
      </c>
      <c r="D17" s="5" t="n">
        <v>38</v>
      </c>
      <c r="E17" s="3" t="inlineStr">
        <is>
          <t>Q1 2023</t>
        </is>
      </c>
      <c r="F17" s="6" t="n">
        <v>0.947368</v>
      </c>
      <c r="G17" s="7" t="n">
        <v>1655</v>
      </c>
      <c r="H17" s="4" t="inlineStr">
        <is>
          <t>WaterWalk Live Stay</t>
        </is>
      </c>
      <c r="I17" s="8" t="n">
        <v>1</v>
      </c>
      <c r="J17" s="3" t="inlineStr">
        <is>
          <t>Mid-Rise</t>
        </is>
      </c>
      <c r="K17" s="4" t="n"/>
      <c r="M17">
        <f>IFERROR(VALUE(RIGHT(E17,4))*4+MATCH(LEFT(E17,2),{"Q1","Q2","Q3","Q4"},0)-1,"")</f>
        <v/>
      </c>
    </row>
    <row r="18">
      <c r="B18" s="3" t="n">
        <v>13</v>
      </c>
      <c r="C18" s="4" t="inlineStr">
        <is>
          <t>Alante Homes at Hazelwood</t>
        </is>
      </c>
      <c r="D18" s="5" t="n">
        <v>32</v>
      </c>
      <c r="E18" s="3" t="inlineStr">
        <is>
          <t>Q1 2023</t>
        </is>
      </c>
      <c r="F18" s="6" t="n">
        <v>0.96875</v>
      </c>
      <c r="G18" s="7" t="n">
        <v>2276</v>
      </c>
      <c r="H18" s="4" t="inlineStr">
        <is>
          <t>PEG Companies</t>
        </is>
      </c>
      <c r="I18" s="8" t="n">
        <v>3.8</v>
      </c>
      <c r="J18" s="3" t="inlineStr">
        <is>
          <t>Garden</t>
        </is>
      </c>
      <c r="K18" s="4" t="n"/>
      <c r="M18">
        <f>IFERROR(VALUE(RIGHT(E18,4))*4+MATCH(LEFT(E18,2),{"Q1","Q2","Q3","Q4"},0)-1,"")</f>
        <v/>
      </c>
    </row>
    <row r="19">
      <c r="B19" s="3" t="n">
        <v>14</v>
      </c>
      <c r="C19" s="4" t="inlineStr">
        <is>
          <t>Altair</t>
        </is>
      </c>
      <c r="D19" s="5" t="n">
        <v>240</v>
      </c>
      <c r="E19" s="3" t="inlineStr">
        <is>
          <t>Q2 2023</t>
        </is>
      </c>
      <c r="F19" s="6" t="n">
        <v>0.945833</v>
      </c>
      <c r="G19" s="7" t="n">
        <v>1624.407772304324</v>
      </c>
      <c r="H19" s="4" t="inlineStr">
        <is>
          <t>Brighton</t>
        </is>
      </c>
      <c r="I19" s="8" t="n">
        <v>3.4</v>
      </c>
      <c r="J19" s="3" t="inlineStr">
        <is>
          <t>Mid-Rise</t>
        </is>
      </c>
      <c r="K19" s="4" t="inlineStr">
        <is>
          <t>Occ: CoStar 95% vs RealPage 100%</t>
        </is>
      </c>
      <c r="M19">
        <f>IFERROR(VALUE(RIGHT(E19,4))*4+MATCH(LEFT(E19,2),{"Q1","Q2","Q3","Q4"},0)-1,"")</f>
        <v/>
      </c>
    </row>
    <row r="20">
      <c r="B20" s="3" t="n">
        <v>15</v>
      </c>
      <c r="C20" s="4" t="inlineStr">
        <is>
          <t>Dovetail</t>
        </is>
      </c>
      <c r="D20" s="5" t="n">
        <v>240</v>
      </c>
      <c r="E20" s="3" t="inlineStr">
        <is>
          <t>Q2 2023</t>
        </is>
      </c>
      <c r="F20" s="6" t="n">
        <v>0.958333</v>
      </c>
      <c r="G20" s="7" t="n">
        <v>1832</v>
      </c>
      <c r="H20" s="4" t="inlineStr">
        <is>
          <t>Kennedy Wilson, Inc.</t>
        </is>
      </c>
      <c r="I20" s="8" t="n">
        <v>1.8</v>
      </c>
      <c r="J20" s="3" t="inlineStr">
        <is>
          <t>Garden</t>
        </is>
      </c>
      <c r="K20" s="4" t="inlineStr">
        <is>
          <t>Units: CoStar 240 vs RealPage 480; Year built: 2020/2023; Occ: CoStar 96% vs RealPage 99%</t>
        </is>
      </c>
      <c r="M20">
        <f>IFERROR(VALUE(RIGHT(E20,4))*4+MATCH(LEFT(E20,2),{"Q1","Q2","Q3","Q4"},0)-1,"")</f>
        <v/>
      </c>
    </row>
    <row r="21">
      <c r="B21" s="3" t="n">
        <v>16</v>
      </c>
      <c r="C21" s="4" t="inlineStr">
        <is>
          <t>Yellowstone Apartments</t>
        </is>
      </c>
      <c r="D21" s="5" t="n">
        <v>216</v>
      </c>
      <c r="E21" s="3" t="inlineStr">
        <is>
          <t>Q2 2023</t>
        </is>
      </c>
      <c r="F21" s="6" t="n">
        <v>0.763889</v>
      </c>
      <c r="G21" s="7" t="n">
        <v>1735.469387755102</v>
      </c>
      <c r="H21" s="4" t="inlineStr">
        <is>
          <t>CBH Homes</t>
        </is>
      </c>
      <c r="I21" s="8" t="n">
        <v>4.1</v>
      </c>
      <c r="J21" s="3" t="inlineStr">
        <is>
          <t>Garden</t>
        </is>
      </c>
      <c r="K21" s="4" t="inlineStr">
        <is>
          <t>Year built: 2023/2025; Occ: CoStar 76% vs RealPage 94%</t>
        </is>
      </c>
      <c r="M21">
        <f>IFERROR(VALUE(RIGHT(E21,4))*4+MATCH(LEFT(E21,2),{"Q1","Q2","Q3","Q4"},0)-1,"")</f>
        <v/>
      </c>
    </row>
    <row r="22">
      <c r="B22" s="3" t="n">
        <v>17</v>
      </c>
      <c r="C22" s="4" t="inlineStr">
        <is>
          <t>Telluride</t>
        </is>
      </c>
      <c r="D22" s="5" t="n">
        <v>102</v>
      </c>
      <c r="E22" s="3" t="inlineStr">
        <is>
          <t>Q2 2023</t>
        </is>
      </c>
      <c r="F22" s="6" t="n">
        <v>0.990196</v>
      </c>
      <c r="G22" s="7" t="n">
        <v>1884.446808510638</v>
      </c>
      <c r="H22" s="4" t="inlineStr">
        <is>
          <t>Albert Meier</t>
        </is>
      </c>
      <c r="I22" s="8" t="n">
        <v>3.5</v>
      </c>
      <c r="J22" s="3" t="inlineStr">
        <is>
          <t>Low-Rise</t>
        </is>
      </c>
      <c r="K22" s="4" t="n"/>
      <c r="M22">
        <f>IFERROR(VALUE(RIGHT(E22,4))*4+MATCH(LEFT(E22,2),{"Q1","Q2","Q3","Q4"},0)-1,"")</f>
        <v/>
      </c>
    </row>
    <row r="23">
      <c r="B23" s="3" t="n">
        <v>18</v>
      </c>
      <c r="C23" s="4" t="inlineStr">
        <is>
          <t>Movado Village</t>
        </is>
      </c>
      <c r="D23" s="5" t="n">
        <v>60</v>
      </c>
      <c r="E23" s="3" t="inlineStr">
        <is>
          <t>Q1 2024</t>
        </is>
      </c>
      <c r="F23" s="6" t="n">
        <v>0.933333</v>
      </c>
      <c r="G23" s="7" t="n">
        <v>1995</v>
      </c>
      <c r="H23" s="4" t="inlineStr">
        <is>
          <t>Realty Asset Management, Inc.</t>
        </is>
      </c>
      <c r="I23" s="8" t="n">
        <v>1</v>
      </c>
      <c r="J23" s="3" t="inlineStr">
        <is>
          <t>Garden</t>
        </is>
      </c>
      <c r="K23" s="4" t="n"/>
      <c r="M23">
        <f>IFERROR(VALUE(RIGHT(E23,4))*4+MATCH(LEFT(E23,2),{"Q1","Q2","Q3","Q4"},0)-1,"")</f>
        <v/>
      </c>
    </row>
    <row r="24">
      <c r="B24" s="3" t="n">
        <v>19</v>
      </c>
      <c r="C24" s="4" t="inlineStr">
        <is>
          <t>Viera at Pinnacle</t>
        </is>
      </c>
      <c r="D24" s="5" t="n">
        <v>56</v>
      </c>
      <c r="E24" s="3" t="inlineStr">
        <is>
          <t>Q1 2024</t>
        </is>
      </c>
      <c r="F24" s="6" t="n">
        <v>1</v>
      </c>
      <c r="G24" s="7" t="n">
        <v>2489.375</v>
      </c>
      <c r="H24" s="4" t="inlineStr">
        <is>
          <t>Brighton</t>
        </is>
      </c>
      <c r="I24" s="8" t="n">
        <v>3.2</v>
      </c>
      <c r="J24" s="3" t="inlineStr">
        <is>
          <t>Garden</t>
        </is>
      </c>
      <c r="K24" s="4" t="n"/>
      <c r="M24">
        <f>IFERROR(VALUE(RIGHT(E24,4))*4+MATCH(LEFT(E24,2),{"Q1","Q2","Q3","Q4"},0)-1,"")</f>
        <v/>
      </c>
    </row>
    <row r="25">
      <c r="B25" s="3" t="n">
        <v>20</v>
      </c>
      <c r="C25" s="4" t="inlineStr">
        <is>
          <t>The Aren</t>
        </is>
      </c>
      <c r="D25" s="5" t="n">
        <v>396</v>
      </c>
      <c r="E25" s="3" t="inlineStr">
        <is>
          <t>Q2 2024</t>
        </is>
      </c>
      <c r="F25" s="6" t="n">
        <v>0.969697</v>
      </c>
      <c r="G25" s="7" t="n">
        <v>1739.209026472431</v>
      </c>
      <c r="H25" s="4" t="inlineStr">
        <is>
          <t>Brighton</t>
        </is>
      </c>
      <c r="I25" s="8" t="n">
        <v>0.9</v>
      </c>
      <c r="J25" s="3" t="inlineStr">
        <is>
          <t>Garden</t>
        </is>
      </c>
      <c r="K25" s="4" t="inlineStr">
        <is>
          <t>Year built: 2024/2025; Occ: CoStar 97% vs RealPage 100%</t>
        </is>
      </c>
      <c r="M25">
        <f>IFERROR(VALUE(RIGHT(E25,4))*4+MATCH(LEFT(E25,2),{"Q1","Q2","Q3","Q4"},0)-1,"")</f>
        <v/>
      </c>
    </row>
    <row r="26">
      <c r="B26" s="3" t="n">
        <v>21</v>
      </c>
      <c r="C26" s="4" t="inlineStr">
        <is>
          <t>★ Seasons at Meridian  (SUBJECT)</t>
        </is>
      </c>
      <c r="D26" s="5" t="n">
        <v>360</v>
      </c>
      <c r="E26" s="3" t="inlineStr">
        <is>
          <t>Q3 2024</t>
        </is>
      </c>
      <c r="F26" s="6" t="n">
        <v>0.955556</v>
      </c>
      <c r="G26" s="7" t="n">
        <v>1911.119099448338</v>
      </c>
      <c r="H26" s="4" t="inlineStr">
        <is>
          <t>The Carlyle Group</t>
        </is>
      </c>
      <c r="I26" s="8" t="n">
        <v>0</v>
      </c>
      <c r="J26" s="3" t="inlineStr">
        <is>
          <t>Garden</t>
        </is>
      </c>
      <c r="K26" s="4" t="inlineStr">
        <is>
          <t>Year built: 2024/2025; SUBJECT — this deal; Occ: CoStar 96% vs RealPage 99%</t>
        </is>
      </c>
      <c r="M26">
        <f>IFERROR(VALUE(RIGHT(E26,4))*4+MATCH(LEFT(E26,2),{"Q1","Q2","Q3","Q4"},0)-1,"")</f>
        <v/>
      </c>
    </row>
    <row r="27">
      <c r="B27" s="3" t="n">
        <v>22</v>
      </c>
      <c r="C27" s="4" t="inlineStr">
        <is>
          <t>Springtree Apartments</t>
        </is>
      </c>
      <c r="D27" s="5" t="n">
        <v>42</v>
      </c>
      <c r="E27" s="3" t="inlineStr">
        <is>
          <t>Q4 2024</t>
        </is>
      </c>
      <c r="F27" s="6" t="n">
        <v>0.952381</v>
      </c>
      <c r="G27" s="7" t="n">
        <v>1514</v>
      </c>
      <c r="H27" s="4" t="inlineStr">
        <is>
          <t>Commercial Northwest Property Management</t>
        </is>
      </c>
      <c r="I27" s="8" t="n">
        <v>4.8</v>
      </c>
      <c r="J27" s="3" t="inlineStr">
        <is>
          <t>Low-Rise</t>
        </is>
      </c>
      <c r="K27" s="4" t="n"/>
      <c r="M27">
        <f>IFERROR(VALUE(RIGHT(E27,4))*4+MATCH(LEFT(E27,2),{"Q1","Q2","Q3","Q4"},0)-1,"")</f>
        <v/>
      </c>
    </row>
    <row r="29">
      <c r="B29" s="9" t="n"/>
      <c r="C29" s="85" t="inlineStr">
        <is>
          <t>LEASING UP (5 properties, 815 units)</t>
        </is>
      </c>
    </row>
    <row r="30">
      <c r="B30" s="10" t="n">
        <v>23</v>
      </c>
      <c r="C30" s="11" t="inlineStr">
        <is>
          <t>Village Apartments</t>
        </is>
      </c>
      <c r="D30" s="12" t="n">
        <v>336</v>
      </c>
      <c r="E30" s="10" t="inlineStr">
        <is>
          <t>Q2 2024</t>
        </is>
      </c>
      <c r="F30" s="13" t="n">
        <v>0.119047619047619</v>
      </c>
      <c r="G30" s="14" t="n">
        <v>1747.513661202186</v>
      </c>
      <c r="H30" s="11" t="inlineStr">
        <is>
          <t>Rockworth Companies</t>
        </is>
      </c>
      <c r="I30" s="15" t="n">
        <v>2.6</v>
      </c>
      <c r="J30" s="10" t="inlineStr">
        <is>
          <t>Mid-Rise</t>
        </is>
      </c>
      <c r="K30" s="11" t="inlineStr">
        <is>
          <t>Occ: CoStar 80% vs RealPage 11%; Occ: HD ~12% (CoStar/RP showed 80%); HD (90d): occ ~12% (units leased), ~13 leases/mo</t>
        </is>
      </c>
      <c r="M30">
        <f>IFERROR(VALUE(RIGHT(E30,4))*4+MATCH(LEFT(E30,2),{"Q1","Q2","Q3","Q4"},0)-1,"")</f>
        <v/>
      </c>
    </row>
    <row r="31">
      <c r="B31" s="10" t="n">
        <v>24</v>
      </c>
      <c r="C31" s="11" t="inlineStr">
        <is>
          <t>Wesley Apartments and Townhomes</t>
        </is>
      </c>
      <c r="D31" s="12" t="n">
        <v>191</v>
      </c>
      <c r="E31" s="10" t="inlineStr">
        <is>
          <t>Q2 2024</t>
        </is>
      </c>
      <c r="F31" s="13" t="n">
        <v>0.4764397905759162</v>
      </c>
      <c r="G31" s="14" t="n">
        <v>1994.484728234728</v>
      </c>
      <c r="H31" s="11" t="inlineStr">
        <is>
          <t>Executive Management Services, LLC</t>
        </is>
      </c>
      <c r="I31" s="15" t="n">
        <v>3.5</v>
      </c>
      <c r="J31" s="10" t="inlineStr">
        <is>
          <t>Townhome</t>
        </is>
      </c>
      <c r="K31" s="11" t="inlineStr">
        <is>
          <t>Occ: CoStar 28% vs RealPage 84%; Rent: CoStar ask $1,716 vs RealPage eff $2,004; Rent: HD mix-wtd $1,994 vs CoStar ask $1,716; Occ: HD ~48% (CoStar/RP showed 28%); HD (90d): occ ~48% (units leased), ~22 leases/mo</t>
        </is>
      </c>
      <c r="M31">
        <f>IFERROR(VALUE(RIGHT(E31,4))*4+MATCH(LEFT(E31,2),{"Q1","Q2","Q3","Q4"},0)-1,"")</f>
        <v/>
      </c>
    </row>
    <row r="32">
      <c r="B32" s="10" t="n">
        <v>25</v>
      </c>
      <c r="C32" s="11" t="inlineStr">
        <is>
          <t>Shamrock Apartments</t>
        </is>
      </c>
      <c r="D32" s="12" t="n">
        <v>48</v>
      </c>
      <c r="E32" s="10" t="inlineStr">
        <is>
          <t>Q2 2025</t>
        </is>
      </c>
      <c r="F32" s="13" t="n">
        <v>0.833333</v>
      </c>
      <c r="G32" s="14" t="inlineStr">
        <is>
          <t>—</t>
        </is>
      </c>
      <c r="H32" s="11" t="inlineStr">
        <is>
          <t>Dc Fairview Llc</t>
        </is>
      </c>
      <c r="I32" s="15" t="n">
        <v>2.6</v>
      </c>
      <c r="J32" s="10" t="inlineStr">
        <is>
          <t>Low-Rise</t>
        </is>
      </c>
      <c r="K32" s="11" t="inlineStr">
        <is>
          <t>Verify rent/occ w/ HelloData</t>
        </is>
      </c>
      <c r="M32">
        <f>IFERROR(VALUE(RIGHT(E32,4))*4+MATCH(LEFT(E32,2),{"Q1","Q2","Q3","Q4"},0)-1,"")</f>
        <v/>
      </c>
    </row>
    <row r="33">
      <c r="B33" s="10" t="n">
        <v>26</v>
      </c>
      <c r="C33" s="11" t="inlineStr">
        <is>
          <t>Tauri Apartments</t>
        </is>
      </c>
      <c r="D33" s="12" t="n">
        <v>156</v>
      </c>
      <c r="E33" s="10" t="inlineStr">
        <is>
          <t>Q2 2026</t>
        </is>
      </c>
      <c r="F33" s="13" t="n">
        <v>1</v>
      </c>
      <c r="G33" s="14" t="n">
        <v>1833.726076373041</v>
      </c>
      <c r="H33" s="11" t="inlineStr">
        <is>
          <t>Brighton</t>
        </is>
      </c>
      <c r="I33" s="15" t="n">
        <v>4.6</v>
      </c>
      <c r="J33" s="10" t="inlineStr">
        <is>
          <t>Townhome</t>
        </is>
      </c>
      <c r="K33" s="11" t="inlineStr">
        <is>
          <t>Units: CoStar 156 vs RealPage 128; Year built: 2026/2027; Occ: CoStar 25% vs RealPage 18%; Rent: CoStar ask $1,862 vs RealPage eff $1,684; Occ: HD ~100% (CoStar/RP showed 25%); HD (90d): occ ~100% (units leased), ~20 leases/mo</t>
        </is>
      </c>
      <c r="M33">
        <f>IFERROR(VALUE(RIGHT(E33,4))*4+MATCH(LEFT(E33,2),{"Q1","Q2","Q3","Q4"},0)-1,"")</f>
        <v/>
      </c>
    </row>
    <row r="34">
      <c r="B34" s="10" t="n">
        <v>27</v>
      </c>
      <c r="C34" s="11" t="inlineStr">
        <is>
          <t>Delano</t>
        </is>
      </c>
      <c r="D34" s="12" t="n">
        <v>84</v>
      </c>
      <c r="E34" s="10" t="inlineStr">
        <is>
          <t>Q2 2026</t>
        </is>
      </c>
      <c r="F34" s="13" t="n">
        <v>0.452</v>
      </c>
      <c r="G34" s="14" t="inlineStr">
        <is>
          <t>—</t>
        </is>
      </c>
      <c r="H34" s="11" t="inlineStr">
        <is>
          <t>CBH Homes</t>
        </is>
      </c>
      <c r="I34" s="15" t="n">
        <v>3.3</v>
      </c>
      <c r="J34" s="10" t="inlineStr">
        <is>
          <t>Garden</t>
        </is>
      </c>
      <c r="K34" s="11" t="inlineStr">
        <is>
          <t>Delivery quarter estimated; Verify rent/occ w/ HelloData; RealPage-only — not in CoStar's 5-mi series</t>
        </is>
      </c>
      <c r="M34">
        <f>IFERROR(VALUE(RIGHT(E34,4))*4+MATCH(LEFT(E34,2),{"Q1","Q2","Q3","Q4"},0)-1,"")</f>
        <v/>
      </c>
    </row>
    <row r="36">
      <c r="B36" s="16" t="n"/>
      <c r="C36" s="81" t="inlineStr">
        <is>
          <t>UNDER CONSTRUCTION (5 properties, 1,213 units)</t>
        </is>
      </c>
    </row>
    <row r="37">
      <c r="B37" s="17" t="n">
        <v>28</v>
      </c>
      <c r="C37" s="18" t="inlineStr">
        <is>
          <t>South Ridge II</t>
        </is>
      </c>
      <c r="D37" s="19" t="n">
        <v>164</v>
      </c>
      <c r="E37" s="17" t="inlineStr">
        <is>
          <t>Q2 2027</t>
        </is>
      </c>
      <c r="F37" s="20" t="n"/>
      <c r="G37" s="21" t="inlineStr">
        <is>
          <t>—</t>
        </is>
      </c>
      <c r="H37" s="18" t="inlineStr">
        <is>
          <t>—</t>
        </is>
      </c>
      <c r="I37" s="22" t="n">
        <v>3.1</v>
      </c>
      <c r="J37" s="17" t="inlineStr">
        <is>
          <t>Garden</t>
        </is>
      </c>
      <c r="K37" s="18" t="n"/>
      <c r="M37">
        <f>IFERROR(VALUE(RIGHT(E37,4))*4+MATCH(LEFT(E37,2),{"Q1","Q2","Q3","Q4"},0)-1,"")</f>
        <v/>
      </c>
    </row>
    <row r="38">
      <c r="B38" s="17" t="n">
        <v>29</v>
      </c>
      <c r="C38" s="18" t="inlineStr">
        <is>
          <t>Dorado Station</t>
        </is>
      </c>
      <c r="D38" s="19" t="n">
        <v>212</v>
      </c>
      <c r="E38" s="17" t="inlineStr">
        <is>
          <t>Q3 2027</t>
        </is>
      </c>
      <c r="F38" s="20" t="n"/>
      <c r="G38" s="21" t="inlineStr">
        <is>
          <t>—</t>
        </is>
      </c>
      <c r="H38" s="18" t="inlineStr">
        <is>
          <t>—</t>
        </is>
      </c>
      <c r="I38" s="22" t="n">
        <v>4.9</v>
      </c>
      <c r="J38" s="17" t="n"/>
      <c r="K38" s="18" t="inlineStr">
        <is>
          <t>Analyst-sourced deal (not in CoStar/RealPage); Diligence: under construction</t>
        </is>
      </c>
      <c r="M38">
        <f>IFERROR(VALUE(RIGHT(E38,4))*4+MATCH(LEFT(E38,2),{"Q1","Q2","Q3","Q4"},0)-1,"")</f>
        <v/>
      </c>
    </row>
    <row r="39">
      <c r="B39" s="17" t="n">
        <v>30</v>
      </c>
      <c r="C39" s="18" t="inlineStr">
        <is>
          <t>Summertown (remaining phases)</t>
        </is>
      </c>
      <c r="D39" s="19" t="n">
        <v>72</v>
      </c>
      <c r="E39" s="17" t="inlineStr">
        <is>
          <t>Q3 2027</t>
        </is>
      </c>
      <c r="F39" s="20" t="n"/>
      <c r="G39" s="21" t="inlineStr">
        <is>
          <t>—</t>
        </is>
      </c>
      <c r="H39" s="18" t="inlineStr">
        <is>
          <t>—</t>
        </is>
      </c>
      <c r="I39" s="22" t="n">
        <v>3.5</v>
      </c>
      <c r="J39" s="17" t="n"/>
      <c r="K39" s="18" t="inlineStr">
        <is>
          <t>Analyst-sourced deal (not in CoStar/RealPage); Diligence: under construction</t>
        </is>
      </c>
      <c r="M39">
        <f>IFERROR(VALUE(RIGHT(E39,4))*4+MATCH(LEFT(E39,2),{"Q1","Q2","Q3","Q4"},0)-1,"")</f>
        <v/>
      </c>
    </row>
    <row r="40">
      <c r="B40" s="17" t="n">
        <v>31</v>
      </c>
      <c r="C40" s="18" t="inlineStr">
        <is>
          <t>Vanguard Village</t>
        </is>
      </c>
      <c r="D40" s="19" t="n">
        <v>552</v>
      </c>
      <c r="E40" s="17" t="inlineStr">
        <is>
          <t>Q1 2028</t>
        </is>
      </c>
      <c r="F40" s="20" t="n"/>
      <c r="G40" s="21" t="inlineStr">
        <is>
          <t>—</t>
        </is>
      </c>
      <c r="H40" s="18" t="inlineStr">
        <is>
          <t>—</t>
        </is>
      </c>
      <c r="I40" s="22" t="n">
        <v>4.3</v>
      </c>
      <c r="J40" s="17" t="inlineStr">
        <is>
          <t>Mid-Rise</t>
        </is>
      </c>
      <c r="K40" s="18" t="n"/>
      <c r="M40">
        <f>IFERROR(VALUE(RIGHT(E40,4))*4+MATCH(LEFT(E40,2),{"Q1","Q2","Q3","Q4"},0)-1,"")</f>
        <v/>
      </c>
    </row>
    <row r="41">
      <c r="B41" s="17" t="n">
        <v>32</v>
      </c>
      <c r="C41" s="18" t="inlineStr">
        <is>
          <t>Centrepoint</t>
        </is>
      </c>
      <c r="D41" s="19" t="n">
        <v>213</v>
      </c>
      <c r="E41" s="17" t="inlineStr">
        <is>
          <t>Q1 2028</t>
        </is>
      </c>
      <c r="F41" s="20" t="n"/>
      <c r="G41" s="21" t="inlineStr">
        <is>
          <t>—</t>
        </is>
      </c>
      <c r="H41" s="18" t="inlineStr">
        <is>
          <t>Privately Owned</t>
        </is>
      </c>
      <c r="I41" s="22" t="n">
        <v>2.9</v>
      </c>
      <c r="J41" s="17" t="inlineStr">
        <is>
          <t>Mid-Rise</t>
        </is>
      </c>
      <c r="K41" s="18" t="inlineStr">
        <is>
          <t>RealPage pipeline (not yet in CoStar); Diligence: under construction - revived; permits issuing 2026</t>
        </is>
      </c>
      <c r="M41">
        <f>IFERROR(VALUE(RIGHT(E41,4))*4+MATCH(LEFT(E41,2),{"Q1","Q2","Q3","Q4"},0)-1,"")</f>
        <v/>
      </c>
    </row>
    <row r="43">
      <c r="B43" s="23" t="n"/>
      <c r="C43" s="83" t="inlineStr">
        <is>
          <t>PROPOSED (15 properties, 3,942 units)</t>
        </is>
      </c>
    </row>
    <row r="44">
      <c r="B44" s="24" t="n">
        <v>33</v>
      </c>
      <c r="C44" s="25" t="inlineStr">
        <is>
          <t>Outer Banks Apartments</t>
        </is>
      </c>
      <c r="D44" s="26" t="n">
        <v>516</v>
      </c>
      <c r="E44" s="24" t="inlineStr">
        <is>
          <t>Q4 2027</t>
        </is>
      </c>
      <c r="F44" s="27" t="n"/>
      <c r="G44" s="28" t="inlineStr">
        <is>
          <t>—</t>
        </is>
      </c>
      <c r="H44" s="25" t="inlineStr">
        <is>
          <t>Elk Ventures</t>
        </is>
      </c>
      <c r="I44" s="29" t="n">
        <v>3.3</v>
      </c>
      <c r="J44" s="24" t="inlineStr">
        <is>
          <t>Garden</t>
        </is>
      </c>
      <c r="K44" s="25" t="inlineStr">
        <is>
          <t>Audit find Aug 2026: 2024 CUP (364 apts/126 flats/26 TH, 19.34 ac R-40/C-C, SW Franklin &amp; Ten Mile); groundbreaking expected 2026, first units summer 2027 (Statesman); Diligence: proposed - near-UC</t>
        </is>
      </c>
      <c r="M44">
        <f>IFERROR(VALUE(RIGHT(E44,4))*4+MATCH(LEFT(E44,2),{"Q1","Q2","Q3","Q4"},0)-1,"")</f>
        <v/>
      </c>
    </row>
    <row r="45">
      <c r="B45" s="24" t="n">
        <v>34</v>
      </c>
      <c r="C45" s="25" t="inlineStr">
        <is>
          <t>The Judy (Maple Grove &amp; Overland)</t>
        </is>
      </c>
      <c r="D45" s="26" t="n">
        <v>162</v>
      </c>
      <c r="E45" s="24" t="inlineStr">
        <is>
          <t>Q1 2028</t>
        </is>
      </c>
      <c r="F45" s="27" t="n"/>
      <c r="G45" s="28" t="inlineStr">
        <is>
          <t>—</t>
        </is>
      </c>
      <c r="H45" s="25" t="inlineStr">
        <is>
          <t>—</t>
        </is>
      </c>
      <c r="I45" s="29" t="n">
        <v>3.4</v>
      </c>
      <c r="J45" s="24" t="n"/>
      <c r="K45" s="25" t="inlineStr">
        <is>
          <t>Analyst-sourced deal (not in CoStar/RealPage); Diligence: proposed - equity raise underway; construction targeted Q3 2026</t>
        </is>
      </c>
      <c r="M45">
        <f>IFERROR(VALUE(RIGHT(E45,4))*4+MATCH(LEFT(E45,2),{"Q1","Q2","Q3","Q4"},0)-1,"")</f>
        <v/>
      </c>
    </row>
    <row r="46">
      <c r="B46" s="24" t="n">
        <v>35</v>
      </c>
      <c r="C46" s="25" t="inlineStr">
        <is>
          <t>Heritage Square (ex-Union 93)</t>
        </is>
      </c>
      <c r="D46" s="26" t="n">
        <v>250</v>
      </c>
      <c r="E46" s="24" t="inlineStr">
        <is>
          <t>Q1 2029</t>
        </is>
      </c>
      <c r="F46" s="27" t="n"/>
      <c r="G46" s="28" t="inlineStr">
        <is>
          <t>—</t>
        </is>
      </c>
      <c r="H46" s="25" t="inlineStr">
        <is>
          <t>—</t>
        </is>
      </c>
      <c r="I46" s="29" t="n">
        <v>1.9</v>
      </c>
      <c r="J46" s="24" t="n"/>
      <c r="K46" s="25" t="inlineStr">
        <is>
          <t>Analyst-sourced deal (not in CoStar/RealPage); Diligence: proposed - announced Jul 13 2026; Union 93 skeleton repurposed</t>
        </is>
      </c>
      <c r="M46">
        <f>IFERROR(VALUE(RIGHT(E46,4))*4+MATCH(LEFT(E46,2),{"Q1","Q2","Q3","Q4"},0)-1,"")</f>
        <v/>
      </c>
    </row>
    <row r="47">
      <c r="B47" s="24" t="n">
        <v>36</v>
      </c>
      <c r="C47" s="25" t="inlineStr">
        <is>
          <t>The Cole Denton</t>
        </is>
      </c>
      <c r="D47" s="26" t="n">
        <v>224</v>
      </c>
      <c r="E47" s="24" t="inlineStr">
        <is>
          <t>Q1 2029</t>
        </is>
      </c>
      <c r="F47" s="27" t="n"/>
      <c r="G47" s="28" t="inlineStr">
        <is>
          <t>—</t>
        </is>
      </c>
      <c r="H47" s="25" t="inlineStr">
        <is>
          <t>—</t>
        </is>
      </c>
      <c r="I47" s="29" t="n">
        <v>4.5</v>
      </c>
      <c r="J47" s="24" t="inlineStr">
        <is>
          <t>Mid-Rise</t>
        </is>
      </c>
      <c r="K47" s="25" t="inlineStr">
        <is>
          <t>RealPage pipeline (not yet in CoStar); Diligence: proposed - refiled May/Jun 2026 as 6-story, raised to 224 units (BoiseDev 7/27/26; PLN26-00493)</t>
        </is>
      </c>
      <c r="M47">
        <f>IFERROR(VALUE(RIGHT(E47,4))*4+MATCH(LEFT(E47,2),{"Q1","Q2","Q3","Q4"},0)-1,"")</f>
        <v/>
      </c>
    </row>
    <row r="48">
      <c r="B48" s="24" t="n">
        <v>37</v>
      </c>
      <c r="C48" s="25" t="inlineStr">
        <is>
          <t>Rolling Hill (Assemble Management)</t>
        </is>
      </c>
      <c r="D48" s="26" t="n">
        <v>200</v>
      </c>
      <c r="E48" s="24" t="inlineStr">
        <is>
          <t>Q1 2029</t>
        </is>
      </c>
      <c r="F48" s="27" t="n"/>
      <c r="G48" s="28" t="inlineStr">
        <is>
          <t>—</t>
        </is>
      </c>
      <c r="H48" s="25" t="inlineStr">
        <is>
          <t>—</t>
        </is>
      </c>
      <c r="I48" s="29" t="n">
        <v>1</v>
      </c>
      <c r="J48" s="24" t="n"/>
      <c r="K48" s="25" t="inlineStr">
        <is>
          <t>Analyst-sourced deal (not in CoStar/RealPage); Diligence: proposed</t>
        </is>
      </c>
      <c r="M48">
        <f>IFERROR(VALUE(RIGHT(E48,4))*4+MATCH(LEFT(E48,2),{"Q1","Q2","Q3","Q4"},0)-1,"")</f>
        <v/>
      </c>
    </row>
    <row r="49">
      <c r="B49" s="24" t="n">
        <v>38</v>
      </c>
      <c r="C49" s="25" t="inlineStr">
        <is>
          <t>Record</t>
        </is>
      </c>
      <c r="D49" s="26" t="n">
        <v>472</v>
      </c>
      <c r="E49" s="24" t="inlineStr">
        <is>
          <t>TBD</t>
        </is>
      </c>
      <c r="F49" s="27" t="n"/>
      <c r="G49" s="28" t="inlineStr">
        <is>
          <t>—</t>
        </is>
      </c>
      <c r="H49" s="25" t="inlineStr">
        <is>
          <t>—</t>
        </is>
      </c>
      <c r="I49" s="29" t="n">
        <v>1.9</v>
      </c>
      <c r="J49" s="24" t="inlineStr">
        <is>
          <t>Mid-Rise</t>
        </is>
      </c>
      <c r="K49" s="25" t="inlineStr">
        <is>
          <t>RealPage pipeline (not yet in CoStar); Diligence: proposed - stalled; CUP likely lapsed - Brighton silent 4+ years</t>
        </is>
      </c>
      <c r="M49">
        <f>IFERROR(VALUE(RIGHT(E49,4))*4+MATCH(LEFT(E49,2),{"Q1","Q2","Q3","Q4"},0)-1,"")</f>
        <v/>
      </c>
    </row>
    <row r="50">
      <c r="B50" s="24" t="n">
        <v>39</v>
      </c>
      <c r="C50" s="25" t="inlineStr">
        <is>
          <t>The Gateway at Ten Mile</t>
        </is>
      </c>
      <c r="D50" s="26" t="n">
        <v>390</v>
      </c>
      <c r="E50" s="24" t="inlineStr">
        <is>
          <t>TBD</t>
        </is>
      </c>
      <c r="F50" s="27" t="n"/>
      <c r="G50" s="28" t="inlineStr">
        <is>
          <t>—</t>
        </is>
      </c>
      <c r="H50" s="25" t="inlineStr">
        <is>
          <t>TGI Corp</t>
        </is>
      </c>
      <c r="I50" s="29" t="n">
        <v>3.7</v>
      </c>
      <c r="J50" s="24" t="inlineStr">
        <is>
          <t>Mid-Rise</t>
        </is>
      </c>
      <c r="K50" s="25" t="inlineStr">
        <is>
          <t>Diligence: proposed - long-dated; residential 5-7 yrs out per developer</t>
        </is>
      </c>
      <c r="M50">
        <f>IFERROR(VALUE(RIGHT(E50,4))*4+MATCH(LEFT(E50,2),{"Q1","Q2","Q3","Q4"},0)-1,"")</f>
        <v/>
      </c>
    </row>
    <row r="51">
      <c r="B51" s="24" t="n">
        <v>40</v>
      </c>
      <c r="C51" s="25" t="inlineStr">
        <is>
          <t>Syringa Crossing</t>
        </is>
      </c>
      <c r="D51" s="26" t="n">
        <v>302</v>
      </c>
      <c r="E51" s="24" t="inlineStr">
        <is>
          <t>TBD</t>
        </is>
      </c>
      <c r="F51" s="27" t="n"/>
      <c r="G51" s="28" t="inlineStr">
        <is>
          <t>—</t>
        </is>
      </c>
      <c r="H51" s="25" t="inlineStr">
        <is>
          <t>—</t>
        </is>
      </c>
      <c r="I51" s="29" t="n">
        <v>2.8</v>
      </c>
      <c r="J51" s="24" t="inlineStr">
        <is>
          <t>Mid-Rise</t>
        </is>
      </c>
      <c r="K51" s="25" t="inlineStr">
        <is>
          <t>RealPage pipeline (not yet in CoStar); Diligence: proposed - remanded; revised 302u CUP (15.23 ac R-40) re-heard P&amp;Z 8/6/2026, outcome unpublished</t>
        </is>
      </c>
      <c r="M51">
        <f>IFERROR(VALUE(RIGHT(E51,4))*4+MATCH(LEFT(E51,2),{"Q1","Q2","Q3","Q4"},0)-1,"")</f>
        <v/>
      </c>
    </row>
    <row r="52">
      <c r="B52" s="24" t="n">
        <v>41</v>
      </c>
      <c r="C52" s="25" t="inlineStr">
        <is>
          <t>Victory Flats</t>
        </is>
      </c>
      <c r="D52" s="26" t="n">
        <v>301</v>
      </c>
      <c r="E52" s="24" t="inlineStr">
        <is>
          <t>TBD</t>
        </is>
      </c>
      <c r="F52" s="27" t="n"/>
      <c r="G52" s="28" t="inlineStr">
        <is>
          <t>—</t>
        </is>
      </c>
      <c r="H52" s="25" t="inlineStr">
        <is>
          <t>Welltower Inc.</t>
        </is>
      </c>
      <c r="I52" s="29" t="n">
        <v>3.9</v>
      </c>
      <c r="J52" s="24" t="inlineStr">
        <is>
          <t>Townhome</t>
        </is>
      </c>
      <c r="K52" s="25" t="inlineStr">
        <is>
          <t>Diligence: proposed - stalled; Jan 2024 start extension lapsed unbuilt</t>
        </is>
      </c>
      <c r="M52">
        <f>IFERROR(VALUE(RIGHT(E52,4))*4+MATCH(LEFT(E52,2),{"Q1","Q2","Q3","Q4"},0)-1,"")</f>
        <v/>
      </c>
    </row>
    <row r="53">
      <c r="B53" s="24" t="n">
        <v>42</v>
      </c>
      <c r="C53" s="25" t="inlineStr">
        <is>
          <t>12565 West Fairview Avenue</t>
        </is>
      </c>
      <c r="D53" s="26" t="n">
        <v>275</v>
      </c>
      <c r="E53" s="24" t="inlineStr">
        <is>
          <t>TBD</t>
        </is>
      </c>
      <c r="F53" s="27" t="n"/>
      <c r="G53" s="28" t="inlineStr">
        <is>
          <t>—</t>
        </is>
      </c>
      <c r="H53" s="25" t="inlineStr">
        <is>
          <t>—</t>
        </is>
      </c>
      <c r="I53" s="29" t="n">
        <v>2.1</v>
      </c>
      <c r="J53" s="24" t="inlineStr">
        <is>
          <t>Mid-Rise</t>
        </is>
      </c>
      <c r="K53" s="25" t="inlineStr">
        <is>
          <t>RealPage pipeline (not yet in CoStar); Diligence: proposed - stalled; pre-application only - silent since Apr 2025</t>
        </is>
      </c>
      <c r="M53">
        <f>IFERROR(VALUE(RIGHT(E53,4))*4+MATCH(LEFT(E53,2),{"Q1","Q2","Q3","Q4"},0)-1,"")</f>
        <v/>
      </c>
    </row>
    <row r="54">
      <c r="B54" s="24" t="n">
        <v>43</v>
      </c>
      <c r="C54" s="25" t="inlineStr">
        <is>
          <t>Pine 43 Multifamily (Pine &amp; Webb)</t>
        </is>
      </c>
      <c r="D54" s="26" t="n">
        <v>270</v>
      </c>
      <c r="E54" s="24" t="inlineStr">
        <is>
          <t>TBD</t>
        </is>
      </c>
      <c r="F54" s="27" t="n"/>
      <c r="G54" s="28" t="inlineStr">
        <is>
          <t>—</t>
        </is>
      </c>
      <c r="H54" s="25" t="inlineStr">
        <is>
          <t>—</t>
        </is>
      </c>
      <c r="I54" s="29" t="n">
        <v>1.4</v>
      </c>
      <c r="J54" s="24" t="n"/>
      <c r="K54" s="25" t="inlineStr">
        <is>
          <t>Analyst-sourced deal (not in CoStar/RealPage); Diligence: proposed</t>
        </is>
      </c>
      <c r="M54">
        <f>IFERROR(VALUE(RIGHT(E54,4))*4+MATCH(LEFT(E54,2),{"Q1","Q2","Q3","Q4"},0)-1,"")</f>
        <v/>
      </c>
    </row>
    <row r="55">
      <c r="B55" s="24" t="n">
        <v>44</v>
      </c>
      <c r="C55" s="25" t="inlineStr">
        <is>
          <t>Emblem Meridian (Quarterra)</t>
        </is>
      </c>
      <c r="D55" s="26" t="n">
        <v>250</v>
      </c>
      <c r="E55" s="24" t="inlineStr">
        <is>
          <t>TBD</t>
        </is>
      </c>
      <c r="F55" s="27" t="n"/>
      <c r="G55" s="28" t="inlineStr">
        <is>
          <t>—</t>
        </is>
      </c>
      <c r="H55" s="25" t="inlineStr">
        <is>
          <t>Quarterra</t>
        </is>
      </c>
      <c r="I55" s="29" t="n">
        <v>1</v>
      </c>
      <c r="J55" s="24" t="inlineStr">
        <is>
          <t>Garden</t>
        </is>
      </c>
      <c r="K55" s="25" t="inlineStr">
        <is>
          <t>Analyst-sourced (not in CoStar/RealPage); Diligence: proposed - formal early plans filed June 2026; 250u (apts+TH) on ~13 ac R-15, N of Eagle &amp; Victory; ex-Artisan Victory Market site; nearest live MF application to subject</t>
        </is>
      </c>
      <c r="M55">
        <f>IFERROR(VALUE(RIGHT(E55,4))*4+MATCH(LEFT(E55,2),{"Q1","Q2","Q3","Q4"},0)-1,"")</f>
        <v/>
      </c>
    </row>
    <row r="56">
      <c r="B56" s="24" t="n">
        <v>45</v>
      </c>
      <c r="C56" s="25" t="inlineStr">
        <is>
          <t>12548 West Overland Road</t>
        </is>
      </c>
      <c r="D56" s="26" t="n">
        <v>156</v>
      </c>
      <c r="E56" s="24" t="inlineStr">
        <is>
          <t>TBD</t>
        </is>
      </c>
      <c r="F56" s="27" t="n"/>
      <c r="G56" s="28" t="inlineStr">
        <is>
          <t>—</t>
        </is>
      </c>
      <c r="H56" s="25" t="inlineStr">
        <is>
          <t>—</t>
        </is>
      </c>
      <c r="I56" s="29" t="n">
        <v>1.1</v>
      </c>
      <c r="J56" s="24" t="inlineStr">
        <is>
          <t>Mid-Rise</t>
        </is>
      </c>
      <c r="K56" s="25" t="inlineStr">
        <is>
          <t>RealPage pipeline (not yet in CoStar); Diligence: proposed - stalled; PUD likely lapsed ~Mar 2026 - RV storage still operating</t>
        </is>
      </c>
      <c r="M56">
        <f>IFERROR(VALUE(RIGHT(E56,4))*4+MATCH(LEFT(E56,2),{"Q1","Q2","Q3","Q4"},0)-1,"")</f>
        <v/>
      </c>
    </row>
    <row r="57">
      <c r="B57" s="24" t="n">
        <v>46</v>
      </c>
      <c r="C57" s="25" t="inlineStr">
        <is>
          <t>Ascent Overland</t>
        </is>
      </c>
      <c r="D57" s="26" t="n">
        <v>138</v>
      </c>
      <c r="E57" s="24" t="inlineStr">
        <is>
          <t>TBD</t>
        </is>
      </c>
      <c r="F57" s="27" t="n"/>
      <c r="G57" s="28" t="inlineStr">
        <is>
          <t>—</t>
        </is>
      </c>
      <c r="H57" s="25" t="inlineStr">
        <is>
          <t>—</t>
        </is>
      </c>
      <c r="I57" s="29" t="n">
        <v>1.5</v>
      </c>
      <c r="J57" s="24" t="inlineStr">
        <is>
          <t>Mid-Rise</t>
        </is>
      </c>
      <c r="K57" s="25" t="inlineStr">
        <is>
          <t>Diligence: proposed - stalled; entitled site for sale via CBRE at $5.0M</t>
        </is>
      </c>
      <c r="M57">
        <f>IFERROR(VALUE(RIGHT(E57,4))*4+MATCH(LEFT(E57,2),{"Q1","Q2","Q3","Q4"},0)-1,"")</f>
        <v/>
      </c>
    </row>
    <row r="58">
      <c r="B58" s="24" t="n">
        <v>47</v>
      </c>
      <c r="C58" s="25" t="inlineStr">
        <is>
          <t>Meridian OZ Apartments</t>
        </is>
      </c>
      <c r="D58" s="26" t="n">
        <v>36</v>
      </c>
      <c r="E58" s="24" t="inlineStr">
        <is>
          <t>TBD</t>
        </is>
      </c>
      <c r="F58" s="27" t="n"/>
      <c r="G58" s="28" t="inlineStr">
        <is>
          <t>—</t>
        </is>
      </c>
      <c r="H58" s="25" t="inlineStr">
        <is>
          <t>Peak Capital Investments Llc</t>
        </is>
      </c>
      <c r="I58" s="29" t="n">
        <v>1.1</v>
      </c>
      <c r="J58" s="24" t="inlineStr">
        <is>
          <t>Garden</t>
        </is>
      </c>
      <c r="K58" s="25" t="inlineStr">
        <is>
          <t>Diligence: proposed - stalled; downsized to 36u Oct 2024 - entitled site listed then off-market</t>
        </is>
      </c>
      <c r="M58">
        <f>IFERROR(VALUE(RIGHT(E58,4))*4+MATCH(LEFT(E58,2),{"Q1","Q2","Q3","Q4"},0)-1,"")</f>
        <v/>
      </c>
    </row>
    <row r="59"/>
    <row r="60"/>
    <row r="61">
      <c r="B61" s="84" t="inlineStr">
        <is>
          <t>* 5-Mile radius. Rent ($) = HelloData mix-weighted asking where covered, else market asking (CoStar). Proximity (mi) = straight-line distance from the subject. Est. Delivery drives the Supply &amp; Absorption tab's per-window supply (edit it there or here — they are linked). See the 'Supply &amp; Absorption' tab for the forward supply / absorption / overall-occupancy forecast.</t>
        </is>
      </c>
    </row>
  </sheetData>
  <mergeCells count="7">
    <mergeCell ref="B3:G3"/>
    <mergeCell ref="C5:K5"/>
    <mergeCell ref="C2:G2"/>
    <mergeCell ref="C36:K36"/>
    <mergeCell ref="C43:K43"/>
    <mergeCell ref="B59:K59"/>
    <mergeCell ref="C29:K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/>
    <pageSetUpPr/>
  </sheetPr>
  <dimension ref="A1:Z75"/>
  <sheetViews>
    <sheetView showGridLines="0" workbookViewId="0">
      <selection activeCell="A1" sqref="A1"/>
    </sheetView>
  </sheetViews>
  <sheetFormatPr baseColWidth="8" defaultRowHeight="14.4" outlineLevelRow="1"/>
  <cols>
    <col width="2.44140625" customWidth="1" style="79" min="1" max="1"/>
    <col width="26" customWidth="1" style="79" min="2" max="2"/>
    <col width="9.44140625" customWidth="1" style="79" min="3" max="16"/>
    <col width="28" customWidth="1" style="79" min="18" max="18"/>
    <col width="7" customWidth="1" style="79" min="19" max="19"/>
    <col width="11" customWidth="1" style="79" min="20" max="20"/>
    <col width="9" customWidth="1" style="79" min="21" max="21"/>
    <col hidden="1" width="8" customWidth="1" style="79" min="22" max="22"/>
    <col hidden="1" width="7" customWidth="1" style="79" min="23" max="23"/>
    <col hidden="1" width="6" customWidth="1" style="79" min="24" max="24"/>
    <col hidden="1" width="13" customWidth="1" style="79" min="26" max="26"/>
  </cols>
  <sheetData>
    <row r="1" ht="14.4" customHeight="1" s="79">
      <c r="Z1" t="n">
        <v>8105</v>
      </c>
    </row>
    <row r="2" ht="19.95" customHeight="1" s="79">
      <c r="B2" s="82" t="inlineStr">
        <is>
          <t>SUPPLY &amp; ABSORPTION  —  5-MILE MARKET (relative-year / TTM)</t>
        </is>
      </c>
      <c r="Z2">
        <f>IFERROR(VALUE(RIGHT($C$5,4))*4+MATCH(LEFT($C$5,2),{"Q1","Q2","Q3","Q4"},0)-1,0)</f>
        <v/>
      </c>
    </row>
    <row r="3" ht="14.4" customHeight="1" s="79">
      <c r="R3" s="31" t="inlineStr">
        <is>
          <t>UNDER CONSTRUCTION (linked from Competitive Analysis)</t>
        </is>
      </c>
      <c r="Z3">
        <f>IF($C$7="Bear",3,IF($C$7="Base",2,1))</f>
        <v/>
      </c>
    </row>
    <row r="4" ht="14.4" customHeight="1" s="79">
      <c r="B4" s="32" t="inlineStr">
        <is>
          <t>As-of Quarter (Y0 end)</t>
        </is>
      </c>
      <c r="C4" s="33" t="inlineStr">
        <is>
          <t>Q2 2026</t>
        </is>
      </c>
      <c r="D4" s="34" t="inlineStr">
        <is>
          <t>◂ Y0 = the trailing-12-months ending here (latest complete CoStar quarter); -Y1…-Y6 step back a year each.</t>
        </is>
      </c>
      <c r="R4" s="35" t="inlineStr">
        <is>
          <t>Property</t>
        </is>
      </c>
      <c r="S4" s="35" t="inlineStr">
        <is>
          <t>Units</t>
        </is>
      </c>
      <c r="T4" s="35" t="inlineStr">
        <is>
          <t>Est. Delivery</t>
        </is>
      </c>
    </row>
    <row r="5" ht="14.4" customHeight="1" s="79">
      <c r="B5" s="32" t="inlineStr">
        <is>
          <t>Close Quarter (Y1 start)</t>
        </is>
      </c>
      <c r="C5" s="36" t="inlineStr">
        <is>
          <t>Q4 2026</t>
        </is>
      </c>
      <c r="D5" s="34" t="inlineStr">
        <is>
          <t>◂ Expected deal close. Y1 = the 12 months starting here; pipeline deliveries bucket into hold years off this anchor — edit it and the Y1–Y6 windows &amp; supply shift.</t>
        </is>
      </c>
      <c r="R5" s="37">
        <f>'Competitive Analysis'!C40</f>
        <v/>
      </c>
      <c r="S5" s="38">
        <f>'Competitive Analysis'!D40</f>
        <v/>
      </c>
      <c r="T5" s="39">
        <f>'Competitive Analysis'!E40</f>
        <v/>
      </c>
      <c r="V5">
        <f>IFERROR(VALUE(RIGHT(T5,4))*4+MATCH(LEFT(T5,2),{"Q1","Q2","Q3","Q4"},0)-1,"")</f>
        <v/>
      </c>
      <c r="W5">
        <f>IF(V5="","",IF(V5&lt;=$Z$1,0,MAX(1,INT((V5-$Z$2)/4)+1)))</f>
        <v/>
      </c>
    </row>
    <row r="6" ht="14.4" customHeight="1" s="79">
      <c r="B6" s="32" t="inlineStr">
        <is>
          <t>Stabilization Target</t>
        </is>
      </c>
      <c r="C6" s="40" t="n">
        <v>0.95</v>
      </c>
      <c r="R6" s="37">
        <f>'Competitive Analysis'!C41</f>
        <v/>
      </c>
      <c r="S6" s="38">
        <f>'Competitive Analysis'!D41</f>
        <v/>
      </c>
      <c r="T6" s="39">
        <f>'Competitive Analysis'!E41</f>
        <v/>
      </c>
      <c r="V6">
        <f>IFERROR(VALUE(RIGHT(T6,4))*4+MATCH(LEFT(T6,2),{"Q1","Q2","Q3","Q4"},0)-1,"")</f>
        <v/>
      </c>
      <c r="W6">
        <f>IF(V6="","",IF(V6&lt;=$Z$1,0,MAX(1,INT((V6-$Z$2)/4)+1)))</f>
        <v/>
      </c>
    </row>
    <row r="7" ht="14.4" customHeight="1" s="79">
      <c r="B7" s="32" t="inlineStr">
        <is>
          <t>Demand Scenario</t>
        </is>
      </c>
      <c r="C7" s="36" t="inlineStr">
        <is>
          <t>Base</t>
        </is>
      </c>
      <c r="R7" s="37">
        <f>'Competitive Analysis'!C38</f>
        <v/>
      </c>
      <c r="S7" s="38">
        <f>'Competitive Analysis'!D38</f>
        <v/>
      </c>
      <c r="T7" s="39">
        <f>'Competitive Analysis'!E38</f>
        <v/>
      </c>
      <c r="V7">
        <f>IFERROR(VALUE(RIGHT(T7,4))*4+MATCH(LEFT(T7,2),{"Q1","Q2","Q3","Q4"},0)-1,"")</f>
        <v/>
      </c>
      <c r="W7">
        <f>IF(V7="","",IF(V7&lt;=$Z$1,0,MAX(1,INT((V7-$Z$2)/4)+1)))</f>
        <v/>
      </c>
    </row>
    <row r="8" ht="14.4" customHeight="1" s="79">
      <c r="B8" s="32" t="inlineStr">
        <is>
          <t>Bear Annual Absorption</t>
        </is>
      </c>
      <c r="C8" s="41" t="n">
        <v>425</v>
      </c>
      <c r="R8" s="37">
        <f>'Competitive Analysis'!C37</f>
        <v/>
      </c>
      <c r="S8" s="38">
        <f>'Competitive Analysis'!D37</f>
        <v/>
      </c>
      <c r="T8" s="39">
        <f>'Competitive Analysis'!E37</f>
        <v/>
      </c>
      <c r="V8">
        <f>IFERROR(VALUE(RIGHT(T8,4))*4+MATCH(LEFT(T8,2),{"Q1","Q2","Q3","Q4"},0)-1,"")</f>
        <v/>
      </c>
      <c r="W8">
        <f>IF(V8="","",IF(V8&lt;=$Z$1,0,MAX(1,INT((V8-$Z$2)/4)+1)))</f>
        <v/>
      </c>
    </row>
    <row r="9" ht="14.4" customHeight="1" s="79">
      <c r="B9" s="32" t="inlineStr">
        <is>
          <t>Base Annual Absorption</t>
        </is>
      </c>
      <c r="C9" s="41" t="n">
        <v>850</v>
      </c>
      <c r="R9" s="37">
        <f>'Competitive Analysis'!C39</f>
        <v/>
      </c>
      <c r="S9" s="38">
        <f>'Competitive Analysis'!D39</f>
        <v/>
      </c>
      <c r="T9" s="39">
        <f>'Competitive Analysis'!E39</f>
        <v/>
      </c>
      <c r="V9">
        <f>IFERROR(VALUE(RIGHT(T9,4))*4+MATCH(LEFT(T9,2),{"Q1","Q2","Q3","Q4"},0)-1,"")</f>
        <v/>
      </c>
      <c r="W9">
        <f>IF(V9="","",IF(V9&lt;=$Z$1,0,MAX(1,INT((V9-$Z$2)/4)+1)))</f>
        <v/>
      </c>
    </row>
    <row r="10" ht="14.4" customHeight="1" s="79">
      <c r="B10" s="32" t="inlineStr">
        <is>
          <t>Bull Annual Absorption</t>
        </is>
      </c>
      <c r="C10" s="41" t="n">
        <v>1275</v>
      </c>
      <c r="D10" s="34" t="inlineStr">
        <is>
          <t>◂ Base = trailing-3-yr CoStar average (annualized, complete quarters).</t>
        </is>
      </c>
    </row>
    <row r="11" ht="14.4" customHeight="1" s="79">
      <c r="B11" s="32" t="inlineStr">
        <is>
          <t>Selected Annual Demand</t>
        </is>
      </c>
      <c r="C11" s="42">
        <f>IF($C$7="Bear",$C$8,IF($C$7="Bull",$C$10,$C$9))</f>
        <v/>
      </c>
      <c r="R11" s="31" t="inlineStr">
        <is>
          <t>PROPOSED PIPELINE (scenario toggle)</t>
        </is>
      </c>
    </row>
    <row r="12" ht="14.4" customHeight="1" s="79">
      <c r="R12" s="35" t="inlineStr">
        <is>
          <t>Property</t>
        </is>
      </c>
      <c r="S12" s="35" t="inlineStr">
        <is>
          <t>Units</t>
        </is>
      </c>
      <c r="T12" s="35" t="inlineStr">
        <is>
          <t>Est. Delivery</t>
        </is>
      </c>
      <c r="U12" s="35" t="inlineStr">
        <is>
          <t>Built In</t>
        </is>
      </c>
    </row>
    <row r="13" ht="14.4" customHeight="1" s="79">
      <c r="R13" s="37" t="inlineStr">
        <is>
          <t>Record</t>
        </is>
      </c>
      <c r="S13" s="38" t="n">
        <v>472</v>
      </c>
      <c r="T13" s="43" t="n"/>
      <c r="U13" s="43" t="inlineStr">
        <is>
          <t>Bear only</t>
        </is>
      </c>
      <c r="V13">
        <f>IFERROR(VALUE(RIGHT(T13,4))*4+MATCH(LEFT(T13,2),{"Q1","Q2","Q3","Q4"},0)-1,"")</f>
        <v/>
      </c>
      <c r="W13">
        <f>IF(V13="","",IF(V13&lt;=$Z$1,0,MAX(1,INT((V13-$Z$2)/4)+1)))</f>
        <v/>
      </c>
      <c r="X13">
        <f>IF(U13="All",1,IF(U13="Bear+Base",IF($Z$3&gt;=2,1,0),IF(U13="Bear only",IF($Z$3&gt;=3,1,0),0)))</f>
        <v/>
      </c>
    </row>
    <row r="14" ht="14.4" customHeight="1" s="79">
      <c r="R14" s="37" t="inlineStr">
        <is>
          <t>The Gateway at Ten Mile</t>
        </is>
      </c>
      <c r="S14" s="38" t="n">
        <v>390</v>
      </c>
      <c r="T14" s="43" t="n"/>
      <c r="U14" s="43" t="inlineStr">
        <is>
          <t>Bear only</t>
        </is>
      </c>
      <c r="V14">
        <f>IFERROR(VALUE(RIGHT(T14,4))*4+MATCH(LEFT(T14,2),{"Q1","Q2","Q3","Q4"},0)-1,"")</f>
        <v/>
      </c>
      <c r="W14">
        <f>IF(V14="","",IF(V14&lt;=$Z$1,0,MAX(1,INT((V14-$Z$2)/4)+1)))</f>
        <v/>
      </c>
      <c r="X14">
        <f>IF(U14="All",1,IF(U14="Bear+Base",IF($Z$3&gt;=2,1,0),IF(U14="Bear only",IF($Z$3&gt;=3,1,0),0)))</f>
        <v/>
      </c>
    </row>
    <row r="15" ht="14.4" customHeight="1" s="79">
      <c r="R15" s="37" t="inlineStr">
        <is>
          <t>Syringa Crossing</t>
        </is>
      </c>
      <c r="S15" s="38" t="n">
        <v>302</v>
      </c>
      <c r="T15" s="43" t="n"/>
      <c r="U15" s="43" t="inlineStr">
        <is>
          <t>Bear only</t>
        </is>
      </c>
      <c r="V15">
        <f>IFERROR(VALUE(RIGHT(T15,4))*4+MATCH(LEFT(T15,2),{"Q1","Q2","Q3","Q4"},0)-1,"")</f>
        <v/>
      </c>
      <c r="W15">
        <f>IF(V15="","",IF(V15&lt;=$Z$1,0,MAX(1,INT((V15-$Z$2)/4)+1)))</f>
        <v/>
      </c>
      <c r="X15">
        <f>IF(U15="All",1,IF(U15="Bear+Base",IF($Z$3&gt;=2,1,0),IF(U15="Bear only",IF($Z$3&gt;=3,1,0),0)))</f>
        <v/>
      </c>
    </row>
    <row r="16" ht="14.4" customHeight="1" s="79">
      <c r="R16" s="37" t="inlineStr">
        <is>
          <t>Victory Flats</t>
        </is>
      </c>
      <c r="S16" s="38" t="n">
        <v>301</v>
      </c>
      <c r="T16" s="43" t="n"/>
      <c r="U16" s="43" t="inlineStr">
        <is>
          <t>Bear only</t>
        </is>
      </c>
      <c r="V16">
        <f>IFERROR(VALUE(RIGHT(T16,4))*4+MATCH(LEFT(T16,2),{"Q1","Q2","Q3","Q4"},0)-1,"")</f>
        <v/>
      </c>
      <c r="W16">
        <f>IF(V16="","",IF(V16&lt;=$Z$1,0,MAX(1,INT((V16-$Z$2)/4)+1)))</f>
        <v/>
      </c>
      <c r="X16">
        <f>IF(U16="All",1,IF(U16="Bear+Base",IF($Z$3&gt;=2,1,0),IF(U16="Bear only",IF($Z$3&gt;=3,1,0),0)))</f>
        <v/>
      </c>
    </row>
    <row r="17" ht="14.4" customHeight="1" s="79">
      <c r="B17" s="32" t="inlineStr">
        <is>
          <t>5-MILE MARKET</t>
        </is>
      </c>
      <c r="C17" s="1" t="inlineStr">
        <is>
          <t>-Y6</t>
        </is>
      </c>
      <c r="D17" s="1" t="inlineStr">
        <is>
          <t>-Y5</t>
        </is>
      </c>
      <c r="E17" s="1" t="inlineStr">
        <is>
          <t>-Y4</t>
        </is>
      </c>
      <c r="F17" s="1" t="inlineStr">
        <is>
          <t>-Y3</t>
        </is>
      </c>
      <c r="G17" s="1" t="inlineStr">
        <is>
          <t>-Y2</t>
        </is>
      </c>
      <c r="H17" s="1" t="inlineStr">
        <is>
          <t>-Y1</t>
        </is>
      </c>
      <c r="I17" s="1" t="inlineStr">
        <is>
          <t>Y0</t>
        </is>
      </c>
      <c r="J17" s="44" t="inlineStr">
        <is>
          <t>Y1</t>
        </is>
      </c>
      <c r="K17" s="44" t="inlineStr">
        <is>
          <t>Y2</t>
        </is>
      </c>
      <c r="L17" s="44" t="inlineStr">
        <is>
          <t>Y3</t>
        </is>
      </c>
      <c r="M17" s="44" t="inlineStr">
        <is>
          <t>Y4</t>
        </is>
      </c>
      <c r="N17" s="44" t="inlineStr">
        <is>
          <t>Y5</t>
        </is>
      </c>
      <c r="O17" s="44" t="inlineStr">
        <is>
          <t>Y6</t>
        </is>
      </c>
      <c r="R17" s="37" t="inlineStr">
        <is>
          <t>12565 West Fairview Avenue</t>
        </is>
      </c>
      <c r="S17" s="38" t="n">
        <v>275</v>
      </c>
      <c r="T17" s="43" t="n"/>
      <c r="U17" s="43" t="inlineStr">
        <is>
          <t>Bear only</t>
        </is>
      </c>
      <c r="V17">
        <f>IFERROR(VALUE(RIGHT(T17,4))*4+MATCH(LEFT(T17,2),{"Q1","Q2","Q3","Q4"},0)-1,"")</f>
        <v/>
      </c>
      <c r="W17">
        <f>IF(V17="","",IF(V17&lt;=$Z$1,0,MAX(1,INT((V17-$Z$2)/4)+1)))</f>
        <v/>
      </c>
      <c r="X17">
        <f>IF(U17="All",1,IF(U17="Bear+Base",IF($Z$3&gt;=2,1,0),IF(U17="Bear only",IF($Z$3&gt;=3,1,0),0)))</f>
        <v/>
      </c>
    </row>
    <row r="18" ht="14.4" customHeight="1" s="79">
      <c r="C18" s="45" t="inlineStr">
        <is>
          <t>Q3'19-Q2'20</t>
        </is>
      </c>
      <c r="D18" s="45" t="inlineStr">
        <is>
          <t>Q3'20-Q2'21</t>
        </is>
      </c>
      <c r="E18" s="45" t="inlineStr">
        <is>
          <t>Q3'21-Q2'22</t>
        </is>
      </c>
      <c r="F18" s="45" t="inlineStr">
        <is>
          <t>Q3'22-Q2'23</t>
        </is>
      </c>
      <c r="G18" s="45" t="inlineStr">
        <is>
          <t>Q3'23-Q2'24</t>
        </is>
      </c>
      <c r="H18" s="45" t="inlineStr">
        <is>
          <t>Q3'24-Q2'25</t>
        </is>
      </c>
      <c r="I18" s="45" t="inlineStr">
        <is>
          <t>Q3'25-Q2'26</t>
        </is>
      </c>
      <c r="J18" s="45">
        <f>"Q"&amp;(MOD(($Z$2+0),4)+1)&amp;"'"&amp;RIGHT(INT(($Z$2+0)/4),2)&amp;"-Q"&amp;(MOD(($Z$2+3),4)+1)&amp;"'"&amp;RIGHT(INT(($Z$2+3)/4),2)</f>
        <v/>
      </c>
      <c r="K18" s="45">
        <f>"Q"&amp;(MOD(($Z$2+4),4)+1)&amp;"'"&amp;RIGHT(INT(($Z$2+4)/4),2)&amp;"-Q"&amp;(MOD(($Z$2+7),4)+1)&amp;"'"&amp;RIGHT(INT(($Z$2+7)/4),2)</f>
        <v/>
      </c>
      <c r="L18" s="45">
        <f>"Q"&amp;(MOD(($Z$2+8),4)+1)&amp;"'"&amp;RIGHT(INT(($Z$2+8)/4),2)&amp;"-Q"&amp;(MOD(($Z$2+11),4)+1)&amp;"'"&amp;RIGHT(INT(($Z$2+11)/4),2)</f>
        <v/>
      </c>
      <c r="M18" s="45">
        <f>"Q"&amp;(MOD(($Z$2+12),4)+1)&amp;"'"&amp;RIGHT(INT(($Z$2+12)/4),2)&amp;"-Q"&amp;(MOD(($Z$2+15),4)+1)&amp;"'"&amp;RIGHT(INT(($Z$2+15)/4),2)</f>
        <v/>
      </c>
      <c r="N18" s="45">
        <f>"Q"&amp;(MOD(($Z$2+16),4)+1)&amp;"'"&amp;RIGHT(INT(($Z$2+16)/4),2)&amp;"-Q"&amp;(MOD(($Z$2+19),4)+1)&amp;"'"&amp;RIGHT(INT(($Z$2+19)/4),2)</f>
        <v/>
      </c>
      <c r="O18" s="45">
        <f>"Q"&amp;(MOD(($Z$2+20),4)+1)&amp;"'"&amp;RIGHT(INT(($Z$2+20)/4),2)&amp;"-Q"&amp;(MOD(($Z$2+23),4)+1)&amp;"'"&amp;RIGHT(INT(($Z$2+23)/4),2)</f>
        <v/>
      </c>
      <c r="R18" s="37" t="inlineStr">
        <is>
          <t>Pine 43 Multifamily (Pine &amp; Webb)</t>
        </is>
      </c>
      <c r="S18" s="38" t="n">
        <v>270</v>
      </c>
      <c r="T18" s="43" t="n"/>
      <c r="U18" s="43" t="inlineStr">
        <is>
          <t>Bear only</t>
        </is>
      </c>
      <c r="V18">
        <f>IFERROR(VALUE(RIGHT(T18,4))*4+MATCH(LEFT(T18,2),{"Q1","Q2","Q3","Q4"},0)-1,"")</f>
        <v/>
      </c>
      <c r="W18">
        <f>IF(V18="","",IF(V18&lt;=$Z$1,0,MAX(1,INT((V18-$Z$2)/4)+1)))</f>
        <v/>
      </c>
      <c r="X18">
        <f>IF(U18="All",1,IF(U18="Bear+Base",IF($Z$3&gt;=2,1,0),IF(U18="Bear only",IF($Z$3&gt;=3,1,0),0)))</f>
        <v/>
      </c>
    </row>
    <row r="19" ht="14.4" customHeight="1" s="79">
      <c r="B19" s="32" t="inlineStr">
        <is>
          <t>NEW SUPPLY (5-mi)</t>
        </is>
      </c>
      <c r="C19" s="46" t="n">
        <v>1227</v>
      </c>
      <c r="D19" s="46" t="n">
        <v>1575</v>
      </c>
      <c r="E19" s="46" t="n">
        <v>629</v>
      </c>
      <c r="F19" s="46" t="n">
        <v>1232</v>
      </c>
      <c r="G19" s="46" t="n">
        <v>1049</v>
      </c>
      <c r="H19" s="46" t="n">
        <v>450</v>
      </c>
      <c r="I19" s="46">
        <f>SUMIFS('Competitive Analysis'!$D$5:$D$58,'Competitive Analysis'!$M$5:$M$58,"&gt;="&amp;8102,'Competitive Analysis'!$M$5:$M$58,"&lt;="&amp;8105)</f>
        <v/>
      </c>
      <c r="J19" s="47">
        <f>SUMIFS($S$5:$S$9,$W$5:$W$9,1)+SUMIFS($S$13:$S$27,$W$13:$W$27,1,$X$13:$X$27,1)</f>
        <v/>
      </c>
      <c r="K19" s="47">
        <f>SUMIFS($S$5:$S$9,$W$5:$W$9,2)+SUMIFS($S$13:$S$27,$W$13:$W$27,2,$X$13:$X$27,1)</f>
        <v/>
      </c>
      <c r="L19" s="47">
        <f>SUMIFS($S$5:$S$9,$W$5:$W$9,3)+SUMIFS($S$13:$S$27,$W$13:$W$27,3,$X$13:$X$27,1)</f>
        <v/>
      </c>
      <c r="M19" s="47">
        <f>SUMIFS($S$5:$S$9,$W$5:$W$9,4)+SUMIFS($S$13:$S$27,$W$13:$W$27,4,$X$13:$X$27,1)</f>
        <v/>
      </c>
      <c r="N19" s="47">
        <f>SUMIFS($S$5:$S$9,$W$5:$W$9,5)+SUMIFS($S$13:$S$27,$W$13:$W$27,5,$X$13:$X$27,1)</f>
        <v/>
      </c>
      <c r="O19" s="47">
        <f>SUMIFS($S$5:$S$9,$W$5:$W$9,6)+SUMIFS($S$13:$S$27,$W$13:$W$27,6,$X$13:$X$27,1)</f>
        <v/>
      </c>
      <c r="R19" s="37" t="inlineStr">
        <is>
          <t>Heritage Square (ex-Union 93)</t>
        </is>
      </c>
      <c r="S19" s="38" t="n">
        <v>250</v>
      </c>
      <c r="T19" s="43" t="inlineStr">
        <is>
          <t>Q1 2029</t>
        </is>
      </c>
      <c r="U19" s="43" t="inlineStr">
        <is>
          <t>Bear only</t>
        </is>
      </c>
      <c r="V19">
        <f>IFERROR(VALUE(RIGHT(T19,4))*4+MATCH(LEFT(T19,2),{"Q1","Q2","Q3","Q4"},0)-1,"")</f>
        <v/>
      </c>
      <c r="W19">
        <f>IF(V19="","",IF(V19&lt;=$Z$1,0,MAX(1,INT((V19-$Z$2)/4)+1)))</f>
        <v/>
      </c>
      <c r="X19">
        <f>IF(U19="All",1,IF(U19="Bear+Base",IF($Z$3&gt;=2,1,0),IF(U19="Bear only",IF($Z$3&gt;=3,1,0),0)))</f>
        <v/>
      </c>
    </row>
    <row r="20" ht="14.4" customHeight="1" s="79">
      <c r="B20" s="32" t="inlineStr">
        <is>
          <t>ABSORPTION (5-mi)</t>
        </is>
      </c>
      <c r="C20" s="46" t="n">
        <v>1334</v>
      </c>
      <c r="D20" s="46" t="n">
        <v>1532</v>
      </c>
      <c r="E20" s="46" t="n">
        <v>736</v>
      </c>
      <c r="F20" s="46" t="n">
        <v>44</v>
      </c>
      <c r="G20" s="46" t="n">
        <v>852</v>
      </c>
      <c r="H20" s="46" t="n">
        <v>1144</v>
      </c>
      <c r="I20" s="46" t="n">
        <v>585</v>
      </c>
      <c r="J20" s="47">
        <f>J31-I31</f>
        <v/>
      </c>
      <c r="K20" s="47">
        <f>K31-J31</f>
        <v/>
      </c>
      <c r="L20" s="47">
        <f>L31-K31</f>
        <v/>
      </c>
      <c r="M20" s="47">
        <f>M31-L31</f>
        <v/>
      </c>
      <c r="N20" s="47">
        <f>N31-M31</f>
        <v/>
      </c>
      <c r="O20" s="47">
        <f>O31-N31</f>
        <v/>
      </c>
      <c r="R20" s="37" t="inlineStr">
        <is>
          <t>The Cole Denton</t>
        </is>
      </c>
      <c r="S20" s="38" t="n">
        <v>224</v>
      </c>
      <c r="T20" s="43" t="inlineStr">
        <is>
          <t>Q1 2029</t>
        </is>
      </c>
      <c r="U20" s="43" t="inlineStr">
        <is>
          <t>Bear only</t>
        </is>
      </c>
      <c r="V20">
        <f>IFERROR(VALUE(RIGHT(T20,4))*4+MATCH(LEFT(T20,2),{"Q1","Q2","Q3","Q4"},0)-1,"")</f>
        <v/>
      </c>
      <c r="W20">
        <f>IF(V20="","",IF(V20&lt;=$Z$1,0,MAX(1,INT((V20-$Z$2)/4)+1)))</f>
        <v/>
      </c>
      <c r="X20">
        <f>IF(U20="All",1,IF(U20="Bear+Base",IF($Z$3&gt;=2,1,0),IF(U20="Bear only",IF($Z$3&gt;=3,1,0),0)))</f>
        <v/>
      </c>
    </row>
    <row r="21" ht="14.4" customHeight="1" s="79">
      <c r="B21" s="32" t="inlineStr">
        <is>
          <t>OCCUPANCY (5-mi)</t>
        </is>
      </c>
      <c r="C21" s="48" t="n">
        <v>0.9350000000000001</v>
      </c>
      <c r="D21" s="48" t="n">
        <v>0.9399999999999999</v>
      </c>
      <c r="E21" s="48" t="n">
        <v>0.953</v>
      </c>
      <c r="F21" s="48" t="n">
        <v>0.865</v>
      </c>
      <c r="G21" s="48" t="n">
        <v>0.861</v>
      </c>
      <c r="H21" s="48" t="n">
        <v>0.914</v>
      </c>
      <c r="I21" s="48">
        <f>IFERROR(I31/I30,"")</f>
        <v/>
      </c>
      <c r="J21" s="49">
        <f>IFERROR(J31/J30,0)</f>
        <v/>
      </c>
      <c r="K21" s="49">
        <f>IFERROR(K31/K30,0)</f>
        <v/>
      </c>
      <c r="L21" s="49">
        <f>IFERROR(L31/L30,0)</f>
        <v/>
      </c>
      <c r="M21" s="49">
        <f>IFERROR(M31/M30,0)</f>
        <v/>
      </c>
      <c r="N21" s="49">
        <f>IFERROR(N31/N30,0)</f>
        <v/>
      </c>
      <c r="O21" s="49">
        <f>IFERROR(O31/O30,0)</f>
        <v/>
      </c>
      <c r="R21" s="37" t="inlineStr">
        <is>
          <t>Rolling Hill (Assemble Management)</t>
        </is>
      </c>
      <c r="S21" s="38" t="n">
        <v>200</v>
      </c>
      <c r="T21" s="43" t="inlineStr">
        <is>
          <t>Q1 2029</t>
        </is>
      </c>
      <c r="U21" s="43" t="inlineStr">
        <is>
          <t>Bear only</t>
        </is>
      </c>
      <c r="V21">
        <f>IFERROR(VALUE(RIGHT(T21,4))*4+MATCH(LEFT(T21,2),{"Q1","Q2","Q3","Q4"},0)-1,"")</f>
        <v/>
      </c>
      <c r="W21">
        <f>IF(V21="","",IF(V21&lt;=$Z$1,0,MAX(1,INT((V21-$Z$2)/4)+1)))</f>
        <v/>
      </c>
      <c r="X21">
        <f>IF(U21="All",1,IF(U21="Bear+Base",IF($Z$3&gt;=2,1,0),IF(U21="Bear only",IF($Z$3&gt;=3,1,0),0)))</f>
        <v/>
      </c>
    </row>
    <row r="22" ht="14.4" customHeight="1" s="79">
      <c r="B22" s="32" t="inlineStr">
        <is>
          <t>SUBJECT (Seasons at Meridian)</t>
        </is>
      </c>
      <c r="R22" s="37" t="inlineStr">
        <is>
          <t>The Judy (Maple Grove &amp; Overland)</t>
        </is>
      </c>
      <c r="S22" s="38" t="n">
        <v>162</v>
      </c>
      <c r="T22" s="43" t="inlineStr">
        <is>
          <t>Q1 2028</t>
        </is>
      </c>
      <c r="U22" s="43" t="inlineStr">
        <is>
          <t>Bear only</t>
        </is>
      </c>
      <c r="V22">
        <f>IFERROR(VALUE(RIGHT(T22,4))*4+MATCH(LEFT(T22,2),{"Q1","Q2","Q3","Q4"},0)-1,"")</f>
        <v/>
      </c>
      <c r="W22">
        <f>IF(V22="","",IF(V22&lt;=$Z$1,0,MAX(1,INT((V22-$Z$2)/4)+1)))</f>
        <v/>
      </c>
      <c r="X22">
        <f>IF(U22="All",1,IF(U22="Bear+Base",IF($Z$3&gt;=2,1,0),IF(U22="Bear only",IF($Z$3&gt;=3,1,0),0)))</f>
        <v/>
      </c>
    </row>
    <row r="23" ht="14.4" customHeight="1" s="79">
      <c r="B23" s="32" t="inlineStr">
        <is>
          <t xml:space="preserve">  Market Rent  (HelloData mix-wtd)</t>
        </is>
      </c>
      <c r="C23" s="50" t="n"/>
      <c r="D23" s="50" t="n"/>
      <c r="E23" s="50" t="n"/>
      <c r="F23" s="50" t="n"/>
      <c r="G23" s="50" t="n"/>
      <c r="H23" s="50" t="n">
        <v>1777</v>
      </c>
      <c r="I23" s="50">
        <f>IFERROR('[1]Cash Flow (Annual)'!$F$4,1735)</f>
        <v/>
      </c>
      <c r="J23" s="51">
        <f>IFERROR('[1]Cash Flow (Annual)'!$K$4,"")</f>
        <v/>
      </c>
      <c r="K23" s="51">
        <f>IFERROR('[1]Cash Flow (Annual)'!$L$4,"")</f>
        <v/>
      </c>
      <c r="L23" s="51">
        <f>IFERROR('[1]Cash Flow (Annual)'!$M$4,"")</f>
        <v/>
      </c>
      <c r="M23" s="51">
        <f>IFERROR('[1]Cash Flow (Annual)'!$N$4,"")</f>
        <v/>
      </c>
      <c r="N23" s="51">
        <f>IFERROR('[1]Cash Flow (Annual)'!$O$4,"")</f>
        <v/>
      </c>
      <c r="O23" s="51">
        <f>IFERROR('[1]Cash Flow (Annual)'!$P$4,"")</f>
        <v/>
      </c>
      <c r="R23" s="37" t="inlineStr">
        <is>
          <t>12548 West Overland Road</t>
        </is>
      </c>
      <c r="S23" s="38" t="n">
        <v>156</v>
      </c>
      <c r="T23" s="43" t="n"/>
      <c r="U23" s="43" t="inlineStr">
        <is>
          <t>Bear only</t>
        </is>
      </c>
      <c r="V23">
        <f>IFERROR(VALUE(RIGHT(T23,4))*4+MATCH(LEFT(T23,2),{"Q1","Q2","Q3","Q4"},0)-1,"")</f>
        <v/>
      </c>
      <c r="W23">
        <f>IF(V23="","",IF(V23&lt;=$Z$1,0,MAX(1,INT((V23-$Z$2)/4)+1)))</f>
        <v/>
      </c>
      <c r="X23">
        <f>IF(U23="All",1,IF(U23="Bear+Base",IF($Z$3&gt;=2,1,0),IF(U23="Bear only",IF($Z$3&gt;=3,1,0),0)))</f>
        <v/>
      </c>
    </row>
    <row r="24" ht="14.4" customHeight="1" s="79">
      <c r="B24" s="52" t="inlineStr">
        <is>
          <t xml:space="preserve">    Market Rent YoY %</t>
        </is>
      </c>
      <c r="C24" s="53" t="n"/>
      <c r="D24" s="53">
        <f>IFERROR(D23/C23-1,"")</f>
        <v/>
      </c>
      <c r="E24" s="53">
        <f>IFERROR(E23/D23-1,"")</f>
        <v/>
      </c>
      <c r="F24" s="53">
        <f>IFERROR(F23/E23-1,"")</f>
        <v/>
      </c>
      <c r="G24" s="53">
        <f>IFERROR(G23/F23-1,"")</f>
        <v/>
      </c>
      <c r="H24" s="53">
        <f>IFERROR(H23/G23-1,"")</f>
        <v/>
      </c>
      <c r="I24" s="53">
        <f>IFERROR(I23/H23-1,"")</f>
        <v/>
      </c>
      <c r="J24" s="54">
        <f>IFERROR(J23/I23-1,"")</f>
        <v/>
      </c>
      <c r="K24" s="54">
        <f>IFERROR(K23/J23-1,"")</f>
        <v/>
      </c>
      <c r="L24" s="54">
        <f>IFERROR(L23/K23-1,"")</f>
        <v/>
      </c>
      <c r="M24" s="54">
        <f>IFERROR(M23/L23-1,"")</f>
        <v/>
      </c>
      <c r="N24" s="54">
        <f>IFERROR(N23/M23-1,"")</f>
        <v/>
      </c>
      <c r="O24" s="54">
        <f>IFERROR(O23/N23-1,"")</f>
        <v/>
      </c>
      <c r="R24" s="37" t="inlineStr">
        <is>
          <t>Ascent Overland</t>
        </is>
      </c>
      <c r="S24" s="38" t="n">
        <v>138</v>
      </c>
      <c r="T24" s="43" t="n"/>
      <c r="U24" s="43" t="inlineStr">
        <is>
          <t>Bear only</t>
        </is>
      </c>
      <c r="V24">
        <f>IFERROR(VALUE(RIGHT(T24,4))*4+MATCH(LEFT(T24,2),{"Q1","Q2","Q3","Q4"},0)-1,"")</f>
        <v/>
      </c>
      <c r="W24">
        <f>IF(V24="","",IF(V24&lt;=$Z$1,0,MAX(1,INT((V24-$Z$2)/4)+1)))</f>
        <v/>
      </c>
      <c r="X24">
        <f>IF(U24="All",1,IF(U24="Bear+Base",IF($Z$3&gt;=2,1,0),IF(U24="Bear only",IF($Z$3&gt;=3,1,0),0)))</f>
        <v/>
      </c>
    </row>
    <row r="25" ht="14.4" customHeight="1" s="79">
      <c r="B25" s="32" t="inlineStr">
        <is>
          <t xml:space="preserve">  Effective Rent</t>
        </is>
      </c>
      <c r="C25" s="50" t="n"/>
      <c r="D25" s="50" t="n"/>
      <c r="E25" s="50" t="n"/>
      <c r="F25" s="50" t="n"/>
      <c r="G25" s="50" t="n"/>
      <c r="H25" s="50" t="n">
        <v>1619</v>
      </c>
      <c r="I25" s="50">
        <f>IFERROR('[1]Cash Flow (Annual)'!$F$5,1578)</f>
        <v/>
      </c>
      <c r="J25" s="51">
        <f>IFERROR('[1]Cash Flow (Annual)'!$K$5,"")</f>
        <v/>
      </c>
      <c r="K25" s="51">
        <f>IFERROR('[1]Cash Flow (Annual)'!$L$5,"")</f>
        <v/>
      </c>
      <c r="L25" s="51">
        <f>IFERROR('[1]Cash Flow (Annual)'!$M$5,"")</f>
        <v/>
      </c>
      <c r="M25" s="51">
        <f>IFERROR('[1]Cash Flow (Annual)'!$N$5,"")</f>
        <v/>
      </c>
      <c r="N25" s="51">
        <f>IFERROR('[1]Cash Flow (Annual)'!$O$5,"")</f>
        <v/>
      </c>
      <c r="O25" s="51">
        <f>IFERROR('[1]Cash Flow (Annual)'!$P$5,"")</f>
        <v/>
      </c>
      <c r="R25" s="37" t="inlineStr">
        <is>
          <t>Meridian OZ Apartments</t>
        </is>
      </c>
      <c r="S25" s="38" t="n">
        <v>36</v>
      </c>
      <c r="T25" s="43" t="n"/>
      <c r="U25" s="43" t="inlineStr">
        <is>
          <t>Bear only</t>
        </is>
      </c>
      <c r="V25">
        <f>IFERROR(VALUE(RIGHT(T25,4))*4+MATCH(LEFT(T25,2),{"Q1","Q2","Q3","Q4"},0)-1,"")</f>
        <v/>
      </c>
      <c r="W25">
        <f>IF(V25="","",IF(V25&lt;=$Z$1,0,MAX(1,INT((V25-$Z$2)/4)+1)))</f>
        <v/>
      </c>
      <c r="X25">
        <f>IF(U25="All",1,IF(U25="Bear+Base",IF($Z$3&gt;=2,1,0),IF(U25="Bear only",IF($Z$3&gt;=3,1,0),0)))</f>
        <v/>
      </c>
    </row>
    <row r="26" ht="14.4" customHeight="1" s="79">
      <c r="B26" s="52" t="inlineStr">
        <is>
          <t xml:space="preserve">    Effective Rent YoY %</t>
        </is>
      </c>
      <c r="C26" s="53" t="n"/>
      <c r="D26" s="53">
        <f>IFERROR(D25/C25-1,"")</f>
        <v/>
      </c>
      <c r="E26" s="53">
        <f>IFERROR(E25/D25-1,"")</f>
        <v/>
      </c>
      <c r="F26" s="53">
        <f>IFERROR(F25/E25-1,"")</f>
        <v/>
      </c>
      <c r="G26" s="53">
        <f>IFERROR(G25/F25-1,"")</f>
        <v/>
      </c>
      <c r="H26" s="53">
        <f>IFERROR(H25/G25-1,"")</f>
        <v/>
      </c>
      <c r="I26" s="53">
        <f>IFERROR(I25/H25-1,"")</f>
        <v/>
      </c>
      <c r="J26" s="54">
        <f>IFERROR(J25/I25-1,"")</f>
        <v/>
      </c>
      <c r="K26" s="54">
        <f>IFERROR(K25/J25-1,"")</f>
        <v/>
      </c>
      <c r="L26" s="54">
        <f>IFERROR(L25/K25-1,"")</f>
        <v/>
      </c>
      <c r="M26" s="54">
        <f>IFERROR(M25/L25-1,"")</f>
        <v/>
      </c>
      <c r="N26" s="54">
        <f>IFERROR(N25/M25-1,"")</f>
        <v/>
      </c>
      <c r="O26" s="54">
        <f>IFERROR(O25/N25-1,"")</f>
        <v/>
      </c>
      <c r="R26" s="37" t="inlineStr">
        <is>
          <t>Outer Banks Apartments</t>
        </is>
      </c>
      <c r="S26" s="38" t="n">
        <v>516</v>
      </c>
      <c r="T26" s="43" t="inlineStr">
        <is>
          <t>Q4 2027</t>
        </is>
      </c>
      <c r="U26" s="43" t="inlineStr">
        <is>
          <t>Bear+Base</t>
        </is>
      </c>
      <c r="V26">
        <f>IFERROR(VALUE(RIGHT(T26,4))*4+MATCH(LEFT(T26,2),{"Q1","Q2","Q3","Q4"},0)-1,"")</f>
        <v/>
      </c>
      <c r="W26">
        <f>IF(V26="","",IF(V26&lt;=$Z$1,0,MAX(1,INT((V26-$Z$2)/4)+1)))</f>
        <v/>
      </c>
      <c r="X26">
        <f>IF(U26="All",1,IF(U26="Bear+Base",IF($Z$3&gt;=2,1,0),IF(U26="Bear only",IF($Z$3&gt;=3,1,0),0)))</f>
        <v/>
      </c>
    </row>
    <row r="27" ht="14.4" customHeight="1" s="79">
      <c r="B27" s="32" t="inlineStr">
        <is>
          <t xml:space="preserve">  Occupancy (financials / CoStar)</t>
        </is>
      </c>
      <c r="C27" s="55" t="n"/>
      <c r="D27" s="55" t="n"/>
      <c r="E27" s="55" t="n"/>
      <c r="F27" s="55" t="n"/>
      <c r="G27" s="55" t="n"/>
      <c r="H27" s="55" t="n">
        <v>0.5239428141342004</v>
      </c>
      <c r="I27" s="55">
        <f>IFERROR('[1]Cash Flow (Annual)'!$F$14,0.829026506335206)</f>
        <v/>
      </c>
      <c r="J27" s="56">
        <f>IFERROR('[1]Cash Flow (Annual)'!$K$14,"")</f>
        <v/>
      </c>
      <c r="K27" s="56">
        <f>IFERROR('[1]Cash Flow (Annual)'!$L$14,"")</f>
        <v/>
      </c>
      <c r="L27" s="56">
        <f>IFERROR('[1]Cash Flow (Annual)'!$M$14,"")</f>
        <v/>
      </c>
      <c r="M27" s="56">
        <f>IFERROR('[1]Cash Flow (Annual)'!$N$14,"")</f>
        <v/>
      </c>
      <c r="N27" s="56">
        <f>IFERROR('[1]Cash Flow (Annual)'!$O$14,"")</f>
        <v/>
      </c>
      <c r="O27" s="56">
        <f>IFERROR('[1]Cash Flow (Annual)'!$P$14,"")</f>
        <v/>
      </c>
      <c r="R27" s="37" t="inlineStr">
        <is>
          <t>Emblem Meridian (Quarterra)</t>
        </is>
      </c>
      <c r="S27" s="38" t="n">
        <v>250</v>
      </c>
      <c r="T27" s="43" t="inlineStr">
        <is>
          <t>TBD</t>
        </is>
      </c>
      <c r="U27" s="43" t="inlineStr">
        <is>
          <t>Bear only</t>
        </is>
      </c>
      <c r="V27">
        <f>IFERROR(VALUE(RIGHT(T27,4))*4+MATCH(LEFT(T27,2),{"Q1","Q2","Q3","Q4"},0)-1,"")</f>
        <v/>
      </c>
      <c r="W27">
        <f>IF(V27="","",IF(V27&lt;=$Z$1,0,MAX(1,INT((V27-$Z$2)/4)+1)))</f>
        <v/>
      </c>
      <c r="X27">
        <f>IF(U27="All",1,IF(U27="Bear+Base",IF($Z$3&gt;=2,1,0),IF(U27="Bear only",IF($Z$3&gt;=3,1,0),0)))</f>
        <v/>
      </c>
    </row>
    <row r="28" ht="14.4" customHeight="1" s="79">
      <c r="B28" s="32" t="inlineStr">
        <is>
          <t xml:space="preserve">  Concession %</t>
        </is>
      </c>
      <c r="C28" s="55">
        <f>IFERROR((C23-C25)/C23,"")</f>
        <v/>
      </c>
      <c r="D28" s="55">
        <f>IFERROR((D23-D25)/D23,"")</f>
        <v/>
      </c>
      <c r="E28" s="55">
        <f>IFERROR((E23-E25)/E23,"")</f>
        <v/>
      </c>
      <c r="F28" s="55">
        <f>IFERROR((F23-F25)/F23,"")</f>
        <v/>
      </c>
      <c r="G28" s="55">
        <f>IFERROR((G23-G25)/G23,"")</f>
        <v/>
      </c>
      <c r="H28" s="55">
        <f>IFERROR((H23-H25)/H23,"")</f>
        <v/>
      </c>
      <c r="I28" s="55">
        <f>IFERROR((I23-I25)/I23,"")</f>
        <v/>
      </c>
      <c r="J28" s="56">
        <f>IFERROR((J23-J25)/J23,"")</f>
        <v/>
      </c>
      <c r="K28" s="56">
        <f>IFERROR((K23-K25)/K23,"")</f>
        <v/>
      </c>
      <c r="L28" s="56">
        <f>IFERROR((L23-L25)/L23,"")</f>
        <v/>
      </c>
      <c r="M28" s="56">
        <f>IFERROR((M23-M25)/M23,"")</f>
        <v/>
      </c>
      <c r="N28" s="56">
        <f>IFERROR((N23-N25)/N23,"")</f>
        <v/>
      </c>
      <c r="O28" s="56">
        <f>IFERROR((O23-O25)/O23,"")</f>
        <v/>
      </c>
    </row>
    <row r="29" ht="14.4" customHeight="1" s="79"/>
    <row r="30" hidden="1" ht="14.4" customHeight="1" s="79">
      <c r="B30" s="84" t="inlineStr">
        <is>
          <t xml:space="preserve">  inventory</t>
        </is>
      </c>
      <c r="C30" s="57" t="n">
        <v>9402</v>
      </c>
      <c r="D30" s="57" t="n">
        <v>10977</v>
      </c>
      <c r="E30" s="57" t="n">
        <v>11606</v>
      </c>
      <c r="F30" s="57" t="n">
        <v>12838</v>
      </c>
      <c r="G30" s="57" t="n">
        <v>13887</v>
      </c>
      <c r="H30" s="57" t="n">
        <v>14337</v>
      </c>
      <c r="I30" s="57">
        <f>H30+I19</f>
        <v/>
      </c>
      <c r="J30" s="57">
        <f>I30+J19</f>
        <v/>
      </c>
      <c r="K30" s="57">
        <f>J30+K19</f>
        <v/>
      </c>
      <c r="L30" s="57">
        <f>K30+L19</f>
        <v/>
      </c>
      <c r="M30" s="57">
        <f>L30+M19</f>
        <v/>
      </c>
      <c r="N30" s="57">
        <f>M30+N19</f>
        <v/>
      </c>
      <c r="O30" s="57">
        <f>N30+O19</f>
        <v/>
      </c>
    </row>
    <row r="31" hidden="1" ht="14.4" customHeight="1" s="79">
      <c r="B31" s="84" t="inlineStr">
        <is>
          <t xml:space="preserve">  occupied</t>
        </is>
      </c>
      <c r="C31" s="57" t="n">
        <v>8789</v>
      </c>
      <c r="D31" s="57" t="n">
        <v>10320</v>
      </c>
      <c r="E31" s="57" t="n">
        <v>11057</v>
      </c>
      <c r="F31" s="57" t="n">
        <v>11105</v>
      </c>
      <c r="G31" s="57" t="n">
        <v>11956</v>
      </c>
      <c r="H31" s="57" t="n">
        <v>13099</v>
      </c>
      <c r="I31" s="57">
        <f>H31+I20</f>
        <v/>
      </c>
      <c r="J31" s="57">
        <f>MIN($C$6*J30,I31+$C$11)</f>
        <v/>
      </c>
      <c r="K31" s="57">
        <f>MIN($C$6*K30,J31+$C$11)</f>
        <v/>
      </c>
      <c r="L31" s="57">
        <f>MIN($C$6*L30,K31+$C$11)</f>
        <v/>
      </c>
      <c r="M31" s="57">
        <f>MIN($C$6*M30,L31+$C$11)</f>
        <v/>
      </c>
      <c r="N31" s="57">
        <f>MIN($C$6*N30,M31+$C$11)</f>
        <v/>
      </c>
      <c r="O31" s="57">
        <f>MIN($C$6*O30,N31+$C$11)</f>
        <v/>
      </c>
    </row>
    <row r="32" ht="14.4" customHeight="1" s="79"/>
    <row r="33" ht="14.4" customHeight="1" s="79">
      <c r="B33" s="31" t="inlineStr">
        <is>
          <t>MARKET-RENT GROWTH — TMG vs 3RD-PARTY FORECAST</t>
        </is>
      </c>
      <c r="C33" s="58" t="n"/>
      <c r="D33" s="58" t="n"/>
      <c r="E33" s="58" t="n"/>
      <c r="F33" s="58" t="n"/>
      <c r="G33" s="58" t="n"/>
      <c r="H33" s="58" t="n"/>
      <c r="I33" s="58" t="n"/>
      <c r="J33" s="59" t="inlineStr">
        <is>
          <t>Y1</t>
        </is>
      </c>
      <c r="K33" s="59" t="inlineStr">
        <is>
          <t>Y2</t>
        </is>
      </c>
      <c r="L33" s="59" t="inlineStr">
        <is>
          <t>Y3</t>
        </is>
      </c>
      <c r="M33" s="59" t="inlineStr">
        <is>
          <t>Y4</t>
        </is>
      </c>
      <c r="N33" s="59" t="inlineStr">
        <is>
          <t>Y5</t>
        </is>
      </c>
      <c r="O33" s="59" t="inlineStr">
        <is>
          <t>Y6</t>
        </is>
      </c>
      <c r="P33" s="59" t="inlineStr">
        <is>
          <t>AVG</t>
        </is>
      </c>
    </row>
    <row r="34" ht="14.4" customHeight="1" s="79">
      <c r="B34" s="60" t="inlineStr">
        <is>
          <t xml:space="preserve">  CoStar</t>
        </is>
      </c>
      <c r="C34" s="61" t="n"/>
      <c r="D34" s="61" t="n"/>
      <c r="E34" s="61" t="n"/>
      <c r="F34" s="61" t="n"/>
      <c r="G34" s="61" t="n"/>
      <c r="H34" s="61" t="n"/>
      <c r="I34" s="61" t="n"/>
      <c r="J34" s="55">
        <f>IFERROR('[2]Rent &amp; Occ Data'!$C$31,"")</f>
        <v/>
      </c>
      <c r="K34" s="55">
        <f>IFERROR('[2]Rent &amp; Occ Data'!$D$31,"")</f>
        <v/>
      </c>
      <c r="L34" s="55">
        <f>IFERROR('[2]Rent &amp; Occ Data'!$E$31,"")</f>
        <v/>
      </c>
      <c r="M34" s="55">
        <f>IFERROR('[2]Rent &amp; Occ Data'!$F$31,"")</f>
        <v/>
      </c>
      <c r="N34" s="55">
        <f>IFERROR('[2]Rent &amp; Occ Data'!$G$31,"")</f>
        <v/>
      </c>
      <c r="O34" s="55">
        <f>IFERROR('[2]Rent &amp; Occ Data'!$H$31,"")</f>
        <v/>
      </c>
      <c r="P34" s="55">
        <f>IFERROR(AVERAGE(J34:O34),"")</f>
        <v/>
      </c>
    </row>
    <row r="35" ht="14.4" customHeight="1" s="79">
      <c r="B35" s="60" t="inlineStr">
        <is>
          <t xml:space="preserve">  RealPage</t>
        </is>
      </c>
      <c r="C35" s="61" t="n"/>
      <c r="D35" s="61" t="n"/>
      <c r="E35" s="61" t="n"/>
      <c r="F35" s="61" t="n"/>
      <c r="G35" s="61" t="n"/>
      <c r="H35" s="61" t="n"/>
      <c r="I35" s="61" t="n"/>
      <c r="J35" s="55">
        <f>IFERROR('[2]Rent &amp; Occ Data'!$C$32,"")</f>
        <v/>
      </c>
      <c r="K35" s="55">
        <f>IFERROR('[2]Rent &amp; Occ Data'!$D$32,"")</f>
        <v/>
      </c>
      <c r="L35" s="55">
        <f>IFERROR('[2]Rent &amp; Occ Data'!$E$32,"")</f>
        <v/>
      </c>
      <c r="M35" s="55">
        <f>IFERROR('[2]Rent &amp; Occ Data'!$F$32,"")</f>
        <v/>
      </c>
      <c r="N35" s="55">
        <f>IFERROR('[2]Rent &amp; Occ Data'!$G$32,"")</f>
        <v/>
      </c>
      <c r="O35" s="55">
        <f>IFERROR('[2]Rent &amp; Occ Data'!$H$32,"")</f>
        <v/>
      </c>
      <c r="P35" s="55">
        <f>IFERROR(AVERAGE(J35:O35),"")</f>
        <v/>
      </c>
    </row>
    <row r="36" ht="14.4" customHeight="1" s="79">
      <c r="B36" s="60" t="inlineStr">
        <is>
          <t xml:space="preserve">  Yardi</t>
        </is>
      </c>
      <c r="C36" s="61" t="n"/>
      <c r="D36" s="61" t="n"/>
      <c r="E36" s="61" t="n"/>
      <c r="F36" s="61" t="n"/>
      <c r="G36" s="61" t="n"/>
      <c r="H36" s="61" t="n"/>
      <c r="I36" s="61" t="n"/>
      <c r="J36" s="55">
        <f>IFERROR('[2]Rent &amp; Occ Data'!$C$33,"")</f>
        <v/>
      </c>
      <c r="K36" s="55">
        <f>IFERROR('[2]Rent &amp; Occ Data'!$D$33,"")</f>
        <v/>
      </c>
      <c r="L36" s="55">
        <f>IFERROR('[2]Rent &amp; Occ Data'!$E$33,"")</f>
        <v/>
      </c>
      <c r="M36" s="55">
        <f>IFERROR('[2]Rent &amp; Occ Data'!$F$33,"")</f>
        <v/>
      </c>
      <c r="N36" s="55">
        <f>IFERROR('[2]Rent &amp; Occ Data'!$G$33,"")</f>
        <v/>
      </c>
      <c r="O36" s="55">
        <f>IFERROR('[2]Rent &amp; Occ Data'!$H$33,"")</f>
        <v/>
      </c>
      <c r="P36" s="55">
        <f>IFERROR(AVERAGE(J36:O36),"")</f>
        <v/>
      </c>
    </row>
    <row r="37" ht="14.4" customHeight="1" s="79">
      <c r="B37" s="60" t="inlineStr">
        <is>
          <t xml:space="preserve">  GreenStreet</t>
        </is>
      </c>
      <c r="C37" s="61" t="n"/>
      <c r="D37" s="61" t="n"/>
      <c r="E37" s="61" t="n"/>
      <c r="F37" s="61" t="n"/>
      <c r="G37" s="61" t="n"/>
      <c r="H37" s="61" t="n"/>
      <c r="I37" s="61" t="n"/>
      <c r="J37" s="55">
        <f>IFERROR('[2]Rent &amp; Occ Data'!$C$34,"")</f>
        <v/>
      </c>
      <c r="K37" s="55">
        <f>IFERROR('[2]Rent &amp; Occ Data'!$D$34,"")</f>
        <v/>
      </c>
      <c r="L37" s="55">
        <f>IFERROR('[2]Rent &amp; Occ Data'!$E$34,"")</f>
        <v/>
      </c>
      <c r="M37" s="55">
        <f>IFERROR('[2]Rent &amp; Occ Data'!$F$34,"")</f>
        <v/>
      </c>
      <c r="N37" s="55">
        <f>IFERROR('[2]Rent &amp; Occ Data'!$G$34,"")</f>
        <v/>
      </c>
      <c r="O37" s="55">
        <f>IFERROR('[2]Rent &amp; Occ Data'!$H$34,"")</f>
        <v/>
      </c>
      <c r="P37" s="55">
        <f>IFERROR(AVERAGE(J37:O37),"")</f>
        <v/>
      </c>
    </row>
    <row r="38" ht="14.4" customHeight="1" s="79">
      <c r="B38" s="62" t="inlineStr">
        <is>
          <t xml:space="preserve">  Consensus (4-source avg)</t>
        </is>
      </c>
      <c r="C38" s="63" t="n"/>
      <c r="D38" s="63" t="n"/>
      <c r="E38" s="63" t="n"/>
      <c r="F38" s="63" t="n"/>
      <c r="G38" s="63" t="n"/>
      <c r="H38" s="63" t="n"/>
      <c r="I38" s="63" t="n"/>
      <c r="J38" s="64">
        <f>IFERROR(AVERAGE(J34:J37),"")</f>
        <v/>
      </c>
      <c r="K38" s="64">
        <f>IFERROR(AVERAGE(K34:K37),"")</f>
        <v/>
      </c>
      <c r="L38" s="64">
        <f>IFERROR(AVERAGE(L34:L37),"")</f>
        <v/>
      </c>
      <c r="M38" s="64">
        <f>IFERROR(AVERAGE(M34:M37),"")</f>
        <v/>
      </c>
      <c r="N38" s="64">
        <f>IFERROR(AVERAGE(N34:N37),"")</f>
        <v/>
      </c>
      <c r="O38" s="64">
        <f>IFERROR(AVERAGE(O34:O37),"")</f>
        <v/>
      </c>
      <c r="P38" s="64">
        <f>IFERROR(AVERAGE(P34:P37),"")</f>
        <v/>
      </c>
    </row>
    <row r="39" ht="14.4" customHeight="1" s="79">
      <c r="B39" s="65" t="inlineStr">
        <is>
          <t xml:space="preserve">  TMG — our market-rent growth  ◄</t>
        </is>
      </c>
      <c r="C39" s="66" t="n"/>
      <c r="D39" s="66" t="n"/>
      <c r="E39" s="66" t="n"/>
      <c r="F39" s="66" t="n"/>
      <c r="G39" s="66" t="n"/>
      <c r="H39" s="66" t="n"/>
      <c r="I39" s="66" t="n"/>
      <c r="J39" s="67">
        <f>IFERROR(J24,"")</f>
        <v/>
      </c>
      <c r="K39" s="67">
        <f>IFERROR(K24,"")</f>
        <v/>
      </c>
      <c r="L39" s="67">
        <f>IFERROR(L24,"")</f>
        <v/>
      </c>
      <c r="M39" s="67">
        <f>IFERROR(M24,"")</f>
        <v/>
      </c>
      <c r="N39" s="67">
        <f>IFERROR(N24,"")</f>
        <v/>
      </c>
      <c r="O39" s="67">
        <f>IFERROR(O24,"")</f>
        <v/>
      </c>
      <c r="P39" s="67">
        <f>IFERROR(AVERAGE(J39:O39),"")</f>
        <v/>
      </c>
    </row>
    <row r="40" ht="14.4" customHeight="1" s="79"/>
    <row r="41" ht="14.4" customHeight="1" s="79">
      <c r="B41" s="68" t="inlineStr">
        <is>
          <t>▸ SCENARIO INPUTS — Bear / Base / Bull  (implied occupancy, rent-growth &amp; concession assumptions — click + to expand)</t>
        </is>
      </c>
    </row>
    <row r="42" hidden="1" outlineLevel="1" ht="14.4" customHeight="1" s="79">
      <c r="B42" s="32" t="inlineStr">
        <is>
          <t>IMPLIED 5-MI OCCUPANCY BY DEMAND SCENARIO</t>
        </is>
      </c>
      <c r="J42" s="69" t="inlineStr">
        <is>
          <t>Y1</t>
        </is>
      </c>
      <c r="K42" s="69" t="inlineStr">
        <is>
          <t>Y2</t>
        </is>
      </c>
      <c r="L42" s="69" t="inlineStr">
        <is>
          <t>Y3</t>
        </is>
      </c>
      <c r="M42" s="69" t="inlineStr">
        <is>
          <t>Y4</t>
        </is>
      </c>
      <c r="N42" s="69" t="inlineStr">
        <is>
          <t>Y5</t>
        </is>
      </c>
      <c r="O42" s="69" t="inlineStr">
        <is>
          <t>Y6</t>
        </is>
      </c>
    </row>
    <row r="43" hidden="1" outlineLevel="1" ht="14.4" customHeight="1" s="79">
      <c r="B43" s="32" t="inlineStr">
        <is>
          <t>Bear</t>
        </is>
      </c>
      <c r="J43" s="70">
        <f>MIN($C$6,($I$31+$C$8*1)/J30)</f>
        <v/>
      </c>
      <c r="K43" s="70">
        <f>MIN($C$6,($I$31+$C$8*2)/K30)</f>
        <v/>
      </c>
      <c r="L43" s="70">
        <f>MIN($C$6,($I$31+$C$8*3)/L30)</f>
        <v/>
      </c>
      <c r="M43" s="70">
        <f>MIN($C$6,($I$31+$C$8*4)/M30)</f>
        <v/>
      </c>
      <c r="N43" s="70">
        <f>MIN($C$6,($I$31+$C$8*5)/N30)</f>
        <v/>
      </c>
      <c r="O43" s="70">
        <f>MIN($C$6,($I$31+$C$8*6)/O30)</f>
        <v/>
      </c>
    </row>
    <row r="44" hidden="1" outlineLevel="1" ht="14.4" customHeight="1" s="79">
      <c r="B44" s="32" t="inlineStr">
        <is>
          <t>Base</t>
        </is>
      </c>
      <c r="J44" s="70">
        <f>MIN($C$6,($I$31+$C$9*1)/J30)</f>
        <v/>
      </c>
      <c r="K44" s="70">
        <f>MIN($C$6,($I$31+$C$9*2)/K30)</f>
        <v/>
      </c>
      <c r="L44" s="70">
        <f>MIN($C$6,($I$31+$C$9*3)/L30)</f>
        <v/>
      </c>
      <c r="M44" s="70">
        <f>MIN($C$6,($I$31+$C$9*4)/M30)</f>
        <v/>
      </c>
      <c r="N44" s="70">
        <f>MIN($C$6,($I$31+$C$9*5)/N30)</f>
        <v/>
      </c>
      <c r="O44" s="70">
        <f>MIN($C$6,($I$31+$C$9*6)/O30)</f>
        <v/>
      </c>
    </row>
    <row r="45" hidden="1" outlineLevel="1" ht="14.4" customHeight="1" s="79">
      <c r="B45" s="32" t="inlineStr">
        <is>
          <t>Bull</t>
        </is>
      </c>
      <c r="J45" s="70">
        <f>MIN($C$6,($I$31+$C$10*1)/J30)</f>
        <v/>
      </c>
      <c r="K45" s="70">
        <f>MIN($C$6,($I$31+$C$10*2)/K30)</f>
        <v/>
      </c>
      <c r="L45" s="70">
        <f>MIN($C$6,($I$31+$C$10*3)/L30)</f>
        <v/>
      </c>
      <c r="M45" s="70">
        <f>MIN($C$6,($I$31+$C$10*4)/M30)</f>
        <v/>
      </c>
      <c r="N45" s="70">
        <f>MIN($C$6,($I$31+$C$10*5)/N30)</f>
        <v/>
      </c>
      <c r="O45" s="70">
        <f>MIN($C$6,($I$31+$C$10*6)/O30)</f>
        <v/>
      </c>
    </row>
    <row r="46" hidden="1" outlineLevel="1" ht="14.4" customHeight="1" s="79"/>
    <row r="47" hidden="1" outlineLevel="1" ht="14.4" customHeight="1" s="79">
      <c r="B47" s="32" t="inlineStr">
        <is>
          <t>MARKET RENT GROWTH (editable assumptions)</t>
        </is>
      </c>
      <c r="J47" s="71" t="inlineStr">
        <is>
          <t>Y1</t>
        </is>
      </c>
      <c r="K47" s="71" t="inlineStr">
        <is>
          <t>Y2</t>
        </is>
      </c>
      <c r="L47" s="71" t="inlineStr">
        <is>
          <t>Y3</t>
        </is>
      </c>
      <c r="M47" s="71" t="inlineStr">
        <is>
          <t>Y4</t>
        </is>
      </c>
      <c r="N47" s="71" t="inlineStr">
        <is>
          <t>Y5</t>
        </is>
      </c>
      <c r="O47" s="71" t="inlineStr">
        <is>
          <t>Y6</t>
        </is>
      </c>
    </row>
    <row r="48" hidden="1" outlineLevel="1" ht="14.4" customHeight="1" s="79">
      <c r="B48" s="32" t="inlineStr">
        <is>
          <t>Bear</t>
        </is>
      </c>
      <c r="J48" s="72" t="n">
        <v>-0.0025</v>
      </c>
      <c r="K48" s="72" t="n">
        <v>0.0175</v>
      </c>
      <c r="L48" s="72" t="n">
        <v>0.0275</v>
      </c>
      <c r="M48" s="72" t="n">
        <v>0.0375</v>
      </c>
      <c r="N48" s="72" t="n">
        <v>0.0275</v>
      </c>
      <c r="O48" s="72" t="n">
        <v>0.0175</v>
      </c>
    </row>
    <row r="49" hidden="1" outlineLevel="1" ht="14.4" customHeight="1" s="79">
      <c r="B49" s="32" t="inlineStr">
        <is>
          <t>Base</t>
        </is>
      </c>
      <c r="J49" s="72" t="n">
        <v>0.01</v>
      </c>
      <c r="K49" s="72" t="n">
        <v>0.03</v>
      </c>
      <c r="L49" s="72" t="n">
        <v>0.04</v>
      </c>
      <c r="M49" s="72" t="n">
        <v>0.05</v>
      </c>
      <c r="N49" s="72" t="n">
        <v>0.04</v>
      </c>
      <c r="O49" s="72" t="n">
        <v>0.03</v>
      </c>
    </row>
    <row r="50" hidden="1" outlineLevel="1" ht="14.4" customHeight="1" s="79">
      <c r="B50" s="32" t="inlineStr">
        <is>
          <t>Bull</t>
        </is>
      </c>
      <c r="J50" s="72" t="n">
        <v>0.02</v>
      </c>
      <c r="K50" s="72" t="n">
        <v>0.04</v>
      </c>
      <c r="L50" s="72" t="n">
        <v>0.05</v>
      </c>
      <c r="M50" s="72" t="n">
        <v>0.06</v>
      </c>
      <c r="N50" s="72" t="n">
        <v>0.05</v>
      </c>
      <c r="O50" s="72" t="n">
        <v>0.04</v>
      </c>
    </row>
    <row r="51" hidden="1" outlineLevel="1" ht="14.4" customHeight="1" s="79">
      <c r="B51" s="32" t="inlineStr">
        <is>
          <t>CONCESSIONS % — forward assumption (editable)</t>
        </is>
      </c>
    </row>
    <row r="52" hidden="1" outlineLevel="1" ht="14.4" customHeight="1" s="79">
      <c r="B52" s="32" t="inlineStr">
        <is>
          <t>Bear</t>
        </is>
      </c>
      <c r="J52" s="72" t="n">
        <v>0.06</v>
      </c>
      <c r="K52" s="72" t="n">
        <v>0.045</v>
      </c>
      <c r="L52" s="72" t="n">
        <v>0.035</v>
      </c>
      <c r="M52" s="72" t="n">
        <v>0.035</v>
      </c>
      <c r="N52" s="72" t="n">
        <v>0.035</v>
      </c>
      <c r="O52" s="72" t="n">
        <v>0.035</v>
      </c>
    </row>
    <row r="53" hidden="1" outlineLevel="1" ht="14.4" customHeight="1" s="79">
      <c r="B53" s="32" t="inlineStr">
        <is>
          <t>Base</t>
        </is>
      </c>
      <c r="J53" s="72" t="n">
        <v>0.03</v>
      </c>
      <c r="K53" s="72" t="n">
        <v>0.015</v>
      </c>
      <c r="L53" s="72" t="n">
        <v>0.005</v>
      </c>
      <c r="M53" s="72" t="n">
        <v>0.005</v>
      </c>
      <c r="N53" s="72" t="n">
        <v>0.005</v>
      </c>
      <c r="O53" s="72" t="n">
        <v>0.005</v>
      </c>
    </row>
    <row r="54" hidden="1" outlineLevel="1" ht="14.4" customHeight="1" s="79">
      <c r="B54" s="32" t="inlineStr">
        <is>
          <t>Bull</t>
        </is>
      </c>
      <c r="J54" s="72" t="n">
        <v>0.02</v>
      </c>
      <c r="K54" s="72" t="n">
        <v>0.005</v>
      </c>
      <c r="L54" s="72" t="n">
        <v>0</v>
      </c>
      <c r="M54" s="72" t="n">
        <v>0</v>
      </c>
      <c r="N54" s="72" t="n">
        <v>0</v>
      </c>
      <c r="O54" s="72" t="n">
        <v>0</v>
      </c>
    </row>
    <row r="55" hidden="1" outlineLevel="1" ht="14.4" customHeight="1" s="79">
      <c r="B55" s="32" t="inlineStr">
        <is>
          <t>EFFECTIVE RENT GROWTH (derived)</t>
        </is>
      </c>
    </row>
    <row r="56" hidden="1" outlineLevel="1" ht="14.4" customHeight="1" s="79">
      <c r="B56" s="32" t="inlineStr">
        <is>
          <t>Bear</t>
        </is>
      </c>
      <c r="J56" s="70">
        <f>(1+J48)*(1-J52)-1</f>
        <v/>
      </c>
      <c r="K56" s="70">
        <f>(1+K48)*(1-K52)/(1-J52)-1</f>
        <v/>
      </c>
      <c r="L56" s="70">
        <f>(1+L48)*(1-L52)/(1-K52)-1</f>
        <v/>
      </c>
      <c r="M56" s="70">
        <f>(1+M48)*(1-M52)/(1-L52)-1</f>
        <v/>
      </c>
      <c r="N56" s="70">
        <f>(1+N48)*(1-N52)/(1-M52)-1</f>
        <v/>
      </c>
      <c r="O56" s="70">
        <f>(1+O48)*(1-O52)/(1-N52)-1</f>
        <v/>
      </c>
    </row>
    <row r="57" hidden="1" outlineLevel="1" ht="14.4" customHeight="1" s="79">
      <c r="B57" s="32" t="inlineStr">
        <is>
          <t>Base</t>
        </is>
      </c>
      <c r="J57" s="70">
        <f>(1+J49)*(1-J53)-1</f>
        <v/>
      </c>
      <c r="K57" s="70">
        <f>(1+K49)*(1-K53)/(1-J53)-1</f>
        <v/>
      </c>
      <c r="L57" s="70">
        <f>(1+L49)*(1-L53)/(1-K53)-1</f>
        <v/>
      </c>
      <c r="M57" s="70">
        <f>(1+M49)*(1-M53)/(1-L53)-1</f>
        <v/>
      </c>
      <c r="N57" s="70">
        <f>(1+N49)*(1-N53)/(1-M53)-1</f>
        <v/>
      </c>
      <c r="O57" s="70">
        <f>(1+O49)*(1-O53)/(1-N53)-1</f>
        <v/>
      </c>
    </row>
    <row r="58" hidden="1" outlineLevel="1" ht="14.4" customHeight="1" s="79">
      <c r="B58" s="32" t="inlineStr">
        <is>
          <t>Bull</t>
        </is>
      </c>
      <c r="J58" s="70">
        <f>(1+J50)*(1-J54)-1</f>
        <v/>
      </c>
      <c r="K58" s="70">
        <f>(1+K50)*(1-K54)/(1-J54)-1</f>
        <v/>
      </c>
      <c r="L58" s="70">
        <f>(1+L50)*(1-L54)/(1-K54)-1</f>
        <v/>
      </c>
      <c r="M58" s="70">
        <f>(1+M50)*(1-M54)/(1-L54)-1</f>
        <v/>
      </c>
      <c r="N58" s="70">
        <f>(1+N50)*(1-N54)/(1-M54)-1</f>
        <v/>
      </c>
      <c r="O58" s="70">
        <f>(1+O50)*(1-O54)/(1-N54)-1</f>
        <v/>
      </c>
    </row>
    <row r="59" ht="14.4" customHeight="1" s="79"/>
    <row r="60" ht="14.4" customHeight="1" s="79">
      <c r="B60" s="71" t="inlineStr">
        <is>
          <t>▸ DETAIL: subject rent source by year, delivered-units tie-out &amp; reconciliation (grouped — click + to expand)</t>
        </is>
      </c>
    </row>
    <row r="61" hidden="1" outlineLevel="1" ht="14.4" customHeight="1" s="79">
      <c r="B61" s="73" t="inlineStr">
        <is>
          <t xml:space="preserve">  -Y6  Q3 2019–Q2 2020</t>
        </is>
      </c>
      <c r="E61" s="73" t="inlineStr">
        <is>
          <t>—</t>
        </is>
      </c>
    </row>
    <row r="62" hidden="1" outlineLevel="1" ht="14.4" customHeight="1" s="79">
      <c r="B62" s="73" t="inlineStr">
        <is>
          <t xml:space="preserve">  -Y5  Q3 2020–Q2 2021</t>
        </is>
      </c>
      <c r="E62" s="73" t="inlineStr">
        <is>
          <t>—</t>
        </is>
      </c>
    </row>
    <row r="63" hidden="1" outlineLevel="1" ht="14.4" customHeight="1" s="79">
      <c r="B63" s="73" t="inlineStr">
        <is>
          <t xml:space="preserve">  -Y4  Q3 2021–Q2 2022</t>
        </is>
      </c>
      <c r="E63" s="73" t="inlineStr">
        <is>
          <t>—</t>
        </is>
      </c>
    </row>
    <row r="64" hidden="1" outlineLevel="1" ht="14.4" customHeight="1" s="79">
      <c r="B64" s="73" t="inlineStr">
        <is>
          <t xml:space="preserve">  -Y3  Q3 2022–Q2 2023</t>
        </is>
      </c>
      <c r="E64" s="73" t="inlineStr">
        <is>
          <t>—</t>
        </is>
      </c>
    </row>
    <row r="65" hidden="1" outlineLevel="1" ht="14.4" customHeight="1" s="79">
      <c r="B65" s="73" t="inlineStr">
        <is>
          <t xml:space="preserve">  -Y2  Q3 2023–Q2 2024</t>
        </is>
      </c>
      <c r="E65" s="73" t="inlineStr">
        <is>
          <t>—</t>
        </is>
      </c>
    </row>
    <row r="66" hidden="1" outlineLevel="1" ht="14.4" customHeight="1" s="79">
      <c r="B66" s="73" t="inlineStr">
        <is>
          <t xml:space="preserve">  -Y1  Q3 2024–Q2 2025</t>
        </is>
      </c>
      <c r="E66" s="73" t="inlineStr">
        <is>
          <t>HD</t>
        </is>
      </c>
    </row>
    <row r="67" hidden="1" outlineLevel="1" ht="14.4" customHeight="1" s="79">
      <c r="B67" s="73" t="inlineStr">
        <is>
          <t xml:space="preserve">  Y0  Q3 2025–Q2 2026</t>
        </is>
      </c>
      <c r="E67" s="73" t="inlineStr">
        <is>
          <t>HD</t>
        </is>
      </c>
    </row>
    <row r="68" hidden="1" outlineLevel="1" ht="14.4" customHeight="1" s="79">
      <c r="B68" s="73" t="inlineStr">
        <is>
          <t xml:space="preserve">  UC scheduled vs CoStar UC</t>
        </is>
      </c>
      <c r="E68" s="73" t="inlineStr">
        <is>
          <t>1,213 / 552</t>
        </is>
      </c>
    </row>
    <row r="69" hidden="1" outlineLevel="1" ht="14.4" customHeight="1" s="79">
      <c r="B69" s="71" t="inlineStr">
        <is>
          <t xml:space="preserve">  Delivered units — roster vs CoStar 5-mi series:</t>
        </is>
      </c>
    </row>
    <row r="70" hidden="1" outlineLevel="1" ht="14.4" customHeight="1" s="79">
      <c r="B70" s="74" t="inlineStr">
        <is>
          <t xml:space="preserve">    -Y4: roster (CoStar-tracked) 275 vs CoStar 629   (+354 sub-50/unnamed; roster also carries +476 RealPage-only supply CoStar misses)</t>
        </is>
      </c>
    </row>
    <row r="71" hidden="1" outlineLevel="1" ht="14.4" customHeight="1" s="79">
      <c r="B71" s="84" t="inlineStr">
        <is>
          <t xml:space="preserve">    -Y3: roster (CoStar-tracked) 1,214 vs CoStar 1,232   (+18 sub-50/unnamed)</t>
        </is>
      </c>
    </row>
    <row r="72" hidden="1" outlineLevel="1" ht="14.4" customHeight="1" s="79">
      <c r="B72" s="84" t="inlineStr">
        <is>
          <t xml:space="preserve">    -Y2: roster (CoStar-tracked) 1,039 vs CoStar 1,049   (+10 sub-50/unnamed)</t>
        </is>
      </c>
    </row>
    <row r="73" hidden="1" outlineLevel="1" ht="14.4" customHeight="1" s="79">
      <c r="B73" s="84" t="inlineStr">
        <is>
          <t xml:space="preserve">    -Y1: roster (CoStar-tracked) 450 vs CoStar 450   (tie ✓)</t>
        </is>
      </c>
    </row>
    <row r="74" hidden="1" outlineLevel="1" ht="14.4" customHeight="1" s="79">
      <c r="B74" s="84" t="inlineStr">
        <is>
          <t xml:space="preserve">    Y0: roster (CoStar-tracked) 156 vs CoStar 156   (tie ✓; roster also carries +84 RealPage-only supply CoStar misses)</t>
        </is>
      </c>
    </row>
    <row r="75" hidden="1" outlineLevel="1" ht="14.4" customHeight="1" s="79">
      <c r="B75" s="84" t="inlineStr">
        <is>
          <t xml:space="preserve">  Newest CoStar row (2026 Q3 QTD) is partial (QTD) — excluded from TTM sums; Y0 anchors to the latest complete quarter.</t>
        </is>
      </c>
    </row>
    <row r="76" ht="14.4" customHeight="1" s="79"/>
    <row r="77" ht="14.4" customHeight="1" s="79"/>
  </sheetData>
  <mergeCells count="1">
    <mergeCell ref="B2:O2"/>
  </mergeCells>
  <dataValidations count="2">
    <dataValidation sqref="C7" showDropDown="0" showInputMessage="0" showErrorMessage="0" allowBlank="0" type="list">
      <formula1>"Bear,Base,Bull"</formula1>
    </dataValidation>
    <dataValidation sqref="U13 U14 U15 U16 U17 U18 U19 U20 U21 U22 U23 U24 U25" showDropDown="0" showInputMessage="0" showErrorMessage="0" allowBlank="1" type="list">
      <formula1>"Bear only,Bear+Base,All,None"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4.4"/>
  <cols>
    <col width="30" customWidth="1" style="79" min="1" max="1"/>
    <col width="24" customWidth="1" style="79" min="2" max="2"/>
    <col width="15" customWidth="1" style="79" min="3" max="15"/>
    <col width="44" customWidth="1" style="79" min="16" max="16"/>
  </cols>
  <sheetData>
    <row r="1">
      <c r="A1" s="59" t="inlineStr">
        <is>
          <t>Property</t>
        </is>
      </c>
      <c r="B1" s="59" t="inlineStr">
        <is>
          <t>Address</t>
        </is>
      </c>
      <c r="C1" s="59" t="inlineStr">
        <is>
          <t>Units</t>
        </is>
      </c>
      <c r="D1" s="59" t="inlineStr">
        <is>
          <t>Year Built</t>
        </is>
      </c>
      <c r="E1" s="59" t="inlineStr">
        <is>
          <t>Est. Delivery</t>
        </is>
      </c>
      <c r="F1" s="59" t="inlineStr">
        <is>
          <t>Deliv. Source</t>
        </is>
      </c>
      <c r="G1" s="59" t="inlineStr">
        <is>
          <t>Bucket</t>
        </is>
      </c>
      <c r="H1" s="59" t="inlineStr">
        <is>
          <t>CoStar Occ</t>
        </is>
      </c>
      <c r="I1" s="59" t="inlineStr">
        <is>
          <t>RealPage Occ</t>
        </is>
      </c>
      <c r="J1" s="59" t="inlineStr">
        <is>
          <t>HD Occ</t>
        </is>
      </c>
      <c r="K1" s="59" t="inlineStr">
        <is>
          <t>CoStar Ask Rent</t>
        </is>
      </c>
      <c r="L1" s="59" t="inlineStr">
        <is>
          <t>RealPage Eff Rent</t>
        </is>
      </c>
      <c r="M1" s="59" t="inlineStr">
        <is>
          <t>HD Ask (mix-wtd)</t>
        </is>
      </c>
      <c r="N1" s="59" t="inlineStr">
        <is>
          <t>HD Eff (mix-wtd)</t>
        </is>
      </c>
      <c r="O1" s="59" t="inlineStr">
        <is>
          <t>Sources</t>
        </is>
      </c>
      <c r="P1" s="59" t="inlineStr">
        <is>
          <t>Notes</t>
        </is>
      </c>
    </row>
    <row r="2">
      <c r="A2" t="inlineStr">
        <is>
          <t>Springtree Apartments</t>
        </is>
      </c>
      <c r="B2" t="inlineStr">
        <is>
          <t>121 S Springtree Ln</t>
        </is>
      </c>
      <c r="C2" t="n">
        <v>42</v>
      </c>
      <c r="D2" t="n">
        <v>2024</v>
      </c>
      <c r="E2" t="inlineStr">
        <is>
          <t>Q4 2024</t>
        </is>
      </c>
      <c r="F2" t="inlineStr">
        <is>
          <t>CoStar property analytics</t>
        </is>
      </c>
      <c r="G2" t="inlineStr">
        <is>
          <t>STABILIZED / STABILIZING</t>
        </is>
      </c>
      <c r="H2" s="75" t="n">
        <v>0.952381</v>
      </c>
      <c r="I2" s="75" t="n"/>
      <c r="J2" s="75" t="n"/>
      <c r="K2" s="76" t="n">
        <v>1514</v>
      </c>
      <c r="L2" s="76" t="n"/>
      <c r="M2" s="76" t="n"/>
      <c r="N2" s="76" t="n"/>
      <c r="O2" t="inlineStr">
        <is>
          <t>CoStar</t>
        </is>
      </c>
    </row>
    <row r="3">
      <c r="A3" t="inlineStr">
        <is>
          <t>Seasons at Meridian</t>
        </is>
      </c>
      <c r="B3" t="inlineStr">
        <is>
          <t>2700 E Overland Rd</t>
        </is>
      </c>
      <c r="C3" t="n">
        <v>360</v>
      </c>
      <c r="D3" t="n">
        <v>2024</v>
      </c>
      <c r="E3" t="inlineStr">
        <is>
          <t>Q3 2024</t>
        </is>
      </c>
      <c r="F3" t="inlineStr">
        <is>
          <t>CoStar property analytics</t>
        </is>
      </c>
      <c r="G3" t="inlineStr">
        <is>
          <t>STABILIZED / STABILIZING</t>
        </is>
      </c>
      <c r="H3" s="75" t="n">
        <v>0.955556</v>
      </c>
      <c r="I3" s="75" t="n">
        <v>0.989</v>
      </c>
      <c r="J3" s="75" t="n"/>
      <c r="K3" s="76" t="n">
        <v>1951</v>
      </c>
      <c r="L3" s="76" t="n">
        <v>1884</v>
      </c>
      <c r="M3" s="76" t="n">
        <v>1911.119099448338</v>
      </c>
      <c r="N3" s="76" t="n">
        <v>1879.261597336116</v>
      </c>
      <c r="O3" t="inlineStr">
        <is>
          <t>CoStar+RealPage</t>
        </is>
      </c>
      <c r="P3" t="inlineStr">
        <is>
          <t>Year built: 2024/2025; SUBJECT — this deal; Occ: CoStar 96% vs RealPage 99%</t>
        </is>
      </c>
    </row>
    <row r="4">
      <c r="A4" t="inlineStr">
        <is>
          <t>The Aren</t>
        </is>
      </c>
      <c r="B4" t="inlineStr">
        <is>
          <t>1066 S Silverstone Way</t>
        </is>
      </c>
      <c r="C4" t="n">
        <v>396</v>
      </c>
      <c r="D4" t="n">
        <v>2024</v>
      </c>
      <c r="E4" t="inlineStr">
        <is>
          <t>Q2 2024</t>
        </is>
      </c>
      <c r="F4" t="inlineStr">
        <is>
          <t>CoStar property analytics</t>
        </is>
      </c>
      <c r="G4" t="inlineStr">
        <is>
          <t>STABILIZED / STABILIZING</t>
        </is>
      </c>
      <c r="H4" s="75" t="n">
        <v>0.969697</v>
      </c>
      <c r="I4" s="75" t="n">
        <v>0.998</v>
      </c>
      <c r="J4" s="75" t="n"/>
      <c r="K4" s="76" t="n">
        <v>1762</v>
      </c>
      <c r="L4" s="76" t="n">
        <v>1841</v>
      </c>
      <c r="M4" s="76" t="n">
        <v>1739.209026472431</v>
      </c>
      <c r="N4" s="76" t="n">
        <v>1663.812235275689</v>
      </c>
      <c r="O4" t="inlineStr">
        <is>
          <t>CoStar+RealPage</t>
        </is>
      </c>
      <c r="P4" t="inlineStr">
        <is>
          <t>Year built: 2024/2025; Occ: CoStar 97% vs RealPage 100%</t>
        </is>
      </c>
    </row>
    <row r="5">
      <c r="A5" t="inlineStr">
        <is>
          <t>Viera at Pinnacle</t>
        </is>
      </c>
      <c r="B5" t="inlineStr">
        <is>
          <t>6269 S Aspiration Ave</t>
        </is>
      </c>
      <c r="C5" t="n">
        <v>56</v>
      </c>
      <c r="D5" t="n">
        <v>2024</v>
      </c>
      <c r="E5" t="inlineStr">
        <is>
          <t>Q1 2024</t>
        </is>
      </c>
      <c r="F5" t="inlineStr">
        <is>
          <t>CoStar property analytics</t>
        </is>
      </c>
      <c r="G5" t="inlineStr">
        <is>
          <t>STABILIZED / STABILIZING</t>
        </is>
      </c>
      <c r="H5" s="75" t="n">
        <v>1</v>
      </c>
      <c r="I5" s="75" t="n"/>
      <c r="J5" s="75" t="n"/>
      <c r="K5" s="76" t="n">
        <v>2595</v>
      </c>
      <c r="L5" s="76" t="n"/>
      <c r="M5" s="76" t="n">
        <v>2489.375</v>
      </c>
      <c r="N5" s="76" t="n">
        <v>2395.895833333333</v>
      </c>
      <c r="O5" t="inlineStr">
        <is>
          <t>CoStar</t>
        </is>
      </c>
    </row>
    <row r="6">
      <c r="A6" t="inlineStr">
        <is>
          <t>Movado Village</t>
        </is>
      </c>
      <c r="B6" t="inlineStr">
        <is>
          <t>1711 S Movado Way</t>
        </is>
      </c>
      <c r="C6" t="n">
        <v>60</v>
      </c>
      <c r="D6" t="n">
        <v>2024</v>
      </c>
      <c r="E6" t="inlineStr">
        <is>
          <t>Q1 2024</t>
        </is>
      </c>
      <c r="F6" t="inlineStr">
        <is>
          <t>CoStar property analytics</t>
        </is>
      </c>
      <c r="G6" t="inlineStr">
        <is>
          <t>STABILIZED / STABILIZING</t>
        </is>
      </c>
      <c r="H6" s="75" t="n">
        <v>0.933333</v>
      </c>
      <c r="I6" s="75" t="n"/>
      <c r="J6" s="75" t="n"/>
      <c r="K6" s="76" t="n">
        <v>2070</v>
      </c>
      <c r="L6" s="76" t="n"/>
      <c r="M6" s="76" t="n">
        <v>1995</v>
      </c>
      <c r="N6" s="76" t="n">
        <v>1995</v>
      </c>
      <c r="O6" t="inlineStr">
        <is>
          <t>CoStar</t>
        </is>
      </c>
    </row>
    <row r="7">
      <c r="A7" t="inlineStr">
        <is>
          <t>Telluride</t>
        </is>
      </c>
      <c r="B7" t="inlineStr">
        <is>
          <t>597 N Maple Grove Rd</t>
        </is>
      </c>
      <c r="C7" t="n">
        <v>102</v>
      </c>
      <c r="D7" t="n">
        <v>2023</v>
      </c>
      <c r="E7" t="inlineStr">
        <is>
          <t>Q2 2023</t>
        </is>
      </c>
      <c r="F7" t="inlineStr">
        <is>
          <t>CoStar property analytics</t>
        </is>
      </c>
      <c r="G7" t="inlineStr">
        <is>
          <t>STABILIZED / STABILIZING</t>
        </is>
      </c>
      <c r="H7" s="75" t="n">
        <v>0.990196</v>
      </c>
      <c r="I7" s="75" t="n"/>
      <c r="J7" s="75" t="n"/>
      <c r="K7" s="76" t="n">
        <v>1898</v>
      </c>
      <c r="L7" s="76" t="n"/>
      <c r="M7" s="76" t="n">
        <v>1884.446808510638</v>
      </c>
      <c r="N7" s="76" t="n">
        <v>1884.446808510638</v>
      </c>
      <c r="O7" t="inlineStr">
        <is>
          <t>CoStar</t>
        </is>
      </c>
    </row>
    <row r="8">
      <c r="A8" t="inlineStr">
        <is>
          <t>Altair</t>
        </is>
      </c>
      <c r="B8" t="inlineStr">
        <is>
          <t>2743 W Peak Cloud Ln</t>
        </is>
      </c>
      <c r="C8" t="n">
        <v>240</v>
      </c>
      <c r="D8" t="n">
        <v>2023</v>
      </c>
      <c r="E8" t="inlineStr">
        <is>
          <t>Q2 2023</t>
        </is>
      </c>
      <c r="F8" t="inlineStr">
        <is>
          <t>CoStar property analytics</t>
        </is>
      </c>
      <c r="G8" t="inlineStr">
        <is>
          <t>STABILIZED / STABILIZING</t>
        </is>
      </c>
      <c r="H8" s="75" t="n">
        <v>0.945833</v>
      </c>
      <c r="I8" s="75" t="n">
        <v>0.996</v>
      </c>
      <c r="J8" s="75" t="n"/>
      <c r="K8" s="76" t="n">
        <v>1689</v>
      </c>
      <c r="L8" s="76" t="n">
        <v>1754</v>
      </c>
      <c r="M8" s="76" t="n">
        <v>1624.407772304324</v>
      </c>
      <c r="N8" s="76" t="n">
        <v>1573.192255062945</v>
      </c>
      <c r="O8" t="inlineStr">
        <is>
          <t>CoStar+RealPage</t>
        </is>
      </c>
      <c r="P8" t="inlineStr">
        <is>
          <t>Occ: CoStar 95% vs RealPage 100%</t>
        </is>
      </c>
    </row>
    <row r="9">
      <c r="A9" t="inlineStr">
        <is>
          <t>Dovetail</t>
        </is>
      </c>
      <c r="B9" t="inlineStr">
        <is>
          <t>1350 N Webb Way</t>
        </is>
      </c>
      <c r="C9" t="n">
        <v>240</v>
      </c>
      <c r="D9" t="n">
        <v>2023</v>
      </c>
      <c r="E9" t="inlineStr">
        <is>
          <t>Q2 2023</t>
        </is>
      </c>
      <c r="F9" t="inlineStr">
        <is>
          <t>CoStar property analytics</t>
        </is>
      </c>
      <c r="G9" t="inlineStr">
        <is>
          <t>STABILIZED / STABILIZING</t>
        </is>
      </c>
      <c r="H9" s="75" t="n">
        <v>0.958333</v>
      </c>
      <c r="I9" s="75" t="n">
        <v>0.992</v>
      </c>
      <c r="J9" s="75" t="n"/>
      <c r="K9" s="76" t="n">
        <v>1832</v>
      </c>
      <c r="L9" s="76" t="n">
        <v>1856</v>
      </c>
      <c r="M9" s="76" t="n"/>
      <c r="N9" s="76" t="n"/>
      <c r="O9" t="inlineStr">
        <is>
          <t>CoStar+RealPage</t>
        </is>
      </c>
      <c r="P9" t="inlineStr">
        <is>
          <t>Units: CoStar 240 vs RealPage 480; Year built: 2020/2023; Occ: CoStar 96% vs RealPage 99%</t>
        </is>
      </c>
    </row>
    <row r="10">
      <c r="A10" t="inlineStr">
        <is>
          <t>Yellowstone Apartments</t>
        </is>
      </c>
      <c r="B10" t="inlineStr">
        <is>
          <t>3500 West Pine Avenue</t>
        </is>
      </c>
      <c r="C10" t="n">
        <v>216</v>
      </c>
      <c r="D10" t="n">
        <v>2023</v>
      </c>
      <c r="E10" t="inlineStr">
        <is>
          <t>Q2 2023</t>
        </is>
      </c>
      <c r="F10" t="inlineStr">
        <is>
          <t>CoStar property analytics</t>
        </is>
      </c>
      <c r="G10" t="inlineStr">
        <is>
          <t>STABILIZED / STABILIZING</t>
        </is>
      </c>
      <c r="H10" s="75" t="n">
        <v>0.763889</v>
      </c>
      <c r="I10" s="75" t="n">
        <v>0.944</v>
      </c>
      <c r="J10" s="75" t="n"/>
      <c r="K10" s="76" t="n">
        <v>1707</v>
      </c>
      <c r="L10" s="76" t="n">
        <v>1691</v>
      </c>
      <c r="M10" s="76" t="n">
        <v>1735.469387755102</v>
      </c>
      <c r="N10" s="76" t="n">
        <v>1735.469387755102</v>
      </c>
      <c r="O10" t="inlineStr">
        <is>
          <t>CoStar+RealPage</t>
        </is>
      </c>
      <c r="P10" t="inlineStr">
        <is>
          <t>Year built: 2023/2025; Occ: CoStar 76% vs RealPage 94%</t>
        </is>
      </c>
    </row>
    <row r="11">
      <c r="A11" t="inlineStr">
        <is>
          <t>Alante Homes at Hazelwood</t>
        </is>
      </c>
      <c r="B11" t="inlineStr">
        <is>
          <t>6222 S Gloriosa Ln</t>
        </is>
      </c>
      <c r="C11" t="n">
        <v>32</v>
      </c>
      <c r="D11" t="n">
        <v>2023</v>
      </c>
      <c r="E11" t="inlineStr">
        <is>
          <t>Q1 2023</t>
        </is>
      </c>
      <c r="F11" t="inlineStr">
        <is>
          <t>CoStar property analytics</t>
        </is>
      </c>
      <c r="G11" t="inlineStr">
        <is>
          <t>STABILIZED / STABILIZING</t>
        </is>
      </c>
      <c r="H11" s="75" t="n">
        <v>0.96875</v>
      </c>
      <c r="I11" s="75" t="n"/>
      <c r="J11" s="75" t="n"/>
      <c r="K11" s="76" t="n">
        <v>2276</v>
      </c>
      <c r="L11" s="76" t="n"/>
      <c r="M11" s="76" t="n"/>
      <c r="N11" s="76" t="n"/>
      <c r="O11" t="inlineStr">
        <is>
          <t>CoStar</t>
        </is>
      </c>
    </row>
    <row r="12">
      <c r="A12" t="inlineStr">
        <is>
          <t>Modern Craftsman Ten Mile</t>
        </is>
      </c>
      <c r="B12" t="inlineStr">
        <is>
          <t>3233 W Littleton Ln</t>
        </is>
      </c>
      <c r="C12" t="n">
        <v>135</v>
      </c>
      <c r="D12" t="n">
        <v>2023</v>
      </c>
      <c r="E12" t="inlineStr">
        <is>
          <t>Q1 2023</t>
        </is>
      </c>
      <c r="F12" t="inlineStr">
        <is>
          <t>CoStar property analytics</t>
        </is>
      </c>
      <c r="G12" t="inlineStr">
        <is>
          <t>STABILIZED / STABILIZING</t>
        </is>
      </c>
      <c r="H12" s="75" t="n">
        <v>0.948148</v>
      </c>
      <c r="I12" s="75" t="n">
        <v>0.993</v>
      </c>
      <c r="J12" s="75" t="n"/>
      <c r="K12" s="76" t="n">
        <v>2229</v>
      </c>
      <c r="L12" s="76" t="n">
        <v>2243</v>
      </c>
      <c r="M12" s="76" t="n">
        <v>2164.319806763285</v>
      </c>
      <c r="N12" s="76" t="n">
        <v>2140.342028985508</v>
      </c>
      <c r="O12" t="inlineStr">
        <is>
          <t>CoStar+RealPage</t>
        </is>
      </c>
      <c r="P12" t="inlineStr">
        <is>
          <t>Year built: 2022/2023; Occ: CoStar 95% vs RealPage 99%</t>
        </is>
      </c>
    </row>
    <row r="13">
      <c r="A13" t="inlineStr">
        <is>
          <t>WaterWalk Boise – Meridian</t>
        </is>
      </c>
      <c r="B13" t="inlineStr">
        <is>
          <t>88 n Olson Ave</t>
        </is>
      </c>
      <c r="C13" t="n">
        <v>38</v>
      </c>
      <c r="D13" t="n">
        <v>2023</v>
      </c>
      <c r="E13" t="inlineStr">
        <is>
          <t>Q1 2023</t>
        </is>
      </c>
      <c r="F13" t="inlineStr">
        <is>
          <t>CoStar property analytics</t>
        </is>
      </c>
      <c r="G13" t="inlineStr">
        <is>
          <t>STABILIZED / STABILIZING</t>
        </is>
      </c>
      <c r="H13" s="75" t="n">
        <v>0.947368</v>
      </c>
      <c r="I13" s="75" t="n"/>
      <c r="J13" s="75" t="n"/>
      <c r="K13" s="76" t="n">
        <v>1655</v>
      </c>
      <c r="L13" s="76" t="n"/>
      <c r="M13" s="76" t="n"/>
      <c r="N13" s="76" t="n"/>
      <c r="O13" t="inlineStr">
        <is>
          <t>CoStar</t>
        </is>
      </c>
    </row>
    <row r="14">
      <c r="A14" t="inlineStr">
        <is>
          <t>The Prospect</t>
        </is>
      </c>
      <c r="B14" t="inlineStr">
        <is>
          <t>8002 W Overland Rd</t>
        </is>
      </c>
      <c r="C14" t="n">
        <v>91</v>
      </c>
      <c r="D14" t="n">
        <v>2022</v>
      </c>
      <c r="E14" t="inlineStr">
        <is>
          <t>Q4 2022</t>
        </is>
      </c>
      <c r="F14" t="inlineStr">
        <is>
          <t>CoStar property analytics</t>
        </is>
      </c>
      <c r="G14" t="inlineStr">
        <is>
          <t>STABILIZED / STABILIZING</t>
        </is>
      </c>
      <c r="H14" s="75" t="n">
        <v>0.989011</v>
      </c>
      <c r="I14" s="75" t="n"/>
      <c r="J14" s="75" t="n"/>
      <c r="K14" s="76" t="n">
        <v>1189</v>
      </c>
      <c r="L14" s="76" t="n"/>
      <c r="M14" s="76" t="n">
        <v>1165.555555555556</v>
      </c>
      <c r="N14" s="76" t="n">
        <v>1156.326599326599</v>
      </c>
      <c r="O14" t="inlineStr">
        <is>
          <t>CoStar</t>
        </is>
      </c>
    </row>
    <row r="15">
      <c r="A15" t="inlineStr">
        <is>
          <t>Etheridge Lane</t>
        </is>
      </c>
      <c r="B15" t="inlineStr">
        <is>
          <t>1428 N Etheridge Ln</t>
        </is>
      </c>
      <c r="C15" t="n">
        <v>12</v>
      </c>
      <c r="D15" t="n">
        <v>2022</v>
      </c>
      <c r="E15" t="inlineStr">
        <is>
          <t>Q4 2022</t>
        </is>
      </c>
      <c r="F15" t="inlineStr">
        <is>
          <t>CoStar property analytics</t>
        </is>
      </c>
      <c r="G15" t="inlineStr">
        <is>
          <t>STABILIZED / STABILIZING</t>
        </is>
      </c>
      <c r="H15" s="75" t="n"/>
      <c r="I15" s="75" t="n"/>
      <c r="J15" s="75" t="n"/>
      <c r="K15" s="76" t="n"/>
      <c r="L15" s="76" t="n"/>
      <c r="M15" s="76" t="n"/>
      <c r="N15" s="76" t="n"/>
      <c r="O15" t="inlineStr">
        <is>
          <t>CoStar</t>
        </is>
      </c>
    </row>
    <row r="16">
      <c r="A16" t="inlineStr">
        <is>
          <t>Old Town Lofts</t>
        </is>
      </c>
      <c r="B16" t="inlineStr">
        <is>
          <t>33 E Idaho Ave</t>
        </is>
      </c>
      <c r="C16" t="n">
        <v>102</v>
      </c>
      <c r="D16" t="n">
        <v>2022</v>
      </c>
      <c r="E16" t="inlineStr">
        <is>
          <t>Q3 2022</t>
        </is>
      </c>
      <c r="F16" t="inlineStr">
        <is>
          <t>CoStar property analytics</t>
        </is>
      </c>
      <c r="G16" t="inlineStr">
        <is>
          <t>STABILIZED / STABILIZING</t>
        </is>
      </c>
      <c r="H16" s="75" t="n">
        <v>0.990196</v>
      </c>
      <c r="I16" s="75" t="n">
        <v>0.99</v>
      </c>
      <c r="J16" s="75" t="n"/>
      <c r="K16" s="76" t="n">
        <v>1683</v>
      </c>
      <c r="L16" s="76" t="n">
        <v>1661</v>
      </c>
      <c r="M16" s="76" t="n">
        <v>1665.511627906977</v>
      </c>
      <c r="N16" s="76" t="n">
        <v>1665.511627906977</v>
      </c>
      <c r="O16" t="inlineStr">
        <is>
          <t>CoStar+RealPage</t>
        </is>
      </c>
      <c r="P16" t="inlineStr">
        <is>
          <t>Year built: 2022/2023</t>
        </is>
      </c>
    </row>
    <row r="17">
      <c r="A17" t="inlineStr">
        <is>
          <t>Lavender Village</t>
        </is>
      </c>
      <c r="B17" t="inlineStr">
        <is>
          <t>2607-2615 N Linda Vista Ln</t>
        </is>
      </c>
      <c r="C17" t="n">
        <v>6</v>
      </c>
      <c r="D17" t="n">
        <v>2022</v>
      </c>
      <c r="E17" t="inlineStr">
        <is>
          <t>Q3 2022</t>
        </is>
      </c>
      <c r="F17" t="inlineStr">
        <is>
          <t>CoStar property analytics</t>
        </is>
      </c>
      <c r="G17" t="inlineStr">
        <is>
          <t>STABILIZED / STABILIZING</t>
        </is>
      </c>
      <c r="H17" s="75" t="n"/>
      <c r="I17" s="75" t="n"/>
      <c r="J17" s="75" t="n"/>
      <c r="K17" s="76" t="n">
        <v>2110</v>
      </c>
      <c r="L17" s="76" t="n"/>
      <c r="M17" s="76" t="n">
        <v>1747.513661202186</v>
      </c>
      <c r="N17" s="76" t="n">
        <v>1747.513661202186</v>
      </c>
      <c r="O17" t="inlineStr">
        <is>
          <t>CoStar</t>
        </is>
      </c>
      <c r="P17" t="inlineStr">
        <is>
          <t>Rent: HD mix-wtd $1,748 vs CoStar ask $2,110</t>
        </is>
      </c>
    </row>
    <row r="18">
      <c r="A18" t="inlineStr">
        <is>
          <t>Meritage West</t>
        </is>
      </c>
      <c r="B18" t="inlineStr">
        <is>
          <t>13450 W Baldcypress St</t>
        </is>
      </c>
      <c r="C18" t="n">
        <v>83</v>
      </c>
      <c r="D18" t="n">
        <v>2022</v>
      </c>
      <c r="E18" t="inlineStr">
        <is>
          <t>Q2 2022</t>
        </is>
      </c>
      <c r="F18" t="inlineStr">
        <is>
          <t>CoStar property analytics</t>
        </is>
      </c>
      <c r="G18" t="inlineStr">
        <is>
          <t>STABILIZED / STABILIZING</t>
        </is>
      </c>
      <c r="H18" s="75" t="n">
        <v>0.9879520000000001</v>
      </c>
      <c r="I18" s="75" t="n">
        <v>0.976</v>
      </c>
      <c r="J18" s="75" t="n"/>
      <c r="K18" s="76" t="n">
        <v>1664</v>
      </c>
      <c r="L18" s="76" t="n">
        <v>1641</v>
      </c>
      <c r="M18" s="76" t="n">
        <v>1651.435028248588</v>
      </c>
      <c r="N18" s="76" t="n">
        <v>1651.435028248588</v>
      </c>
      <c r="O18" t="inlineStr">
        <is>
          <t>CoStar+RealPage</t>
        </is>
      </c>
    </row>
    <row r="19">
      <c r="A19" t="inlineStr">
        <is>
          <t>Celebration Acres</t>
        </is>
      </c>
      <c r="B19" t="inlineStr">
        <is>
          <t>10881 W Florence Dr</t>
        </is>
      </c>
      <c r="C19" t="n">
        <v>28</v>
      </c>
      <c r="D19" t="n">
        <v>2022</v>
      </c>
      <c r="E19" t="inlineStr">
        <is>
          <t>Q2 2022</t>
        </is>
      </c>
      <c r="F19" t="inlineStr">
        <is>
          <t>CoStar property analytics</t>
        </is>
      </c>
      <c r="G19" t="inlineStr">
        <is>
          <t>STABILIZED / STABILIZING</t>
        </is>
      </c>
      <c r="H19" s="75" t="n">
        <v>0.964286</v>
      </c>
      <c r="I19" s="75" t="n"/>
      <c r="J19" s="75" t="n"/>
      <c r="K19" s="76" t="n"/>
      <c r="L19" s="76" t="n"/>
      <c r="M19" s="76" t="n"/>
      <c r="N19" s="76" t="n"/>
      <c r="O19" t="inlineStr">
        <is>
          <t>CoStar</t>
        </is>
      </c>
    </row>
    <row r="20">
      <c r="A20" t="inlineStr">
        <is>
          <t>Ambleside Townhomes</t>
        </is>
      </c>
      <c r="B20" t="inlineStr">
        <is>
          <t>1890 N Shamrock Ave</t>
        </is>
      </c>
      <c r="C20" t="n">
        <v>67</v>
      </c>
      <c r="D20" t="n">
        <v>2022</v>
      </c>
      <c r="E20" t="inlineStr">
        <is>
          <t>Q2 2022</t>
        </is>
      </c>
      <c r="F20" t="inlineStr">
        <is>
          <t>CoStar property analytics</t>
        </is>
      </c>
      <c r="G20" t="inlineStr">
        <is>
          <t>STABILIZED / STABILIZING</t>
        </is>
      </c>
      <c r="H20" s="75" t="n">
        <v>0.970149</v>
      </c>
      <c r="I20" s="75" t="n"/>
      <c r="J20" s="75" t="n"/>
      <c r="K20" s="76" t="n">
        <v>2130</v>
      </c>
      <c r="L20" s="76" t="n"/>
      <c r="M20" s="76" t="n"/>
      <c r="N20" s="76" t="n"/>
      <c r="O20" t="inlineStr">
        <is>
          <t>CoStar</t>
        </is>
      </c>
    </row>
    <row r="21">
      <c r="A21" t="inlineStr">
        <is>
          <t>Pine 43</t>
        </is>
      </c>
      <c r="B21" t="inlineStr">
        <is>
          <t>1301 N Meadowglen Ave</t>
        </is>
      </c>
      <c r="C21" t="n">
        <v>25</v>
      </c>
      <c r="D21" t="n">
        <v>2022</v>
      </c>
      <c r="E21" t="inlineStr">
        <is>
          <t>Q2 2022</t>
        </is>
      </c>
      <c r="F21" t="inlineStr">
        <is>
          <t>CoStar property analytics</t>
        </is>
      </c>
      <c r="G21" t="inlineStr">
        <is>
          <t>STABILIZED / STABILIZING</t>
        </is>
      </c>
      <c r="H21" s="75" t="n"/>
      <c r="I21" s="75" t="n"/>
      <c r="J21" s="75" t="n"/>
      <c r="K21" s="76" t="n">
        <v>2236</v>
      </c>
      <c r="L21" s="76" t="n"/>
      <c r="M21" s="76" t="n"/>
      <c r="N21" s="76" t="n"/>
      <c r="O21" t="inlineStr">
        <is>
          <t>CoStar</t>
        </is>
      </c>
    </row>
    <row r="22">
      <c r="A22" t="inlineStr">
        <is>
          <t>South Ridge I</t>
        </is>
      </c>
      <c r="B22" t="inlineStr">
        <is>
          <t>1703 S Grand Frk Wy</t>
        </is>
      </c>
      <c r="C22" t="n">
        <v>476</v>
      </c>
      <c r="D22" t="n">
        <v>2022</v>
      </c>
      <c r="E22" t="inlineStr">
        <is>
          <t>Q2 2022</t>
        </is>
      </c>
      <c r="G22" t="inlineStr">
        <is>
          <t>STABILIZED / STABILIZING</t>
        </is>
      </c>
      <c r="H22" s="75" t="n"/>
      <c r="I22" s="75" t="n">
        <v>0.994</v>
      </c>
      <c r="J22" s="75" t="n"/>
      <c r="K22" s="76" t="n"/>
      <c r="L22" s="76" t="n">
        <v>1672</v>
      </c>
      <c r="M22" s="76" t="n"/>
      <c r="N22" s="76" t="n"/>
      <c r="O22" t="inlineStr">
        <is>
          <t>RealPage</t>
        </is>
      </c>
      <c r="P22" t="inlineStr">
        <is>
          <t>Delivery quarter estimated; RealPage-only — not in CoStar's 5-mi series</t>
        </is>
      </c>
    </row>
    <row r="23">
      <c r="A23" t="inlineStr">
        <is>
          <t>The Lost Rapid Townhomes</t>
        </is>
      </c>
      <c r="B23" t="inlineStr">
        <is>
          <t>3400 W Chinden Blvd</t>
        </is>
      </c>
      <c r="C23" t="n">
        <v>72</v>
      </c>
      <c r="D23" t="n">
        <v>2022</v>
      </c>
      <c r="E23" t="inlineStr">
        <is>
          <t>Q1 2022</t>
        </is>
      </c>
      <c r="F23" t="inlineStr">
        <is>
          <t>CoStar property analytics</t>
        </is>
      </c>
      <c r="G23" t="inlineStr">
        <is>
          <t>STABILIZED / STABILIZING</t>
        </is>
      </c>
      <c r="H23" s="75" t="n">
        <v>0.944444</v>
      </c>
      <c r="I23" s="75" t="n"/>
      <c r="J23" s="75" t="n"/>
      <c r="K23" s="76" t="n"/>
      <c r="L23" s="76" t="n"/>
      <c r="M23" s="76" t="n"/>
      <c r="N23" s="76" t="n"/>
      <c r="O23" t="inlineStr">
        <is>
          <t>CoStar</t>
        </is>
      </c>
    </row>
    <row r="24">
      <c r="A24" t="inlineStr">
        <is>
          <t>Tauri Apartments</t>
        </is>
      </c>
      <c r="B24" t="inlineStr">
        <is>
          <t>12673 W Ashcreek St</t>
        </is>
      </c>
      <c r="C24" t="n">
        <v>156</v>
      </c>
      <c r="D24" t="n">
        <v>2026</v>
      </c>
      <c r="E24" t="inlineStr">
        <is>
          <t>Q2 2026</t>
        </is>
      </c>
      <c r="F24" t="inlineStr">
        <is>
          <t>CoStar property analytics</t>
        </is>
      </c>
      <c r="G24" t="inlineStr">
        <is>
          <t>LEASING UP</t>
        </is>
      </c>
      <c r="H24" s="75" t="n">
        <v>0.25</v>
      </c>
      <c r="I24" s="75" t="n">
        <v>0.18</v>
      </c>
      <c r="J24" s="75" t="n">
        <v>1</v>
      </c>
      <c r="K24" s="76" t="n">
        <v>1862</v>
      </c>
      <c r="L24" s="76" t="n">
        <v>1684</v>
      </c>
      <c r="M24" s="76" t="n">
        <v>1833.726076373041</v>
      </c>
      <c r="N24" s="76" t="n">
        <v>1813.154621177544</v>
      </c>
      <c r="O24" t="inlineStr">
        <is>
          <t>CoStar+RealPage</t>
        </is>
      </c>
      <c r="P24" t="inlineStr">
        <is>
          <t>Units: CoStar 156 vs RealPage 128; Year built: 2026/2027; Occ: CoStar 25% vs RealPage 18%; Rent: CoStar ask $1,862 vs RealPage eff $1,684; Occ: HD ~100% (CoStar/RP showed 25%); HD (90d): occ ~100% (units leased), ~20 leases/mo</t>
        </is>
      </c>
    </row>
    <row r="25">
      <c r="A25" t="inlineStr">
        <is>
          <t>Delano</t>
        </is>
      </c>
      <c r="B25" t="inlineStr">
        <is>
          <t>3858 N Centrepoint Way</t>
        </is>
      </c>
      <c r="C25" t="n">
        <v>84</v>
      </c>
      <c r="D25" t="n">
        <v>2026</v>
      </c>
      <c r="E25" t="inlineStr">
        <is>
          <t>Q2 2026</t>
        </is>
      </c>
      <c r="G25" t="inlineStr">
        <is>
          <t>LEASING UP</t>
        </is>
      </c>
      <c r="H25" s="75" t="n"/>
      <c r="I25" s="75" t="n">
        <v>0.452</v>
      </c>
      <c r="J25" s="75" t="n"/>
      <c r="K25" s="76" t="n"/>
      <c r="L25" s="76" t="n">
        <v>1491</v>
      </c>
      <c r="M25" s="76" t="n"/>
      <c r="N25" s="76" t="n"/>
      <c r="O25" t="inlineStr">
        <is>
          <t>RealPage</t>
        </is>
      </c>
      <c r="P25" t="inlineStr">
        <is>
          <t>Delivery quarter estimated; Verify rent/occ w/ HelloData; RealPage-only — not in CoStar's 5-mi series</t>
        </is>
      </c>
    </row>
    <row r="26">
      <c r="A26" t="inlineStr">
        <is>
          <t>Shamrock Apartments</t>
        </is>
      </c>
      <c r="B26" t="inlineStr">
        <is>
          <t>1590 N Shamrock St</t>
        </is>
      </c>
      <c r="C26" t="n">
        <v>48</v>
      </c>
      <c r="D26" t="n">
        <v>2025</v>
      </c>
      <c r="E26" t="inlineStr">
        <is>
          <t>Q2 2025</t>
        </is>
      </c>
      <c r="F26" t="inlineStr">
        <is>
          <t>CoStar property analytics</t>
        </is>
      </c>
      <c r="G26" t="inlineStr">
        <is>
          <t>LEASING UP</t>
        </is>
      </c>
      <c r="H26" s="75" t="n">
        <v>0.833333</v>
      </c>
      <c r="I26" s="75" t="n"/>
      <c r="J26" s="75" t="n"/>
      <c r="K26" s="76" t="n"/>
      <c r="L26" s="76" t="n"/>
      <c r="M26" s="76" t="n"/>
      <c r="N26" s="76" t="n"/>
      <c r="O26" t="inlineStr">
        <is>
          <t>CoStar</t>
        </is>
      </c>
      <c r="P26" t="inlineStr">
        <is>
          <t>Verify rent/occ w/ HelloData</t>
        </is>
      </c>
    </row>
    <row r="27">
      <c r="A27" t="inlineStr">
        <is>
          <t>Village Apartments</t>
        </is>
      </c>
      <c r="B27" t="inlineStr">
        <is>
          <t>2651 N Records Ave</t>
        </is>
      </c>
      <c r="C27" t="n">
        <v>336</v>
      </c>
      <c r="D27" t="n">
        <v>2024</v>
      </c>
      <c r="E27" t="inlineStr">
        <is>
          <t>Q2 2024</t>
        </is>
      </c>
      <c r="F27" t="inlineStr">
        <is>
          <t>CoStar property analytics</t>
        </is>
      </c>
      <c r="G27" t="inlineStr">
        <is>
          <t>LEASING UP</t>
        </is>
      </c>
      <c r="H27" s="75" t="n">
        <v>0.803571</v>
      </c>
      <c r="I27" s="75" t="n">
        <v>0.113</v>
      </c>
      <c r="J27" s="75" t="n">
        <v>0.119047619047619</v>
      </c>
      <c r="K27" s="76" t="n">
        <v>1742</v>
      </c>
      <c r="L27" s="76" t="n">
        <v>1677</v>
      </c>
      <c r="M27" s="76" t="n">
        <v>1747.513661202186</v>
      </c>
      <c r="N27" s="76" t="n">
        <v>1747.513661202186</v>
      </c>
      <c r="O27" t="inlineStr">
        <is>
          <t>CoStar+RealPage</t>
        </is>
      </c>
      <c r="P27" t="inlineStr">
        <is>
          <t>Occ: CoStar 80% vs RealPage 11%; Occ: HD ~12% (CoStar/RP showed 80%); HD (90d): occ ~12% (units leased), ~13 leases/mo</t>
        </is>
      </c>
    </row>
    <row r="28">
      <c r="A28" t="inlineStr">
        <is>
          <t>Wesley Apartments and Townhomes</t>
        </is>
      </c>
      <c r="B28" t="inlineStr">
        <is>
          <t>3104 N Venable Ln</t>
        </is>
      </c>
      <c r="C28" t="n">
        <v>191</v>
      </c>
      <c r="D28" t="n">
        <v>2024</v>
      </c>
      <c r="E28" t="inlineStr">
        <is>
          <t>Q2 2024</t>
        </is>
      </c>
      <c r="F28" t="inlineStr">
        <is>
          <t>CoStar property analytics</t>
        </is>
      </c>
      <c r="G28" t="inlineStr">
        <is>
          <t>LEASING UP</t>
        </is>
      </c>
      <c r="H28" s="75" t="n">
        <v>0.277487</v>
      </c>
      <c r="I28" s="75" t="n">
        <v>0.838</v>
      </c>
      <c r="J28" s="75" t="n">
        <v>0.4764397905759162</v>
      </c>
      <c r="K28" s="76" t="n">
        <v>1716</v>
      </c>
      <c r="L28" s="76" t="n">
        <v>2004</v>
      </c>
      <c r="M28" s="76" t="n">
        <v>1994.484728234728</v>
      </c>
      <c r="N28" s="76" t="n">
        <v>1994.484728234728</v>
      </c>
      <c r="O28" t="inlineStr">
        <is>
          <t>CoStar+RealPage</t>
        </is>
      </c>
      <c r="P28" t="inlineStr">
        <is>
          <t>Occ: CoStar 28% vs RealPage 84%; Rent: CoStar ask $1,716 vs RealPage eff $2,004; Rent: HD mix-wtd $1,994 vs CoStar ask $1,716; Occ: HD ~48% (CoStar/RP showed 28%); HD (90d): occ ~48% (units leased), ~22 leases/mo</t>
        </is>
      </c>
    </row>
    <row r="29">
      <c r="A29" t="inlineStr">
        <is>
          <t>Vanguard Village</t>
        </is>
      </c>
      <c r="B29" t="inlineStr">
        <is>
          <t>1085 S 10 Mile Rd</t>
        </is>
      </c>
      <c r="C29" t="n">
        <v>552</v>
      </c>
      <c r="D29" t="n">
        <v>2027</v>
      </c>
      <c r="E29" t="inlineStr">
        <is>
          <t>Q1 2028</t>
        </is>
      </c>
      <c r="G29" t="inlineStr">
        <is>
          <t>UNDER CONSTRUCTION</t>
        </is>
      </c>
      <c r="H29" s="75" t="n"/>
      <c r="I29" s="75" t="n"/>
      <c r="J29" s="75" t="n"/>
      <c r="K29" s="76" t="n"/>
      <c r="L29" s="76" t="n"/>
      <c r="M29" s="76" t="n">
        <v>1747.513661202186</v>
      </c>
      <c r="N29" s="76" t="n">
        <v>1747.513661202186</v>
      </c>
      <c r="O29" t="inlineStr">
        <is>
          <t>CoStar</t>
        </is>
      </c>
    </row>
    <row r="30">
      <c r="A30" t="inlineStr">
        <is>
          <t>Centrepoint</t>
        </is>
      </c>
      <c r="B30" t="inlineStr">
        <is>
          <t>3100 N Centrepoint Way</t>
        </is>
      </c>
      <c r="C30" t="n">
        <v>213</v>
      </c>
      <c r="E30" t="inlineStr">
        <is>
          <t>Q1 2028</t>
        </is>
      </c>
      <c r="G30" t="inlineStr">
        <is>
          <t>UNDER CONSTRUCTION</t>
        </is>
      </c>
      <c r="H30" s="75" t="n"/>
      <c r="I30" s="75" t="n"/>
      <c r="J30" s="75" t="n"/>
      <c r="K30" s="76" t="n"/>
      <c r="L30" s="76" t="n"/>
      <c r="M30" s="76" t="n"/>
      <c r="N30" s="76" t="n"/>
      <c r="O30" t="inlineStr">
        <is>
          <t>RealPage</t>
        </is>
      </c>
      <c r="P30" t="inlineStr">
        <is>
          <t>RealPage pipeline (not yet in CoStar); Diligence: under construction - revived; permits issuing 2026</t>
        </is>
      </c>
    </row>
    <row r="31">
      <c r="A31" t="inlineStr">
        <is>
          <t>Dorado Station</t>
        </is>
      </c>
      <c r="B31" t="inlineStr">
        <is>
          <t>1500 N Eldorado St, Boise 83704</t>
        </is>
      </c>
      <c r="C31" t="n">
        <v>212</v>
      </c>
      <c r="E31" t="inlineStr">
        <is>
          <t>Q3 2027</t>
        </is>
      </c>
      <c r="G31" t="inlineStr">
        <is>
          <t>UNDER CONSTRUCTION</t>
        </is>
      </c>
      <c r="H31" s="75" t="n"/>
      <c r="I31" s="75" t="n"/>
      <c r="J31" s="75" t="n"/>
      <c r="K31" s="76" t="n"/>
      <c r="L31" s="76" t="n"/>
      <c r="M31" s="76" t="n"/>
      <c r="N31" s="76" t="n"/>
      <c r="O31" t="inlineStr">
        <is>
          <t>Diligence</t>
        </is>
      </c>
      <c r="P31" t="inlineStr">
        <is>
          <t>Analyst-sourced deal (not in CoStar/RealPage); Diligence: under construction</t>
        </is>
      </c>
    </row>
    <row r="32">
      <c r="A32" t="inlineStr">
        <is>
          <t>Summertown (remaining phases)</t>
        </is>
      </c>
      <c r="B32" t="inlineStr">
        <is>
          <t>3005 N Ridgebury Ln, Meridian 83646</t>
        </is>
      </c>
      <c r="C32" t="n">
        <v>72</v>
      </c>
      <c r="E32" t="inlineStr">
        <is>
          <t>Q3 2027</t>
        </is>
      </c>
      <c r="G32" t="inlineStr">
        <is>
          <t>UNDER CONSTRUCTION</t>
        </is>
      </c>
      <c r="H32" s="75" t="n"/>
      <c r="I32" s="75" t="n"/>
      <c r="J32" s="75" t="n"/>
      <c r="K32" s="76" t="n"/>
      <c r="L32" s="76" t="n"/>
      <c r="M32" s="76" t="n"/>
      <c r="N32" s="76" t="n"/>
      <c r="O32" t="inlineStr">
        <is>
          <t>Diligence</t>
        </is>
      </c>
      <c r="P32" t="inlineStr">
        <is>
          <t>Analyst-sourced deal (not in CoStar/RealPage); Diligence: under construction</t>
        </is>
      </c>
    </row>
    <row r="33">
      <c r="A33" t="inlineStr">
        <is>
          <t>South Ridge II</t>
        </is>
      </c>
      <c r="B33" t="inlineStr">
        <is>
          <t>1703 S Grand Frk Wy</t>
        </is>
      </c>
      <c r="C33" t="n">
        <v>164</v>
      </c>
      <c r="D33" t="n">
        <v>2027</v>
      </c>
      <c r="E33" t="inlineStr">
        <is>
          <t>Q2 2027</t>
        </is>
      </c>
      <c r="G33" t="inlineStr">
        <is>
          <t>UNDER CONSTRUCTION</t>
        </is>
      </c>
      <c r="H33" s="75" t="n"/>
      <c r="I33" s="75" t="n"/>
      <c r="J33" s="75" t="n"/>
      <c r="K33" s="76" t="n"/>
      <c r="L33" s="76" t="n"/>
      <c r="M33" s="76" t="n"/>
      <c r="N33" s="76" t="n"/>
      <c r="O33" t="inlineStr">
        <is>
          <t>RealPage</t>
        </is>
      </c>
    </row>
    <row r="34">
      <c r="A34" t="inlineStr">
        <is>
          <t>The Cole Denton</t>
        </is>
      </c>
      <c r="B34" t="inlineStr">
        <is>
          <t>580 N Cole Rd</t>
        </is>
      </c>
      <c r="C34" t="n">
        <v>224</v>
      </c>
      <c r="E34" t="inlineStr">
        <is>
          <t>Q1 2029</t>
        </is>
      </c>
      <c r="G34" t="inlineStr">
        <is>
          <t>PROPOSED</t>
        </is>
      </c>
      <c r="H34" s="75" t="n"/>
      <c r="I34" s="75" t="n"/>
      <c r="J34" s="75" t="n"/>
      <c r="K34" s="76" t="n"/>
      <c r="L34" s="76" t="n"/>
      <c r="M34" s="76" t="n"/>
      <c r="N34" s="76" t="n"/>
      <c r="O34" t="inlineStr">
        <is>
          <t>RealPage</t>
        </is>
      </c>
      <c r="P34" t="inlineStr">
        <is>
          <t>RealPage pipeline (not yet in CoStar); Diligence: proposed - refiled May/Jun 2026 as 6-story 200+ units (PLN26-00493)</t>
        </is>
      </c>
    </row>
    <row r="35">
      <c r="A35" t="inlineStr">
        <is>
          <t>Rolling Hill (Assemble Management)</t>
        </is>
      </c>
      <c r="B35" t="inlineStr">
        <is>
          <t>4270 E Overland Rd, Meridian 83642</t>
        </is>
      </c>
      <c r="C35" t="n">
        <v>200</v>
      </c>
      <c r="E35" t="inlineStr">
        <is>
          <t>Q1 2029</t>
        </is>
      </c>
      <c r="G35" t="inlineStr">
        <is>
          <t>PROPOSED</t>
        </is>
      </c>
      <c r="H35" s="75" t="n"/>
      <c r="I35" s="75" t="n"/>
      <c r="J35" s="75" t="n"/>
      <c r="K35" s="76" t="n"/>
      <c r="L35" s="76" t="n"/>
      <c r="M35" s="76" t="n"/>
      <c r="N35" s="76" t="n"/>
      <c r="O35" t="inlineStr">
        <is>
          <t>Diligence</t>
        </is>
      </c>
      <c r="P35" t="inlineStr">
        <is>
          <t>Analyst-sourced deal (not in CoStar/RealPage); Diligence: proposed</t>
        </is>
      </c>
    </row>
    <row r="36">
      <c r="A36" t="inlineStr">
        <is>
          <t>Heritage Square (ex-Union 93)</t>
        </is>
      </c>
      <c r="B36" t="inlineStr">
        <is>
          <t>SE corner Main St &amp; Broadway Ave, Meridian 83642</t>
        </is>
      </c>
      <c r="C36" t="n">
        <v>250</v>
      </c>
      <c r="E36" t="inlineStr">
        <is>
          <t>Q1 2029</t>
        </is>
      </c>
      <c r="G36" t="inlineStr">
        <is>
          <t>PROPOSED</t>
        </is>
      </c>
      <c r="H36" s="75" t="n"/>
      <c r="I36" s="75" t="n"/>
      <c r="J36" s="75" t="n"/>
      <c r="K36" s="76" t="n"/>
      <c r="L36" s="76" t="n"/>
      <c r="M36" s="76" t="n"/>
      <c r="N36" s="76" t="n"/>
      <c r="O36" t="inlineStr">
        <is>
          <t>Diligence</t>
        </is>
      </c>
      <c r="P36" t="inlineStr">
        <is>
          <t>Analyst-sourced deal (not in CoStar/RealPage); Diligence: proposed - announced Jul 13 2026; Union 93 skeleton repurposed</t>
        </is>
      </c>
    </row>
    <row r="37">
      <c r="A37" t="inlineStr">
        <is>
          <t>The Judy (Maple Grove &amp; Overland)</t>
        </is>
      </c>
      <c r="B37" t="inlineStr">
        <is>
          <t>1770 S Maple Grove Rd, Boise 83704</t>
        </is>
      </c>
      <c r="C37" t="n">
        <v>162</v>
      </c>
      <c r="E37" t="inlineStr">
        <is>
          <t>Q1 2028</t>
        </is>
      </c>
      <c r="G37" t="inlineStr">
        <is>
          <t>PROPOSED</t>
        </is>
      </c>
      <c r="H37" s="75" t="n"/>
      <c r="I37" s="75" t="n"/>
      <c r="J37" s="75" t="n"/>
      <c r="K37" s="76" t="n"/>
      <c r="L37" s="76" t="n"/>
      <c r="M37" s="76" t="n"/>
      <c r="N37" s="76" t="n"/>
      <c r="O37" t="inlineStr">
        <is>
          <t>Diligence</t>
        </is>
      </c>
      <c r="P37" t="inlineStr">
        <is>
          <t>Analyst-sourced deal (not in CoStar/RealPage); Diligence: proposed - equity raise underway; construction targeted Q3 2026</t>
        </is>
      </c>
    </row>
    <row r="38">
      <c r="A38" t="inlineStr">
        <is>
          <t>Meridian OZ Apartments</t>
        </is>
      </c>
      <c r="B38" t="inlineStr">
        <is>
          <t>1475 E Franklin Rd</t>
        </is>
      </c>
      <c r="C38" t="n">
        <v>36</v>
      </c>
      <c r="G38" t="inlineStr">
        <is>
          <t>PROPOSED</t>
        </is>
      </c>
      <c r="H38" s="75" t="n"/>
      <c r="I38" s="75" t="n"/>
      <c r="J38" s="75" t="n"/>
      <c r="K38" s="76" t="n"/>
      <c r="L38" s="76" t="n"/>
      <c r="M38" s="76" t="n"/>
      <c r="N38" s="76" t="n"/>
      <c r="O38" t="inlineStr">
        <is>
          <t>CoStar+RealPage</t>
        </is>
      </c>
      <c r="P38" t="inlineStr">
        <is>
          <t>Diligence: proposed - stalled; downsized to 36u Oct 2024 - entitled site listed then off-market</t>
        </is>
      </c>
    </row>
    <row r="39">
      <c r="A39" t="inlineStr">
        <is>
          <t>The Gateway at Ten Mile</t>
        </is>
      </c>
      <c r="B39" t="inlineStr">
        <is>
          <t>2954 W Franklin Rd</t>
        </is>
      </c>
      <c r="C39" t="n">
        <v>390</v>
      </c>
      <c r="D39" t="n">
        <v>2027</v>
      </c>
      <c r="G39" t="inlineStr">
        <is>
          <t>PROPOSED</t>
        </is>
      </c>
      <c r="H39" s="75" t="n"/>
      <c r="I39" s="75" t="n"/>
      <c r="J39" s="75" t="n"/>
      <c r="K39" s="76" t="n"/>
      <c r="L39" s="76" t="n"/>
      <c r="M39" s="76" t="n"/>
      <c r="N39" s="76" t="n"/>
      <c r="O39" t="inlineStr">
        <is>
          <t>CoStar</t>
        </is>
      </c>
      <c r="P39" t="inlineStr">
        <is>
          <t>Diligence: proposed - long-dated; residential 5-7 yrs out per developer</t>
        </is>
      </c>
    </row>
    <row r="40">
      <c r="A40" t="inlineStr">
        <is>
          <t>Ascent Overland</t>
        </is>
      </c>
      <c r="B40" t="inlineStr">
        <is>
          <t>11101 W Overland Rd</t>
        </is>
      </c>
      <c r="C40" t="n">
        <v>138</v>
      </c>
      <c r="D40" t="n">
        <v>2028</v>
      </c>
      <c r="G40" t="inlineStr">
        <is>
          <t>PROPOSED</t>
        </is>
      </c>
      <c r="H40" s="75" t="n"/>
      <c r="I40" s="75" t="n"/>
      <c r="J40" s="75" t="n"/>
      <c r="K40" s="76" t="n"/>
      <c r="L40" s="76" t="n"/>
      <c r="M40" s="76" t="n"/>
      <c r="N40" s="76" t="n"/>
      <c r="O40" t="inlineStr">
        <is>
          <t>CoStar</t>
        </is>
      </c>
      <c r="P40" t="inlineStr">
        <is>
          <t>Diligence: proposed - stalled; entitled site for sale via CBRE at $5.0M</t>
        </is>
      </c>
    </row>
    <row r="41">
      <c r="A41" t="inlineStr">
        <is>
          <t>Victory Flats</t>
        </is>
      </c>
      <c r="B41" t="inlineStr">
        <is>
          <t>8373 West Victory Rd</t>
        </is>
      </c>
      <c r="C41" t="n">
        <v>301</v>
      </c>
      <c r="D41" t="n">
        <v>2027</v>
      </c>
      <c r="G41" t="inlineStr">
        <is>
          <t>PROPOSED</t>
        </is>
      </c>
      <c r="H41" s="75" t="n"/>
      <c r="I41" s="75" t="n"/>
      <c r="J41" s="75" t="n"/>
      <c r="K41" s="76" t="n"/>
      <c r="L41" s="76" t="n"/>
      <c r="M41" s="76" t="n"/>
      <c r="N41" s="76" t="n"/>
      <c r="O41" t="inlineStr">
        <is>
          <t>CoStar+RealPage</t>
        </is>
      </c>
      <c r="P41" t="inlineStr">
        <is>
          <t>Diligence: proposed - stalled; Jan 2024 start extension lapsed unbuilt</t>
        </is>
      </c>
    </row>
    <row r="42">
      <c r="A42" t="inlineStr">
        <is>
          <t>Record</t>
        </is>
      </c>
      <c r="B42" t="inlineStr">
        <is>
          <t>E Fairview Ave &amp; N Records Way</t>
        </is>
      </c>
      <c r="C42" t="n">
        <v>472</v>
      </c>
      <c r="G42" t="inlineStr">
        <is>
          <t>PROPOSED</t>
        </is>
      </c>
      <c r="H42" s="75" t="n"/>
      <c r="I42" s="75" t="n"/>
      <c r="J42" s="75" t="n"/>
      <c r="K42" s="76" t="n"/>
      <c r="L42" s="76" t="n"/>
      <c r="M42" s="76" t="n"/>
      <c r="N42" s="76" t="n"/>
      <c r="O42" t="inlineStr">
        <is>
          <t>RealPage</t>
        </is>
      </c>
      <c r="P42" t="inlineStr">
        <is>
          <t>RealPage pipeline (not yet in CoStar); Diligence: proposed - stalled; CUP likely lapsed - Brighton silent 4+ years</t>
        </is>
      </c>
    </row>
    <row r="43">
      <c r="A43" t="inlineStr">
        <is>
          <t>12548 West Overland Road</t>
        </is>
      </c>
      <c r="B43" t="inlineStr">
        <is>
          <t>12548 W Overland Rd</t>
        </is>
      </c>
      <c r="C43" t="n">
        <v>156</v>
      </c>
      <c r="G43" t="inlineStr">
        <is>
          <t>PROPOSED</t>
        </is>
      </c>
      <c r="H43" s="75" t="n"/>
      <c r="I43" s="75" t="n"/>
      <c r="J43" s="75" t="n"/>
      <c r="K43" s="76" t="n"/>
      <c r="L43" s="76" t="n"/>
      <c r="M43" s="76" t="n"/>
      <c r="N43" s="76" t="n"/>
      <c r="O43" t="inlineStr">
        <is>
          <t>RealPage</t>
        </is>
      </c>
      <c r="P43" t="inlineStr">
        <is>
          <t>RealPage pipeline (not yet in CoStar); Diligence: proposed - stalled; PUD likely lapsed ~Mar 2026 - RV storage still operating</t>
        </is>
      </c>
    </row>
    <row r="44">
      <c r="A44" t="inlineStr">
        <is>
          <t>12565 West Fairview Avenue</t>
        </is>
      </c>
      <c r="B44" t="inlineStr">
        <is>
          <t>12565 W Fairview Ave</t>
        </is>
      </c>
      <c r="C44" t="n">
        <v>275</v>
      </c>
      <c r="G44" t="inlineStr">
        <is>
          <t>PROPOSED</t>
        </is>
      </c>
      <c r="H44" s="75" t="n"/>
      <c r="I44" s="75" t="n"/>
      <c r="J44" s="75" t="n"/>
      <c r="K44" s="76" t="n"/>
      <c r="L44" s="76" t="n"/>
      <c r="M44" s="76" t="n"/>
      <c r="N44" s="76" t="n"/>
      <c r="O44" t="inlineStr">
        <is>
          <t>RealPage</t>
        </is>
      </c>
      <c r="P44" t="inlineStr">
        <is>
          <t>RealPage pipeline (not yet in CoStar); Diligence: proposed - stalled; pre-application only - silent since Apr 2025</t>
        </is>
      </c>
    </row>
    <row r="45">
      <c r="A45" t="inlineStr">
        <is>
          <t>Syringa Crossing</t>
        </is>
      </c>
      <c r="B45" t="inlineStr">
        <is>
          <t>Amity Ave &amp; Meridian Rd</t>
        </is>
      </c>
      <c r="C45" t="n">
        <v>302</v>
      </c>
      <c r="G45" t="inlineStr">
        <is>
          <t>PROPOSED</t>
        </is>
      </c>
      <c r="H45" s="75" t="n"/>
      <c r="I45" s="75" t="n"/>
      <c r="J45" s="75" t="n"/>
      <c r="K45" s="76" t="n"/>
      <c r="L45" s="76" t="n"/>
      <c r="M45" s="76" t="n"/>
      <c r="N45" s="76" t="n"/>
      <c r="O45" t="inlineStr">
        <is>
          <t>RealPage</t>
        </is>
      </c>
      <c r="P45" t="inlineStr">
        <is>
          <t>RealPage pipeline (not yet in CoStar); Diligence: proposed</t>
        </is>
      </c>
    </row>
    <row r="46">
      <c r="A46" t="inlineStr">
        <is>
          <t>Pine 43 Multifamily (Pine &amp; Webb)</t>
        </is>
      </c>
      <c r="B46" t="inlineStr">
        <is>
          <t>E Pine Ave &amp; N Webb Way, Meridian 83642</t>
        </is>
      </c>
      <c r="C46" t="n">
        <v>270</v>
      </c>
      <c r="G46" t="inlineStr">
        <is>
          <t>PROPOSED</t>
        </is>
      </c>
      <c r="H46" s="75" t="n"/>
      <c r="I46" s="75" t="n"/>
      <c r="J46" s="75" t="n"/>
      <c r="K46" s="76" t="n"/>
      <c r="L46" s="76" t="n"/>
      <c r="M46" s="76" t="n"/>
      <c r="N46" s="76" t="n"/>
      <c r="O46" t="inlineStr">
        <is>
          <t>Diligence</t>
        </is>
      </c>
      <c r="P46" t="inlineStr">
        <is>
          <t>Analyst-sourced deal (not in CoStar/RealPage); Diligence: proposed</t>
        </is>
      </c>
    </row>
    <row r="47">
      <c r="A47" t="inlineStr">
        <is>
          <t>Outer Banks Apartments</t>
        </is>
      </c>
      <c r="B47" t="inlineStr">
        <is>
          <t>SW corner W Franklin Rd &amp; N Ten Mile Rd</t>
        </is>
      </c>
      <c r="C47" t="n">
        <v>516</v>
      </c>
      <c r="E47" t="inlineStr">
        <is>
          <t>Q4 2027</t>
        </is>
      </c>
      <c r="G47" t="inlineStr">
        <is>
          <t>PROPOSED</t>
        </is>
      </c>
      <c r="H47" s="75" t="n"/>
      <c r="I47" s="75" t="n"/>
      <c r="J47" s="75" t="n"/>
      <c r="K47" s="76" t="n"/>
      <c r="L47" s="76" t="n"/>
      <c r="M47" s="76" t="n"/>
      <c r="N47" s="76" t="n"/>
      <c r="O47" t="inlineStr">
        <is>
          <t>Diligence</t>
        </is>
      </c>
      <c r="P47" t="inlineStr">
        <is>
          <t>Audit find Aug 2026 — promoted from shadow watch; Elk Ventures 516u CUP; groundbreaking expected 2026</t>
        </is>
      </c>
    </row>
    <row r="48">
      <c r="A48" t="inlineStr">
        <is>
          <t>Emblem Meridian (Quarterra)</t>
        </is>
      </c>
      <c r="B48" t="inlineStr">
        <is>
          <t>2820 S Eagle Rd area, N of Eagle &amp; Victory</t>
        </is>
      </c>
      <c r="C48" t="n">
        <v>250</v>
      </c>
      <c r="G48" t="inlineStr">
        <is>
          <t>PROPOSED</t>
        </is>
      </c>
      <c r="H48" s="75" t="n"/>
      <c r="I48" s="75" t="n"/>
      <c r="J48" s="75" t="n"/>
      <c r="K48" s="76" t="n"/>
      <c r="L48" s="76" t="n"/>
      <c r="M48" s="76" t="n"/>
      <c r="N48" s="76" t="n"/>
      <c r="O48" t="inlineStr">
        <is>
          <t>Diligence</t>
        </is>
      </c>
      <c r="P48" t="inlineStr">
        <is>
          <t>Promoted from shadow watch Aug 2026 — formal early plans filed June 2026 (BoiseDev)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selection activeCell="A1" sqref="A1"/>
    </sheetView>
  </sheetViews>
  <sheetFormatPr baseColWidth="8" defaultRowHeight="14.4"/>
  <cols>
    <col width="2.44140625" customWidth="1" style="79" min="1" max="1"/>
    <col width="30" customWidth="1" style="79" min="2" max="2"/>
    <col width="8" customWidth="1" style="79" min="3" max="3"/>
    <col width="12" customWidth="1" style="79" min="4" max="4"/>
    <col width="16" customWidth="1" style="79" min="5" max="5"/>
    <col width="14" customWidth="1" style="79" min="6" max="6"/>
    <col width="50" customWidth="1" style="79" min="7" max="7"/>
    <col width="36" customWidth="1" style="79" min="8" max="8"/>
  </cols>
  <sheetData>
    <row r="1"/>
    <row r="2">
      <c r="B2" s="86" t="inlineStr">
        <is>
          <t>PIPELINE DILIGENCE</t>
        </is>
      </c>
    </row>
    <row r="3">
      <c r="B3" s="44" t="inlineStr">
        <is>
          <t>Property / Site</t>
        </is>
      </c>
      <c r="C3" s="44" t="inlineStr">
        <is>
          <t>Units</t>
        </is>
      </c>
      <c r="D3" s="44" t="inlineStr">
        <is>
          <t>Est. Delivery</t>
        </is>
      </c>
      <c r="E3" s="44" t="inlineStr">
        <is>
          <t>Status</t>
        </is>
      </c>
      <c r="F3" s="44" t="inlineStr">
        <is>
          <t>Leasing Pace</t>
        </is>
      </c>
      <c r="G3" s="44" t="inlineStr">
        <is>
          <t>Notes</t>
        </is>
      </c>
      <c r="H3" s="44" t="inlineStr">
        <is>
          <t>Source</t>
        </is>
      </c>
    </row>
    <row r="4">
      <c r="B4" s="37" t="inlineStr">
        <is>
          <t>The 10</t>
        </is>
      </c>
      <c r="C4" s="77" t="n"/>
      <c r="D4" s="77" t="n"/>
      <c r="E4" s="37" t="inlineStr">
        <is>
          <t>withdrawn - superseded by The Gateway at Ten Mile</t>
        </is>
      </c>
      <c r="F4" s="37" t="n"/>
      <c r="G4" s="37" t="inlineStr">
        <is>
          <t>Original 559-unit 'The 10' (Elk Ventures, 2021) never proceeded; the site was re-entitled as The Gateway at Ten Mile (H-2024-0010) for 390 units, approved Nov 2024. Removed to avoid double-counting the same site as two deals — the Gateway row carries the live entitlement.</t>
        </is>
      </c>
      <c r="H4" s="37" t="inlineStr">
        <is>
          <t>https://boisedev.com/news/2024/11/20/the-gateway-at-10-mile-meridian/</t>
        </is>
      </c>
    </row>
    <row r="5">
      <c r="B5" s="37" t="inlineStr">
        <is>
          <t>Record</t>
        </is>
      </c>
      <c r="C5" s="77" t="inlineStr">
        <is>
          <t>472</t>
        </is>
      </c>
      <c r="D5" s="77" t="inlineStr">
        <is>
          <t>TBD</t>
        </is>
      </c>
      <c r="E5" s="37" t="inlineStr">
        <is>
          <t>proposed - stalled; CUP likely lapsed - Brighton silent 4+ years</t>
        </is>
      </c>
      <c r="F5" s="37" t="n"/>
      <c r="G5" s="37" t="inlineStr">
        <is>
          <t>DEEP-DIVE VERIFIED 7/16/2026 (all verdicts survived 3-lens adversarial check). CUP H-2022-0008 heard Apr 7 2022 (staff conditioned approval on cutting to ~40 du/ac ≈ 398u vs 472 proposed); NO CZC, permit, extension, or hearing step since, and Meridian permit reports through Apr 2026 show nothing at Records Way. Under Meridian's 2-yr CUP commencement rule the entitlement has very likely expired — would need re-entitlement. Brighton's page has said 'coming soon' for 4+ years while its news feed promotes everything else. Not verifiably dead (no site sale found) — Bear-only, undated.</t>
        </is>
      </c>
      <c r="H5" s="37" t="inlineStr">
        <is>
          <t>https://www.brighton.co/brighton-place/records-way-the-village-at-meridian/</t>
        </is>
      </c>
    </row>
    <row r="6">
      <c r="B6" s="37" t="inlineStr">
        <is>
          <t>Centrepoint</t>
        </is>
      </c>
      <c r="C6" s="77" t="inlineStr">
        <is>
          <t>213</t>
        </is>
      </c>
      <c r="D6" s="77" t="inlineStr">
        <is>
          <t>Q1 2028</t>
        </is>
      </c>
      <c r="E6" s="37" t="inlineStr">
        <is>
          <t>under construction - revived; permits issuing 2026</t>
        </is>
      </c>
      <c r="F6" s="37" t="n"/>
      <c r="G6" s="37" t="inlineStr">
        <is>
          <t>AUDIT CORRECTION (July 2026): previously marked withdrawn per 2024 reporting, but the project was revived — Meridian's June 2026 permit report shows C-MULTI-2026-0007 (Bldg C, 56u) ISSUED 6/25/2026; 213 units in 5 buildings at N Centrepoint Way south of Ustick (Rockefeller; workforce/affordable positioning). Phased delivery est. from permit timing.</t>
        </is>
      </c>
      <c r="H6" s="37" t="inlineStr">
        <is>
          <t>https://meridiancity.org/media/f5alu5zs/bldgmonthlypermits.pdf</t>
        </is>
      </c>
    </row>
    <row r="7">
      <c r="B7" s="37" t="inlineStr">
        <is>
          <t>Cobalt Point</t>
        </is>
      </c>
      <c r="C7" s="77" t="inlineStr">
        <is>
          <t>264</t>
        </is>
      </c>
      <c r="D7" s="77" t="n"/>
      <c r="E7" s="37" t="inlineStr">
        <is>
          <t>withdrawn - applicant withdrew CUP H-2022-0042 on Dec 1 2022; never re-filed</t>
        </is>
      </c>
      <c r="F7" s="37" t="n"/>
      <c r="G7" s="37" t="inlineStr">
        <is>
          <t>DEEP-DIVE VERIFIED 7/16/2026 (all verdicts survived 3-lens adversarial check). DEAD: The Land Group's 264u CUP (H-2022-0042, 11.95 ac C-G parcel R7909850396 east of S Cobalt Point Way) was continued from 10/20/2022 and formally WITHDRAWN by the applicant at the 12/1/2022 P&amp;Z meeting — never approved. No re-application in 3.5 years, no permits, cobaltpointmeridian.com no longer resolves (DNS dead, verified 7/16/2026), and the land was marketed for office/mixed-use. RealPage's Ten Mile framing confuses it with Flats/Lofts at Ten Mile on W Cobalt Dr. Dropped; at most Bear-case shadow LAND, not a project.'</t>
        </is>
      </c>
      <c r="H7" s="37" t="inlineStr">
        <is>
          <t>https://boisedev.com/news/2022/06/13/cobalt-point-meridian/</t>
        </is>
      </c>
    </row>
    <row r="8">
      <c r="B8" s="37" t="inlineStr">
        <is>
          <t>Madison Town Square</t>
        </is>
      </c>
      <c r="C8" s="77" t="n"/>
      <c r="D8" s="77" t="n"/>
      <c r="E8" s="37" t="inlineStr">
        <is>
          <t>dead - plan pulled June 2024; site for sale</t>
        </is>
      </c>
      <c r="F8" s="37" t="n"/>
      <c r="G8" s="37" t="inlineStr">
        <is>
          <t>Madison Capital Group (MCG Boise Owner LLC) bought the old Sears at 460 N Milwaukee in 2021 and proposed 251 units, but pulled its design-review request and the plan was reported dead June 2024; site listed for sale at $8M (later $7.5M), still unsold.</t>
        </is>
      </c>
      <c r="H8" s="37" t="inlineStr">
        <is>
          <t>https://boisedev.com/news/2024/06/04/boise-sears-sale/</t>
        </is>
      </c>
    </row>
    <row r="9">
      <c r="B9" s="37" t="inlineStr">
        <is>
          <t>Syringa Crossing</t>
        </is>
      </c>
      <c r="C9" s="77" t="n">
        <v>302</v>
      </c>
      <c r="D9" s="77" t="n"/>
      <c r="E9" s="37" t="inlineStr">
        <is>
          <t>proposed - remanded; revised 302u CUP re-heard P&amp;Z 8/6/2026 (outcome unpublished)</t>
        </is>
      </c>
      <c r="F9" s="37" t="n"/>
      <c r="G9" s="37" t="inlineStr">
        <is>
          <t>DEEP-DIVE VERIFIED 7/16/2026 (all verdicts survived 3-lens adversarial check). Status unchanged and current: P&amp;Z recommended denial Apr 2 2026; council unanimously REMANDED the revised plan (up to 400 homes, more office/retail, ITD right-in/right-out granted on SH-69) back to P&amp;Z on 6/17/2026; no re-hearing outcome as of 7/16/2026 and staff still say revisions don't cure comp-plan inconsistencies. Hawkins still markets the corners as a 'proposed' shopping center. No annexation, plat, or permits — Bear-case only with elevated kill risk; earliest delivery ~2029 if it survives. Land-use dossier SM-12 covers the adjacent block. | AUG 2026 AUDIT: CUP now 302 units on 15.23 ac R-40 inside ~400-home plan; P&amp;Z rec. denial 4/2/26, council remanded 6/17/26, re-heard 8/6/26.</t>
        </is>
      </c>
      <c r="H9" s="37" t="inlineStr">
        <is>
          <t>https://boisedev.com/news/2026/06/17/a-developer-made-changes-to-a-proposed-400-home-mixed-use-project-meridian-gives-commission-another-vote-on-it/</t>
        </is>
      </c>
    </row>
    <row r="10">
      <c r="B10" s="37" t="inlineStr">
        <is>
          <t>The Cole Denton</t>
        </is>
      </c>
      <c r="C10" s="77" t="n">
        <v>224</v>
      </c>
      <c r="D10" s="77" t="inlineStr">
        <is>
          <t>Q1 2029</t>
        </is>
      </c>
      <c r="E10" s="37" t="inlineStr">
        <is>
          <t>proposed - refiled May/Jun 2026 as 6-story, 224 units</t>
        </is>
      </c>
      <c r="F10" s="37" t="n"/>
      <c r="G10" s="37" t="inlineStr">
        <is>
          <t>DEEP-DIVE VERIFIED 7/16/2026 (all verdicts survived 3-lens adversarial check). Stale in BOTH directions: the 136u plan got further than believed — $11.2M foundation/podium permit BLD22-03293 was ISSUED 4/5/2024 — but was never built and EXPIRED 3/31/2026 (parcel S1007325725 still vacant land, $2.78M, on the 2026 roll). Then in May/Jun 2026 a NEW filing appeared on the same 2.13-ac MX-3/DA parcel: PLN26-00493 '580 N COLE RD - DRH', a six-story mixed-use building with 200+ apartments (sponsor almost certainly Kal Pacific), at neighborhood-meeting/design-review stage (tracker 6/15/2026). LoopNet listing off-market. Live early-stage ~200u proposal; delivery 2029+; do NOT promote to UC. City separately buying neighboring 709 N Cole for affordable housing. | AUG 2026 AUDIT: unit count raised to 224 per BoiseDev 7/27/26 (Kal Pacific abandons 2021 DA, uses Boise 2023 code).</t>
        </is>
      </c>
      <c r="H10" s="37" t="inlineStr">
        <is>
          <t>https://boisedev.com/news/2021/05/04/five-story-apartment-building-coming-to-lot-across-from-boise-town-square/</t>
        </is>
      </c>
    </row>
    <row r="11">
      <c r="B11" s="37" t="inlineStr">
        <is>
          <t>12565 West Fairview Avenue</t>
        </is>
      </c>
      <c r="C11" s="77" t="inlineStr">
        <is>
          <t>275</t>
        </is>
      </c>
      <c r="D11" s="77" t="inlineStr">
        <is>
          <t>TBD</t>
        </is>
      </c>
      <c r="E11" s="37" t="inlineStr">
        <is>
          <t>proposed - stalled; pre-application only - silent since Apr 2025</t>
        </is>
      </c>
      <c r="F11" s="37" t="n"/>
      <c r="G11" s="37" t="inlineStr">
        <is>
          <t>DEEP-DIVE VERIFIED 7/16/2026 (all verdicts survived 3-lens adversarial check). Never verifiably advanced past pre-application/neighborhood-meeting stage (Apr 2025); no application, hearing, approval, or permit since — ~15 months of silence. Mar 2026 city permit report shows nothing at the address; absent from BoiseDev's Feb 2026 zoning-year recap of 2025 approvals. AutoNation still owner, site not re-listed. Bear-only shadow. Sits on land-use developable parcel S1109110516.</t>
        </is>
      </c>
      <c r="H11" s="37" t="inlineStr">
        <is>
          <t>https://boisedev.com/news/2025/04/23/boise-fairview-apartments/</t>
        </is>
      </c>
    </row>
    <row r="12">
      <c r="B12" s="37" t="inlineStr">
        <is>
          <t>12548 West Overland Road</t>
        </is>
      </c>
      <c r="C12" s="77" t="inlineStr">
        <is>
          <t>156</t>
        </is>
      </c>
      <c r="D12" s="77" t="inlineStr">
        <is>
          <t>TBD</t>
        </is>
      </c>
      <c r="E12" s="37" t="inlineStr">
        <is>
          <t>proposed - stalled; PUD likely lapsed ~Mar 2026 - RV storage still operating</t>
        </is>
      </c>
      <c r="F12" s="37" t="n"/>
      <c r="G12" s="37" t="inlineStr">
        <is>
          <t>DEEP-DIVE VERIFIED 7/16/2026 (all verdicts survived 3-lens adversarial check). Built-to-sell entitlement drifting toward dead: PUD approved 3/12/2024 and the site was listed on LoopNet THE SAME WEEK (3/4/2024); listing since pulled with no evidence of sale (Ada Cty roll still bare 5.4-ac commercial parcel, $2.66M). Boise PUD approvals lapse 24 months absent construction =&gt; likely expired ~Mar 2026; no permit through June 2026. Overland RV Storage still operating with active waiting lists (site live; Yelp updated Jun 2026). Bear-only.</t>
        </is>
      </c>
      <c r="H12" s="37" t="inlineStr">
        <is>
          <t>https://boisedev.com/news/2023/11/29/hook-trust-boise/</t>
        </is>
      </c>
    </row>
    <row r="13">
      <c r="B13" s="37" t="inlineStr">
        <is>
          <t>10975 West Lake Hazel Road</t>
        </is>
      </c>
      <c r="C13" s="77" t="n"/>
      <c r="D13" s="77" t="n"/>
      <c r="E13" s="37" t="inlineStr">
        <is>
          <t>exclude - unverifiable / likely misidentified</t>
        </is>
      </c>
      <c r="F13" s="37" t="n"/>
      <c r="G13" s="37" t="inlineStr">
        <is>
          <t>No development application found at this address (an 11.85-ac parcel with a 1994 single-family home per county records); the nearest real deal — PEG Companies' 118-unit proposal at Five Mile &amp; Lake Hazel — was denied twice by Ada County commissioners (2022 and May 2024). RealPage entry cannot be tied to any live project.</t>
        </is>
      </c>
      <c r="H13" s="37" t="inlineStr">
        <is>
          <t>https://boisedev.com/news/2024/05/22/southwest-boise-commercial/</t>
        </is>
      </c>
    </row>
    <row r="14">
      <c r="B14" s="37" t="inlineStr">
        <is>
          <t>Cole Road</t>
        </is>
      </c>
      <c r="C14" s="77" t="n"/>
      <c r="D14" s="77" t="n"/>
      <c r="E14" s="37" t="inlineStr">
        <is>
          <t>exclude - existing 1978-82 asset (76u Ridgeline Apartments); not new supply</t>
        </is>
      </c>
      <c r="F14" s="37" t="n"/>
      <c r="G14" s="37" t="inlineStr">
        <is>
          <t>709 N Cole Rd is the EXISTING 76-unit Ridgeline Apartments (built 1978-1982), marketed for sale by Berkadia — a misidentified pipeline entry; no evidence of any new 61-unit multifamily proposal or rezone at this address.</t>
        </is>
      </c>
      <c r="H14" s="37" t="inlineStr">
        <is>
          <t>https://properties.berkadia.com/cole-road-469858/</t>
        </is>
      </c>
    </row>
    <row r="15">
      <c r="B15" s="37" t="inlineStr">
        <is>
          <t>Villas at Twelve Oaks East</t>
        </is>
      </c>
      <c r="C15" s="77" t="n"/>
      <c r="D15" s="77" t="n"/>
      <c r="E15" s="37" t="inlineStr">
        <is>
          <t>exclude - likely duplicate of existing built Twelve Oaks community</t>
        </is>
      </c>
      <c r="F15" s="37" t="n"/>
      <c r="G15" s="37" t="inlineStr">
        <is>
          <t>Could not confirm a distinct 64-unit 'East' phase at 115 S Linder Rd; Meridian records show only ZV-2021-0055 'Twelve Oaks Apartments' and the existing CBH Twelve Oaks (~106u) is built and leasing — the RealPage entry likely duplicates or misidentifies it.</t>
        </is>
      </c>
      <c r="H15" s="37" t="inlineStr">
        <is>
          <t>https://weblink.meridiancity.org/WebLink/Browse.aspx?id=244917&amp;dbid=0&amp;repo=MeridianCity&amp;cr=1</t>
        </is>
      </c>
    </row>
    <row r="16">
      <c r="B16" s="37" t="inlineStr">
        <is>
          <t>Promenade Cottages I</t>
        </is>
      </c>
      <c r="C16" s="77" t="n"/>
      <c r="D16" s="77" t="n"/>
      <c r="E16" s="37" t="inlineStr">
        <is>
          <t>not multifamily - for-sale townhomes/cottages</t>
        </is>
      </c>
      <c r="F16" s="37" t="n"/>
      <c r="G16" s="37" t="inlineStr">
        <is>
          <t>Per BuildIdaho and a City of Meridian site plan, Promenade Cottages at the SE corner of Fairview Ave &amp; 3rd St (A-Team Consultants) is a 30-unit mix of FOR-SALE townhomes and single-family alley-load cottage homes — not a rental apartment community.</t>
        </is>
      </c>
      <c r="H16" s="37" t="inlineStr">
        <is>
          <t>https://www.buildidaho.com/meridian-homes-for-sale/promenade-cottages/</t>
        </is>
      </c>
    </row>
    <row r="17">
      <c r="B17" s="37" t="inlineStr">
        <is>
          <t>Meridian OZ Apartments</t>
        </is>
      </c>
      <c r="C17" s="77" t="inlineStr">
        <is>
          <t>36</t>
        </is>
      </c>
      <c r="D17" s="77" t="inlineStr">
        <is>
          <t>TBD</t>
        </is>
      </c>
      <c r="E17" s="37" t="inlineStr">
        <is>
          <t>proposed - stalled; downsized to 36u Oct 2024 - entitled site listed then off-market</t>
        </is>
      </c>
      <c r="F17" s="37" t="n"/>
      <c r="G17" s="37" t="inlineStr">
        <is>
          <t>DEEP-DIVE VERIFIED 7/16/2026 (all verdicts survived 3-lens adversarial check). 60u plan never built; entitlement MODIFIED DOWN to 36 units Oct 2024 (MCU-2024-0002, Pivot North; findings adopted 10/17/2024). Owner then listed the 2.39-ac site at $1.7M as a 'fully entitled' OZ development opportunity (IMLS 98949803); listing went PENDING, now off-market as of 7/16/2026 — sale closed or withdrawn, no new owner/permit surfaced; no building permit in Meridian reports. Sponsor Realm's other Meridian project was denied Nov 2024 (winding down). Bear-only at 36u, undated.</t>
        </is>
      </c>
      <c r="H17" s="37" t="inlineStr">
        <is>
          <t>https://boisedev.com/news/2023/01/23/meridian-oz-apartments/</t>
        </is>
      </c>
    </row>
    <row r="18">
      <c r="B18" s="37" t="inlineStr">
        <is>
          <t>Union 93</t>
        </is>
      </c>
      <c r="C18" s="77" t="n"/>
      <c r="D18" s="77" t="n"/>
      <c r="E18" s="37" t="inlineStr">
        <is>
          <t>dead - foreclosed &amp; sold at auction Oct 2025; superseded by Heritage Square</t>
        </is>
      </c>
      <c r="F18" s="37" t="n"/>
      <c r="G18" s="37" t="inlineStr">
        <is>
          <t>DEEP-DIVE VERIFIED 7/16/2026 (all verdicts survived 3-lens adversarial check). Union 93 is definitively dead: Galena's project stalled late 2022 under $20M+ contractor liens, went through foreclosure, and the property was SOLD at an Ada County Sheriff's auction Oct 2025 to Ahlquist (Gray Owl) + Pacific Companies. Dropped from the competitive set; the successor project is tracked as 'Heritage Square (ex-Union 93)' — ~250u, announced 7/13/2026.</t>
        </is>
      </c>
      <c r="H18" s="37" t="inlineStr">
        <is>
          <t>https://boisedev.com/news/2025/10/09/ahlquist-pacific-companies-union-93-meridian/</t>
        </is>
      </c>
    </row>
    <row r="19">
      <c r="B19" s="37" t="inlineStr">
        <is>
          <t>Victory Flats</t>
        </is>
      </c>
      <c r="C19" s="77" t="inlineStr">
        <is>
          <t>301</t>
        </is>
      </c>
      <c r="D19" s="77" t="inlineStr">
        <is>
          <t>TBD</t>
        </is>
      </c>
      <c r="E19" s="37" t="inlineStr">
        <is>
          <t>proposed - stalled; Jan 2024 start extension lapsed unbuilt</t>
        </is>
      </c>
      <c r="F19" s="37" t="n"/>
      <c r="G19" s="37" t="inlineStr">
        <is>
          <t>DEEP-DIVE VERIFIED 7/16/2026 (all verdicts survived 3-lens adversarial check). Approved Mar 2022; real permitting-stage effort followed (submittals, Idaho Power payments, ACHD/Veolia coordination) but Jan 2024 Welltower took a cost-driven TWO-YEAR extension to start construction — that window has now run out with no permit ever issued at 8373 W Victory Rd (city open-data through June 2026). BoiseDev tracker stale since Feb 2022; Welltower still owns. Bear-only; CoStar's Q3 2028 has no support.</t>
        </is>
      </c>
      <c r="H19" s="37" t="inlineStr">
        <is>
          <t>https://boisedev.com/news/2022/03/11/mix-of-hundreds-of-housing-units-approved-on-former-school-district-site-in-southwest-boise/</t>
        </is>
      </c>
    </row>
    <row r="20">
      <c r="B20" s="37" t="inlineStr">
        <is>
          <t>The Hummingbird</t>
        </is>
      </c>
      <c r="C20" s="77" t="n"/>
      <c r="D20" s="77" t="n"/>
      <c r="E20" s="37" t="inlineStr">
        <is>
          <t>dead - approval expired spring 2025</t>
        </is>
      </c>
      <c r="F20" s="37" t="n"/>
      <c r="G20" s="37" t="inlineStr">
        <is>
          <t>Approved 2023 at 170 units (reworked from ~200) on the Aquarium of Boise site at Franklin &amp; Cole (60 N Cole Rd); the two-year approval expired spring 2025 and the owner instead proposed an aquarium expansion on the site (Aug 2025) — CoStar's Q3 2028 delivery is not supported.</t>
        </is>
      </c>
      <c r="H20" s="37" t="inlineStr">
        <is>
          <t>https://boisedev.com/news/2025/08/18/aquarium-boise-expansion/</t>
        </is>
      </c>
    </row>
    <row r="21">
      <c r="B21" s="37" t="inlineStr">
        <is>
          <t>The Gateway at Ten Mile</t>
        </is>
      </c>
      <c r="C21" s="77" t="inlineStr">
        <is>
          <t>390</t>
        </is>
      </c>
      <c r="D21" s="77" t="inlineStr">
        <is>
          <t>TBD</t>
        </is>
      </c>
      <c r="E21" s="37" t="inlineStr">
        <is>
          <t>proposed - long-dated; residential 5-7 yrs out per developer</t>
        </is>
      </c>
      <c r="F21" s="37" t="n"/>
      <c r="G21" s="37" t="inlineStr">
        <is>
          <t>DEEP-DIVE VERIFIED 7/16/2026 (all verdicts survived 3-lens adversarial check). Entitlement live (H-2024-0010, Nov 2024) and the COMMERCIAL phase is being marketed (MJPCRE retail pad ground-lease campaign, Nov 2025) — but developer told council residential is 'at least five to seven years out' (~2030-2032) and no residential permits/plats exist through June 2026. IDENTITY WARNING: the June 2026 C-MULTI-2025-0023/24/25 permits at Franklin &amp; Ten Mile are OUTER BANKS (516u, SW corner) — do NOT attribute to Gateway. Bear-only; discard CoStar's Q4 2028.</t>
        </is>
      </c>
      <c r="H21" s="37" t="inlineStr">
        <is>
          <t>https://boisedev.com/news/2024/11/20/the-gateway-at-10-mile-meridian/</t>
        </is>
      </c>
    </row>
    <row r="22">
      <c r="B22" s="37" t="inlineStr">
        <is>
          <t>Ascent Overland</t>
        </is>
      </c>
      <c r="C22" s="77" t="inlineStr">
        <is>
          <t>138</t>
        </is>
      </c>
      <c r="D22" s="77" t="inlineStr">
        <is>
          <t>TBD</t>
        </is>
      </c>
      <c r="E22" s="37" t="inlineStr">
        <is>
          <t>proposed - stalled; entitled site for sale via CBRE at $5.0M</t>
        </is>
      </c>
      <c r="F22" s="37" t="n"/>
      <c r="G22" s="37" t="inlineStr">
        <is>
          <t>DEEP-DIVE VERIFIED 7/16/2026 (all verdicts survived 3-lens adversarial check). Approved 5-1 Nov 2023 (11880 W Overland Rd, ~3.5 ac); 2.5+ yrs later no permit, no groundbreaking, and MVRK's own projects page still says 'TBD' (checked 7/16/2026). The site is marketed FOR SALE as a 'fully entitled development opportunity' at $4,999,999 with CBRE (MLS 98945418) — sponsor exiting, not building. Feb 2025 ConstructConnect record still 'Design' stage. Bear-only; delivery depends on a hypothetical buyer.</t>
        </is>
      </c>
      <c r="H22" s="37" t="inlineStr">
        <is>
          <t>https://boisedev.com/news/2023/11/15/boise-city-council-approves-overland-road-apartment-project-over-some-neighborhood-opposition/</t>
        </is>
      </c>
    </row>
    <row r="23">
      <c r="B23" s="37" t="inlineStr">
        <is>
          <t>Fairview</t>
        </is>
      </c>
      <c r="C23" s="77" t="inlineStr">
        <is>
          <t>150</t>
        </is>
      </c>
      <c r="D23" s="77" t="n"/>
      <c r="E23" s="37" t="inlineStr">
        <is>
          <t>withdrawn - CUP H-2023-0001 withdrawn Jun 15 2023; site re-tenanted as RV dealership Apr 2024</t>
        </is>
      </c>
      <c r="F23" s="37" t="n"/>
      <c r="G23" s="37" t="inlineStr">
        <is>
          <t>DEEP-DIVE VERIFIED 7/16/2026 (all verdicts survived 3-lens adversarial check). DEAD: Biltmore/Pivot North's 150u CUP (H-2023-0001, 8.25 ac C-G at 1005 E Fairview) was WITHDRAWN by the applicant at the 6/15/2023 P&amp;Z hearing before any vote. The 20k sf ex-dealership building was marketed for retail lease Jan 2024 and the city issued occupancy permit C-CO-2024-0029 on 4/10/2024 to Uncharted Recreation (RV/golf-cart dealership), still operating mid-2026. Biltmore's 'coming soon' page is a stale placeholder. Dropped; C-G zoning would allow a future resubmittal — shadow footnote only.</t>
        </is>
      </c>
      <c r="H23" s="37" t="inlineStr">
        <is>
          <t>https://boisedev.com/news/2023/01/11/fairview-apartments-meridian/</t>
        </is>
      </c>
    </row>
    <row r="24">
      <c r="B24" s="37" t="inlineStr">
        <is>
          <t>Promenade Cottages II</t>
        </is>
      </c>
      <c r="C24" s="77" t="n"/>
      <c r="D24" s="77" t="n"/>
      <c r="E24" s="37" t="inlineStr">
        <is>
          <t>not multifamily - for-sale townhomes/cottages (same community as Phase I)</t>
        </is>
      </c>
      <c r="F24" s="37" t="n"/>
      <c r="G24" s="37" t="inlineStr">
        <is>
          <t>Phase II of the Promenade Cottages for-sale townhome/cottage community at Fairview &amp; 3rd (A-Team Consultants) — same for-sale product as Phase I; not rental apartment supply.</t>
        </is>
      </c>
      <c r="H24" s="37" t="inlineStr">
        <is>
          <t>https://www.buildidaho.com/meridian-homes-for-sale/promenade-cottages/</t>
        </is>
      </c>
    </row>
    <row r="25">
      <c r="B25" s="37" t="inlineStr">
        <is>
          <t>The Judy (Maple Grove &amp; Overland)</t>
        </is>
      </c>
      <c r="C25" s="77" t="inlineStr">
        <is>
          <t>162</t>
        </is>
      </c>
      <c r="D25" s="77" t="inlineStr">
        <is>
          <t>Q1 2028</t>
        </is>
      </c>
      <c r="E25" s="37" t="inlineStr">
        <is>
          <t>proposed - equity raise underway; construction targeted Q3 2026</t>
        </is>
      </c>
      <c r="F25" s="37" t="n"/>
      <c r="G25" s="37" t="inlineStr">
        <is>
          <t>DEEP-DIVE VERIFIED 7/16/2026 (all verdicts survived 3-lens adversarial check). Fully entitled (council Sep 2024; DRH24-00090 refined 174→162u per city Aug 2025 Development Trends). Hawkins closed land Oct 2024, CDs complete Apr 2026, live $12.4M LP equity raise targeting Q3 2026 start. OM schedule: building permit ESTIMATED TO ISSUE ~7/21/2026; first CofO Aug 2027, last Apr 2028; 20u/mo lease-up =&gt; ~Q1 2028 first meaningful units. No permit in city lists through 6/30/2026 — stays PROPOSED. RE-CHECK Aug-Sep 2026: likely UC promotion if the raise closes. Capitalization is the timing risk. Land-use site 177 / parcel S1124223215 — conditional R-2 path being exercised.</t>
        </is>
      </c>
      <c r="H25" s="37" t="inlineStr">
        <is>
          <t>Hawkins Capital Markets OM — research/oms/Maple_Grove_Overland_Equity_Hawkins_OM.pdf</t>
        </is>
      </c>
    </row>
    <row r="26">
      <c r="B26" s="37" t="inlineStr">
        <is>
          <t>Rolling Hill (Assemble Management)</t>
        </is>
      </c>
      <c r="C26" s="77" t="inlineStr">
        <is>
          <t>200</t>
        </is>
      </c>
      <c r="D26" s="77" t="inlineStr">
        <is>
          <t>Q1 2029</t>
        </is>
      </c>
      <c r="E26" s="37" t="inlineStr">
        <is>
          <t>proposed</t>
        </is>
      </c>
      <c r="F26" s="37" t="n"/>
      <c r="G26" s="37" t="inlineStr">
        <is>
          <t>DEEP-DIVE VERIFIED 7/16/2026 (all verdicts survived 3-lens adversarial check). Annexation + rezone + DA approved 5-1 on 5/19/2026 (200u over ~19.5-20k sf commercial, four 3-story bldgs; up from the 184u resubmittal after the 2024 denial). DA recording + CZC/design review still ahead of permits =&gt; vertical realistically late 2026 at earliest, first units unlikely before late 2028 (~Q1 2029). Old LoopNet land listing inactive (assemblage complete); 7 of 10 adjacent owners gave letters of intent to sell. Keep PROPOSED — live pipeline.</t>
        </is>
      </c>
      <c r="H26" s="37" t="inlineStr">
        <is>
          <t>https://boisedev.com/news/2026/05/20/ready-for-its-next-phase-meridian-approves-project-bringing-something-new-to-overland-rd/</t>
        </is>
      </c>
    </row>
    <row r="27">
      <c r="B27" s="37" t="inlineStr">
        <is>
          <t>Pine 43 Multifamily (Pine &amp; Webb)</t>
        </is>
      </c>
      <c r="C27" s="77" t="inlineStr">
        <is>
          <t>270</t>
        </is>
      </c>
      <c r="D27" s="77" t="n"/>
      <c r="E27" s="37" t="inlineStr">
        <is>
          <t>proposed</t>
        </is>
      </c>
      <c r="F27" s="37" t="n"/>
      <c r="G27" s="37" t="inlineStr">
        <is>
          <t>DEEP-DIVE VERIFIED 7/16/2026 (all verdicts survived 3-lens adversarial check). CUP H-2024-0071 live (approved 10/21/2025; commencement clock to ~Oct 2027); no appeal, foreclosure, or listing. DRB Investments says no groundbreak before 2027, townhomes first, ~$1B/900+u build-out phased 10-12 yrs. Only 2026 Pine 43 permits are SF/townhome + a monument sign — no MF permit through June 2026. Keep PROPOSED, undated; earliest plausible MF delivery ~2029. Distinct from the existing 25u 'Pine 43' comp. | AUG 2026 AUDIT: the SAME approved MDA (H-2024-0071, council 10/21/2025 4-1) also allows up to 604 vertically-integrated units + 30 TH beyond this 270u CUP — see shadow row "Pine 43 VI residential".</t>
        </is>
      </c>
      <c r="H27" s="37" t="inlineStr">
        <is>
          <t>https://boisedev.com/news/2025/10/22/large-urban-project-gets-green-light-from-meridian-city-council/</t>
        </is>
      </c>
    </row>
    <row r="28">
      <c r="B28" s="37" t="inlineStr">
        <is>
          <t>Dorado Station</t>
        </is>
      </c>
      <c r="C28" s="77" t="inlineStr">
        <is>
          <t>212</t>
        </is>
      </c>
      <c r="D28" s="77" t="inlineStr">
        <is>
          <t>Q3 2027</t>
        </is>
      </c>
      <c r="E28" s="37" t="inlineStr">
        <is>
          <t>under construction</t>
        </is>
      </c>
      <c r="F28" s="37" t="n"/>
      <c r="G28" s="37" t="inlineStr">
        <is>
          <t>AUDIT FIND: J. Fisher Companies 6-story, 100% income-restricted (50-80% AMI, incl. 21 Our Path Home units), $70M, broke ground Oct 2025 at 1500 N Eldorado St (west Boise bench) — 4.9 mi from subject, just inside the ring. Delivery targeted summer 2027. Affordable positioning limits direct rent competition but adds ring supply. Classic CoStar/RealPage-invisible affordable deal.</t>
        </is>
      </c>
      <c r="H28" s="37" t="inlineStr">
        <is>
          <t>https://www.cityofboise.org/news/planning-and-development-services/2025/october/dorado-station-apartments-celebrate-groundbreaking/</t>
        </is>
      </c>
    </row>
    <row r="29">
      <c r="B29" s="37" t="inlineStr">
        <is>
          <t>Summertown (remaining phases)</t>
        </is>
      </c>
      <c r="C29" s="77" t="inlineStr">
        <is>
          <t>72</t>
        </is>
      </c>
      <c r="D29" s="77" t="inlineStr">
        <is>
          <t>Q3 2027</t>
        </is>
      </c>
      <c r="E29" s="37" t="inlineStr">
        <is>
          <t>under construction</t>
        </is>
      </c>
      <c r="F29" s="37" t="n"/>
      <c r="G29" s="37" t="inlineStr">
        <is>
          <t>AUDIT FIND: Shannon Robnett Industries' 191-unit phased garden/rowhouse community at Ustick &amp; Venable (~3.5 mi); early buildings already leasing but THREE new 24-plex permits issued June 2026 (C-MULTI-2025-0016/-0022/-0023, incl. 3005 N Ridgebury Ln) = 72 units of fresh supply. Not in CoStar/RealPage; verify delivered-vs-remaining split against next vendor pull.</t>
        </is>
      </c>
      <c r="H29" s="37" t="inlineStr">
        <is>
          <t>https://meridiancity.org/media/f5alu5zs/bldgmonthlypermits.pdf</t>
        </is>
      </c>
    </row>
    <row r="30">
      <c r="B30" s="37" t="inlineStr">
        <is>
          <t>Heritage Square (ex-Union 93)</t>
        </is>
      </c>
      <c r="C30" s="77" t="inlineStr">
        <is>
          <t>250</t>
        </is>
      </c>
      <c r="D30" s="77" t="inlineStr">
        <is>
          <t>Q1 2029</t>
        </is>
      </c>
      <c r="E30" s="37" t="inlineStr">
        <is>
          <t>proposed - announced Jul 13 2026; Union 93 skeleton repurposed</t>
        </is>
      </c>
      <c r="F30" s="37" t="n"/>
      <c r="G30" s="37" t="inlineStr">
        <is>
          <t>DEEP-DIVE VERIFIED 7/16/2026 (all verdicts survived 3-lens adversarial check). Tommy Ahlquist (Gray Owl Holdings) + The Pacific Companies bought the failed Union 93 block at the Ada County Sheriff's foreclosure auction Oct 2025 and on 7/13/2026 announced Heritage Square: the existing concrete skeleton repurposed into TWO residential towers totaling ~250 units + 120k sf Class A office + 32k sf retail (Babcock Design; McAlvain GC). Owners hope to start late 2026/early 2027, 20-24 mo buildout =&gt; ~Q1 2029. No permits issued yet — PROPOSED. Replaces the dead Union 93 row (dropped; see its diligence entry).</t>
        </is>
      </c>
      <c r="H30" s="37" t="inlineStr">
        <is>
          <t>https://boisedev.com/news/2026/07/13/union-93-heritage-square-meridian-ahlquist-pacific-companies/</t>
        </is>
      </c>
    </row>
    <row r="31"/>
    <row r="32">
      <c r="B32" s="37" t="inlineStr">
        <is>
          <t>Outer Banks Apartments</t>
        </is>
      </c>
      <c r="C32" s="87" t="n"/>
      <c r="D32" s="87" t="n"/>
      <c r="E32" s="87" t="n"/>
      <c r="F32" s="87" t="n"/>
      <c r="G32" s="87" t="n"/>
      <c r="H32" s="88" t="n"/>
    </row>
    <row r="33">
      <c r="B33" s="37" t="inlineStr">
        <is>
          <t>Overland &amp; Wells II / "Seasons at Meridian II" (2600 E Overland)</t>
        </is>
      </c>
      <c r="C33" s="77" t="n">
        <v>345</v>
      </c>
      <c r="D33" s="77" t="inlineStr"/>
      <c r="E33" s="37" t="inlineStr">
        <is>
          <t>DEAD - DENIED by City Council 10/25/2022; findings adopted 11/9/2022; no re-application through Aug 2026</t>
        </is>
      </c>
      <c r="F33" s="37" t="n"/>
      <c r="G33" s="37" t="inlineStr">
        <is>
          <t>AUG 2026 AUDIT (the blind-spot find): Morgan Stonehill's marketed 351u Phase II next door to the subject (345u at hearing; H-2022-0030 MDA+CUP, owner WinCo Foods). P&amp;Z rec. denial 3-1 (traffic; original approval was retail); council denied both requests — employment-land loss, failing Overland/Eagle intersections, MF over-concentration next to Phase 1. No CUP ever issued → no TEC possible. WinCo lot-split the 18 ac Feb 2025 along future Cinema Dr; marketed since Jan 2024 (Colliers) as big-box/pad retail ground leases. ~5% de-novo revival; earliest delivery ~2030 if ever. Denial precedent SHIELDS the subject's node.</t>
        </is>
      </c>
      <c r="H33" s="37" t="inlineStr">
        <is>
          <t>https://meetings.municode.com/adaHtmlDocument/index?cc=MERIDIANID&amp;me=3aa003edf07646dc9cbd1598e8b33e22&amp;ip=true</t>
        </is>
      </c>
    </row>
    <row r="34">
      <c r="B34" s="37" t="inlineStr">
        <is>
          <t>Emblem Meridian (Quarterra)</t>
        </is>
      </c>
      <c r="C34" s="77" t="n">
        <v>250</v>
      </c>
      <c r="D34" s="77" t="inlineStr">
        <is>
          <t>TBD</t>
        </is>
      </c>
      <c r="E34" s="37" t="inlineStr">
        <is>
          <t>proposed - formal early plans filed June 2026</t>
        </is>
      </c>
      <c r="F34" s="37" t="n"/>
      <c r="G34" s="37" t="inlineStr">
        <is>
          <t>PROMOTED from shadow watch Aug 2026 (user call: it is a live proposal). Quarterra "Emblem Meridian" 250 units (apartments + TH) on ~13 ac R-15, N of Eagle &amp; Victory — ex-Artisan Victory Market site (H-2022-0066 131u BTR approved 2023, never built). Formal early plans filed June 2026 per BoiseDev 6/10/26; no hearing date yet. Nearest live MF application to the subject (1.0 mi, same Eagle Rd corridor).</t>
        </is>
      </c>
      <c r="H34" s="37" t="inlineStr">
        <is>
          <t>https://boisedev.com/news/2026/06/10/meridian-emblem-victory-eagle-homes-apartment/</t>
        </is>
      </c>
    </row>
    <row r="35">
      <c r="B35" s="86" t="inlineStr">
        <is>
          <t>SHADOW SUPPLY (latent / untracked — watch list)</t>
        </is>
      </c>
    </row>
    <row r="36">
      <c r="B36" s="44" t="inlineStr">
        <is>
          <t>Property / Site</t>
        </is>
      </c>
      <c r="C36" s="44" t="inlineStr">
        <is>
          <t>Units</t>
        </is>
      </c>
      <c r="D36" s="44" t="inlineStr">
        <is>
          <t>Est. Delivery</t>
        </is>
      </c>
      <c r="E36" s="44" t="inlineStr">
        <is>
          <t>Status</t>
        </is>
      </c>
      <c r="F36" s="44" t="inlineStr">
        <is>
          <t>Leasing Pace</t>
        </is>
      </c>
      <c r="G36" s="44" t="inlineStr">
        <is>
          <t>Notes</t>
        </is>
      </c>
      <c r="H36" s="44" t="inlineStr">
        <is>
          <t>Source</t>
        </is>
      </c>
    </row>
    <row r="37">
      <c r="B37" s="37" t="inlineStr">
        <is>
          <t>Emblem Meridian (Quarterra) / Artisan Victory Market site</t>
        </is>
      </c>
      <c r="C37" s="77" t="inlineStr">
        <is>
          <t>250</t>
        </is>
      </c>
      <c r="D37" s="77" t="n"/>
      <c r="E37" s="37" t="n"/>
      <c r="F37" s="37" t="n"/>
      <c r="G37" s="37" t="inlineStr">
        <is>
          <t>PROMOTED Aug 2026 to pipeline row #44 (250u) — kept here for history. Land-use analysis site SM-76: ~12-ac BPS Eagle Road LLC assemblage on S Eagle Rd. 'Artisan Victory Market' (H-2022-0066) approved 2023 for 131 build-to-rent units + commercial but never built; superseded by Quarterra's 'Emblem Meridian' ~250-unit concept (pre-application June 2026). Closest large latent MF site to the subject (~1 mi). | AUG 2026 AUDIT: formal early plans FILED June 2026 — 250 units (apts+TH) on ~13 ac (BoiseDev 6/10/26). Nearest live MF application to the subject (1.0 mi).</t>
        </is>
      </c>
      <c r="H37" s="37" t="inlineStr">
        <is>
          <t>https://boisedev.com/news/2026/06/10/meridian-emblem-victory-eagle-homes-apartment/</t>
        </is>
      </c>
    </row>
    <row r="38">
      <c r="B38" s="37" t="inlineStr">
        <is>
          <t>Tanner Creek apartments (Waltman/Johnson Ln)</t>
        </is>
      </c>
      <c r="C38" s="77" t="inlineStr">
        <is>
          <t>280</t>
        </is>
      </c>
      <c r="D38" s="77" t="n"/>
      <c r="E38" s="37" t="n"/>
      <c r="F38" s="37" t="n"/>
      <c r="G38" s="37" t="inlineStr">
        <is>
          <t>Land-use analysis site SM-15: Tanner Creek (heard Nov 2023; moved forward) — 83 SF homes + 45 townhomes + 280 phased apartments on ~38 ac, paired with ~30-ac Hawkins commercial between I-84 and Waltman Ln. Residential now being built by CBH Homes; the 280-unit apartment component is latent supply not yet in the CoStar/RealPage pipeline.</t>
        </is>
      </c>
      <c r="H38" s="37" t="inlineStr">
        <is>
          <t>https://boisedev.com/news/2023/11/28/plans-for-two-large-developments-off-i-84-and-meridian-rd-move-forward/</t>
        </is>
      </c>
    </row>
    <row r="39">
      <c r="B39" s="37" t="inlineStr">
        <is>
          <t>Graycliff Estates R-40 block</t>
        </is>
      </c>
      <c r="C39" s="77" t="inlineStr">
        <is>
          <t>224</t>
        </is>
      </c>
      <c r="D39" s="77" t="n"/>
      <c r="E39" s="37" t="n"/>
      <c r="F39" s="37" t="n"/>
      <c r="G39" s="37" t="inlineStr">
        <is>
          <t>Land-use analysis site SM-3: Graycliff Estates (Star Development) approved preliminary plat of ~200 SF homes PLUS 224 apartments (R-40 high-density block) on ~52 ac; SF portion building since 2021. The 224-unit apartment block remains unbuilt latent supply. | AUG 2026 AUDIT: confirmed still unbuilt; no 2026 hearing/permit activity found.</t>
        </is>
      </c>
      <c r="H39" s="37" t="inlineStr">
        <is>
          <t>https://www.weknowboise.com/graycliff-estates.php</t>
        </is>
      </c>
    </row>
    <row r="40">
      <c r="B40" s="37" t="inlineStr">
        <is>
          <t>Touchmark Meadow Lake Village expansion</t>
        </is>
      </c>
      <c r="C40" s="77" t="n"/>
      <c r="D40" s="77" t="n"/>
      <c r="E40" s="37" t="n"/>
      <c r="F40" s="37" t="n"/>
      <c r="G40" s="37" t="inlineStr">
        <is>
          <t>Land-use analysis site SM-9: ~64 undeveloped ac of Touchmark's ~121-ac senior community. July 2025 development-modification agreement + rezone + PUD in progress to a broader 'Touchmark Mixed Use' (mixed housing types). Senior-oriented, but adds rental housing capacity 1.5 mi from subject.</t>
        </is>
      </c>
      <c r="H40" s="37" t="inlineStr">
        <is>
          <t>https://boisedev.com/news/2025/07/14/touchmark-meridian-meadowlake-mixed-use/</t>
        </is>
      </c>
    </row>
    <row r="41">
      <c r="B41" s="37" t="inlineStr">
        <is>
          <t>Ten Mile Crossing residual HDR parcels</t>
        </is>
      </c>
      <c r="C41" s="77" t="n"/>
      <c r="D41" s="77" t="n"/>
      <c r="E41" s="37" t="n"/>
      <c r="F41" s="37" t="n"/>
      <c r="G41" s="37" t="inlineStr">
        <is>
          <t>Land-use analysis site SM-4: residential portion (R-15/R-8) of Brighton's Ten Mile Crossing at SW Overland &amp; Ten Mile — partially built (Cortland South Meridian + CBH SF); remaining High-Density Residential parcels planned/dormant, including an 8.6-ac and a 14.4-ac R-15 vacant parcel (highest-interest sites in the land-use ranking). Note: South Ridge II (164u UC, tracked in the chart) is rising in this same corridor.</t>
        </is>
      </c>
      <c r="H41" s="37" t="inlineStr">
        <is>
          <t>https://www.brighton.co/brighton-place/ten-mile-crossing/</t>
        </is>
      </c>
    </row>
    <row r="42">
      <c r="B42" s="37" t="inlineStr">
        <is>
          <t>Brighton Apex R-15 parcel (Lake Hazel)</t>
        </is>
      </c>
      <c r="C42" s="77" t="n"/>
      <c r="D42" s="77" t="n"/>
      <c r="E42" s="37" t="n"/>
      <c r="F42" s="37" t="n"/>
      <c r="G42" s="37" t="inlineStr">
        <is>
          <t>Land-use analysis site SM-61: 15.1-ac R-15 (med-high-density) parcel on E Lake Hazel Rd inside Brighton's approved Apex/Pinnacle master-plan footprint; adjacent phases actively building. Latent MF-capable ground in the fast-growing S Meridian corridor.</t>
        </is>
      </c>
      <c r="H42" s="37" t="inlineStr">
        <is>
          <t>https://boisedev.com/news/2024/12/20/brighton-pinnacle-costco-meridian/</t>
        </is>
      </c>
    </row>
    <row r="43">
      <c r="B43" s="37" t="inlineStr">
        <is>
          <t>Outer Banks Subdivision (TM Creek / Cobalt Dr)</t>
        </is>
      </c>
      <c r="C43" s="77" t="n"/>
      <c r="D43" s="77" t="n"/>
      <c r="E43" s="37" t="n"/>
      <c r="F43" s="37" t="n"/>
      <c r="G43" s="37" t="inlineStr">
        <is>
          <t xml:space="preserve">PROMOTED Aug 2026 to pipeline row #33 "Outer Banks Apartments" (516u, groundbreaking expected 2026) — kept here for history. </t>
        </is>
      </c>
      <c r="H43" s="37" t="inlineStr">
        <is>
          <t>https://boisedev.com/news/2021/12/17/outer-banks-pera-place/</t>
        </is>
      </c>
    </row>
    <row r="44">
      <c r="B44" s="37" t="inlineStr">
        <is>
          <t>Grandview Communities (Lake Hazel &amp; Linder)</t>
        </is>
      </c>
      <c r="C44" s="77" t="inlineStr">
        <is>
          <t>130</t>
        </is>
      </c>
      <c r="D44" s="77" t="n"/>
      <c r="E44" s="37" t="n"/>
      <c r="F44" s="37" t="n"/>
      <c r="G44" s="37" t="inlineStr">
        <is>
          <t>AUDIT WATCH: 79-ac pre-application (July 2025) at NE corner Lake Hazel &amp; Linder — ~510 homes incl. ~130 apartments + 176 TH/cluster; no formal H-file or hearing yet; sits near the southern ring edge (~4.5 mi).</t>
        </is>
      </c>
      <c r="H44" s="37" t="inlineStr">
        <is>
          <t>https://boisedev.com/news/2025/07/07/hundreds-of-homes-apartments-planned-for-lake-hazel-and-linder/</t>
        </is>
      </c>
    </row>
    <row r="45">
      <c r="B45" s="37" t="inlineStr">
        <is>
          <t>Discovery project (Lake Hazel &amp; Locust Grove)</t>
        </is>
      </c>
      <c r="C45" s="77" t="inlineStr">
        <is>
          <t>200</t>
        </is>
      </c>
      <c r="D45" s="77" t="n"/>
      <c r="E45" s="37" t="n"/>
      <c r="F45" s="37" t="n"/>
      <c r="G45" s="37" t="inlineStr">
        <is>
          <t>AUDIT WATCH: April 2024 pre-application for 200+ units (nine 3-story buildings + TH/SFR) on ~20 ac by Discovery Park; no formal application since — dormant but the land is teed up (~3.5 mi).</t>
        </is>
      </c>
      <c r="H45" s="37" t="inlineStr">
        <is>
          <t>https://boisedev.com/news/2024/04/12/200-apartments-meridian-discovery/</t>
        </is>
      </c>
    </row>
    <row r="46">
      <c r="B46" s="37" t="inlineStr">
        <is>
          <t>709 N Cole Rd (city land trust)</t>
        </is>
      </c>
      <c r="C46" s="77" t="n"/>
      <c r="D46" s="77" t="n"/>
      <c r="E46" s="37" t="n"/>
      <c r="F46" s="37" t="n"/>
      <c r="G46" s="37" t="inlineStr">
        <is>
          <t>AUDIT WATCH: City of Boise closing (July 2026) on 1.64 ac by Boise Towne Square for future affordable housing (prior owner proposed 71 micro-units in 2021); no developer or program yet — 2029+ speculative. Same parcel as the excluded 'Cole Road' RealPage entry.</t>
        </is>
      </c>
      <c r="H46" s="37" t="inlineStr">
        <is>
          <t>https://boisedev.com/news/2026/06/01/709-cole-boise/</t>
        </is>
      </c>
    </row>
    <row r="47">
      <c r="B47" s="37" t="inlineStr">
        <is>
          <t>Aren east phase (verify)</t>
        </is>
      </c>
      <c r="C47" s="77" t="n"/>
      <c r="D47" s="77" t="n"/>
      <c r="E47" s="37" t="n"/>
      <c r="F47" s="37" t="n"/>
      <c r="G47" s="37" t="inlineStr">
        <is>
          <t>AUDIT WATCH: The Aren (396u, delivered 2024) was planned as two phases at Eagle View Landing; verify whether the east-phase (~200u) buildings are fully delivered within the tracked 396 or represent additional untracked pipeline.</t>
        </is>
      </c>
      <c r="H47" s="37" t="inlineStr">
        <is>
          <t>https://arenmeridian.com/</t>
        </is>
      </c>
    </row>
    <row r="48">
      <c r="B48" s="37" t="inlineStr">
        <is>
          <t>Murio Farms MF phases (SW Boise)</t>
        </is>
      </c>
      <c r="C48" s="77" t="n"/>
      <c r="D48" s="77" t="n"/>
      <c r="E48" s="37" t="n"/>
      <c r="F48" s="37" t="n"/>
      <c r="G48" s="37" t="inlineStr">
        <is>
          <t>AUDIT WATCH: 380-ac, 3,500-home master plan approved 2024 between Maple Grove &amp; Cole at the New York Canal; apartments in later phases (15-20 yr buildout) — long-dated only.</t>
        </is>
      </c>
      <c r="H48" s="37" t="inlineStr">
        <is>
          <t>https://www.ktvb.com/article/news/local/idaho-press/city-council-approves-murio-farms-3500-homes-southwest-boise/277-eb746dad-15bb-4c8e-868d-ca9d6c1e355e</t>
        </is>
      </c>
    </row>
    <row r="49">
      <c r="B49" s="37" t="inlineStr">
        <is>
          <t>Pine 43 VI residential (same MDA as the 270u CUP)</t>
        </is>
      </c>
      <c r="C49" s="77" t="n">
        <v>604</v>
      </c>
      <c r="D49" s="77" t="n"/>
      <c r="E49" s="37" t="n"/>
      <c r="F49" s="37" t="n"/>
      <c r="G49" s="37" t="inlineStr">
        <is>
          <t>AUG 2026 AUDIT: H-2024-0071 (approved 10/21/2025) also allows up to 604 vertically-integrated units over ground-floor commercial (87-ft height exception) + 30 TH — up to 904 total units in the Pine 43 revamp (~$1B, 10-12 yr buildout, ~1.8 mi). Legacy-name filing; in nobody's pipeline count.</t>
        </is>
      </c>
      <c r="H49" s="37" t="inlineStr">
        <is>
          <t>https://boisedev.com/news/2025/10/22/large-urban-project-gets-green-light-from-meridian-city-council/</t>
        </is>
      </c>
    </row>
    <row r="50">
      <c r="B50" s="37" t="inlineStr">
        <is>
          <t>The District at Ten Mile (BVA + CenterCal principals)</t>
        </is>
      </c>
      <c r="C50" s="77" t="n">
        <v>1800</v>
      </c>
      <c r="D50" s="77" t="n"/>
      <c r="E50" s="37" t="n"/>
      <c r="F50" s="37" t="n"/>
      <c r="G50" s="37" t="inlineStr">
        <is>
          <t>AUG 2026 AUDIT: 222-ac master plan NW quadrant I-84 &amp; Ten Mile broke ground May 2026 (Target, Life Time, hotels); ~1,800 residential units incl. up to 400 TH with vertical from ~June 2026. Rental MF phases unbranded/uncounted in any feed (~3.3 mi).</t>
        </is>
      </c>
      <c r="H50" s="37" t="inlineStr">
        <is>
          <t>https://idahobusinessreview.com/2026/06/22/district-at-ten-mile-meridian-development/</t>
        </is>
      </c>
    </row>
    <row r="51">
      <c r="B51" s="37" t="inlineStr">
        <is>
          <t>Modern Craftsman Franklin (Baron BTR, Franklin &amp; Black Cat)</t>
        </is>
      </c>
      <c r="C51" s="77" t="n">
        <v>122</v>
      </c>
      <c r="D51" s="77" t="n"/>
      <c r="E51" s="37" t="n"/>
      <c r="F51" s="37" t="n"/>
      <c r="G51" s="37" t="inlineStr">
        <is>
          <t>AUG 2026 AUDIT: 122 BTR dwellings (SFR/duplex/6-plex) filed 2023 (annexation+CUP+plat); post-2023 status UNVERIFIED — name collides with built Modern Craftsman Ten Mile. Verify with Meridian planning before counting (~4.0 mi).</t>
        </is>
      </c>
      <c r="H51" s="37" t="inlineStr">
        <is>
          <t>https://boisedev.com/news/2023/02/17/modern-craftsman-subdivision/</t>
        </is>
      </c>
    </row>
    <row r="52">
      <c r="B52" s="37" t="inlineStr">
        <is>
          <t>Kleiner Trust field (Fairview &amp; Eagle, 71.8 ac C-G)</t>
        </is>
      </c>
      <c r="C52" s="77" t="n"/>
      <c r="D52" s="77" t="n"/>
      <c r="E52" s="37" t="n"/>
      <c r="F52" s="37" t="n"/>
      <c r="G52" s="37" t="inlineStr">
        <is>
          <t>AUG 2026 AUDIT: Two ag-exempt parcels (3000 E Fairview 36.6 ac + N Eagle Rd 35.2 ac) = the ~72.5-ac Julius Kleiner family trust field. No applications, not listed, held for decades; CenterCal dropped 549 apartments at the adjacent Village expansion for lack of demand. Biggest long-term optionality in the ring; zero current motion (~2.0-2.3 mi).</t>
        </is>
      </c>
      <c r="H52" s="37" t="inlineStr">
        <is>
          <t>https://boisedev.com/news/2022/09/20/kleiner-eagle-fairview/</t>
        </is>
      </c>
    </row>
    <row r="53">
      <c r="B53" s="37" t="inlineStr">
        <is>
          <t>1780 E Overland Rd (5.4 ac ag-exempt C-G)</t>
        </is>
      </c>
      <c r="C53" s="77" t="n"/>
      <c r="D53" s="77" t="n"/>
      <c r="E53" s="37" t="n"/>
      <c r="F53" s="37" t="n"/>
      <c r="G53" s="37" t="inlineStr">
        <is>
          <t>AUG 2026 AUDIT: Idle freeway-visible C-G 0.6 mi W of subject; no application, no listing, owner unverified. On a corridor where C-G→MF CUPs keep passing (Rolling Hill 200u approved 5/19/26). Nearest genuinely convertible dirt after the WinCo denial.</t>
        </is>
      </c>
      <c r="H53" s="37" t="inlineStr"/>
    </row>
    <row r="54">
      <c r="B54" s="37" t="inlineStr">
        <is>
          <t>1450 E Franklin Rd (12.8 ac ag-exempt C-G)</t>
        </is>
      </c>
      <c r="C54" s="77" t="n"/>
      <c r="D54" s="77" t="n"/>
      <c r="E54" s="37" t="n"/>
      <c r="F54" s="37" t="n"/>
      <c r="G54" s="37" t="inlineStr">
        <is>
          <t>AUG 2026 AUDIT: Was on LoopNet ("Northeast Meridian Land"), now delisted; no application (1.2 mi). Stalled 36u OZ project across the street signals weak small-MF economics.</t>
        </is>
      </c>
      <c r="H54" s="37" t="inlineStr"/>
    </row>
    <row r="55">
      <c r="B55" s="37" t="inlineStr">
        <is>
          <t>Latitude Forty Three (675/715/955 S Wells St — benign marker)</t>
        </is>
      </c>
      <c r="C55" s="77" t="n"/>
      <c r="D55" s="77" t="n"/>
      <c r="E55" s="37" t="n"/>
      <c r="F55" s="37" t="n"/>
      <c r="G55" s="37" t="inlineStr">
        <is>
          <t>AUG 2026 AUDIT: H-2024-0059: 79 detached FOR-SALE homes + 1 C-N pad on the Magic View enclave 0.3 mi N. P&amp;Z rec. approval 6-0 (4/3/25); council continued repeatedly pending ITD TIA (latest 4/7/26). NOT multifamily — extinguishes the enclave's prior senior/MF potential. Logged so the closest-in application is on the map.</t>
        </is>
      </c>
      <c r="H55" s="37" t="inlineStr"/>
    </row>
  </sheetData>
  <mergeCells count="2">
    <mergeCell ref="B32:H32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2026-07-16T11:58:48Z</dcterms:created>
  <dcterms:modified xsi:type="dcterms:W3CDTF">2026-08-14T16:40:34Z</dcterms:modified>
  <cp:lastModifiedBy>Richard Ritter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0x01010055F5894668395F49B017619C734C79A0</vt:lpwstr>
  </property>
</Properties>
</file>