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horizontal="center" wrapText="1"/>
    </xf>
    <xf numFmtId="9" fontId="0" fillId="0" borderId="0" applyAlignment="1" pivotButton="0" quotePrefix="0" xfId="0">
      <alignment horizontal="center"/>
    </xf>
    <xf numFmtId="0" fontId="4" fillId="8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30" customWidth="1" style="79" min="8" max="8"/>
    <col width="11" customWidth="1" style="79" min="9" max="9"/>
    <col width="14" customWidth="1" style="79" min="10" max="10"/>
    <col width="62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  <c r="L4" s="89" t="inlineStr">
        <is>
          <t>P(deliver by YE2031)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99%; inside Pine 43 master plan — distinct from proposed 270u CUP (#43)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8"/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5"/>
    <row r="36">
      <c r="B36" s="16" t="n"/>
      <c r="C36" s="81" t="inlineStr">
        <is>
          <t>UNDER CONSTRUCTION (5 properties, 1,177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91" t="inlineStr">
        <is>
          <t>—</t>
        </is>
      </c>
      <c r="I37" s="22" t="n">
        <v>3.1</v>
      </c>
      <c r="J37" s="17" t="inlineStr">
        <is>
          <t>Garden</t>
        </is>
      </c>
      <c r="K37" s="91" t="inlineStr">
        <is>
          <t>Phase II of the delivered South Ridge I (476u, 2022) at the same Grand Fork Way site.</t>
        </is>
      </c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91" t="inlineStr">
        <is>
          <t>J. Fisher Companies</t>
        </is>
      </c>
      <c r="I38" s="22" t="n">
        <v>4.9</v>
      </c>
      <c r="J38" s="17" t="n"/>
      <c r="K38" s="91" t="inlineStr">
        <is>
          <t>Broke ground Oct 2025. 100% income-restricted (50-80% AMI, incl. 21 Our Path Home units), $70M — limited overlap with the subject at $1,796.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91" t="inlineStr">
        <is>
          <t>Shannon Robnett Industries</t>
        </is>
      </c>
      <c r="I39" s="22" t="n">
        <v>3.5</v>
      </c>
      <c r="J39" s="17" t="n"/>
      <c r="K39" s="91" t="inlineStr">
        <is>
          <t>Phased garden/rowhouse community at Ustick &amp; Venable; early buildings leasing, three new 24-plex permits issued June 2025.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Centrepoint</t>
        </is>
      </c>
      <c r="D40" s="19" t="n">
        <v>213</v>
      </c>
      <c r="E40" s="17" t="inlineStr">
        <is>
          <t>Q1 2028</t>
        </is>
      </c>
      <c r="F40" s="20" t="n"/>
      <c r="G40" s="21" t="inlineStr">
        <is>
          <t>—</t>
        </is>
      </c>
      <c r="H40" s="91" t="inlineStr">
        <is>
          <t>Studio PBA (market-rate replacement)</t>
        </is>
      </c>
      <c r="I40" s="22" t="n">
        <v>2.9</v>
      </c>
      <c r="J40" s="17" t="inlineStr">
        <is>
          <t>Mid-Rise</t>
        </is>
      </c>
      <c r="K40" s="91" t="inlineStr">
        <is>
          <t>213u market-rate approved Dec 2025 REPLACING DevCo's 239u affordable plan, which died in 2025 when its LIHTC financing collapsed. Permits issuing 2026.</t>
        </is>
      </c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Outer Banks Apartments</t>
        </is>
      </c>
      <c r="D41" s="19" t="n">
        <v>516</v>
      </c>
      <c r="E41" s="17" t="inlineStr">
        <is>
          <t>Q1 2028</t>
        </is>
      </c>
      <c r="F41" s="20" t="n"/>
      <c r="G41" s="21" t="n"/>
      <c r="H41" s="91" t="inlineStr">
        <is>
          <t>Elk Ventures (10 Mile Franklin LLC)</t>
        </is>
      </c>
      <c r="I41" s="22" t="n">
        <v>3.3</v>
      </c>
      <c r="J41" s="17" t="inlineStr">
        <is>
          <t>Garden</t>
        </is>
      </c>
      <c r="K41" s="91" t="inlineStr">
        <is>
          <t>BUILDING NOW — the only permitted deal in the ring. 3 of ~50 bldgs permitted 6/17/26; first units Q4 27-Q2 28, full 516u into 2029-30.</t>
        </is>
      </c>
      <c r="L41" s="90" t="n">
        <v>0.8</v>
      </c>
      <c r="M41">
        <f>IFERROR(VALUE(RIGHT(E41,4))*4+MATCH(LEFT(E41,2),{"Q1","Q2","Q3","Q4"},0)-1,"")</f>
        <v/>
      </c>
    </row>
    <row r="42"/>
    <row r="43">
      <c r="B43" s="23" t="n"/>
      <c r="C43" s="83" t="inlineStr">
        <is>
          <t>PROPOSED (15 properties, 3,978 units)</t>
        </is>
      </c>
    </row>
    <row r="44">
      <c r="B44" s="24" t="n">
        <v>33</v>
      </c>
      <c r="C44" s="25" t="inlineStr">
        <is>
          <t>Vanguard Village</t>
        </is>
      </c>
      <c r="D44" s="26" t="n">
        <v>552</v>
      </c>
      <c r="E44" s="24" t="inlineStr">
        <is>
          <t>Q1 2028</t>
        </is>
      </c>
      <c r="F44" s="27" t="n"/>
      <c r="G44" s="28" t="inlineStr">
        <is>
          <t>—</t>
        </is>
      </c>
      <c r="H44" s="92" t="inlineStr">
        <is>
          <t>Endurance Holdings / Challenger Dev (CBH)</t>
        </is>
      </c>
      <c r="I44" s="29" t="n">
        <v>4.3</v>
      </c>
      <c r="J44" s="24" t="inlineStr">
        <is>
          <t>Mid-Rise</t>
        </is>
      </c>
      <c r="K44" s="92" t="inlineStr">
        <is>
          <t>NOT under construction — CoStar flag is wrong. Raw land, zero permits, CUP likely lapsed ~Jul 2024. Treat as dormant paper.</t>
        </is>
      </c>
      <c r="L44" s="90" t="n">
        <v>0.12</v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92" t="inlineStr">
        <is>
          <t>Hawkins Companies</t>
        </is>
      </c>
      <c r="I45" s="29" t="n">
        <v>3.4</v>
      </c>
      <c r="J45" s="24" t="n"/>
      <c r="K45" s="92" t="inlineStr">
        <is>
          <t>Real dirt moved (~4.2 of 6.1 ac graded) but the CUP clock appears to expire ~9/10/26 with no extension found. Watch for a lapse or extension filing.</t>
        </is>
      </c>
      <c r="L45" s="90" t="n">
        <v>0.25</v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92" t="inlineStr">
        <is>
          <t>Pacific Companies + Ahlquist (Gray Owl)</t>
        </is>
      </c>
      <c r="I46" s="29" t="n">
        <v>1.9</v>
      </c>
      <c r="J46" s="24" t="n"/>
      <c r="K46" s="92" t="inlineStr">
        <is>
          <t>Strong sponsors and a cheap basis ($6.77M at foreclosure) — but NO application filed as of Aug 2026 and the program is unentitled. 2030 at best.</t>
        </is>
      </c>
      <c r="L46" s="90" t="n">
        <v>0.38</v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92" t="inlineStr">
        <is>
          <t>Kal Pacific (Don Veasy)</t>
        </is>
      </c>
      <c r="I47" s="29" t="n">
        <v>4.5</v>
      </c>
      <c r="J47" s="24" t="inlineStr">
        <is>
          <t>Mid-Rise</t>
        </is>
      </c>
      <c r="K47" s="92" t="inlineStr">
        <is>
          <t>No entitlement for the 224u program — the only approval this site ever had was a 2021 DA for 136u that was never permitted. Post-2031.</t>
        </is>
      </c>
      <c r="L47" s="90" t="n">
        <v>0.15</v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92" t="inlineStr">
        <is>
          <t>Assemble Management</t>
        </is>
      </c>
      <c r="I48" s="29" t="n">
        <v>1</v>
      </c>
      <c r="J48" s="24" t="n"/>
      <c r="K48" s="92" t="inlineStr">
        <is>
          <t>Freshest entitlement in the ring (approved 5-1 on 5/19/26, no lapse risk to ~2028) — but land was LOI-stage, not closed, and the access road is unfunded.</t>
        </is>
      </c>
      <c r="L48" s="90" t="n">
        <v>0.32</v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92" t="inlineStr">
        <is>
          <t>Brighton Development</t>
        </is>
      </c>
      <c r="I49" s="29" t="n">
        <v>1.9</v>
      </c>
      <c r="J49" s="24" t="inlineStr">
        <is>
          <t>Mid-Rise</t>
        </is>
      </c>
      <c r="K49" s="92" t="inlineStr">
        <is>
          <t>ENTITLEMENT LAPSED. Base clock ran out ~Apr/May 2024 and even a maximum extension expired ~Apr/May 2026. Requires full re-entitlement.</t>
        </is>
      </c>
      <c r="L49" s="90" t="n">
        <v>0.2</v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92" t="inlineStr">
        <is>
          <t>GFI Meridian Investments (Trevor Gasser)</t>
        </is>
      </c>
      <c r="I50" s="29" t="n">
        <v>3.7</v>
      </c>
      <c r="J50" s="24" t="inlineStr">
        <is>
          <t>Mid-Rise</t>
        </is>
      </c>
      <c r="K50" s="92" t="inlineStr">
        <is>
          <t>Developer says residential is 5-7 years out; commercial builds first and is only at pad-leasing stage. CUP lapses ~11/19/26.</t>
        </is>
      </c>
      <c r="L50" s="90" t="n">
        <v>0.15</v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92" t="inlineStr">
        <is>
          <t>Hawkins Companies</t>
        </is>
      </c>
      <c r="I51" s="29" t="n">
        <v>2.8</v>
      </c>
      <c r="J51" s="24" t="inlineStr">
        <is>
          <t>Mid-Rise</t>
        </is>
      </c>
      <c r="K51" s="92" t="inlineStr">
        <is>
          <t>NOT entitled. Unanimous P&amp;Z denial rec 4/2/26, council remand 6/16/26, re-heard 8/6/26 with the outcome still unpublished. 302u is Phase 1 only.</t>
        </is>
      </c>
      <c r="L51" s="90" t="n">
        <v>0.12</v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92" t="inlineStr">
        <is>
          <t>Welltower Inc (Layton Construction)</t>
        </is>
      </c>
      <c r="I52" s="29" t="n">
        <v>3.9</v>
      </c>
      <c r="J52" s="24" t="inlineStr">
        <is>
          <t>Townhome</t>
        </is>
      </c>
      <c r="K52" s="92" t="inlineStr">
        <is>
          <t>Extension-as-life-support: the Jan-2024 extension ALSO lapsed and a SECOND request was docketed 5/4/26. Healthcare REIT owner; MF is non-core.</t>
        </is>
      </c>
      <c r="L52" s="90" t="n">
        <v>0.2</v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92" t="inlineStr">
        <is>
          <t>UNVERIFIED — not publicly disclosed</t>
        </is>
      </c>
      <c r="I53" s="29" t="n">
        <v>2.1</v>
      </c>
      <c r="J53" s="24" t="inlineStr">
        <is>
          <t>Mid-Rise</t>
        </is>
      </c>
      <c r="K53" s="92" t="inlineStr">
        <is>
          <t>Shows "Entitled" on Boise's tracker but the developer is unknown and there is no permit 16 months post concept review. Structured-parking product needs rents well above the garden hurdle.</t>
        </is>
      </c>
      <c r="L53" s="90" t="n">
        <v>0.25</v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(H-2024-0071 CUP)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92" t="inlineStr">
        <is>
          <t>DRB Investments (Matt Baker)</t>
        </is>
      </c>
      <c r="I54" s="29" t="n">
        <v>1.4</v>
      </c>
      <c r="J54" s="24" t="n"/>
      <c r="K54" s="92" t="inlineStr">
        <is>
          <t>CUP current to ~10/21/27 and the sponsor has real credibility (built Dovetail here) — but its own guidance is townhomes FIRST, groundbreaking "2027 or later."</t>
        </is>
      </c>
      <c r="L54" s="90" t="n">
        <v>0.3</v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Emblem Meridian (Quarterra)</t>
        </is>
      </c>
      <c r="D55" s="26" t="n">
        <v>250</v>
      </c>
      <c r="E55" s="24" t="inlineStr">
        <is>
          <t>TBD</t>
        </is>
      </c>
      <c r="F55" s="27" t="n"/>
      <c r="G55" s="28" t="inlineStr">
        <is>
          <t>—</t>
        </is>
      </c>
      <c r="H55" s="92" t="inlineStr">
        <is>
          <t>Quarterra (TPG-controlled); land: Baron Properties</t>
        </is>
      </c>
      <c r="I55" s="29" t="n">
        <v>1</v>
      </c>
      <c r="J55" s="24" t="inlineStr">
        <is>
          <t>Garden</t>
        </is>
      </c>
      <c r="K55" s="92" t="inlineStr">
        <is>
          <t>Earliest-stage deal in the pipeline — no application, no H-file, no hearing, AND Quarterra does not own the land (Baron is still trying to sell it).</t>
        </is>
      </c>
      <c r="L55" s="90" t="n">
        <v>0.2</v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12548 West Overland Road</t>
        </is>
      </c>
      <c r="D56" s="26" t="n">
        <v>156</v>
      </c>
      <c r="E56" s="24" t="inlineStr">
        <is>
          <t>TBD</t>
        </is>
      </c>
      <c r="F56" s="27" t="n"/>
      <c r="G56" s="28" t="inlineStr">
        <is>
          <t>—</t>
        </is>
      </c>
      <c r="H56" s="92" t="inlineStr">
        <is>
          <t>Hook Family Trust</t>
        </is>
      </c>
      <c r="I56" s="29" t="n">
        <v>1.1</v>
      </c>
      <c r="J56" s="24" t="inlineStr">
        <is>
          <t>Mid-Rise</t>
        </is>
      </c>
      <c r="K56" s="92" t="inlineStr">
        <is>
          <t>LAPSED — PUD commencement passed ~3/12/26 with no extension ever filed; zero city activity since 10/23/23. Site earns income as RV storage.</t>
        </is>
      </c>
      <c r="L56" s="90" t="n">
        <v>0.12</v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Ascent Overland</t>
        </is>
      </c>
      <c r="D57" s="26" t="n">
        <v>138</v>
      </c>
      <c r="E57" s="24" t="inlineStr">
        <is>
          <t>TBD</t>
        </is>
      </c>
      <c r="F57" s="27" t="n"/>
      <c r="G57" s="28" t="inlineStr">
        <is>
          <t>—</t>
        </is>
      </c>
      <c r="H57" s="92" t="inlineStr">
        <is>
          <t>MVRK Development (under contract 8/7/26)</t>
        </is>
      </c>
      <c r="I57" s="29" t="n">
        <v>1.5</v>
      </c>
      <c r="J57" s="24" t="inlineStr">
        <is>
          <t>Mid-Rise</t>
        </is>
      </c>
      <c r="K57" s="92" t="inlineStr">
        <is>
          <t>UNDER CONTRACT 8/7/26 after 469 days on market — the developer chose to sell rather than build. Buyer and intent unknown.</t>
        </is>
      </c>
      <c r="L57" s="90" t="n">
        <v>0.22</v>
      </c>
      <c r="M57">
        <f>IFERROR(VALUE(RIGHT(E57,4))*4+MATCH(LEFT(E57,2),{"Q1","Q2","Q3","Q4"},0)-1,"")</f>
        <v/>
      </c>
    </row>
    <row r="58">
      <c r="B58" s="24" t="n">
        <v>47</v>
      </c>
      <c r="C58" s="25" t="inlineStr">
        <is>
          <t>Meridian OZ Apartments</t>
        </is>
      </c>
      <c r="D58" s="26" t="n">
        <v>36</v>
      </c>
      <c r="E58" s="24" t="inlineStr">
        <is>
          <t>TBD</t>
        </is>
      </c>
      <c r="F58" s="27" t="n"/>
      <c r="G58" s="28" t="inlineStr">
        <is>
          <t>—</t>
        </is>
      </c>
      <c r="H58" s="92" t="inlineStr">
        <is>
          <t>SOLD 8/7/26 — buyer unknown (was Realm Venture)</t>
        </is>
      </c>
      <c r="I58" s="29" t="n">
        <v>1.1</v>
      </c>
      <c r="J58" s="24" t="inlineStr">
        <is>
          <t>Garden</t>
        </is>
      </c>
      <c r="K58" s="92" t="inlineStr">
        <is>
          <t>SOLD 8/7/26 for $1.7M. CUP expires ~10/17/26 — about 8 weeks out — with no extension filed and no sign the new owner is moving to permit.</t>
        </is>
      </c>
      <c r="L58" s="90" t="n">
        <v>0.3</v>
      </c>
      <c r="M58">
        <f>IFERROR(VALUE(RIGHT(E58,4))*4+MATCH(LEFT(E58,2),{"Q1","Q2","Q3","Q4"},0)-1,"")</f>
        <v/>
      </c>
    </row>
    <row r="59"/>
    <row r="60"/>
    <row r="61">
      <c r="B61" s="95" t="inlineStr">
        <is>
          <t>* 5-Mile radius. Rent ($) = HelloData mix-weighted asking where covered, else CoStar market asking. Proximity (mi) = straight-line from the subject. Est. Delivery drives the Supply &amp; Absorption tab. NOTES = the IC conclusion only; full evidence, timelines, file numbers and sources are on the DILIGENCE tab, source reconciliation on the RECONCILIATION LOG. P(deliver by YE2031) is a reasoned probability from the Aug-2026 46-agent deep dive (research/audit_2026-08/pipeline_likelihood_report.md), weighting permits and financing far above entitlement status: 4,494 proposed units -&gt; 1,221 probability-weighted.</t>
        </is>
      </c>
    </row>
  </sheetData>
  <mergeCells count="6">
    <mergeCell ref="B3:G3"/>
    <mergeCell ref="C5:K5"/>
    <mergeCell ref="C2:G2"/>
    <mergeCell ref="C36:K36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Analysis'!C37</f>
        <v/>
      </c>
      <c r="S6" s="38">
        <f>'Competitive Analysis'!D37</f>
        <v/>
      </c>
      <c r="T6" s="39">
        <f>'Competitive Analysis'!E37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Analysis'!C39</f>
        <v/>
      </c>
      <c r="S8" s="38">
        <f>'Competitive Analysis'!D39</f>
        <v/>
      </c>
      <c r="T8" s="39">
        <f>'Competitive Analysis'!E39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Analysis'!C41</f>
        <v/>
      </c>
      <c r="S9" s="38">
        <f>'Competitive Analysis'!D41</f>
        <v/>
      </c>
      <c r="T9" s="39">
        <f>'Competitive Analysis'!E41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(H-2024-0071 CUP)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Analysis'!$D$5:$D$58,'Competitive Analysis'!$M$5:$M$58,"&gt;="&amp;8102,'Competitive Analysis'!$M$5:$M$58,"&lt;="&amp;8105)</f>
        <v/>
      </c>
      <c r="J19" s="47">
        <f>SUMIFS($S$5:$S$9,$W$5:$W$9,1)+SUMIFS($S$13:$S$28,$W$13:$W$28,1,$X$13:$X$28,1)</f>
        <v/>
      </c>
      <c r="K19" s="47">
        <f>SUMIFS($S$5:$S$9,$W$5:$W$9,2)+SUMIFS($S$13:$S$28,$W$13:$W$28,2,$X$13:$X$28,1)</f>
        <v/>
      </c>
      <c r="L19" s="47">
        <f>SUMIFS($S$5:$S$9,$W$5:$W$9,3)+SUMIFS($S$13:$S$28,$W$13:$W$28,3,$X$13:$X$28,1)</f>
        <v/>
      </c>
      <c r="M19" s="47">
        <f>SUMIFS($S$5:$S$9,$W$5:$W$9,4)+SUMIFS($S$13:$S$28,$W$13:$W$28,4,$X$13:$X$28,1)</f>
        <v/>
      </c>
      <c r="N19" s="47">
        <f>SUMIFS($S$5:$S$9,$W$5:$W$9,5)+SUMIFS($S$13:$S$28,$W$13:$W$28,5,$X$13:$X$28,1)</f>
        <v/>
      </c>
      <c r="O19" s="47">
        <f>SUMIFS($S$5:$S$9,$W$5:$W$9,6)+SUMIFS($S$13:$S$28,$W$13:$W$28,6,$X$13:$X$28,1)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n"/>
      <c r="S26" s="38" t="n"/>
      <c r="T26" s="43" t="n"/>
      <c r="U26" s="43" t="n"/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  <c r="R27" s="37" t="inlineStr">
        <is>
          <t>Emblem Meridian (Quarterra)</t>
        </is>
      </c>
      <c r="S27" s="38" t="n">
        <v>250</v>
      </c>
      <c r="T27" s="43" t="inlineStr">
        <is>
          <t>TBD</t>
        </is>
      </c>
      <c r="U27" s="43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  <c r="R28" s="37" t="inlineStr">
        <is>
          <t>Vanguard Village</t>
        </is>
      </c>
      <c r="S28" s="38" t="n">
        <v>552</v>
      </c>
      <c r="T28" s="43" t="inlineStr">
        <is>
          <t>Q1 2028</t>
        </is>
      </c>
      <c r="U28" s="43" t="inlineStr">
        <is>
          <t>Bear+Base</t>
        </is>
      </c>
      <c r="V28">
        <f>IFERROR(VALUE(RIGHT(T28,4))*4+MATCH(LEFT(T28,2),{"Q1","Q2","Q3","Q4"},0)-1,"")</f>
        <v/>
      </c>
      <c r="W28">
        <f>IF(V28="","",IF(V28&lt;=$Z$1,0,MAX(1,INT((V28-$Z$2)/4)+1)))</f>
        <v/>
      </c>
      <c r="X28">
        <f>IF(U28="All",1,IF(U28="Bear+Base",IF($Z$3&gt;=2,1,0),IF(U28="Bear only",IF($Z$3&gt;=3,1,0),0)))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1,177 / 552 (Outer Banks permitted+added to UC; Vanguard moved to Proposed - CoStar UC flag was Life Time club bleed-over)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PROPOSED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  <c r="P29" t="inlineStr">
        <is>
          <t>Aug 2026: developer = Endurance Holdings/Challenger (CBH); ex-Vanguard Commons 432u (2022); CoStar UC flag unconfirmed by city permit record — verify | Moved UC→PROPOSED Aug 2026 (permit unverified)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(H-2024-0071 CUP)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  <row r="48">
      <c r="A48" t="inlineStr">
        <is>
          <t>Emblem Meridian (Quarterra)</t>
        </is>
      </c>
      <c r="B48" t="inlineStr">
        <is>
          <t>2820 S Eagle Rd area, N of Eagle &amp; Victory</t>
        </is>
      </c>
      <c r="C48" t="n">
        <v>250</v>
      </c>
      <c r="G48" t="inlineStr">
        <is>
          <t>PROPOSED</t>
        </is>
      </c>
      <c r="H48" s="75" t="n"/>
      <c r="I48" s="75" t="n"/>
      <c r="J48" s="75" t="n"/>
      <c r="K48" s="76" t="n"/>
      <c r="L48" s="76" t="n"/>
      <c r="M48" s="76" t="n"/>
      <c r="N48" s="76" t="n"/>
      <c r="O48" t="inlineStr">
        <is>
          <t>Diligence</t>
        </is>
      </c>
      <c r="P48" t="inlineStr">
        <is>
          <t>Promoted from shadow watch Aug 2026 — formal early plans filed June 2026 (BoiseDev)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78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110" customWidth="1" style="79" min="7" max="7"/>
    <col width="36" customWidth="1" style="79" min="8" max="8"/>
  </cols>
  <sheetData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93" t="inlineStr">
        <is>
          <t>Brighton Development Inc (Brighton Corporation). 472u urban product at the NE corner of Fairview &amp; Records Way. CUP H-2022-0008 approved ~spring 2022; base 2-year commencement expired ~Apr/May 2024; the outside limit even with a maximum unposted Director TEC was ~Apr/May 2026 — also passed. No TECC appears in any 2022-2026 council agenda. Parcel S1104347006 remains PROPCODE F with TOTALVALUE $21,000 (still assessed as farmland). Brighton still markets "Records" as coming soon but has been publicly silent 4+ years. Deep-pocketed local sponsor with continued site control and an easy re-entitlement path (already C-G, no annexation, no opposition record) — which is why this is 20% and not lower. 5-story podium is the exact product the LTC compression punishes.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93" t="inlineStr">
        <is>
          <t>Hawkins Companies (Boise). 302u MF CUP on 15.23 ac R-40 at Meridian Rd/SH-69 &amp; Amity — Phase 1 only; the combined annexation carries ~400-423 homes including 86-101 R-15 apartments/townhomes on the north parcel (shadow, not counted). Process: unanimous P&amp;Z denial recommendation 4/2/2026; Council REMANDED rather than denied 6/16/2026; P&amp;Z re-heard 8/6/2026 — OUTCOME STILL UNPUBLISHED as of 8/15/2026. 8+ months and 6+ hearings so far. Staff core objection (south parcel 68% residential vs a 50% cap) only partly cured by the revision. ITD granted a right-in/right-out SH-69 access June 2026, a genuine positive.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93" t="inlineStr">
        <is>
          <t>Kal Pacific (Garden City ID office; principal Don Veasy, Temecula CA) — a small commercial/shopping-center developer, not an MF specialist; Veasy also controls Urban Capital Partners. 224u is the May/Jul 2026 redesign (up from 136u). ENTITLEMENT: no CUP, no DA, no design-review approval, no confirmed hearing date for the 224u version; the recorded 2021 DA for 136u must be terminated by Council first. The 136u version sat in permit "corrections" 16+ months and died. MX-3 under Boise 2023 code has no density cap = an easier procedural path, but Cole Rd is torn up through 2026. File no. PLN26-00493 could NOT be confirmed in any city document — treat as unverified.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93" t="inlineStr">
        <is>
          <t>Developer/owner UNVERIFIED — not disclosed in any public source located. 275u, 4-5 story with structured parking. Shows as "Entitled" on Boise's live daily-updated development tracker; a second design review (DRH26-00124) shows continued engagement. RISK: no permit 16 months after concept review; the site's prior AutoNation entitlement also lapsed (2023); structured-parking product carries a cost basis materially above the $305-322k/unit garden benchmark, so its required rent sits even further above the $2,224/u/mo hurdle. The unknown sponsor is itself the risk.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93" t="inlineStr">
        <is>
          <t>Hook Family Trust (filed under case name "HOOK"; trust established 3/11/2003) — a long-time family landowner, no institutional apartment developer involved. 156u. LAPSED: PUD/CAR/DRH approvals from Oct 2023; commencement deadline ~3/12/2026 passed with no extension ever filed; zero city case activity since 10/23/2023. The owner listed the entitled land 8 days after approval and never found a buyer. The site continues to earn income as RV storage, which removes any carrying-cost pressure to develop.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93" t="inlineStr">
        <is>
          <t>Original developer Realm Venture Group (2022-23); the 2024 modification was filed by Pivot North Design (Danielle Stehman) as agent. SOLD 8/7/2026 for $1,700,000 (MLS 98949803 — list price = close price); buyer unknown. 36u = 18 one-bed + 18 two-bed at 15 du/ac in 3 climate-controlled buildings, DOWN from the originally proposed 60u/25 du/ac/8 garden buildings. Site: 1475 E Franklin Rd (SW corner Franklin &amp; Locust Grove), 2.39 ac, R-40, in an Idaho Opportunity Zone. CUP approved 10/17/2024 but its 2-year commencement expires ~10/17/2026 with no extension evidence — and the site changed hands one week before this analysis. This parcel has now failed three times: a 1999 DA for 90+ apartments lapsed, a 60u plan was denied Mar 2023, and the 36u redesign is about to run out of clock.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93" t="inlineStr">
        <is>
          <t>Owner Welltower Inc (NYSE: WELL, Toledo OH); developer/applicant Layton Construction (Alex Drecksel). 301u at 8373 W Victory Rd, Boise. Approved Mar 2022. WORSE THAN OUR PRIOR RECORD: the city granted a two-year extension ~Jan 2024, that extension ALSO lapsed, and a SECOND extension request (PUD21-00062) hit the Boise P&amp;Z docket 5/4/2026 with the outcome unknown. Land owned outright ($12M paid 2021; assessed $9.1M, i.e. carried below cost). Sponsor is a healthcare REIT for whom market-rate MF is non-core; sibling project Vista Point (~800u) also sits unbuilt.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93" t="inlineStr">
        <is>
          <t>GFI Meridian Investments LLC (Trevor Gasser, Bountiful UT); site entity GFI - Meridian Investments II LLC; engineer KM Engineering LLP. CORRECTION: our chart carried "TGI Corp" — no such entity appears in any primary source. 390u = 200 1BR + 174 2BR + 16 3BR in six 4-story interior-corridor buildings + five 3-story townhome-style buildings. Site: NE corner Franklin &amp; Ten Mile, 38.99 ac, C-G + R-40, parcel S1211336065 — a DIFFERENT corner and developer from Outer Banks (no double-count). CUP + preliminary plat approved unanimously 11/19/2024. RISK: commencement lapses ~11/19/2026 (~3 months out) with no TEC found; developer stated on the record that residential is 5-7 years out with commercial first, and the commercial is still only at pad-leasing stage; Ten Mile rated LOS F with no widening programmed; 80+ opposition letters on file.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93" t="inlineStr">
        <is>
          <t>MVRK Development (Denver-based multifamily/condo developer active in Boise). 138u on ~3.5 ac, approved 5-1 Nov 2023. STATUS CHANGE: went under contract ~8/7/2026 after 469 days on market (Crexi/BHHS). The original developer chose to sell rather than build while executing its condo pipeline — a telling signal about MF feasibility at this basis. Buyer, price and intended use are all unknown. CORRECTION: the "$5.0M CBRE asking price" we previously carried could NOT be verified — the live listing is unpriced. Commencement clock very likely stale (2.5+ years, no permit).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93" t="inlineStr">
        <is>
          <t>Hawkins Companies (Boise; delivered Canyon Ridge 287u and Denton in 2025). 174u approved by Boise Council 9/10/2024 over a P&amp;Z denial recommendation (3-2 vote); 162u per the later Design Review DRH24-00090 redesign — carry 162, footnote 174. ~4.2 of 6.1 ac cleared/graded = more physical progress than any other unpermitted deal in the ring. RISK: commencement appears to expire ~9/10/2026, no extension found; 1.9 ac of the site still improved/occupied; the 3-2 approval means re-entitlement would be contested.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93" t="inlineStr">
        <is>
          <t>Assemble Management (California-based; applicant of record David Ruby; architect The Architects Office). 200u + ~19,517 sf ground-floor commercial in four 3-story vertically-integrated buildings (up from 184u/18,226 sf at filing). Site: 4270 + 4240 E Overland Rd + 1480/1520/1560 Rolling Hill Dr, 8.16 ac, NE corner Overland &amp; S Rolling Hill Dr, ~1.0 mi from subject. Annexation + rezone (R1 to C-C) + DA approved by Council 5-1 on 5/19/2026 (H-2025-0040) OVER a unanimous P&amp;Z denial recommendation AND a staff denial recommendation. History: the original 154u plan was denied in 2024 over a mid-footprint holdout parcel. RISK: land was under LOI, not closed, at approval; the View Circle/Movado collector road is unfunded and staff warned it "may never be constructed"; single unsignalized right-in/right-out access for 200 units.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(H-2024-0071 CUP)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93" t="inlineStr">
        <is>
          <t>DRB Investments LLC (principal/co-owner Matt Baker) — built Dovetail (240u, 2020-23) inside this same master plan, so execution credibility is genuine. 270u CUP in two buildings on 6.28 ac with a height exception to 87 ft, approved by Council 4-1 on 10/21/2025; commencement runs to ~10/21/2027. E Pine Ave between Locust Grove &amp; Hickory. DISTINCT from the built Dovetail community at 1350 N Webb Way — do not conflate. SHADOW: the same MDA allows up to ~604 vertically-integrated units + ~30-35 townhomes (up to ~848-900 total apartments) plus ~218-229k sf office, a hotel/conference center and retail on 33+ ac, ~$1B, phased over 10-12 years — carried as a shadow row, not counted. RISK: developer guidance is townhomes first, groundbreaking "2027 or later"; podium/underground parking basis is well above the garden benchmark.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93" t="inlineStr">
        <is>
          <t>Residential by The Pacific Companies (Eagle ID; Caleb Roope); office/retail by Ahlquist (Tommy Ahlquist), title via Gray Owl Holdings. ~250u — DOWN from the 385 apartments approved under the original Union 93 CUP; flag that drop. Site: SE corner Main &amp; Broadway, downtown Meridian, across from City Hall. ENTITLEMENT: functionally unentitled for the current program — the 2020 CUP covered 385u/28,000 sf retail with no office tower or hotel; the new ~250u + 120,000 sf office + 32,000 sf retail concept has no confirmed application on file, described as "very nascent design." Predecessor Union 93 died on a $22M judgment and sheriff auction Oct 2025; spec office + hotel in the new stack is a real execution risk on a site that already consumed $20M+.</t>
        </is>
      </c>
      <c r="H30" s="37" t="inlineStr">
        <is>
          <t>https://boisedev.com/news/2026/07/13/union-93-heritage-square-meridian-ahlquist-pacific-companies/</t>
        </is>
      </c>
    </row>
    <row r="32">
      <c r="B32" s="37" t="inlineStr">
        <is>
          <t>Outer Banks Apartments</t>
        </is>
      </c>
      <c r="G32" s="94" t="inlineStr">
        <is>
          <t>Elk Ventures LLC (Erik Pilegaard, Truckee CA); owner entity 10 Mile Franklin LLC; GC Perryman Construction Mgmt. 516u = 364 apts + 126 flats + 26 TH on 19.34 ac R-40/C-C, SW corner Franklin &amp; Ten Mile. Council approved 12/14/2021; that CUP LAPSED ~Dec 2023 unused; re-approved unchanged as H-2024-0026 (P&amp;Z 10/3/2024). Sewer/water easement ESMT-2025-0071 approved 8/12/2025. Permits C-MULTI-2025-0023/-0024 + a third issued 6/17/2026 for tri-level Bldgs A/B/C on S Tallac Ln (~18-26 units). RISK: only 3 of ~50 buildings permitted; financing for later phases UNVERIFIED; Ten Mile LOS flagged unacceptable ~1 hr/day by staff in 2021.</t>
        </is>
      </c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37" t="inlineStr">
        <is>
          <t>Emblem Meridian (Quarterra)</t>
        </is>
      </c>
      <c r="C34" s="77" t="n">
        <v>250</v>
      </c>
      <c r="D34" s="77" t="inlineStr">
        <is>
          <t>TBD</t>
        </is>
      </c>
      <c r="E34" s="37" t="inlineStr">
        <is>
          <t>proposed - formal early plans filed June 2026</t>
        </is>
      </c>
      <c r="F34" s="37" t="n"/>
      <c r="G34" s="93" t="inlineStr">
        <is>
          <t>Quarterra — majority-owned by TPG Real Estate as of Jan 2026 (Lennar sold control, retained a minority stake; TPG committed $1B fresh capital). 250u = 204 apartments + 46 townhomes (~440 bedrooms) is the plan of record; the 256u/$78.0M/6.65-6.80% YoC figures are Quarterra's internal merchant model. Site: ~13-14 ac at the NE corner of S Eagle Rd (SH-55) &amp; E Victory Rd — the same 14.473-ac R-15 parcel as the prior "Artisan Victory Market" approval (138 BTR units, H-2022-0066, approved 2023, never built; our file said 131 — 138 is correct). CRITICAL: Quarterra does NOT own the land — June 2026 press confirms Baron Properties still owns it and is trying to sell. ENTITLEMENT: pre-application/concept only — no formal Meridian application, no H-file, no hearing scheduled. 18 u/ac requires a discretionary comp-plan amendment against a 15 u/ac cap. NOTE: we hold Quarterra's actual equity book + merchant model — see replacement_cost_analysis.md; its ancillary income runs +83% vs what the subject collects.</t>
        </is>
      </c>
      <c r="H34" s="37" t="inlineStr">
        <is>
          <t>https://boisedev.com/news/2026/06/10/meridian-emblem-victory-eagle-homes-apartment/</t>
        </is>
      </c>
    </row>
    <row r="35">
      <c r="B35" s="37" t="inlineStr">
        <is>
          <t>Vanguard Village</t>
        </is>
      </c>
      <c r="C35" s="77" t="n">
        <v>552</v>
      </c>
      <c r="D35" s="77" t="inlineStr">
        <is>
          <t>Q1 2028</t>
        </is>
      </c>
      <c r="E35" s="37" t="inlineStr">
        <is>
          <t>proposed - moved from UC (analyst call): CoStar UC flag unconfirmed by permits</t>
        </is>
      </c>
      <c r="F35" s="37" t="n"/>
      <c r="G35" s="93" t="inlineStr">
        <is>
          <t>Endurance Holdings LLC + Challenger Development Inc (Corey Barton / CBH-affiliated; DA also includes Ten Mile West Commercial LLC, all at 1977 W Overland Rd); original applicant of record Meridian 118 LLC. 552u is the entitled figure (432 was an earlier design iteration). Residential component is an unplatted 32.55-ac R-15 parcel (S1215131410, PROPCODE L, no TOTALVALUE) inside a ~115-ac mixed-use assemblage at Ten Mile &amp; I-84. CORRECTION: the CoStar UC/Q1-2028 flag is bleed-over from the $50.7M Life Time club (C-NEW-2026-0003) on a commercial lot in the same plat — zero permits on the R-15 parcel across 5 weekly + the Jan-2026 monthly permit reports. Commercial lots ARE building; the MF parcel is untouched 4 years post-approval. DA absorbed into the commercial-first District at Ten Mile agreement.</t>
        </is>
      </c>
      <c r="H35" s="37" t="inlineStr">
        <is>
          <t>https://boisedev.com/news/2022/08/01/vanguard-commons-meridian/</t>
        </is>
      </c>
    </row>
    <row r="36">
      <c r="B36" s="86" t="inlineStr">
        <is>
          <t>SHADOW SUPPLY (latent / untracked — watch list)</t>
        </is>
      </c>
    </row>
    <row r="37">
      <c r="B37" s="44" t="inlineStr">
        <is>
          <t>Property / Site</t>
        </is>
      </c>
      <c r="C37" s="44" t="inlineStr">
        <is>
          <t>Units</t>
        </is>
      </c>
      <c r="D37" s="44" t="inlineStr">
        <is>
          <t>Est. Delivery</t>
        </is>
      </c>
      <c r="E37" s="44" t="inlineStr">
        <is>
          <t>Status</t>
        </is>
      </c>
      <c r="F37" s="44" t="inlineStr">
        <is>
          <t>Leasing Pace</t>
        </is>
      </c>
      <c r="G37" s="44" t="inlineStr">
        <is>
          <t>Notes</t>
        </is>
      </c>
      <c r="H37" s="44" t="inlineStr">
        <is>
          <t>Source</t>
        </is>
      </c>
    </row>
    <row r="38">
      <c r="B38" s="37" t="inlineStr">
        <is>
          <t>Emblem Meridian (Quarterra) / Artisan Victory Market site</t>
        </is>
      </c>
      <c r="C38" s="77" t="inlineStr">
        <is>
          <t>250</t>
        </is>
      </c>
      <c r="D38" s="77" t="n"/>
      <c r="E38" s="37" t="n"/>
      <c r="F38" s="37" t="n"/>
      <c r="G38" s="37" t="inlineStr">
        <is>
          <t>PROMOTED Aug 2026 to pipeline row #44 (250u) — kept here for history. 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8" s="37" t="inlineStr">
        <is>
          <t>https://boisedev.com/news/2026/06/10/meridian-emblem-victory-eagle-homes-apartment/</t>
        </is>
      </c>
    </row>
    <row r="39">
      <c r="B39" s="37" t="inlineStr">
        <is>
          <t>Tanner Creek apartments (Waltman/Johnson Ln)</t>
        </is>
      </c>
      <c r="C39" s="77" t="inlineStr">
        <is>
          <t>280</t>
        </is>
      </c>
      <c r="D39" s="77" t="n"/>
      <c r="E39" s="37" t="n"/>
      <c r="F39" s="37" t="n"/>
      <c r="G39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9" s="37" t="inlineStr">
        <is>
          <t>https://boisedev.com/news/2023/11/28/plans-for-two-large-developments-off-i-84-and-meridian-rd-move-forward/</t>
        </is>
      </c>
    </row>
    <row r="40">
      <c r="B40" s="37" t="inlineStr">
        <is>
          <t>Graycliff Estates R-40 block</t>
        </is>
      </c>
      <c r="C40" s="77" t="inlineStr">
        <is>
          <t>224</t>
        </is>
      </c>
      <c r="D40" s="77" t="n"/>
      <c r="E40" s="37" t="n"/>
      <c r="F40" s="37" t="n"/>
      <c r="G40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40" s="37" t="inlineStr">
        <is>
          <t>https://www.weknowboise.com/graycliff-estates.php</t>
        </is>
      </c>
    </row>
    <row r="41">
      <c r="B41" s="37" t="inlineStr">
        <is>
          <t>Touchmark Meadow Lake Village expansion</t>
        </is>
      </c>
      <c r="C41" s="77" t="n"/>
      <c r="D41" s="77" t="n"/>
      <c r="E41" s="37" t="n"/>
      <c r="F41" s="37" t="n"/>
      <c r="G41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41" s="37" t="inlineStr">
        <is>
          <t>https://boisedev.com/news/2025/07/14/touchmark-meridian-meadowlake-mixed-use/</t>
        </is>
      </c>
    </row>
    <row r="42">
      <c r="B42" s="37" t="inlineStr">
        <is>
          <t>Ten Mile Crossing residual HDR parcels</t>
        </is>
      </c>
      <c r="C42" s="77" t="n"/>
      <c r="D42" s="77" t="n"/>
      <c r="E42" s="37" t="n"/>
      <c r="F42" s="37" t="n"/>
      <c r="G42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2" s="37" t="inlineStr">
        <is>
          <t>https://www.brighton.co/brighton-place/ten-mile-crossing/</t>
        </is>
      </c>
    </row>
    <row r="43">
      <c r="B43" s="37" t="inlineStr">
        <is>
          <t>Brighton Apex R-15 parcel (Lake Hazel)</t>
        </is>
      </c>
      <c r="C43" s="77" t="n"/>
      <c r="D43" s="77" t="n"/>
      <c r="E43" s="37" t="n"/>
      <c r="F43" s="37" t="n"/>
      <c r="G43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3" s="37" t="inlineStr">
        <is>
          <t>https://boisedev.com/news/2024/12/20/brighton-pinnacle-costco-meridian/</t>
        </is>
      </c>
    </row>
    <row r="44">
      <c r="B44" s="37" t="inlineStr">
        <is>
          <t>Outer Banks Subdivision (TM Creek / Cobalt Dr)</t>
        </is>
      </c>
      <c r="C44" s="77" t="n"/>
      <c r="D44" s="77" t="n"/>
      <c r="E44" s="37" t="n"/>
      <c r="F44" s="37" t="n"/>
      <c r="G44" s="37" t="inlineStr">
        <is>
          <t xml:space="preserve">PROMOTED Aug 2026 to pipeline row #33 "Outer Banks Apartments" (516u, groundbreaking expected 2026) — kept here for history. </t>
        </is>
      </c>
      <c r="H44" s="37" t="inlineStr">
        <is>
          <t>https://boisedev.com/news/2021/12/17/outer-banks-pera-place/</t>
        </is>
      </c>
    </row>
    <row r="45">
      <c r="B45" s="37" t="inlineStr">
        <is>
          <t>Grandview Communities (Lake Hazel &amp; Linder)</t>
        </is>
      </c>
      <c r="C45" s="77" t="inlineStr">
        <is>
          <t>130</t>
        </is>
      </c>
      <c r="D45" s="77" t="n"/>
      <c r="E45" s="37" t="n"/>
      <c r="F45" s="37" t="n"/>
      <c r="G45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5" s="37" t="inlineStr">
        <is>
          <t>https://boisedev.com/news/2025/07/07/hundreds-of-homes-apartments-planned-for-lake-hazel-and-linder/</t>
        </is>
      </c>
    </row>
    <row r="46">
      <c r="B46" s="37" t="inlineStr">
        <is>
          <t>Discovery project (Lake Hazel &amp; Locust Grove)</t>
        </is>
      </c>
      <c r="C46" s="77" t="inlineStr">
        <is>
          <t>200</t>
        </is>
      </c>
      <c r="D46" s="77" t="n"/>
      <c r="E46" s="37" t="n"/>
      <c r="F46" s="37" t="n"/>
      <c r="G46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6" s="37" t="inlineStr">
        <is>
          <t>https://boisedev.com/news/2024/04/12/200-apartments-meridian-discovery/</t>
        </is>
      </c>
    </row>
    <row r="47">
      <c r="B47" s="37" t="inlineStr">
        <is>
          <t>709 N Cole Rd (city land trust)</t>
        </is>
      </c>
      <c r="C47" s="77" t="n"/>
      <c r="D47" s="77" t="n"/>
      <c r="E47" s="37" t="n"/>
      <c r="F47" s="37" t="n"/>
      <c r="G47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7" s="37" t="inlineStr">
        <is>
          <t>https://boisedev.com/news/2026/06/01/709-cole-boise/</t>
        </is>
      </c>
    </row>
    <row r="48">
      <c r="B48" s="37" t="inlineStr">
        <is>
          <t>Aren east phase (verify)</t>
        </is>
      </c>
      <c r="C48" s="77" t="n"/>
      <c r="D48" s="77" t="n"/>
      <c r="E48" s="37" t="n"/>
      <c r="F48" s="37" t="n"/>
      <c r="G48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8" s="37" t="inlineStr">
        <is>
          <t>https://arenmeridian.com/</t>
        </is>
      </c>
    </row>
    <row r="49">
      <c r="B49" s="37" t="inlineStr">
        <is>
          <t>Murio Farms MF phases (SW Boise)</t>
        </is>
      </c>
      <c r="C49" s="77" t="n"/>
      <c r="D49" s="77" t="n"/>
      <c r="E49" s="37" t="n"/>
      <c r="F49" s="37" t="n"/>
      <c r="G49" s="37" t="inlineStr">
        <is>
          <t>AUDIT WATCH: 380-ac, 3,500-home master plan approved 2024 between Maple Grove &amp; Cole at the New York Canal; apartments in later phases (15-20 yr buildout) — long-dated only.</t>
        </is>
      </c>
      <c r="H49" s="37" t="inlineStr">
        <is>
          <t>https://www.ktvb.com/article/news/local/idaho-press/city-council-approves-murio-farms-3500-homes-southwest-boise/277-eb746dad-15bb-4c8e-868d-ca9d6c1e355e</t>
        </is>
      </c>
    </row>
    <row r="50">
      <c r="B50" s="37" t="inlineStr">
        <is>
          <t>Pine 43 VI residential (same MDA as the 270u CUP)</t>
        </is>
      </c>
      <c r="C50" s="77" t="n">
        <v>604</v>
      </c>
      <c r="D50" s="77" t="n"/>
      <c r="E50" s="37" t="n"/>
      <c r="F50" s="37" t="n"/>
      <c r="G50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50" s="37" t="inlineStr">
        <is>
          <t>https://boisedev.com/news/2025/10/22/large-urban-project-gets-green-light-from-meridian-city-council/</t>
        </is>
      </c>
    </row>
    <row r="51">
      <c r="B51" s="37" t="inlineStr">
        <is>
          <t>The District at Ten Mile (BVA + CenterCal principals)</t>
        </is>
      </c>
      <c r="C51" s="77" t="n">
        <v>1800</v>
      </c>
      <c r="D51" s="77" t="n"/>
      <c r="E51" s="37" t="n"/>
      <c r="F51" s="37" t="n"/>
      <c r="G51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51" s="37" t="inlineStr">
        <is>
          <t>https://idahobusinessreview.com/2026/06/22/district-at-ten-mile-meridian-development/</t>
        </is>
      </c>
    </row>
    <row r="52">
      <c r="B52" s="37" t="inlineStr">
        <is>
          <t>Modern Craftsman Franklin (Baron BTR, Franklin &amp; Black Cat)</t>
        </is>
      </c>
      <c r="C52" s="77" t="n">
        <v>122</v>
      </c>
      <c r="D52" s="77" t="n"/>
      <c r="E52" s="37" t="n"/>
      <c r="F52" s="37" t="n"/>
      <c r="G52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2" s="37" t="inlineStr">
        <is>
          <t>https://boisedev.com/news/2023/02/17/modern-craftsman-subdivision/</t>
        </is>
      </c>
    </row>
    <row r="53">
      <c r="B53" s="37" t="inlineStr">
        <is>
          <t>Kleiner Trust field (Fairview &amp; Eagle, 71.8 ac C-G)</t>
        </is>
      </c>
      <c r="C53" s="77" t="n"/>
      <c r="D53" s="77" t="n"/>
      <c r="E53" s="37" t="n"/>
      <c r="F53" s="37" t="n"/>
      <c r="G53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3" s="37" t="inlineStr">
        <is>
          <t>https://boisedev.com/news/2022/09/20/kleiner-eagle-fairview/</t>
        </is>
      </c>
    </row>
    <row r="54">
      <c r="B54" s="37" t="inlineStr">
        <is>
          <t>1780 E Overland Rd (5.4 ac ag-exempt C-G)</t>
        </is>
      </c>
      <c r="C54" s="77" t="n"/>
      <c r="D54" s="77" t="n"/>
      <c r="E54" s="37" t="n"/>
      <c r="F54" s="37" t="n"/>
      <c r="G54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4" s="37" t="inlineStr"/>
    </row>
    <row r="55">
      <c r="B55" s="37" t="inlineStr">
        <is>
          <t>1450 E Franklin Rd (12.8 ac ag-exempt C-G)</t>
        </is>
      </c>
      <c r="C55" s="77" t="n"/>
      <c r="D55" s="77" t="n"/>
      <c r="E55" s="37" t="n"/>
      <c r="F55" s="37" t="n"/>
      <c r="G55" s="37" t="inlineStr">
        <is>
          <t>AUG 2026 AUDIT: Was on LoopNet ("Northeast Meridian Land"), now delisted; no application (1.2 mi). Stalled 36u OZ project across the street signals weak small-MF economics.</t>
        </is>
      </c>
      <c r="H55" s="37" t="inlineStr"/>
    </row>
    <row r="56">
      <c r="B56" s="37" t="inlineStr">
        <is>
          <t>Latitude Forty Three (675/715/955 S Wells St — benign marker)</t>
        </is>
      </c>
      <c r="C56" s="77" t="n"/>
      <c r="D56" s="77" t="n"/>
      <c r="E56" s="37" t="n"/>
      <c r="F56" s="37" t="n"/>
      <c r="G56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6" s="37" t="inlineStr"/>
    </row>
    <row r="58">
      <c r="B58" s="86" t="inlineStr">
        <is>
          <t>SHOT-DOWN MF REGISTER (denied / withdrawn / expired / converted — 2015-2026 sweep, Aug 14 2026)</t>
        </is>
      </c>
    </row>
    <row r="59">
      <c r="B59" s="44" t="inlineStr">
        <is>
          <t>Project</t>
        </is>
      </c>
      <c r="C59" s="44" t="inlineStr">
        <is>
          <t>Units</t>
        </is>
      </c>
      <c r="D59" s="44" t="n"/>
      <c r="E59" s="44" t="inlineStr">
        <is>
          <t>Outcome / year</t>
        </is>
      </c>
      <c r="F59" s="44" t="n"/>
      <c r="G59" s="44" t="inlineStr">
        <is>
          <t>Notes</t>
        </is>
      </c>
      <c r="H59" s="44" t="inlineStr">
        <is>
          <t>Source</t>
        </is>
      </c>
    </row>
    <row r="60">
      <c r="B60" s="37" t="inlineStr">
        <is>
          <t>Overland &amp; Wells II / "Seasons at Meridian II" (H-2022-0030)</t>
        </is>
      </c>
      <c r="C60" s="77" t="n">
        <v>345</v>
      </c>
      <c r="D60" s="77" t="n"/>
      <c r="E60" s="37" t="inlineStr">
        <is>
          <t>DENIED Nov 2022</t>
        </is>
      </c>
      <c r="F60" s="37" t="n"/>
      <c r="G60" s="37" t="inlineStr">
        <is>
          <t>Touching parcel. Employment-land loss, failing intersections, MF over-concentration. WinCo owns; retail pads marketed. ~5% revival, earliest ~2030.</t>
        </is>
      </c>
      <c r="H60" s="37" t="inlineStr">
        <is>
          <t>meetings.municode.com MERIDIANID 11/9/2022</t>
        </is>
      </c>
    </row>
    <row r="61">
      <c r="B61" s="37" t="inlineStr">
        <is>
          <t>Andorra Senior Living (H-2019-0127) + 2021 assisted-living</t>
        </is>
      </c>
      <c r="C61" s="77" t="n">
        <v>164</v>
      </c>
      <c r="D61" s="77" t="n"/>
      <c r="E61" s="37" t="inlineStr">
        <is>
          <t>EXPIRED 2020 / DENIED 2021</t>
        </is>
      </c>
      <c r="F61" s="37" t="n"/>
      <c r="G61" s="37" t="inlineStr">
        <is>
          <t>Magic View enclave 0.3 mi: senior annexation approved 2019 but DA never signed; 2021 assisted-living denied. Site now in the for-sale Latitude 43 plat.</t>
        </is>
      </c>
      <c r="H61" s="37" t="inlineStr">
        <is>
          <t>Meridian records</t>
        </is>
      </c>
    </row>
    <row r="62">
      <c r="B62" s="37" t="inlineStr">
        <is>
          <t>Cobalt Point (H-2022-0042)</t>
        </is>
      </c>
      <c r="C62" s="77" t="n">
        <v>264</v>
      </c>
      <c r="D62" s="77" t="n"/>
      <c r="E62" s="37" t="inlineStr">
        <is>
          <t>WITHDRAWN Dec 2022</t>
        </is>
      </c>
      <c r="F62" s="37" t="n"/>
      <c r="G62" s="37" t="inlineStr">
        <is>
          <t>11.95-ac C-G at Copper Point/Cobalt Point Way (0.8 mi); never re-filed; land still vacant — entitled-once dirt, kept Low-Watch.</t>
        </is>
      </c>
      <c r="H62" s="37" t="inlineStr">
        <is>
          <t>Meridian records</t>
        </is>
      </c>
    </row>
    <row r="63">
      <c r="B63" s="37" t="inlineStr">
        <is>
          <t>Fairview Apartments (H-2023-0001)</t>
        </is>
      </c>
      <c r="C63" s="77" t="n">
        <v>150</v>
      </c>
      <c r="D63" s="77" t="n"/>
      <c r="E63" s="37" t="inlineStr">
        <is>
          <t>WITHDRAWN Jun 2023</t>
        </is>
      </c>
      <c r="F63" s="37" t="n"/>
      <c r="G63" s="37" t="inlineStr">
        <is>
          <t>1005 E Fairview; site re-tenanted as RV dealership Apr 2024.</t>
        </is>
      </c>
      <c r="H63" s="37" t="inlineStr">
        <is>
          <t>Meridian records</t>
        </is>
      </c>
    </row>
    <row r="64">
      <c r="B64" s="37" t="inlineStr">
        <is>
          <t>The 10 at Meridian (Elk Ventures)</t>
        </is>
      </c>
      <c r="C64" s="77" t="n">
        <v>559</v>
      </c>
      <c r="D64" s="77" t="n"/>
      <c r="E64" s="37" t="inlineStr">
        <is>
          <t>ABANDONED ~2024</t>
        </is>
      </c>
      <c r="F64" s="37" t="n"/>
      <c r="G64" s="37" t="inlineStr">
        <is>
          <t>SW Franklin &amp; Ten Mile; superseded by Gateway (#39) / Outer Banks (#33) — VERIFY footprint split.</t>
        </is>
      </c>
      <c r="H64" s="37" t="inlineStr">
        <is>
          <t>BoiseDev</t>
        </is>
      </c>
    </row>
    <row r="65">
      <c r="B65" s="37" t="inlineStr">
        <is>
          <t>Rolling Hill original plan</t>
        </is>
      </c>
      <c r="C65" s="77" t="n">
        <v>154</v>
      </c>
      <c r="D65" s="77" t="n"/>
      <c r="E65" s="37" t="inlineStr">
        <is>
          <t>DENIED 2024</t>
        </is>
      </c>
      <c r="F65" s="37" t="n"/>
      <c r="G65" s="37" t="inlineStr">
        <is>
          <t>First Assemble plan denied (county enclave); revised 200u APPROVED 5/19/2026 → row #37.</t>
        </is>
      </c>
      <c r="H65" s="37" t="inlineStr">
        <is>
          <t>BoiseDev 5/20/26</t>
        </is>
      </c>
    </row>
    <row r="66">
      <c r="B66" s="37" t="inlineStr">
        <is>
          <t>Madison Town Square</t>
        </is>
      </c>
      <c r="C66" s="77" t="n">
        <v>251</v>
      </c>
      <c r="D66" s="77" t="n"/>
      <c r="E66" s="37" t="inlineStr">
        <is>
          <t>WITHDRAWN Jun 2024</t>
        </is>
      </c>
      <c r="F66" s="37" t="n"/>
      <c r="G66" s="37" t="inlineStr">
        <is>
          <t>Old Sears site, 460 N Milwaukee (Boise); pulled; site for sale.</t>
        </is>
      </c>
      <c r="H66" s="37" t="inlineStr">
        <is>
          <t>BoiseDev</t>
        </is>
      </c>
    </row>
    <row r="67">
      <c r="B67" s="37" t="inlineStr">
        <is>
          <t>The Bridge at Village at Meridian</t>
        </is>
      </c>
      <c r="C67" s="77" t="n">
        <v>549</v>
      </c>
      <c r="D67" s="77" t="n"/>
      <c r="E67" s="37" t="inlineStr">
        <is>
          <t>ABANDONED Aug 2024</t>
        </is>
      </c>
      <c r="F67" s="37" t="n"/>
      <c r="G67" s="37" t="inlineStr">
        <is>
          <t>CenterCal dropped residential expansion "for lack of demand"; retail-only rebuild.</t>
        </is>
      </c>
      <c r="H67" s="37" t="inlineStr">
        <is>
          <t>BoiseDev 8/19/24</t>
        </is>
      </c>
    </row>
    <row r="68">
      <c r="B68" s="37" t="inlineStr">
        <is>
          <t>Lake Hazel &amp; Five Mile (Ada County)</t>
        </is>
      </c>
      <c r="C68" s="77" t="n">
        <v>128</v>
      </c>
      <c r="D68" s="77" t="n"/>
      <c r="E68" s="37" t="inlineStr">
        <is>
          <t>DENIED 2022 &amp; 2024</t>
        </is>
      </c>
      <c r="F68" s="37" t="n"/>
      <c r="G68" s="37" t="inlineStr">
        <is>
          <t>128u then 118u denied; 2025 commercial-only approved. Dead as MF.</t>
        </is>
      </c>
      <c r="H68" s="37" t="inlineStr">
        <is>
          <t>Ada County records</t>
        </is>
      </c>
    </row>
    <row r="69">
      <c r="B69" s="37" t="inlineStr">
        <is>
          <t>Centrepoint — Devco affordable (H-2024-0019)</t>
        </is>
      </c>
      <c r="C69" s="77" t="n">
        <v>239</v>
      </c>
      <c r="D69" s="77" t="n"/>
      <c r="E69" s="37" t="inlineStr">
        <is>
          <t>WITHDRAWN 2025</t>
        </is>
      </c>
      <c r="F69" s="37" t="n"/>
      <c r="G69" s="37" t="inlineStr">
        <is>
          <t>Affordable plan killed; superseded by 213u market-rate approval Dec 2025 → row #32.</t>
        </is>
      </c>
      <c r="H69" s="37" t="inlineStr">
        <is>
          <t>Meridian records</t>
        </is>
      </c>
    </row>
    <row r="70">
      <c r="B70" s="37" t="inlineStr">
        <is>
          <t>Newkirk (H-2024-0043)</t>
        </is>
      </c>
      <c r="C70" s="77" t="n">
        <v>216</v>
      </c>
      <c r="D70" s="77" t="n"/>
      <c r="E70" s="37" t="inlineStr">
        <is>
          <t>CONVERTED Feb 2025</t>
        </is>
      </c>
      <c r="F70" s="37" t="n"/>
      <c r="G70" s="37" t="inlineStr">
        <is>
          <t>Approved 216 apartments converted to 95 for-sale attached homes (Franklin &amp; Black Cat).</t>
        </is>
      </c>
      <c r="H70" s="37" t="inlineStr">
        <is>
          <t>BoiseDev 2/13/25</t>
        </is>
      </c>
    </row>
    <row r="71">
      <c r="B71" s="37" t="inlineStr">
        <is>
          <t>The Hummingbird</t>
        </is>
      </c>
      <c r="C71" s="77" t="n">
        <v>170</v>
      </c>
      <c r="D71" s="77" t="n"/>
      <c r="E71" s="37" t="inlineStr">
        <is>
          <t>EXPIRED spring 2025</t>
        </is>
      </c>
      <c r="F71" s="37" t="n"/>
      <c r="G71" s="37" t="inlineStr">
        <is>
          <t>60 N Cole Rd; approval lapsed; aquarium expansion planned instead.</t>
        </is>
      </c>
      <c r="H71" s="37" t="inlineStr">
        <is>
          <t>BoiseDev 8/18/25</t>
        </is>
      </c>
    </row>
    <row r="72">
      <c r="B72" s="37" t="inlineStr">
        <is>
          <t>Union 93</t>
        </is>
      </c>
      <c r="C72" s="77" t="n">
        <v>93</v>
      </c>
      <c r="D72" s="77" t="n"/>
      <c r="E72" s="37" t="inlineStr">
        <is>
          <t>FORECLOSED Oct 2025</t>
        </is>
      </c>
      <c r="F72" s="37" t="n"/>
      <c r="G72" s="37" t="inlineStr">
        <is>
          <t>Main &amp; Broadway skeleton foreclosed/auctioned; superseded by Heritage Square 250u → row #35.</t>
        </is>
      </c>
      <c r="H72" s="37" t="inlineStr">
        <is>
          <t>BoiseDev</t>
        </is>
      </c>
    </row>
    <row r="73">
      <c r="B73" s="37" t="inlineStr">
        <is>
          <t>Tanner Creek original (Schulz)</t>
        </is>
      </c>
      <c r="C73" s="77" t="n">
        <v>272</v>
      </c>
      <c r="D73" s="77" t="n"/>
      <c r="E73" s="37" t="inlineStr">
        <is>
          <t>DENIED 2018</t>
        </is>
      </c>
      <c r="F73" s="37" t="n"/>
      <c r="G73" s="37" t="inlineStr">
        <is>
          <t>Waltman Ln; corridor later approved as phased Tanner Creek (280 apts, CBH) — on watch list.</t>
        </is>
      </c>
      <c r="H73" s="37" t="inlineStr">
        <is>
          <t>Meridian records</t>
        </is>
      </c>
    </row>
    <row r="74">
      <c r="B74" t="inlineStr">
        <is>
          <t>(pattern read)</t>
        </is>
      </c>
      <c r="G74" t="inlineStr">
        <is>
          <t>Council kills big MF at retail/employment nodes (protective for subject); denial is often round one — Rolling Hill/Centrepoint/Union 93/Tanner Creek all returned in new form; Magic View enclave killed senior/MF 3x; ~2,100 units died in-ring 2024-2025. Dormant-but-entitled deals (Records #38, Victory Flats #41, Ascent #46, 12548 #45, OZ #47) remain in the chart, NOT here. Syringa #40 is contested-live.</t>
        </is>
      </c>
    </row>
    <row r="76">
      <c r="B76" s="86" t="inlineStr">
        <is>
          <t>SHADOW WATCH — ADDED AUG 14 2026 (agent sweep)</t>
        </is>
      </c>
    </row>
    <row r="77">
      <c r="B77" s="37" t="inlineStr">
        <is>
          <t>Apex Zenith (Brighton) — Lake Hazel &amp; Meridian Rd</t>
        </is>
      </c>
      <c r="C77" s="77" t="n"/>
      <c r="D77" s="77" t="n"/>
      <c r="E77" s="37" t="n"/>
      <c r="F77" s="37" t="n"/>
      <c r="G77" s="37" t="inlineStr">
        <is>
          <t>AUG 2026 SWEEP: Annexation/rezone/DA approved 4-1 Jan 2025; application references MF units; Costco portion under construction (Aug 2026 opening target). Southern ring edge (~4 mi); MF phases undated.</t>
        </is>
      </c>
      <c r="H77" s="37" t="inlineStr">
        <is>
          <t>BoiseDev / Meridian records</t>
        </is>
      </c>
    </row>
    <row r="78">
      <c r="B78" s="37" t="inlineStr">
        <is>
          <t>Victory &amp; Ten Mile mixed-use pre-app (~142 ac)</t>
        </is>
      </c>
      <c r="C78" s="77" t="n"/>
      <c r="D78" s="77" t="n"/>
      <c r="E78" s="37" t="n"/>
      <c r="F78" s="37" t="n"/>
      <c r="G78" s="37" t="inlineStr">
        <is>
          <t>AUG 2026 SWEEP: Oct 2025 pre-application concept (Mark Bottles RE / West Ada SD land) with a second housing product plausibly attached/MF; no formal file yet (~2.9 mi).</t>
        </is>
      </c>
      <c r="H78" s="37" t="inlineStr">
        <is>
          <t>Oct 2025 reporting</t>
        </is>
      </c>
    </row>
  </sheetData>
  <mergeCells count="2">
    <mergeCell ref="B36:H36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2026-08-15T04:47:48Z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