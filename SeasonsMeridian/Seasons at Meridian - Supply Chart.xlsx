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applyAlignment="1" pivotButton="0" quotePrefix="0" xfId="0">
      <alignment horizontal="center" wrapText="1"/>
    </xf>
    <xf numFmtId="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1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22" customWidth="1" style="79" min="8" max="8"/>
    <col width="11" customWidth="1" style="79" min="9" max="9"/>
    <col width="14" customWidth="1" style="79" min="10" max="10"/>
    <col width="30" customWidth="1" style="79" min="11" max="11"/>
    <col hidden="1" width="13" customWidth="1" style="79" min="13" max="13"/>
  </cols>
  <sheetData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  <c r="L4" s="89" t="inlineStr">
        <is>
          <t>P(deliver by YE2031)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99%; inside Pine 43 master plan — distinct from proposed 270u CUP (#43)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9">
      <c r="B29" s="9" t="n"/>
      <c r="C29" s="85" t="inlineStr">
        <is>
          <t>LEASING UP (5 properties, 815 units)</t>
        </is>
      </c>
    </row>
    <row r="30">
      <c r="B30" s="10" t="n">
        <v>23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24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25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26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27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16" t="n"/>
      <c r="C36" s="81" t="inlineStr">
        <is>
          <t>UNDER CONSTRUCTION (5 properties, 1,177 units)</t>
        </is>
      </c>
    </row>
    <row r="37">
      <c r="B37" s="17" t="n">
        <v>28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18" t="inlineStr">
        <is>
          <t>—</t>
        </is>
      </c>
      <c r="I37" s="22" t="n">
        <v>3.1</v>
      </c>
      <c r="J37" s="17" t="inlineStr">
        <is>
          <t>Garden</t>
        </is>
      </c>
      <c r="K37" s="18" t="n"/>
      <c r="M37">
        <f>IFERROR(VALUE(RIGHT(E37,4))*4+MATCH(LEFT(E37,2),{"Q1","Q2","Q3","Q4"},0)-1,"")</f>
        <v/>
      </c>
    </row>
    <row r="38">
      <c r="B38" s="17" t="n">
        <v>29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18" t="inlineStr">
        <is>
          <t>—</t>
        </is>
      </c>
      <c r="I38" s="22" t="n">
        <v>4.9</v>
      </c>
      <c r="J38" s="17" t="n"/>
      <c r="K38" s="18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17" t="n">
        <v>30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18" t="inlineStr">
        <is>
          <t>—</t>
        </is>
      </c>
      <c r="I39" s="22" t="n">
        <v>3.5</v>
      </c>
      <c r="J39" s="17" t="n"/>
      <c r="K39" s="18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17" t="n">
        <v>31</v>
      </c>
      <c r="C40" s="18" t="inlineStr">
        <is>
          <t>Centrepoint</t>
        </is>
      </c>
      <c r="D40" s="19" t="n">
        <v>213</v>
      </c>
      <c r="E40" s="17" t="inlineStr">
        <is>
          <t>Q1 2028</t>
        </is>
      </c>
      <c r="F40" s="20" t="n"/>
      <c r="G40" s="21" t="inlineStr">
        <is>
          <t>—</t>
        </is>
      </c>
      <c r="H40" s="18" t="inlineStr">
        <is>
          <t>Privately Owned</t>
        </is>
      </c>
      <c r="I40" s="22" t="n">
        <v>2.9</v>
      </c>
      <c r="J40" s="17" t="inlineStr">
        <is>
          <t>Mid-Rise</t>
        </is>
      </c>
      <c r="K40" s="18" t="inlineStr">
        <is>
          <t>RealPage pipeline (not yet in CoStar); Diligence: under construction - revived; permits issuing 2026</t>
        </is>
      </c>
      <c r="M40">
        <f>IFERROR(VALUE(RIGHT(E40,4))*4+MATCH(LEFT(E40,2),{"Q1","Q2","Q3","Q4"},0)-1,"")</f>
        <v/>
      </c>
    </row>
    <row r="41">
      <c r="B41" s="17" t="n">
        <v>32</v>
      </c>
      <c r="C41" s="18" t="inlineStr">
        <is>
          <t>Outer Banks Apartments</t>
        </is>
      </c>
      <c r="D41" s="19" t="n"/>
      <c r="E41" s="17" t="inlineStr">
        <is>
          <t>Q1 2028</t>
        </is>
      </c>
      <c r="F41" s="20" t="n"/>
      <c r="G41" s="21" t="n"/>
      <c r="H41" s="18" t="n"/>
      <c r="I41" s="22" t="n"/>
      <c r="J41" s="17" t="n"/>
      <c r="K41" s="18" t="inlineStr">
        <is>
          <t>PERMITTED: C-MULTI-2025-0023/-0024 + a third issued 6/17/2026 (Bldgs A/B/C, S Tallac Ln); GC Perryman Construction Mgmt; owner 10 Mile Franklin LLC. Current entitlement is H-2024-0026 (2021 CUP lapsed ~Dec 2023). ONLY permitted deal in the ring.</t>
        </is>
      </c>
      <c r="L41" s="90" t="n">
        <v>0.8</v>
      </c>
      <c r="M41">
        <f>IFERROR(VALUE(RIGHT(E41,4))*4+MATCH(LEFT(E41,2),{"Q1","Q2","Q3","Q4"},0)-1,"")</f>
        <v/>
      </c>
    </row>
    <row r="43">
      <c r="B43" s="23" t="n"/>
      <c r="C43" s="83" t="inlineStr">
        <is>
          <t>PROPOSED (15 properties, 3,978 units)</t>
        </is>
      </c>
    </row>
    <row r="44">
      <c r="B44" s="24" t="n">
        <v>33</v>
      </c>
      <c r="C44" s="25" t="inlineStr">
        <is>
          <t>Vanguard Village</t>
        </is>
      </c>
      <c r="D44" s="26" t="n">
        <v>552</v>
      </c>
      <c r="E44" s="24" t="inlineStr">
        <is>
          <t>Q1 2028</t>
        </is>
      </c>
      <c r="F44" s="27" t="n"/>
      <c r="G44" s="28" t="inlineStr">
        <is>
          <t>—</t>
        </is>
      </c>
      <c r="H44" s="25" t="inlineStr">
        <is>
          <t>Endurance Holdings / Challenger Development (CBH)</t>
        </is>
      </c>
      <c r="I44" s="29" t="n">
        <v>4.3</v>
      </c>
      <c r="J44" s="24" t="inlineStr">
        <is>
          <t>Mid-Rise</t>
        </is>
      </c>
      <c r="K44" s="25" t="inlineStr">
        <is>
          <t>CORRECTION: CoStar UC flag is bleed-over from the $50.7M Life Time club (C-NEW-2026-0003) on a commercial lot in the same plat. R-15 parcel raw, unplatted, ZERO permits across 5 weekly + Jan-2026 monthly reports. CUP likely lapsed ~Jul 2024; DA absorbed into the commercial-first District at Ten Mile agreement.</t>
        </is>
      </c>
      <c r="L44" s="90" t="n">
        <v>0.12</v>
      </c>
      <c r="M44">
        <f>IFERROR(VALUE(RIGHT(E44,4))*4+MATCH(LEFT(E44,2),{"Q1","Q2","Q3","Q4"},0)-1,"")</f>
        <v/>
      </c>
    </row>
    <row r="45">
      <c r="B45" s="24" t="n">
        <v>34</v>
      </c>
      <c r="C45" s="25" t="inlineStr">
        <is>
          <t>The Judy (Maple Grove &amp; Overland)</t>
        </is>
      </c>
      <c r="D45" s="26" t="n">
        <v>162</v>
      </c>
      <c r="E45" s="24" t="inlineStr">
        <is>
          <t>Q1 2028</t>
        </is>
      </c>
      <c r="F45" s="27" t="n"/>
      <c r="G45" s="28" t="inlineStr">
        <is>
          <t>—</t>
        </is>
      </c>
      <c r="H45" s="25" t="inlineStr">
        <is>
          <t>—</t>
        </is>
      </c>
      <c r="I45" s="29" t="n">
        <v>3.4</v>
      </c>
      <c r="J45" s="24" t="n"/>
      <c r="K45" s="25" t="inlineStr">
        <is>
          <t>174u approved by Boise Council 9/10/2024; 162 per DRH24-00090 redesign. ~4.2 of 6.1 ac cleared/graded. CUP commencement appears to expire ~9/10/2026, no extension found; approved 3-2 over a P&amp;Z denial rec.</t>
        </is>
      </c>
      <c r="L45" s="90" t="n">
        <v>0.25</v>
      </c>
      <c r="M45">
        <f>IFERROR(VALUE(RIGHT(E45,4))*4+MATCH(LEFT(E45,2),{"Q1","Q2","Q3","Q4"},0)-1,"")</f>
        <v/>
      </c>
    </row>
    <row r="46">
      <c r="B46" s="24" t="n">
        <v>35</v>
      </c>
      <c r="C46" s="25" t="inlineStr">
        <is>
          <t>Heritage Square (ex-Union 93)</t>
        </is>
      </c>
      <c r="D46" s="26" t="n">
        <v>250</v>
      </c>
      <c r="E46" s="24" t="inlineStr">
        <is>
          <t>Q1 2029</t>
        </is>
      </c>
      <c r="F46" s="27" t="n"/>
      <c r="G46" s="28" t="inlineStr">
        <is>
          <t>—</t>
        </is>
      </c>
      <c r="H46" s="25" t="inlineStr">
        <is>
          <t>—</t>
        </is>
      </c>
      <c r="I46" s="29" t="n">
        <v>1.9</v>
      </c>
      <c r="J46" s="24" t="n"/>
      <c r="K46" s="25" t="inlineStr">
        <is>
          <t>UNENTITLED: the Mar-2020 CUP covered a different program (385u, no office/hotel). Current ~250u + 120k sf office + 32k sf retail has NO filed application as of Aug 2026 ("very nascent design"). Sponsors Ahlquist + Pacific Cos; $6.77M foreclosure basis.</t>
        </is>
      </c>
      <c r="L46" s="90" t="n">
        <v>0.38</v>
      </c>
      <c r="M46">
        <f>IFERROR(VALUE(RIGHT(E46,4))*4+MATCH(LEFT(E46,2),{"Q1","Q2","Q3","Q4"},0)-1,"")</f>
        <v/>
      </c>
    </row>
    <row r="47">
      <c r="B47" s="24" t="n">
        <v>36</v>
      </c>
      <c r="C47" s="25" t="inlineStr">
        <is>
          <t>The Cole Denton</t>
        </is>
      </c>
      <c r="D47" s="26" t="n">
        <v>224</v>
      </c>
      <c r="E47" s="24" t="inlineStr">
        <is>
          <t>Q1 2029</t>
        </is>
      </c>
      <c r="F47" s="27" t="n"/>
      <c r="G47" s="28" t="inlineStr">
        <is>
          <t>—</t>
        </is>
      </c>
      <c r="H47" s="25" t="inlineStr">
        <is>
          <t>—</t>
        </is>
      </c>
      <c r="I47" s="29" t="n">
        <v>4.5</v>
      </c>
      <c r="J47" s="24" t="inlineStr">
        <is>
          <t>Mid-Rise</t>
        </is>
      </c>
      <c r="K47" s="25" t="inlineStr">
        <is>
          <t>224u version has NO CUP, no DA, no design-review approval, no confirmed hearing. Only approval this site ever had is the 2021 DA for 136u, never permitted, which must be terminated by Council. File no. PLN26-00493 unverified.</t>
        </is>
      </c>
      <c r="L47" s="90" t="n">
        <v>0.15</v>
      </c>
      <c r="M47">
        <f>IFERROR(VALUE(RIGHT(E47,4))*4+MATCH(LEFT(E47,2),{"Q1","Q2","Q3","Q4"},0)-1,"")</f>
        <v/>
      </c>
    </row>
    <row r="48">
      <c r="B48" s="24" t="n">
        <v>37</v>
      </c>
      <c r="C48" s="25" t="inlineStr">
        <is>
          <t>Rolling Hill (Assemble Management)</t>
        </is>
      </c>
      <c r="D48" s="26" t="n">
        <v>200</v>
      </c>
      <c r="E48" s="24" t="inlineStr">
        <is>
          <t>Q1 2029</t>
        </is>
      </c>
      <c r="F48" s="27" t="n"/>
      <c r="G48" s="28" t="inlineStr">
        <is>
          <t>—</t>
        </is>
      </c>
      <c r="H48" s="25" t="inlineStr">
        <is>
          <t>—</t>
        </is>
      </c>
      <c r="I48" s="29" t="n">
        <v>1</v>
      </c>
      <c r="J48" s="24" t="n"/>
      <c r="K48" s="25" t="inlineStr">
        <is>
          <t>200u/~19,517 sf confirmed at the 5/19/2026 council hearing. Cleanest entitlement in the ring, no lapse risk until ~2028. RISK: land was LOI-stage not closed at approval; View Circle collector unfunded (staff: "may never be constructed"); single unsignaled RI/RO access for 200u.</t>
        </is>
      </c>
      <c r="L48" s="90" t="n">
        <v>0.32</v>
      </c>
      <c r="M48">
        <f>IFERROR(VALUE(RIGHT(E48,4))*4+MATCH(LEFT(E48,2),{"Q1","Q2","Q3","Q4"},0)-1,"")</f>
        <v/>
      </c>
    </row>
    <row r="49">
      <c r="B49" s="24" t="n">
        <v>38</v>
      </c>
      <c r="C49" s="25" t="inlineStr">
        <is>
          <t>Record</t>
        </is>
      </c>
      <c r="D49" s="26" t="n">
        <v>472</v>
      </c>
      <c r="E49" s="24" t="inlineStr">
        <is>
          <t>TBD</t>
        </is>
      </c>
      <c r="F49" s="27" t="n"/>
      <c r="G49" s="28" t="inlineStr">
        <is>
          <t>—</t>
        </is>
      </c>
      <c r="H49" s="25" t="inlineStr">
        <is>
          <t>—</t>
        </is>
      </c>
      <c r="I49" s="29" t="n">
        <v>1.9</v>
      </c>
      <c r="J49" s="24" t="inlineStr">
        <is>
          <t>Mid-Rise</t>
        </is>
      </c>
      <c r="K49" s="25" t="inlineStr">
        <is>
          <t>ENTITLEMENT LIKELY LAPSED: CUP H-2022-0008 base clock expired ~Apr/May 2024; outside limit even with max Director TEC was ~Apr/May 2026 — passed. No TECC in any 2022-2026 council agenda. Parcel S1104347006 still PROPCODE F, TOTALVALUE $21,000. Re-entitlement required.</t>
        </is>
      </c>
      <c r="L49" s="90" t="n">
        <v>0.2</v>
      </c>
      <c r="M49">
        <f>IFERROR(VALUE(RIGHT(E49,4))*4+MATCH(LEFT(E49,2),{"Q1","Q2","Q3","Q4"},0)-1,"")</f>
        <v/>
      </c>
    </row>
    <row r="50">
      <c r="B50" s="24" t="n">
        <v>39</v>
      </c>
      <c r="C50" s="25" t="inlineStr">
        <is>
          <t>The Gateway at Ten Mile</t>
        </is>
      </c>
      <c r="D50" s="26" t="n">
        <v>390</v>
      </c>
      <c r="E50" s="24" t="inlineStr">
        <is>
          <t>TBD</t>
        </is>
      </c>
      <c r="F50" s="27" t="n"/>
      <c r="G50" s="28" t="inlineStr">
        <is>
          <t>—</t>
        </is>
      </c>
      <c r="H50" s="25" t="inlineStr">
        <is>
          <t>TGI Corp</t>
        </is>
      </c>
      <c r="I50" s="29" t="n">
        <v>3.7</v>
      </c>
      <c r="J50" s="24" t="inlineStr">
        <is>
          <t>Mid-Rise</t>
        </is>
      </c>
      <c r="K50" s="25" t="inlineStr">
        <is>
          <t>Applicant is GFI Meridian Investments LLC (NOT TGI Corp); engineer KM Engineering. Approved unanimously 11/19/2024. Developer on record: commercial first, residential 5-7 yrs out; commercial still at pad-leasing stage. CUP commencement lapses ~11/19/2026, no TEC found. Ten Mile at LOS F.</t>
        </is>
      </c>
      <c r="L50" s="90" t="n">
        <v>0.15</v>
      </c>
      <c r="M50">
        <f>IFERROR(VALUE(RIGHT(E50,4))*4+MATCH(LEFT(E50,2),{"Q1","Q2","Q3","Q4"},0)-1,"")</f>
        <v/>
      </c>
    </row>
    <row r="51">
      <c r="B51" s="24" t="n">
        <v>40</v>
      </c>
      <c r="C51" s="25" t="inlineStr">
        <is>
          <t>Syringa Crossing</t>
        </is>
      </c>
      <c r="D51" s="26" t="n">
        <v>302</v>
      </c>
      <c r="E51" s="24" t="inlineStr">
        <is>
          <t>TBD</t>
        </is>
      </c>
      <c r="F51" s="27" t="n"/>
      <c r="G51" s="28" t="inlineStr">
        <is>
          <t>—</t>
        </is>
      </c>
      <c r="H51" s="25" t="inlineStr">
        <is>
          <t>—</t>
        </is>
      </c>
      <c r="I51" s="29" t="n">
        <v>2.8</v>
      </c>
      <c r="J51" s="24" t="inlineStr">
        <is>
          <t>Mid-Rise</t>
        </is>
      </c>
      <c r="K51" s="25" t="inlineStr">
        <is>
          <t>NOT ENTITLED: unanimous P&amp;Z denial rec 4/2/2026, council remand 6/16/2026, 8+ months and 6+ hearings. Staff objection (south parcel 68% residential vs 50% cap) only partly cured. 8/6/2026 re-hearing outcome unpublished. 302u is Phase 1 only; combined plan ~400-423 homes.</t>
        </is>
      </c>
      <c r="L51" s="90" t="n">
        <v>0.12</v>
      </c>
      <c r="M51">
        <f>IFERROR(VALUE(RIGHT(E51,4))*4+MATCH(LEFT(E51,2),{"Q1","Q2","Q3","Q4"},0)-1,"")</f>
        <v/>
      </c>
    </row>
    <row r="52">
      <c r="B52" s="24" t="n">
        <v>41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25" t="inlineStr">
        <is>
          <t>Welltower Inc.</t>
        </is>
      </c>
      <c r="I52" s="29" t="n">
        <v>3.9</v>
      </c>
      <c r="J52" s="24" t="inlineStr">
        <is>
          <t>Townhome</t>
        </is>
      </c>
      <c r="K52" s="25" t="inlineStr">
        <is>
          <t>WORSE THAN RECORDED: the Jan-2024 two-year extension ALSO lapsed; a SECOND extension request (PUD21-00062) hit the Boise P&amp;Z docket 5/4/2026, outcome unknown. Land owned outright ($12M 2021, assessed $9.1M). Sponsor is a healthcare REIT — MF is non-core.</t>
        </is>
      </c>
      <c r="L52" s="90" t="n">
        <v>0.2</v>
      </c>
      <c r="M52">
        <f>IFERROR(VALUE(RIGHT(E52,4))*4+MATCH(LEFT(E52,2),{"Q1","Q2","Q3","Q4"},0)-1,"")</f>
        <v/>
      </c>
    </row>
    <row r="53">
      <c r="B53" s="24" t="n">
        <v>42</v>
      </c>
      <c r="C53" s="25" t="inlineStr">
        <is>
          <t>12565 West Fairview Avenue</t>
        </is>
      </c>
      <c r="D53" s="26" t="n">
        <v>275</v>
      </c>
      <c r="E53" s="24" t="inlineStr">
        <is>
          <t>TBD</t>
        </is>
      </c>
      <c r="F53" s="27" t="n"/>
      <c r="G53" s="28" t="inlineStr">
        <is>
          <t>—</t>
        </is>
      </c>
      <c r="H53" s="25" t="inlineStr">
        <is>
          <t>—</t>
        </is>
      </c>
      <c r="I53" s="29" t="n">
        <v>2.1</v>
      </c>
      <c r="J53" s="24" t="inlineStr">
        <is>
          <t>Mid-Rise</t>
        </is>
      </c>
      <c r="K53" s="25" t="inlineStr">
        <is>
          <t>Shows "Entitled" on Boise's live tracker; second design review DRH26-00124. BUT developer/owner identity unknown, no permit 16 months post concept review, and 4-5 story structured-parking product needs rents far above the garden hurdle. Prior AutoNation entitlement here also lapsed.</t>
        </is>
      </c>
      <c r="L53" s="90" t="n">
        <v>0.25</v>
      </c>
      <c r="M53">
        <f>IFERROR(VALUE(RIGHT(E53,4))*4+MATCH(LEFT(E53,2),{"Q1","Q2","Q3","Q4"},0)-1,"")</f>
        <v/>
      </c>
    </row>
    <row r="54">
      <c r="B54" s="24" t="n">
        <v>43</v>
      </c>
      <c r="C54" s="25" t="inlineStr">
        <is>
          <t>Pine 43 Multifamily (H-2024-0071 CUP)</t>
        </is>
      </c>
      <c r="D54" s="26" t="n">
        <v>270</v>
      </c>
      <c r="E54" s="24" t="inlineStr">
        <is>
          <t>TBD</t>
        </is>
      </c>
      <c r="F54" s="27" t="n"/>
      <c r="G54" s="28" t="inlineStr">
        <is>
          <t>—</t>
        </is>
      </c>
      <c r="H54" s="25" t="inlineStr">
        <is>
          <t>—</t>
        </is>
      </c>
      <c r="I54" s="29" t="n">
        <v>1.4</v>
      </c>
      <c r="J54" s="24" t="n"/>
      <c r="K54" s="25" t="inlineStr">
        <is>
          <t>CUP current to ~10/21/2027. Developer guidance: groundbreaking "2027 or later," TOWNHOMES FIRST not the 270u. Podium/underground parking basis well above the garden benchmark. Same MDA carries up to ~848-900 apts + ~30-35 TH over 10-12 yrs (~$1B) — see shadow row.</t>
        </is>
      </c>
      <c r="L54" s="90" t="n">
        <v>0.3</v>
      </c>
      <c r="M54">
        <f>IFERROR(VALUE(RIGHT(E54,4))*4+MATCH(LEFT(E54,2),{"Q1","Q2","Q3","Q4"},0)-1,"")</f>
        <v/>
      </c>
    </row>
    <row r="55">
      <c r="B55" s="24" t="n">
        <v>44</v>
      </c>
      <c r="C55" s="25" t="inlineStr">
        <is>
          <t>Emblem Meridian (Quarterra)</t>
        </is>
      </c>
      <c r="D55" s="26" t="n">
        <v>250</v>
      </c>
      <c r="E55" s="24" t="inlineStr">
        <is>
          <t>TBD</t>
        </is>
      </c>
      <c r="F55" s="27" t="n"/>
      <c r="G55" s="28" t="inlineStr">
        <is>
          <t>—</t>
        </is>
      </c>
      <c r="H55" s="25" t="inlineStr">
        <is>
          <t>Quarterra</t>
        </is>
      </c>
      <c r="I55" s="29" t="n">
        <v>1</v>
      </c>
      <c r="J55" s="24" t="inlineStr">
        <is>
          <t>Garden</t>
        </is>
      </c>
      <c r="K55" s="25" t="inlineStr">
        <is>
          <t>EARLIEST-STAGE DEAL: no application, no H-file, no hearing. QUARTERRA DOES NOT OWN THE LAND — Baron Properties still marketing it. 18 u/ac needs a discretionary CPAM vs a 15 u/ac cap. 250u (204 apt + 46 TH) is the plan of record; 256 is Quarterra internal. Prior Artisan approval was 138 BTR (not 131).</t>
        </is>
      </c>
      <c r="L55" s="90" t="n">
        <v>0.2</v>
      </c>
      <c r="M55">
        <f>IFERROR(VALUE(RIGHT(E55,4))*4+MATCH(LEFT(E55,2),{"Q1","Q2","Q3","Q4"},0)-1,"")</f>
        <v/>
      </c>
    </row>
    <row r="56">
      <c r="B56" s="24" t="n">
        <v>45</v>
      </c>
      <c r="C56" s="25" t="inlineStr">
        <is>
          <t>12548 West Overland Road</t>
        </is>
      </c>
      <c r="D56" s="26" t="n">
        <v>156</v>
      </c>
      <c r="E56" s="24" t="inlineStr">
        <is>
          <t>TBD</t>
        </is>
      </c>
      <c r="F56" s="27" t="n"/>
      <c r="G56" s="28" t="inlineStr">
        <is>
          <t>—</t>
        </is>
      </c>
      <c r="H56" s="25" t="inlineStr">
        <is>
          <t>—</t>
        </is>
      </c>
      <c r="I56" s="29" t="n">
        <v>1.1</v>
      </c>
      <c r="J56" s="24" t="inlineStr">
        <is>
          <t>Mid-Rise</t>
        </is>
      </c>
      <c r="K56" s="25" t="inlineStr">
        <is>
          <t>LAPSED: PUD commencement deadline ~3/12/2026 passed, no extension ever filed; zero city case activity since 10/23/2023. Owner is a family trust that listed the entitled land 8 days after approval and never found a buyer. Site still earns income as RV storage.</t>
        </is>
      </c>
      <c r="L56" s="90" t="n">
        <v>0.12</v>
      </c>
      <c r="M56">
        <f>IFERROR(VALUE(RIGHT(E56,4))*4+MATCH(LEFT(E56,2),{"Q1","Q2","Q3","Q4"},0)-1,"")</f>
        <v/>
      </c>
    </row>
    <row r="57">
      <c r="B57" s="24" t="n">
        <v>46</v>
      </c>
      <c r="C57" s="25" t="inlineStr">
        <is>
          <t>Ascent Overland</t>
        </is>
      </c>
      <c r="D57" s="26" t="n">
        <v>138</v>
      </c>
      <c r="E57" s="24" t="inlineStr">
        <is>
          <t>TBD</t>
        </is>
      </c>
      <c r="F57" s="27" t="n"/>
      <c r="G57" s="28" t="inlineStr">
        <is>
          <t>—</t>
        </is>
      </c>
      <c r="H57" s="25" t="inlineStr">
        <is>
          <t>—</t>
        </is>
      </c>
      <c r="I57" s="29" t="n">
        <v>1.5</v>
      </c>
      <c r="J57" s="24" t="inlineStr">
        <is>
          <t>Mid-Rise</t>
        </is>
      </c>
      <c r="K57" s="25" t="inlineStr">
        <is>
          <t>STATUS CHANGE: UNDER CONTRACT ~8/7/2026 after 469 days on market (Crexi/BHHS). Buyer, price, intended use all unknown. The "$5.0M CBRE asking price" we carried could NOT be verified — the live listing is unpriced. Original developer chose to sell rather than build.</t>
        </is>
      </c>
      <c r="L57" s="90" t="n">
        <v>0.22</v>
      </c>
      <c r="M57">
        <f>IFERROR(VALUE(RIGHT(E57,4))*4+MATCH(LEFT(E57,2),{"Q1","Q2","Q3","Q4"},0)-1,"")</f>
        <v/>
      </c>
    </row>
    <row r="58">
      <c r="B58" s="24" t="n">
        <v>47</v>
      </c>
      <c r="C58" s="25" t="inlineStr">
        <is>
          <t>Meridian OZ Apartments</t>
        </is>
      </c>
      <c r="D58" s="26" t="n">
        <v>36</v>
      </c>
      <c r="E58" s="24" t="inlineStr">
        <is>
          <t>TBD</t>
        </is>
      </c>
      <c r="F58" s="27" t="n"/>
      <c r="G58" s="28" t="inlineStr">
        <is>
          <t>—</t>
        </is>
      </c>
      <c r="H58" s="25" t="inlineStr">
        <is>
          <t>Peak Capital Investments Llc</t>
        </is>
      </c>
      <c r="I58" s="29" t="n">
        <v>1.1</v>
      </c>
      <c r="J58" s="24" t="inlineStr">
        <is>
          <t>Garden</t>
        </is>
      </c>
      <c r="K58" s="25" t="inlineStr">
        <is>
          <t>STATUS CHANGE: SOLD 8/7/2026 for $1,700,000 (MLS 98949803, list = close). Buyer unknown. CUP MCU-2024-0002 commencement EXPIRES ~10/17/2026 — no extension found. Survived a 2023 denial, redesigned 60u -&gt; 36u.</t>
        </is>
      </c>
      <c r="L58" s="90" t="n">
        <v>0.3</v>
      </c>
      <c r="M58">
        <f>IFERROR(VALUE(RIGHT(E58,4))*4+MATCH(LEFT(E58,2),{"Q1","Q2","Q3","Q4"},0)-1,"")</f>
        <v/>
      </c>
    </row>
    <row r="59"/>
    <row r="61">
      <c r="B61" s="84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6">
    <mergeCell ref="B3:G3"/>
    <mergeCell ref="C5:K5"/>
    <mergeCell ref="C2:G2"/>
    <mergeCell ref="C36:K36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Analysis'!C40</f>
        <v/>
      </c>
      <c r="S5" s="38">
        <f>'Competitive Analysis'!D40</f>
        <v/>
      </c>
      <c r="T5" s="39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Analysis'!C37</f>
        <v/>
      </c>
      <c r="S6" s="38">
        <f>'Competitive Analysis'!D37</f>
        <v/>
      </c>
      <c r="T6" s="39">
        <f>'Competitive Analysis'!E37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Analysis'!C38</f>
        <v/>
      </c>
      <c r="S7" s="38">
        <f>'Competitive Analysis'!D38</f>
        <v/>
      </c>
      <c r="T7" s="39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Analysis'!C39</f>
        <v/>
      </c>
      <c r="S8" s="38">
        <f>'Competitive Analysis'!D39</f>
        <v/>
      </c>
      <c r="T8" s="39">
        <f>'Competitive Analysis'!E39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>
        <f>'Competitive Analysis'!C41</f>
        <v/>
      </c>
      <c r="S9" s="38">
        <f>'Competitive Analysis'!D41</f>
        <v/>
      </c>
      <c r="T9" s="39">
        <f>'Competitive Analysis'!E41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(H-2024-0071 CUP)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Analysis'!$D$5:$D$58,'Competitive Analysis'!$M$5:$M$58,"&gt;="&amp;8102,'Competitive Analysis'!$M$5:$M$58,"&lt;="&amp;8105)</f>
        <v/>
      </c>
      <c r="J19" s="47">
        <f>SUMIFS($S$5:$S$9,$W$5:$W$9,1)+SUMIFS($S$13:$S$28,$W$13:$W$28,1,$X$13:$X$28,1)</f>
        <v/>
      </c>
      <c r="K19" s="47">
        <f>SUMIFS($S$5:$S$9,$W$5:$W$9,2)+SUMIFS($S$13:$S$28,$W$13:$W$28,2,$X$13:$X$28,1)</f>
        <v/>
      </c>
      <c r="L19" s="47">
        <f>SUMIFS($S$5:$S$9,$W$5:$W$9,3)+SUMIFS($S$13:$S$28,$W$13:$W$28,3,$X$13:$X$28,1)</f>
        <v/>
      </c>
      <c r="M19" s="47">
        <f>SUMIFS($S$5:$S$9,$W$5:$W$9,4)+SUMIFS($S$13:$S$28,$W$13:$W$28,4,$X$13:$X$28,1)</f>
        <v/>
      </c>
      <c r="N19" s="47">
        <f>SUMIFS($S$5:$S$9,$W$5:$W$9,5)+SUMIFS($S$13:$S$28,$W$13:$W$28,5,$X$13:$X$28,1)</f>
        <v/>
      </c>
      <c r="O19" s="47">
        <f>SUMIFS($S$5:$S$9,$W$5:$W$9,6)+SUMIFS($S$13:$S$28,$W$13:$W$28,6,$X$13:$X$28,1)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n"/>
      <c r="S26" s="38" t="n"/>
      <c r="T26" s="43" t="n"/>
      <c r="U26" s="43" t="n"/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  <c r="R27" s="37" t="inlineStr">
        <is>
          <t>Emblem Meridian (Quarterra)</t>
        </is>
      </c>
      <c r="S27" s="38" t="n">
        <v>250</v>
      </c>
      <c r="T27" s="43" t="inlineStr">
        <is>
          <t>TBD</t>
        </is>
      </c>
      <c r="U27" s="43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  <c r="R28" s="37" t="inlineStr">
        <is>
          <t>Vanguard Village</t>
        </is>
      </c>
      <c r="S28" s="38" t="n">
        <v>552</v>
      </c>
      <c r="T28" s="43" t="inlineStr">
        <is>
          <t>Q1 2028</t>
        </is>
      </c>
      <c r="U28" s="43" t="inlineStr">
        <is>
          <t>Bear+Base</t>
        </is>
      </c>
      <c r="V28">
        <f>IFERROR(VALUE(RIGHT(T28,4))*4+MATCH(LEFT(T28,2),{"Q1","Q2","Q3","Q4"},0)-1,"")</f>
        <v/>
      </c>
      <c r="W28">
        <f>IF(V28="","",IF(V28&lt;=$Z$1,0,MAX(1,INT((V28-$Z$2)/4)+1)))</f>
        <v/>
      </c>
      <c r="X28">
        <f>IF(U28="All",1,IF(U28="Bear+Base",IF($Z$3&gt;=2,1,0),IF(U28="Bear only",IF($Z$3&gt;=3,1,0),0)))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1,177 / 552 (Outer Banks permitted+added to UC; Vanguard moved to Proposed - CoStar UC flag was Life Time club bleed-over)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PROPOSED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  <c r="P29" t="inlineStr">
        <is>
          <t>Aug 2026: developer = Endurance Holdings/Challenger (CBH); ex-Vanguard Commons 432u (2022); CoStar UC flag unconfirmed by city permit record — verify | Moved UC→PROPOSED Aug 2026 (permit unverified)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(H-2024-0071 CUP)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  <row r="48">
      <c r="A48" t="inlineStr">
        <is>
          <t>Emblem Meridian (Quarterra)</t>
        </is>
      </c>
      <c r="B48" t="inlineStr">
        <is>
          <t>2820 S Eagle Rd area, N of Eagle &amp; Victory</t>
        </is>
      </c>
      <c r="C48" t="n">
        <v>250</v>
      </c>
      <c r="G48" t="inlineStr">
        <is>
          <t>PROPOSED</t>
        </is>
      </c>
      <c r="H48" s="75" t="n"/>
      <c r="I48" s="75" t="n"/>
      <c r="J48" s="75" t="n"/>
      <c r="K48" s="76" t="n"/>
      <c r="L48" s="76" t="n"/>
      <c r="M48" s="76" t="n"/>
      <c r="N48" s="76" t="n"/>
      <c r="O48" t="inlineStr">
        <is>
          <t>Diligence</t>
        </is>
      </c>
      <c r="P48" t="inlineStr">
        <is>
          <t>Promoted from shadow watch Aug 2026 — formal early plans filed June 2026 (BoiseDev)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78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50" customWidth="1" style="79" min="7" max="7"/>
    <col width="36" customWidth="1" style="79" min="8" max="8"/>
  </cols>
  <sheetData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37" t="inlineStr">
        <is>
          <t>DEEP-DIVE VERIFIED 7/16/2026 (all verdicts survived 3-lens adversarial check). CUP H-2022-0008 heard Apr 7 2022 (staff conditioned approval on cutting to ~40 du/ac ≈ 398u vs 472 proposed); NO CZC, permit, extension, or hearing step since, and Meridian permit reports through Apr 2026 show nothing at Records Way. Under Meridian's 2-yr CUP commencement rule the entitlement has very likely expired — would need re-entitlement. Brighton's page has said 'coming soon' for 4+ years while its news feed promotes everything else. Not verifiably dead (no site sale found) — Bear-only, undated.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37" t="inlineStr">
        <is>
          <t>DEEP-DIVE VERIFIED 7/16/2026 (all verdicts survived 3-lens adversarial check). Status unchanged and current: P&amp;Z recommended denial Apr 2 2026; council unanimously REMANDED the revised plan (up to 400 homes, more office/retail, ITD right-in/right-out granted on SH-69) back to P&amp;Z on 6/17/2026; no re-hearing outcome as of 7/16/2026 and staff still say revisions don't cure comp-plan inconsistencies. Hawkins still markets the corners as a 'proposed' shopping center. No annexation, plat, or permits — Bear-case only with elevated kill risk; earliest delivery ~2029 if it survives. Land-use dossier SM-12 covers the adjacent block. | AUG 2026 AUDIT: CUP now 302 units on 15.23 ac R-40 inside ~400-home plan; P&amp;Z rec. denial 4/2/26, council remanded 6/17/26, re-heard 8/6/26.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37" t="inlineStr">
        <is>
          <t>DEEP-DIVE VERIFIED 7/16/2026 (all verdicts survived 3-lens adversarial check). Stale in BOTH directions: the 136u plan got further than believed — $11.2M foundation/podium permit BLD22-03293 was ISSUED 4/5/2024 — but was never built and EXPIRED 3/31/2026 (parcel S1007325725 still vacant land, $2.78M, on the 2026 roll). Then in May/Jun 2026 a NEW filing appeared on the same 2.13-ac MX-3/DA parcel: PLN26-00493 '580 N COLE RD - DRH', a six-story mixed-use building with 200+ apartments (sponsor almost certainly Kal Pacific), at neighborhood-meeting/design-review stage (tracker 6/15/2026). LoopNet listing off-market. Live early-stage ~200u proposal; delivery 2029+; do NOT promote to UC. City separately buying neighboring 709 N Cole for affordable housing. | AUG 2026 AUDIT: unit count raised to 224 per BoiseDev 7/27/26 (Kal Pacific abandons 2021 DA, uses Boise 2023 code).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37" t="inlineStr">
        <is>
          <t>DEEP-DIVE VERIFIED 7/16/2026 (all verdicts survived 3-lens adversarial check). Never verifiably advanced past pre-application/neighborhood-meeting stage (Apr 2025); no application, hearing, approval, or permit since — ~15 months of silence. Mar 2026 city permit report shows nothing at the address; absent from BoiseDev's Feb 2026 zoning-year recap of 2025 approvals. AutoNation still owner, site not re-listed. Bear-only shadow. Sits on land-use developable parcel S1109110516.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37" t="inlineStr">
        <is>
          <t>DEEP-DIVE VERIFIED 7/16/2026 (all verdicts survived 3-lens adversarial check). Built-to-sell entitlement drifting toward dead: PUD approved 3/12/2024 and the site was listed on LoopNet THE SAME WEEK (3/4/2024); listing since pulled with no evidence of sale (Ada Cty roll still bare 5.4-ac commercial parcel, $2.66M). Boise PUD approvals lapse 24 months absent construction =&gt; likely expired ~Mar 2026; no permit through June 2026. Overland RV Storage still operating with active waiting lists (site live; Yelp updated Jun 2026). Bear-only.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37" t="inlineStr">
        <is>
          <t>DEEP-DIVE VERIFIED 7/16/2026 (all verdicts survived 3-lens adversarial check). 60u plan never built; entitlement MODIFIED DOWN to 36 units Oct 2024 (MCU-2024-0002, Pivot North; findings adopted 10/17/2024). Owner then listed the 2.39-ac site at $1.7M as a 'fully entitled' OZ development opportunity (IMLS 98949803); listing went PENDING, now off-market as of 7/16/2026 — sale closed or withdrawn, no new owner/permit surfaced; no building permit in Meridian reports. Sponsor Realm's other Meridian project was denied Nov 2024 (winding down). Bear-only at 36u, undated.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37" t="inlineStr">
        <is>
          <t>DEEP-DIVE VERIFIED 7/16/2026 (all verdicts survived 3-lens adversarial check). Approved Mar 2022; real permitting-stage effort followed (submittals, Idaho Power payments, ACHD/Veolia coordination) but Jan 2024 Welltower took a cost-driven TWO-YEAR extension to start construction — that window has now run out with no permit ever issued at 8373 W Victory Rd (city open-data through June 2026). BoiseDev tracker stale since Feb 2022; Welltower still owns. Bear-only; CoStar's Q3 2028 has no support.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37" t="inlineStr">
        <is>
          <t>DEEP-DIVE VERIFIED 7/16/2026 (all verdicts survived 3-lens adversarial check). Entitlement live (H-2024-0010, Nov 2024) and the COMMERCIAL phase is being marketed (MJPCRE retail pad ground-lease campaign, Nov 2025) — but developer told council residential is 'at least five to seven years out' (~2030-2032) and no residential permits/plats exist through June 2026. IDENTITY WARNING: the June 2026 C-MULTI-2025-0023/24/25 permits at Franklin &amp; Ten Mile are OUTER BANKS (516u, SW corner) — do NOT attribute to Gateway. Bear-only; discard CoStar's Q4 2028.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37" t="inlineStr">
        <is>
          <t>DEEP-DIVE VERIFIED 7/16/2026 (all verdicts survived 3-lens adversarial check). Approved 5-1 Nov 2023 (11880 W Overland Rd, ~3.5 ac); 2.5+ yrs later no permit, no groundbreaking, and MVRK's own projects page still says 'TBD' (checked 7/16/2026). The site is marketed FOR SALE as a 'fully entitled development opportunity' at $4,999,999 with CBRE (MLS 98945418) — sponsor exiting, not building. Feb 2025 ConstructConnect record still 'Design' stage. Bear-only; delivery depends on a hypothetical buyer.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37" t="inlineStr">
        <is>
          <t>DEEP-DIVE VERIFIED 7/16/2026 (all verdicts survived 3-lens adversarial check). Fully entitled (council Sep 2024; DRH24-00090 refined 174→162u per city Aug 2025 Development Trends). Hawkins closed land Oct 2024, CDs complete Apr 2026, live $12.4M LP equity raise targeting Q3 2026 start. OM schedule: building permit ESTIMATED TO ISSUE ~7/21/2026; first CofO Aug 2027, last Apr 2028; 20u/mo lease-up =&gt; ~Q1 2028 first meaningful units. No permit in city lists through 6/30/2026 — stays PROPOSED. RE-CHECK Aug-Sep 2026: likely UC promotion if the raise closes. Capitalization is the timing risk. Land-use site 177 / parcel S1124223215 — conditional R-2 path being exercised.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37" t="inlineStr">
        <is>
          <t>DEEP-DIVE VERIFIED 7/16/2026 (all verdicts survived 3-lens adversarial check). Annexation + rezone + DA approved 5-1 on 5/19/2026 (200u over ~19.5-20k sf commercial, four 3-story bldgs; up from the 184u resubmittal after the 2024 denial). DA recording + CZC/design review still ahead of permits =&gt; vertical realistically late 2026 at earliest, first units unlikely before late 2028 (~Q1 2029). Old LoopNet land listing inactive (assemblage complete); 7 of 10 adjacent owners gave letters of intent to sell. Keep PROPOSED — live pipeline.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(H-2024-0071 CUP)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37" t="inlineStr">
        <is>
          <t>DEEP-DIVE VERIFIED 7/16/2026 (all verdicts survived 3-lens adversarial check). CUP H-2024-0071 live (approved 10/21/2025; commencement clock to ~Oct 2027); no appeal, foreclosure, or listing. DRB Investments says no groundbreak before 2027, townhomes first, ~$1B/900+u build-out phased 10-12 yrs. Only 2026 Pine 43 permits are SF/townhome + a monument sign — no MF permit through June 2026. Keep PROPOSED, undated; earliest plausible MF delivery ~2029. Distinct from the existing 25u 'Pine 43' comp. | AUG 2026 AUDIT: the SAME approved MDA (H-2024-0071, council 10/21/2025 4-1) also allows up to 604 vertically-integrated units + 30 TH beyond this 270u CUP — see shadow row "Pine 43 VI residential".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37" t="inlineStr">
        <is>
          <t>DEEP-DIVE VERIFIED 7/16/2026 (all verdicts survived 3-lens adversarial check). Tommy Ahlquist (Gray Owl Holdings) + The Pacific Companies bought the failed Union 93 block at the Ada County Sheriff's foreclosure auction Oct 2025 and on 7/13/2026 announced Heritage Square: the existing concrete skeleton repurposed into TWO residential towers totaling ~250 units + 120k sf Class A office + 32k sf retail (Babcock Design; McAlvain GC). Owners hope to start late 2026/early 2027, 20-24 mo buildout =&gt; ~Q1 2029. No permits issued yet — PROPOSED. Replaces the dead Union 93 row (dropped; see its diligence entry).</t>
        </is>
      </c>
      <c r="H30" s="37" t="inlineStr">
        <is>
          <t>https://boisedev.com/news/2026/07/13/union-93-heritage-square-meridian-ahlquist-pacific-companies/</t>
        </is>
      </c>
    </row>
    <row r="32">
      <c r="B32" s="37" t="inlineStr">
        <is>
          <t>Outer Banks Apartments</t>
        </is>
      </c>
      <c r="C32" s="87" t="n"/>
      <c r="D32" s="87" t="n"/>
      <c r="E32" s="87" t="n"/>
      <c r="F32" s="87" t="n"/>
      <c r="G32" s="87" t="n"/>
      <c r="H32" s="88" t="n"/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37" t="inlineStr">
        <is>
          <t>Emblem Meridian (Quarterra)</t>
        </is>
      </c>
      <c r="C34" s="77" t="n">
        <v>250</v>
      </c>
      <c r="D34" s="77" t="inlineStr">
        <is>
          <t>TBD</t>
        </is>
      </c>
      <c r="E34" s="37" t="inlineStr">
        <is>
          <t>proposed - formal early plans filed June 2026</t>
        </is>
      </c>
      <c r="F34" s="37" t="n"/>
      <c r="G34" s="37" t="inlineStr">
        <is>
          <t>PROMOTED from shadow watch Aug 2026 (user call: it is a live proposal). Quarterra "Emblem Meridian" 250 units (apartments + TH) on ~13 ac R-15, N of Eagle &amp; Victory — ex-Artisan Victory Market site (H-2022-0066 131u BTR approved 2023, never built). Formal early plans filed June 2026 per BoiseDev 6/10/26; no hearing date yet. Nearest live MF application to the subject (1.0 mi, same Eagle Rd corridor).</t>
        </is>
      </c>
      <c r="H34" s="37" t="inlineStr">
        <is>
          <t>https://boisedev.com/news/2026/06/10/meridian-emblem-victory-eagle-homes-apartment/</t>
        </is>
      </c>
    </row>
    <row r="35">
      <c r="B35" s="37" t="inlineStr">
        <is>
          <t>Vanguard Village</t>
        </is>
      </c>
      <c r="C35" s="77" t="n">
        <v>552</v>
      </c>
      <c r="D35" s="77" t="inlineStr">
        <is>
          <t>Q1 2028</t>
        </is>
      </c>
      <c r="E35" s="37" t="inlineStr">
        <is>
          <t>proposed - moved from UC (analyst call): CoStar UC flag unconfirmed by permits</t>
        </is>
      </c>
      <c r="F35" s="37" t="n"/>
      <c r="G35" s="37" t="inlineStr">
        <is>
          <t>AUG 2026: Developer identified = Endurance Holdings LLC + Challenger Development Inc (Corey Barton / CBH Homes org; same family as Yellowstone #16). Filed 2022 as "Vanguard Commons" (432u: 3-story apts + 2-story TH, 760-1,690 SF); DA amendment hearings into Sept 2024; CoStar now carries 552u UC / Q1 2028 — and its whole 5-mi UC series equals this one deal (552u), implying observed construction. BUT no C-MULTI permit for 1085 S Ten Mile appears in Meridian public permit reports 2025-26 (only unrelated commercial on Vanguard Way) and no groundbreaking press. Verify with Meridian Building or site visit before relying on delivery timing.</t>
        </is>
      </c>
      <c r="H35" s="37" t="inlineStr">
        <is>
          <t>https://boisedev.com/news/2022/08/01/vanguard-commons-meridian/</t>
        </is>
      </c>
    </row>
    <row r="36">
      <c r="B36" s="86" t="inlineStr">
        <is>
          <t>SHADOW SUPPLY (latent / untracked — watch list)</t>
        </is>
      </c>
    </row>
    <row r="37">
      <c r="B37" s="44" t="inlineStr">
        <is>
          <t>Property / Site</t>
        </is>
      </c>
      <c r="C37" s="44" t="inlineStr">
        <is>
          <t>Units</t>
        </is>
      </c>
      <c r="D37" s="44" t="inlineStr">
        <is>
          <t>Est. Delivery</t>
        </is>
      </c>
      <c r="E37" s="44" t="inlineStr">
        <is>
          <t>Status</t>
        </is>
      </c>
      <c r="F37" s="44" t="inlineStr">
        <is>
          <t>Leasing Pace</t>
        </is>
      </c>
      <c r="G37" s="44" t="inlineStr">
        <is>
          <t>Notes</t>
        </is>
      </c>
      <c r="H37" s="44" t="inlineStr">
        <is>
          <t>Source</t>
        </is>
      </c>
    </row>
    <row r="38">
      <c r="B38" s="37" t="inlineStr">
        <is>
          <t>Emblem Meridian (Quarterra) / Artisan Victory Market site</t>
        </is>
      </c>
      <c r="C38" s="77" t="inlineStr">
        <is>
          <t>250</t>
        </is>
      </c>
      <c r="D38" s="77" t="n"/>
      <c r="E38" s="37" t="n"/>
      <c r="F38" s="37" t="n"/>
      <c r="G38" s="37" t="inlineStr">
        <is>
          <t>PROMOTED Aug 2026 to pipeline row #44 (250u) — kept here for history. 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8" s="37" t="inlineStr">
        <is>
          <t>https://boisedev.com/news/2026/06/10/meridian-emblem-victory-eagle-homes-apartment/</t>
        </is>
      </c>
    </row>
    <row r="39">
      <c r="B39" s="37" t="inlineStr">
        <is>
          <t>Tanner Creek apartments (Waltman/Johnson Ln)</t>
        </is>
      </c>
      <c r="C39" s="77" t="inlineStr">
        <is>
          <t>280</t>
        </is>
      </c>
      <c r="D39" s="77" t="n"/>
      <c r="E39" s="37" t="n"/>
      <c r="F39" s="37" t="n"/>
      <c r="G39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9" s="37" t="inlineStr">
        <is>
          <t>https://boisedev.com/news/2023/11/28/plans-for-two-large-developments-off-i-84-and-meridian-rd-move-forward/</t>
        </is>
      </c>
    </row>
    <row r="40">
      <c r="B40" s="37" t="inlineStr">
        <is>
          <t>Graycliff Estates R-40 block</t>
        </is>
      </c>
      <c r="C40" s="77" t="inlineStr">
        <is>
          <t>224</t>
        </is>
      </c>
      <c r="D40" s="77" t="n"/>
      <c r="E40" s="37" t="n"/>
      <c r="F40" s="37" t="n"/>
      <c r="G40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40" s="37" t="inlineStr">
        <is>
          <t>https://www.weknowboise.com/graycliff-estates.php</t>
        </is>
      </c>
    </row>
    <row r="41">
      <c r="B41" s="37" t="inlineStr">
        <is>
          <t>Touchmark Meadow Lake Village expansion</t>
        </is>
      </c>
      <c r="C41" s="77" t="n"/>
      <c r="D41" s="77" t="n"/>
      <c r="E41" s="37" t="n"/>
      <c r="F41" s="37" t="n"/>
      <c r="G41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41" s="37" t="inlineStr">
        <is>
          <t>https://boisedev.com/news/2025/07/14/touchmark-meridian-meadowlake-mixed-use/</t>
        </is>
      </c>
    </row>
    <row r="42">
      <c r="B42" s="37" t="inlineStr">
        <is>
          <t>Ten Mile Crossing residual HDR parcels</t>
        </is>
      </c>
      <c r="C42" s="77" t="n"/>
      <c r="D42" s="77" t="n"/>
      <c r="E42" s="37" t="n"/>
      <c r="F42" s="37" t="n"/>
      <c r="G42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2" s="37" t="inlineStr">
        <is>
          <t>https://www.brighton.co/brighton-place/ten-mile-crossing/</t>
        </is>
      </c>
    </row>
    <row r="43">
      <c r="B43" s="37" t="inlineStr">
        <is>
          <t>Brighton Apex R-15 parcel (Lake Hazel)</t>
        </is>
      </c>
      <c r="C43" s="77" t="n"/>
      <c r="D43" s="77" t="n"/>
      <c r="E43" s="37" t="n"/>
      <c r="F43" s="37" t="n"/>
      <c r="G43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3" s="37" t="inlineStr">
        <is>
          <t>https://boisedev.com/news/2024/12/20/brighton-pinnacle-costco-meridian/</t>
        </is>
      </c>
    </row>
    <row r="44">
      <c r="B44" s="37" t="inlineStr">
        <is>
          <t>Outer Banks Subdivision (TM Creek / Cobalt Dr)</t>
        </is>
      </c>
      <c r="C44" s="77" t="n"/>
      <c r="D44" s="77" t="n"/>
      <c r="E44" s="37" t="n"/>
      <c r="F44" s="37" t="n"/>
      <c r="G44" s="37" t="inlineStr">
        <is>
          <t xml:space="preserve">PROMOTED Aug 2026 to pipeline row #33 "Outer Banks Apartments" (516u, groundbreaking expected 2026) — kept here for history. </t>
        </is>
      </c>
      <c r="H44" s="37" t="inlineStr">
        <is>
          <t>https://boisedev.com/news/2021/12/17/outer-banks-pera-place/</t>
        </is>
      </c>
    </row>
    <row r="45">
      <c r="B45" s="37" t="inlineStr">
        <is>
          <t>Grandview Communities (Lake Hazel &amp; Linder)</t>
        </is>
      </c>
      <c r="C45" s="77" t="inlineStr">
        <is>
          <t>130</t>
        </is>
      </c>
      <c r="D45" s="77" t="n"/>
      <c r="E45" s="37" t="n"/>
      <c r="F45" s="37" t="n"/>
      <c r="G45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5" s="37" t="inlineStr">
        <is>
          <t>https://boisedev.com/news/2025/07/07/hundreds-of-homes-apartments-planned-for-lake-hazel-and-linder/</t>
        </is>
      </c>
    </row>
    <row r="46">
      <c r="B46" s="37" t="inlineStr">
        <is>
          <t>Discovery project (Lake Hazel &amp; Locust Grove)</t>
        </is>
      </c>
      <c r="C46" s="77" t="inlineStr">
        <is>
          <t>200</t>
        </is>
      </c>
      <c r="D46" s="77" t="n"/>
      <c r="E46" s="37" t="n"/>
      <c r="F46" s="37" t="n"/>
      <c r="G46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6" s="37" t="inlineStr">
        <is>
          <t>https://boisedev.com/news/2024/04/12/200-apartments-meridian-discovery/</t>
        </is>
      </c>
    </row>
    <row r="47">
      <c r="B47" s="37" t="inlineStr">
        <is>
          <t>709 N Cole Rd (city land trust)</t>
        </is>
      </c>
      <c r="C47" s="77" t="n"/>
      <c r="D47" s="77" t="n"/>
      <c r="E47" s="37" t="n"/>
      <c r="F47" s="37" t="n"/>
      <c r="G47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7" s="37" t="inlineStr">
        <is>
          <t>https://boisedev.com/news/2026/06/01/709-cole-boise/</t>
        </is>
      </c>
    </row>
    <row r="48">
      <c r="B48" s="37" t="inlineStr">
        <is>
          <t>Aren east phase (verify)</t>
        </is>
      </c>
      <c r="C48" s="77" t="n"/>
      <c r="D48" s="77" t="n"/>
      <c r="E48" s="37" t="n"/>
      <c r="F48" s="37" t="n"/>
      <c r="G48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8" s="37" t="inlineStr">
        <is>
          <t>https://arenmeridian.com/</t>
        </is>
      </c>
    </row>
    <row r="49">
      <c r="B49" s="37" t="inlineStr">
        <is>
          <t>Murio Farms MF phases (SW Boise)</t>
        </is>
      </c>
      <c r="C49" s="77" t="n"/>
      <c r="D49" s="77" t="n"/>
      <c r="E49" s="37" t="n"/>
      <c r="F49" s="37" t="n"/>
      <c r="G49" s="37" t="inlineStr">
        <is>
          <t>AUDIT WATCH: 380-ac, 3,500-home master plan approved 2024 between Maple Grove &amp; Cole at the New York Canal; apartments in later phases (15-20 yr buildout) — long-dated only.</t>
        </is>
      </c>
      <c r="H49" s="37" t="inlineStr">
        <is>
          <t>https://www.ktvb.com/article/news/local/idaho-press/city-council-approves-murio-farms-3500-homes-southwest-boise/277-eb746dad-15bb-4c8e-868d-ca9d6c1e355e</t>
        </is>
      </c>
    </row>
    <row r="50">
      <c r="B50" s="37" t="inlineStr">
        <is>
          <t>Pine 43 VI residential (same MDA as the 270u CUP)</t>
        </is>
      </c>
      <c r="C50" s="77" t="n">
        <v>604</v>
      </c>
      <c r="D50" s="77" t="n"/>
      <c r="E50" s="37" t="n"/>
      <c r="F50" s="37" t="n"/>
      <c r="G50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50" s="37" t="inlineStr">
        <is>
          <t>https://boisedev.com/news/2025/10/22/large-urban-project-gets-green-light-from-meridian-city-council/</t>
        </is>
      </c>
    </row>
    <row r="51">
      <c r="B51" s="37" t="inlineStr">
        <is>
          <t>The District at Ten Mile (BVA + CenterCal principals)</t>
        </is>
      </c>
      <c r="C51" s="77" t="n">
        <v>1800</v>
      </c>
      <c r="D51" s="77" t="n"/>
      <c r="E51" s="37" t="n"/>
      <c r="F51" s="37" t="n"/>
      <c r="G51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51" s="37" t="inlineStr">
        <is>
          <t>https://idahobusinessreview.com/2026/06/22/district-at-ten-mile-meridian-development/</t>
        </is>
      </c>
    </row>
    <row r="52">
      <c r="B52" s="37" t="inlineStr">
        <is>
          <t>Modern Craftsman Franklin (Baron BTR, Franklin &amp; Black Cat)</t>
        </is>
      </c>
      <c r="C52" s="77" t="n">
        <v>122</v>
      </c>
      <c r="D52" s="77" t="n"/>
      <c r="E52" s="37" t="n"/>
      <c r="F52" s="37" t="n"/>
      <c r="G52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2" s="37" t="inlineStr">
        <is>
          <t>https://boisedev.com/news/2023/02/17/modern-craftsman-subdivision/</t>
        </is>
      </c>
    </row>
    <row r="53">
      <c r="B53" s="37" t="inlineStr">
        <is>
          <t>Kleiner Trust field (Fairview &amp; Eagle, 71.8 ac C-G)</t>
        </is>
      </c>
      <c r="C53" s="77" t="n"/>
      <c r="D53" s="77" t="n"/>
      <c r="E53" s="37" t="n"/>
      <c r="F53" s="37" t="n"/>
      <c r="G53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3" s="37" t="inlineStr">
        <is>
          <t>https://boisedev.com/news/2022/09/20/kleiner-eagle-fairview/</t>
        </is>
      </c>
    </row>
    <row r="54">
      <c r="B54" s="37" t="inlineStr">
        <is>
          <t>1780 E Overland Rd (5.4 ac ag-exempt C-G)</t>
        </is>
      </c>
      <c r="C54" s="77" t="n"/>
      <c r="D54" s="77" t="n"/>
      <c r="E54" s="37" t="n"/>
      <c r="F54" s="37" t="n"/>
      <c r="G54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4" s="37" t="inlineStr"/>
    </row>
    <row r="55">
      <c r="B55" s="37" t="inlineStr">
        <is>
          <t>1450 E Franklin Rd (12.8 ac ag-exempt C-G)</t>
        </is>
      </c>
      <c r="C55" s="77" t="n"/>
      <c r="D55" s="77" t="n"/>
      <c r="E55" s="37" t="n"/>
      <c r="F55" s="37" t="n"/>
      <c r="G55" s="37" t="inlineStr">
        <is>
          <t>AUG 2026 AUDIT: Was on LoopNet ("Northeast Meridian Land"), now delisted; no application (1.2 mi). Stalled 36u OZ project across the street signals weak small-MF economics.</t>
        </is>
      </c>
      <c r="H55" s="37" t="inlineStr"/>
    </row>
    <row r="56">
      <c r="B56" s="37" t="inlineStr">
        <is>
          <t>Latitude Forty Three (675/715/955 S Wells St — benign marker)</t>
        </is>
      </c>
      <c r="C56" s="77" t="n"/>
      <c r="D56" s="77" t="n"/>
      <c r="E56" s="37" t="n"/>
      <c r="F56" s="37" t="n"/>
      <c r="G56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6" s="37" t="inlineStr"/>
    </row>
    <row r="58">
      <c r="B58" s="86" t="inlineStr">
        <is>
          <t>SHOT-DOWN MF REGISTER (denied / withdrawn / expired / converted — 2015-2026 sweep, Aug 14 2026)</t>
        </is>
      </c>
    </row>
    <row r="59">
      <c r="B59" s="44" t="inlineStr">
        <is>
          <t>Project</t>
        </is>
      </c>
      <c r="C59" s="44" t="inlineStr">
        <is>
          <t>Units</t>
        </is>
      </c>
      <c r="D59" s="44" t="n"/>
      <c r="E59" s="44" t="inlineStr">
        <is>
          <t>Outcome / year</t>
        </is>
      </c>
      <c r="F59" s="44" t="n"/>
      <c r="G59" s="44" t="inlineStr">
        <is>
          <t>Notes</t>
        </is>
      </c>
      <c r="H59" s="44" t="inlineStr">
        <is>
          <t>Source</t>
        </is>
      </c>
    </row>
    <row r="60">
      <c r="B60" s="37" t="inlineStr">
        <is>
          <t>Overland &amp; Wells II / "Seasons at Meridian II" (H-2022-0030)</t>
        </is>
      </c>
      <c r="C60" s="77" t="n">
        <v>345</v>
      </c>
      <c r="D60" s="77" t="n"/>
      <c r="E60" s="37" t="inlineStr">
        <is>
          <t>DENIED Nov 2022</t>
        </is>
      </c>
      <c r="F60" s="37" t="n"/>
      <c r="G60" s="37" t="inlineStr">
        <is>
          <t>Touching parcel. Employment-land loss, failing intersections, MF over-concentration. WinCo owns; retail pads marketed. ~5% revival, earliest ~2030.</t>
        </is>
      </c>
      <c r="H60" s="37" t="inlineStr">
        <is>
          <t>meetings.municode.com MERIDIANID 11/9/2022</t>
        </is>
      </c>
    </row>
    <row r="61">
      <c r="B61" s="37" t="inlineStr">
        <is>
          <t>Andorra Senior Living (H-2019-0127) + 2021 assisted-living</t>
        </is>
      </c>
      <c r="C61" s="77" t="n">
        <v>164</v>
      </c>
      <c r="D61" s="77" t="n"/>
      <c r="E61" s="37" t="inlineStr">
        <is>
          <t>EXPIRED 2020 / DENIED 2021</t>
        </is>
      </c>
      <c r="F61" s="37" t="n"/>
      <c r="G61" s="37" t="inlineStr">
        <is>
          <t>Magic View enclave 0.3 mi: senior annexation approved 2019 but DA never signed; 2021 assisted-living denied. Site now in the for-sale Latitude 43 plat.</t>
        </is>
      </c>
      <c r="H61" s="37" t="inlineStr">
        <is>
          <t>Meridian records</t>
        </is>
      </c>
    </row>
    <row r="62">
      <c r="B62" s="37" t="inlineStr">
        <is>
          <t>Cobalt Point (H-2022-0042)</t>
        </is>
      </c>
      <c r="C62" s="77" t="n">
        <v>264</v>
      </c>
      <c r="D62" s="77" t="n"/>
      <c r="E62" s="37" t="inlineStr">
        <is>
          <t>WITHDRAWN Dec 2022</t>
        </is>
      </c>
      <c r="F62" s="37" t="n"/>
      <c r="G62" s="37" t="inlineStr">
        <is>
          <t>11.95-ac C-G at Copper Point/Cobalt Point Way (0.8 mi); never re-filed; land still vacant — entitled-once dirt, kept Low-Watch.</t>
        </is>
      </c>
      <c r="H62" s="37" t="inlineStr">
        <is>
          <t>Meridian records</t>
        </is>
      </c>
    </row>
    <row r="63">
      <c r="B63" s="37" t="inlineStr">
        <is>
          <t>Fairview Apartments (H-2023-0001)</t>
        </is>
      </c>
      <c r="C63" s="77" t="n">
        <v>150</v>
      </c>
      <c r="D63" s="77" t="n"/>
      <c r="E63" s="37" t="inlineStr">
        <is>
          <t>WITHDRAWN Jun 2023</t>
        </is>
      </c>
      <c r="F63" s="37" t="n"/>
      <c r="G63" s="37" t="inlineStr">
        <is>
          <t>1005 E Fairview; site re-tenanted as RV dealership Apr 2024.</t>
        </is>
      </c>
      <c r="H63" s="37" t="inlineStr">
        <is>
          <t>Meridian records</t>
        </is>
      </c>
    </row>
    <row r="64">
      <c r="B64" s="37" t="inlineStr">
        <is>
          <t>The 10 at Meridian (Elk Ventures)</t>
        </is>
      </c>
      <c r="C64" s="77" t="n">
        <v>559</v>
      </c>
      <c r="D64" s="77" t="n"/>
      <c r="E64" s="37" t="inlineStr">
        <is>
          <t>ABANDONED ~2024</t>
        </is>
      </c>
      <c r="F64" s="37" t="n"/>
      <c r="G64" s="37" t="inlineStr">
        <is>
          <t>SW Franklin &amp; Ten Mile; superseded by Gateway (#39) / Outer Banks (#33) — VERIFY footprint split.</t>
        </is>
      </c>
      <c r="H64" s="37" t="inlineStr">
        <is>
          <t>BoiseDev</t>
        </is>
      </c>
    </row>
    <row r="65">
      <c r="B65" s="37" t="inlineStr">
        <is>
          <t>Rolling Hill original plan</t>
        </is>
      </c>
      <c r="C65" s="77" t="n">
        <v>154</v>
      </c>
      <c r="D65" s="77" t="n"/>
      <c r="E65" s="37" t="inlineStr">
        <is>
          <t>DENIED 2024</t>
        </is>
      </c>
      <c r="F65" s="37" t="n"/>
      <c r="G65" s="37" t="inlineStr">
        <is>
          <t>First Assemble plan denied (county enclave); revised 200u APPROVED 5/19/2026 → row #37.</t>
        </is>
      </c>
      <c r="H65" s="37" t="inlineStr">
        <is>
          <t>BoiseDev 5/20/26</t>
        </is>
      </c>
    </row>
    <row r="66">
      <c r="B66" s="37" t="inlineStr">
        <is>
          <t>Madison Town Square</t>
        </is>
      </c>
      <c r="C66" s="77" t="n">
        <v>251</v>
      </c>
      <c r="D66" s="77" t="n"/>
      <c r="E66" s="37" t="inlineStr">
        <is>
          <t>WITHDRAWN Jun 2024</t>
        </is>
      </c>
      <c r="F66" s="37" t="n"/>
      <c r="G66" s="37" t="inlineStr">
        <is>
          <t>Old Sears site, 460 N Milwaukee (Boise); pulled; site for sale.</t>
        </is>
      </c>
      <c r="H66" s="37" t="inlineStr">
        <is>
          <t>BoiseDev</t>
        </is>
      </c>
    </row>
    <row r="67">
      <c r="B67" s="37" t="inlineStr">
        <is>
          <t>The Bridge at Village at Meridian</t>
        </is>
      </c>
      <c r="C67" s="77" t="n">
        <v>549</v>
      </c>
      <c r="D67" s="77" t="n"/>
      <c r="E67" s="37" t="inlineStr">
        <is>
          <t>ABANDONED Aug 2024</t>
        </is>
      </c>
      <c r="F67" s="37" t="n"/>
      <c r="G67" s="37" t="inlineStr">
        <is>
          <t>CenterCal dropped residential expansion "for lack of demand"; retail-only rebuild.</t>
        </is>
      </c>
      <c r="H67" s="37" t="inlineStr">
        <is>
          <t>BoiseDev 8/19/24</t>
        </is>
      </c>
    </row>
    <row r="68">
      <c r="B68" s="37" t="inlineStr">
        <is>
          <t>Lake Hazel &amp; Five Mile (Ada County)</t>
        </is>
      </c>
      <c r="C68" s="77" t="n">
        <v>128</v>
      </c>
      <c r="D68" s="77" t="n"/>
      <c r="E68" s="37" t="inlineStr">
        <is>
          <t>DENIED 2022 &amp; 2024</t>
        </is>
      </c>
      <c r="F68" s="37" t="n"/>
      <c r="G68" s="37" t="inlineStr">
        <is>
          <t>128u then 118u denied; 2025 commercial-only approved. Dead as MF.</t>
        </is>
      </c>
      <c r="H68" s="37" t="inlineStr">
        <is>
          <t>Ada County records</t>
        </is>
      </c>
    </row>
    <row r="69">
      <c r="B69" s="37" t="inlineStr">
        <is>
          <t>Centrepoint — Devco affordable (H-2024-0019)</t>
        </is>
      </c>
      <c r="C69" s="77" t="n">
        <v>239</v>
      </c>
      <c r="D69" s="77" t="n"/>
      <c r="E69" s="37" t="inlineStr">
        <is>
          <t>WITHDRAWN 2025</t>
        </is>
      </c>
      <c r="F69" s="37" t="n"/>
      <c r="G69" s="37" t="inlineStr">
        <is>
          <t>Affordable plan killed; superseded by 213u market-rate approval Dec 2025 → row #32.</t>
        </is>
      </c>
      <c r="H69" s="37" t="inlineStr">
        <is>
          <t>Meridian records</t>
        </is>
      </c>
    </row>
    <row r="70">
      <c r="B70" s="37" t="inlineStr">
        <is>
          <t>Newkirk (H-2024-0043)</t>
        </is>
      </c>
      <c r="C70" s="77" t="n">
        <v>216</v>
      </c>
      <c r="D70" s="77" t="n"/>
      <c r="E70" s="37" t="inlineStr">
        <is>
          <t>CONVERTED Feb 2025</t>
        </is>
      </c>
      <c r="F70" s="37" t="n"/>
      <c r="G70" s="37" t="inlineStr">
        <is>
          <t>Approved 216 apartments converted to 95 for-sale attached homes (Franklin &amp; Black Cat).</t>
        </is>
      </c>
      <c r="H70" s="37" t="inlineStr">
        <is>
          <t>BoiseDev 2/13/25</t>
        </is>
      </c>
    </row>
    <row r="71">
      <c r="B71" s="37" t="inlineStr">
        <is>
          <t>The Hummingbird</t>
        </is>
      </c>
      <c r="C71" s="77" t="n">
        <v>170</v>
      </c>
      <c r="D71" s="77" t="n"/>
      <c r="E71" s="37" t="inlineStr">
        <is>
          <t>EXPIRED spring 2025</t>
        </is>
      </c>
      <c r="F71" s="37" t="n"/>
      <c r="G71" s="37" t="inlineStr">
        <is>
          <t>60 N Cole Rd; approval lapsed; aquarium expansion planned instead.</t>
        </is>
      </c>
      <c r="H71" s="37" t="inlineStr">
        <is>
          <t>BoiseDev 8/18/25</t>
        </is>
      </c>
    </row>
    <row r="72">
      <c r="B72" s="37" t="inlineStr">
        <is>
          <t>Union 93</t>
        </is>
      </c>
      <c r="C72" s="77" t="n">
        <v>93</v>
      </c>
      <c r="D72" s="77" t="n"/>
      <c r="E72" s="37" t="inlineStr">
        <is>
          <t>FORECLOSED Oct 2025</t>
        </is>
      </c>
      <c r="F72" s="37" t="n"/>
      <c r="G72" s="37" t="inlineStr">
        <is>
          <t>Main &amp; Broadway skeleton foreclosed/auctioned; superseded by Heritage Square 250u → row #35.</t>
        </is>
      </c>
      <c r="H72" s="37" t="inlineStr">
        <is>
          <t>BoiseDev</t>
        </is>
      </c>
    </row>
    <row r="73">
      <c r="B73" s="37" t="inlineStr">
        <is>
          <t>Tanner Creek original (Schulz)</t>
        </is>
      </c>
      <c r="C73" s="77" t="n">
        <v>272</v>
      </c>
      <c r="D73" s="77" t="n"/>
      <c r="E73" s="37" t="inlineStr">
        <is>
          <t>DENIED 2018</t>
        </is>
      </c>
      <c r="F73" s="37" t="n"/>
      <c r="G73" s="37" t="inlineStr">
        <is>
          <t>Waltman Ln; corridor later approved as phased Tanner Creek (280 apts, CBH) — on watch list.</t>
        </is>
      </c>
      <c r="H73" s="37" t="inlineStr">
        <is>
          <t>Meridian records</t>
        </is>
      </c>
    </row>
    <row r="74">
      <c r="B74" t="inlineStr">
        <is>
          <t>(pattern read)</t>
        </is>
      </c>
      <c r="G74" t="inlineStr">
        <is>
          <t>Council kills big MF at retail/employment nodes (protective for subject); denial is often round one — Rolling Hill/Centrepoint/Union 93/Tanner Creek all returned in new form; Magic View enclave killed senior/MF 3x; ~2,100 units died in-ring 2024-2025. Dormant-but-entitled deals (Records #38, Victory Flats #41, Ascent #46, 12548 #45, OZ #47) remain in the chart, NOT here. Syringa #40 is contested-live.</t>
        </is>
      </c>
    </row>
    <row r="76">
      <c r="B76" s="86" t="inlineStr">
        <is>
          <t>SHADOW WATCH — ADDED AUG 14 2026 (agent sweep)</t>
        </is>
      </c>
    </row>
    <row r="77">
      <c r="B77" s="37" t="inlineStr">
        <is>
          <t>Apex Zenith (Brighton) — Lake Hazel &amp; Meridian Rd</t>
        </is>
      </c>
      <c r="C77" s="77" t="n"/>
      <c r="D77" s="77" t="n"/>
      <c r="E77" s="37" t="n"/>
      <c r="F77" s="37" t="n"/>
      <c r="G77" s="37" t="inlineStr">
        <is>
          <t>AUG 2026 SWEEP: Annexation/rezone/DA approved 4-1 Jan 2025; application references MF units; Costco portion under construction (Aug 2026 opening target). Southern ring edge (~4 mi); MF phases undated.</t>
        </is>
      </c>
      <c r="H77" s="37" t="inlineStr">
        <is>
          <t>BoiseDev / Meridian records</t>
        </is>
      </c>
    </row>
    <row r="78">
      <c r="B78" s="37" t="inlineStr">
        <is>
          <t>Victory &amp; Ten Mile mixed-use pre-app (~142 ac)</t>
        </is>
      </c>
      <c r="C78" s="77" t="n"/>
      <c r="D78" s="77" t="n"/>
      <c r="E78" s="37" t="n"/>
      <c r="F78" s="37" t="n"/>
      <c r="G78" s="37" t="inlineStr">
        <is>
          <t>AUG 2026 SWEEP: Oct 2025 pre-application concept (Mark Bottles RE / West Ada SD land) with a second housing product plausibly attached/MF; no formal file yet (~2.9 mi).</t>
        </is>
      </c>
      <c r="H78" s="37" t="inlineStr">
        <is>
          <t>Oct 2025 reporting</t>
        </is>
      </c>
    </row>
  </sheetData>
  <mergeCells count="2">
    <mergeCell ref="B32:H32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2026-08-15T04:18:41Z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