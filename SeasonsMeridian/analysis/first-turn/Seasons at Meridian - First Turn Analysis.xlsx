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nit Ledger" sheetId="2" state="visible" r:id="rId4"/>
    <sheet name="By Floor Plan" sheetId="3" state="visible" r:id="rId5"/>
    <sheet name="By Month" sheetId="4" state="visible" r:id="rId6"/>
    <sheet name="Notes" sheetId="5" state="visible" r:id="rId7"/>
  </sheets>
  <definedNames>
    <definedName function="false" hidden="true" localSheetId="1" name="_xlnm._FilterDatabase" vbProcedure="false">'Unit Ledger'!$A$1:$AO$315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<sst xmlns="http://schemas.openxmlformats.org/spreadsheetml/2006/main" count="3882" uniqueCount="1277">
  <si>
    <t xml:space="preserve">Seasons at Meridian — First Turn of the Rent Roll</t>
  </si>
  <si>
    <t xml:space="preserve">Initial tenant cohort = 314 residents in place on the 1/1/2026 rent roll, tracked to the 8/4/2026 rent roll. Measurement date: 8/4/2026.</t>
  </si>
  <si>
    <t xml:space="preserve">Convention: Retention = renewals ÷ initial leases whose first expiration came due by 8/4/26. Early terminations (left before expiration) are excluded from the ratio until their expiration passes, and shown separately. Early renewals count as renewed at their original expiration.</t>
  </si>
  <si>
    <t xml:space="preserve">RETENTION — FIRST TURN</t>
  </si>
  <si>
    <t xml:space="preserve">Initial cohort (residents on 1/1/26 roll)</t>
  </si>
  <si>
    <t xml:space="preserve">First expirations come due by 8/4/26</t>
  </si>
  <si>
    <t xml:space="preserve">    Renewed</t>
  </si>
  <si>
    <t xml:space="preserve">    Moved out</t>
  </si>
  <si>
    <t xml:space="preserve">    Month-to-month holdover (no new lease yet)</t>
  </si>
  <si>
    <t xml:space="preserve">RETENTION RATIO (renewed ÷ expirations)</t>
  </si>
  <si>
    <t xml:space="preserve">Retention if MTM holdovers ultimately renew</t>
  </si>
  <si>
    <t xml:space="preserve">Upper bound — 7 tenants expired but still in place without a new lease</t>
  </si>
  <si>
    <t xml:space="preserve">Early terminations, expiration not yet due</t>
  </si>
  <si>
    <t xml:space="preserve">Lease-breaks/skips; real attrition but no renewal decision yet</t>
  </si>
  <si>
    <t xml:space="preserve">All-in retention (early terms counted as lost)</t>
  </si>
  <si>
    <t xml:space="preserve">Not yet expired (first turn still ahead)</t>
  </si>
  <si>
    <t xml:space="preserve">RENEWAL TRADE-OUT (n = renewed; corporate excluded)</t>
  </si>
  <si>
    <t xml:space="preserve">Average</t>
  </si>
  <si>
    <t xml:space="preserve">Median</t>
  </si>
  <si>
    <t xml:space="preserve">n</t>
  </si>
  <si>
    <t xml:space="preserve">Gross trade-out (contract rent → contract rent)</t>
  </si>
  <si>
    <t xml:space="preserve">Effective trade-out (net of concessions, amortized)</t>
  </si>
  <si>
    <t xml:space="preserve">Avg prior gross rent → avg renewal gross rent</t>
  </si>
  <si>
    <t xml:space="preserve">Renewals signing at flat/zero gross increase</t>
  </si>
  <si>
    <t xml:space="preserve">Flat renewals are invisible without lease-start data — see Notes</t>
  </si>
  <si>
    <t xml:space="preserve">NEW-LEASE TRADE-OUT (turned units re-leased; corporate excluded)</t>
  </si>
  <si>
    <t xml:space="preserve">Gross trade-out (prior tenant → new tenant)</t>
  </si>
  <si>
    <t xml:space="preserve">Effective trade-out (net of concessions both sides)</t>
  </si>
  <si>
    <t xml:space="preserve">Avg prior tenant gross → avg new tenant gross</t>
  </si>
  <si>
    <t xml:space="preserve">Avg days vacant between tenants</t>
  </si>
  <si>
    <t xml:space="preserve">CONCESSION BURN-OFF (the real story)</t>
  </si>
  <si>
    <t xml:space="preserve">Initial leases with a concession (where known)</t>
  </si>
  <si>
    <t xml:space="preserve">Denominator = leases with concession data</t>
  </si>
  <si>
    <t xml:space="preserve">Avg initial concession (leases w/ concession)</t>
  </si>
  <si>
    <t xml:space="preserve">Avg initial concession in months free</t>
  </si>
  <si>
    <t xml:space="preserve">Avg concession on renewal leases</t>
  </si>
  <si>
    <t xml:space="preserve">Concessions largely disappear at renewal — hence eff &gt;&gt; gross trade-out</t>
  </si>
  <si>
    <t xml:space="preserve">Avg concession on replacement (new) leases</t>
  </si>
  <si>
    <t xml:space="preserve">Sources: Yardi rent rolls (1/1, 7/07, 7/19, 8/4/2026), Concession Burn Off (6/21, 7/30/2026 — lease start dates), Renewal Tradeouts report (5/10–7/9/2026), HelloData unit details (8/12/2026). See Notes tab for methodology and caveats.</t>
  </si>
  <si>
    <t xml:space="preserve">Unit</t>
  </si>
  <si>
    <t xml:space="preserve">Unit Type</t>
  </si>
  <si>
    <t xml:space="preserve">Beds</t>
  </si>
  <si>
    <t xml:space="preserve">SF</t>
  </si>
  <si>
    <t xml:space="preserve">Resident ID</t>
  </si>
  <si>
    <t xml:space="preserve">Resident</t>
  </si>
  <si>
    <t xml:space="preserve">Move In</t>
  </si>
  <si>
    <t xml:space="preserve">Initial Term (mo)</t>
  </si>
  <si>
    <t xml:space="preserve">Orig. First Expiration</t>
  </si>
  <si>
    <t xml:space="preserve">Exp Month</t>
  </si>
  <si>
    <t xml:space="preserve">Orig. Exp Source</t>
  </si>
  <si>
    <t xml:space="preserve">Initial Gross Rent</t>
  </si>
  <si>
    <t xml:space="preserve">Initial Concession ($)</t>
  </si>
  <si>
    <t xml:space="preserve">Initial Effective Rent</t>
  </si>
  <si>
    <t xml:space="preserve">Initial Rent Source</t>
  </si>
  <si>
    <t xml:space="preserve">Concession Source</t>
  </si>
  <si>
    <t xml:space="preserve">Outcome</t>
  </si>
  <si>
    <t xml:space="preserve">Expired by 8/4/26</t>
  </si>
  <si>
    <t xml:space="preserve">In Retention Denom</t>
  </si>
  <si>
    <t xml:space="preserve">Early Term</t>
  </si>
  <si>
    <t xml:space="preserve">Notice</t>
  </si>
  <si>
    <t xml:space="preserve">Exclude</t>
  </si>
  <si>
    <t xml:space="preserve">Renewal Date</t>
  </si>
  <si>
    <t xml:space="preserve">Renewal Term (mo)</t>
  </si>
  <si>
    <t xml:space="preserve">Renewal Gross Rent</t>
  </si>
  <si>
    <t xml:space="preserve">Renewal Concession ($)</t>
  </si>
  <si>
    <t xml:space="preserve">Renewal Effective Rent</t>
  </si>
  <si>
    <t xml:space="preserve">In Renewal Report</t>
  </si>
  <si>
    <t xml:space="preserve">Renewal Trade-Out Gross %</t>
  </si>
  <si>
    <t xml:space="preserve">Renewal Trade-Out Eff %</t>
  </si>
  <si>
    <t xml:space="preserve">Vacated Date</t>
  </si>
  <si>
    <t xml:space="preserve">New Resident ID</t>
  </si>
  <si>
    <t xml:space="preserve">New Resident</t>
  </si>
  <si>
    <t xml:space="preserve">New Move In</t>
  </si>
  <si>
    <t xml:space="preserve">New Lease Term (mo)</t>
  </si>
  <si>
    <t xml:space="preserve">New Gross Rent</t>
  </si>
  <si>
    <t xml:space="preserve">New Concession ($)</t>
  </si>
  <si>
    <t xml:space="preserve">New Effective Rent</t>
  </si>
  <si>
    <t xml:space="preserve">New-Lease Trade-Out Gross %</t>
  </si>
  <si>
    <t xml:space="preserve">New-Lease Trade-Out Eff %</t>
  </si>
  <si>
    <t xml:space="preserve">Days Vacant</t>
  </si>
  <si>
    <t xml:space="preserve">A101</t>
  </si>
  <si>
    <t xml:space="preserve">B2_Seas</t>
  </si>
  <si>
    <t xml:space="preserve">2x2</t>
  </si>
  <si>
    <t xml:space="preserve">t0035267</t>
  </si>
  <si>
    <t xml:space="preserve">Emely Ramirez</t>
  </si>
  <si>
    <t xml:space="preserve">2026-12</t>
  </si>
  <si>
    <t xml:space="preserve">Rent roll (still on initial lease)</t>
  </si>
  <si>
    <t xml:space="preserve">RR 1/1/26</t>
  </si>
  <si>
    <t xml:space="preserve">Burn-off</t>
  </si>
  <si>
    <t xml:space="preserve">Not Yet Expired</t>
  </si>
  <si>
    <t xml:space="preserve">A102</t>
  </si>
  <si>
    <t xml:space="preserve">C1a_Seas</t>
  </si>
  <si>
    <t xml:space="preserve">3x2</t>
  </si>
  <si>
    <t xml:space="preserve">t0030269</t>
  </si>
  <si>
    <t xml:space="preserve">Derek Barham</t>
  </si>
  <si>
    <t xml:space="preserve">2026-02</t>
  </si>
  <si>
    <t xml:space="preserve">HelloData (ask-eff x term)</t>
  </si>
  <si>
    <t xml:space="preserve">Moved Out</t>
  </si>
  <si>
    <t xml:space="preserve">Y</t>
  </si>
  <si>
    <t xml:space="preserve">t0038493</t>
  </si>
  <si>
    <t xml:space="preserve">Matthew Fielder</t>
  </si>
  <si>
    <t xml:space="preserve">A103</t>
  </si>
  <si>
    <t xml:space="preserve">A1_Seas</t>
  </si>
  <si>
    <t xml:space="preserve">1x1</t>
  </si>
  <si>
    <t xml:space="preserve">t0041303</t>
  </si>
  <si>
    <t xml:space="preserve">Samantha Post</t>
  </si>
  <si>
    <t xml:space="preserve">2026-10</t>
  </si>
  <si>
    <t xml:space="preserve">A104</t>
  </si>
  <si>
    <t xml:space="preserve">A2_Seas</t>
  </si>
  <si>
    <t xml:space="preserve">t0036159</t>
  </si>
  <si>
    <t xml:space="preserve">Nancy Bain</t>
  </si>
  <si>
    <t xml:space="preserve">2027-05</t>
  </si>
  <si>
    <t xml:space="preserve">A105</t>
  </si>
  <si>
    <t xml:space="preserve">B1_Seas</t>
  </si>
  <si>
    <t xml:space="preserve">t0031838</t>
  </si>
  <si>
    <t xml:space="preserve">Weslynn Clyne</t>
  </si>
  <si>
    <t xml:space="preserve">2026-07</t>
  </si>
  <si>
    <t xml:space="preserve">t0040872</t>
  </si>
  <si>
    <t xml:space="preserve">Parker Banner</t>
  </si>
  <si>
    <t xml:space="preserve">A106</t>
  </si>
  <si>
    <t xml:space="preserve">t0035645</t>
  </si>
  <si>
    <t xml:space="preserve">Dominic Hanna</t>
  </si>
  <si>
    <t xml:space="preserve">A107</t>
  </si>
  <si>
    <t xml:space="preserve">t0030452</t>
  </si>
  <si>
    <t xml:space="preserve">Heather Orchard</t>
  </si>
  <si>
    <t xml:space="preserve">2026-03</t>
  </si>
  <si>
    <t xml:space="preserve">Renewal lease start - 1d</t>
  </si>
  <si>
    <t xml:space="preserve">Renewed</t>
  </si>
  <si>
    <t xml:space="preserve">A108</t>
  </si>
  <si>
    <t xml:space="preserve">t0035973</t>
  </si>
  <si>
    <t xml:space="preserve">Katrina Knox</t>
  </si>
  <si>
    <t xml:space="preserve">2027-03</t>
  </si>
  <si>
    <t xml:space="preserve">A109</t>
  </si>
  <si>
    <t xml:space="preserve">t0034222</t>
  </si>
  <si>
    <t xml:space="preserve">Gavin Edens</t>
  </si>
  <si>
    <t xml:space="preserve">2026-08</t>
  </si>
  <si>
    <t xml:space="preserve">A110</t>
  </si>
  <si>
    <t xml:space="preserve">t0036419</t>
  </si>
  <si>
    <t xml:space="preserve">Zackary Dent</t>
  </si>
  <si>
    <t xml:space="preserve">2027-06</t>
  </si>
  <si>
    <t xml:space="preserve">A111</t>
  </si>
  <si>
    <t xml:space="preserve">t0035171</t>
  </si>
  <si>
    <t xml:space="preserve">Jonathan Zuniga</t>
  </si>
  <si>
    <t xml:space="preserve">2027-04</t>
  </si>
  <si>
    <t xml:space="preserve">A112</t>
  </si>
  <si>
    <t xml:space="preserve">B3a_Seas</t>
  </si>
  <si>
    <t xml:space="preserve">t0031915</t>
  </si>
  <si>
    <t xml:space="preserve">Alexandria Cowles</t>
  </si>
  <si>
    <t xml:space="preserve">2026-05</t>
  </si>
  <si>
    <t xml:space="preserve">A113</t>
  </si>
  <si>
    <t xml:space="preserve">t0032535</t>
  </si>
  <si>
    <t xml:space="preserve">Simone Thompson</t>
  </si>
  <si>
    <t xml:space="preserve">2026-06</t>
  </si>
  <si>
    <t xml:space="preserve">t0042564</t>
  </si>
  <si>
    <t xml:space="preserve">Jabier Flores Garcia</t>
  </si>
  <si>
    <t xml:space="preserve">A201</t>
  </si>
  <si>
    <t xml:space="preserve">t0033545</t>
  </si>
  <si>
    <t xml:space="preserve">Alan Khan</t>
  </si>
  <si>
    <t xml:space="preserve">t0040592</t>
  </si>
  <si>
    <t xml:space="preserve">Katelyn Greenwald</t>
  </si>
  <si>
    <t xml:space="preserve">A202</t>
  </si>
  <si>
    <t xml:space="preserve">C1b_Seas</t>
  </si>
  <si>
    <t xml:space="preserve">t0029908</t>
  </si>
  <si>
    <t xml:space="preserve">Alexandra McKenzie</t>
  </si>
  <si>
    <t xml:space="preserve">A203</t>
  </si>
  <si>
    <t xml:space="preserve">t0037105</t>
  </si>
  <si>
    <t xml:space="preserve">Malik Sullivan</t>
  </si>
  <si>
    <t xml:space="preserve">2026-04</t>
  </si>
  <si>
    <t xml:space="preserve">t0038410</t>
  </si>
  <si>
    <t xml:space="preserve">Dakotah Brown</t>
  </si>
  <si>
    <t xml:space="preserve">A204</t>
  </si>
  <si>
    <t xml:space="preserve">t0028992</t>
  </si>
  <si>
    <t xml:space="preserve">Kristine Campagni</t>
  </si>
  <si>
    <t xml:space="preserve">MTM Holdover</t>
  </si>
  <si>
    <t xml:space="preserve">A205</t>
  </si>
  <si>
    <t xml:space="preserve">t0030425</t>
  </si>
  <si>
    <t xml:space="preserve">Katie Crook</t>
  </si>
  <si>
    <t xml:space="preserve">2026-01</t>
  </si>
  <si>
    <t xml:space="preserve">t0031017</t>
  </si>
  <si>
    <t xml:space="preserve">Michael Saffery Hoopii</t>
  </si>
  <si>
    <t xml:space="preserve">A206</t>
  </si>
  <si>
    <t xml:space="preserve">t0036235</t>
  </si>
  <si>
    <t xml:space="preserve">Lukas Holloman</t>
  </si>
  <si>
    <t xml:space="preserve">A207</t>
  </si>
  <si>
    <t xml:space="preserve">t0034692</t>
  </si>
  <si>
    <t xml:space="preserve">Amy Brading</t>
  </si>
  <si>
    <t xml:space="preserve">2026-09</t>
  </si>
  <si>
    <t xml:space="preserve">A208</t>
  </si>
  <si>
    <t xml:space="preserve">t0035813</t>
  </si>
  <si>
    <t xml:space="preserve">Dylan Croner</t>
  </si>
  <si>
    <t xml:space="preserve">A209</t>
  </si>
  <si>
    <t xml:space="preserve">t0035239</t>
  </si>
  <si>
    <t xml:space="preserve">Emily Bonner</t>
  </si>
  <si>
    <t xml:space="preserve">2026-11</t>
  </si>
  <si>
    <t xml:space="preserve">A210</t>
  </si>
  <si>
    <t xml:space="preserve">t0036709</t>
  </si>
  <si>
    <t xml:space="preserve">PAYDEN WARNER</t>
  </si>
  <si>
    <t xml:space="preserve">t0037724</t>
  </si>
  <si>
    <t xml:space="preserve">Edward Gorman</t>
  </si>
  <si>
    <t xml:space="preserve">A211</t>
  </si>
  <si>
    <t xml:space="preserve">t0031285</t>
  </si>
  <si>
    <t xml:space="preserve">Jaime Valdez</t>
  </si>
  <si>
    <t xml:space="preserve">Renewal report</t>
  </si>
  <si>
    <t xml:space="preserve">A212</t>
  </si>
  <si>
    <t xml:space="preserve">B3b_Seas</t>
  </si>
  <si>
    <t xml:space="preserve">t0034758</t>
  </si>
  <si>
    <t xml:space="preserve">A213</t>
  </si>
  <si>
    <t xml:space="preserve">t0035698</t>
  </si>
  <si>
    <t xml:space="preserve">Silviu Apostu</t>
  </si>
  <si>
    <t xml:space="preserve">A301</t>
  </si>
  <si>
    <t xml:space="preserve">t0034549</t>
  </si>
  <si>
    <t xml:space="preserve">Roberto Magana</t>
  </si>
  <si>
    <t xml:space="preserve">A303</t>
  </si>
  <si>
    <t xml:space="preserve">t0035188</t>
  </si>
  <si>
    <t xml:space="preserve">Samantha Rodriguez</t>
  </si>
  <si>
    <t xml:space="preserve">A304</t>
  </si>
  <si>
    <t xml:space="preserve">t0030795</t>
  </si>
  <si>
    <t xml:space="preserve">Joseph Castillo</t>
  </si>
  <si>
    <t xml:space="preserve">t0042429</t>
  </si>
  <si>
    <t xml:space="preserve">Sriharsha Kolla</t>
  </si>
  <si>
    <t xml:space="preserve">A305</t>
  </si>
  <si>
    <t xml:space="preserve">t0032547</t>
  </si>
  <si>
    <t xml:space="preserve">Johnny Harris</t>
  </si>
  <si>
    <t xml:space="preserve">A306</t>
  </si>
  <si>
    <t xml:space="preserve">t0035738</t>
  </si>
  <si>
    <t xml:space="preserve">Lillyan Dunlap</t>
  </si>
  <si>
    <t xml:space="preserve">A307</t>
  </si>
  <si>
    <t xml:space="preserve">t0029257</t>
  </si>
  <si>
    <t xml:space="preserve">Nicholas Sleyko</t>
  </si>
  <si>
    <t xml:space="preserve">A310</t>
  </si>
  <si>
    <t xml:space="preserve">t0029775</t>
  </si>
  <si>
    <t xml:space="preserve">Leah Walborn</t>
  </si>
  <si>
    <t xml:space="preserve">A312</t>
  </si>
  <si>
    <t xml:space="preserve">t0030987</t>
  </si>
  <si>
    <t xml:space="preserve">Natalle Wallace</t>
  </si>
  <si>
    <t xml:space="preserve">t0037719</t>
  </si>
  <si>
    <t xml:space="preserve">Madeline Schmitt</t>
  </si>
  <si>
    <t xml:space="preserve">A313</t>
  </si>
  <si>
    <t xml:space="preserve">t0031035</t>
  </si>
  <si>
    <t xml:space="preserve">Paul Bockstedt III</t>
  </si>
  <si>
    <t xml:space="preserve">B101</t>
  </si>
  <si>
    <t xml:space="preserve">t0029806</t>
  </si>
  <si>
    <t xml:space="preserve">Joseph Dobson</t>
  </si>
  <si>
    <t xml:space="preserve">B102</t>
  </si>
  <si>
    <t xml:space="preserve">t0038568</t>
  </si>
  <si>
    <t xml:space="preserve">Christopher Dante</t>
  </si>
  <si>
    <t xml:space="preserve">t0035749</t>
  </si>
  <si>
    <t xml:space="preserve">Scott Pardew</t>
  </si>
  <si>
    <t xml:space="preserve">B103</t>
  </si>
  <si>
    <t xml:space="preserve">t0031260</t>
  </si>
  <si>
    <t xml:space="preserve">Kevin Dustin</t>
  </si>
  <si>
    <t xml:space="preserve">2027-02</t>
  </si>
  <si>
    <t xml:space="preserve">B105</t>
  </si>
  <si>
    <t xml:space="preserve">t0038003</t>
  </si>
  <si>
    <t xml:space="preserve">Mariana Luna</t>
  </si>
  <si>
    <t xml:space="preserve">t0041407</t>
  </si>
  <si>
    <t xml:space="preserve">Paragon Corporate Housing</t>
  </si>
  <si>
    <t xml:space="preserve">B106</t>
  </si>
  <si>
    <t xml:space="preserve">t0031389</t>
  </si>
  <si>
    <t xml:space="preserve">Ceci Palacio</t>
  </si>
  <si>
    <t xml:space="preserve">t0041650</t>
  </si>
  <si>
    <t xml:space="preserve">Murata Machinery Inc</t>
  </si>
  <si>
    <t xml:space="preserve">B107</t>
  </si>
  <si>
    <t xml:space="preserve">t0033236</t>
  </si>
  <si>
    <t xml:space="preserve">Amy Bourgoin</t>
  </si>
  <si>
    <t xml:space="preserve">2027-01</t>
  </si>
  <si>
    <t xml:space="preserve">B108</t>
  </si>
  <si>
    <t xml:space="preserve">t0033448</t>
  </si>
  <si>
    <t xml:space="preserve">Natalyn Jordan</t>
  </si>
  <si>
    <t xml:space="preserve">t0039911</t>
  </si>
  <si>
    <t xml:space="preserve">Aleksey Vanin</t>
  </si>
  <si>
    <t xml:space="preserve">B109</t>
  </si>
  <si>
    <t xml:space="preserve">t0030390</t>
  </si>
  <si>
    <t xml:space="preserve">Diocelina Leguizamon Ramirez</t>
  </si>
  <si>
    <t xml:space="preserve">B110</t>
  </si>
  <si>
    <t xml:space="preserve">S1_Seas</t>
  </si>
  <si>
    <t xml:space="preserve">Studio</t>
  </si>
  <si>
    <t xml:space="preserve">t0030047</t>
  </si>
  <si>
    <t xml:space="preserve">Raymond Huntsman</t>
  </si>
  <si>
    <t xml:space="preserve">B111</t>
  </si>
  <si>
    <t xml:space="preserve">t0035706</t>
  </si>
  <si>
    <t xml:space="preserve">Jeffrey Worley</t>
  </si>
  <si>
    <t xml:space="preserve">B112</t>
  </si>
  <si>
    <t xml:space="preserve">t0032766</t>
  </si>
  <si>
    <t xml:space="preserve">Jonathon Roberts</t>
  </si>
  <si>
    <t xml:space="preserve">t0041225</t>
  </si>
  <si>
    <t xml:space="preserve">B113</t>
  </si>
  <si>
    <t xml:space="preserve">t0034397</t>
  </si>
  <si>
    <t xml:space="preserve">Brooke Warden</t>
  </si>
  <si>
    <t xml:space="preserve">2025-12</t>
  </si>
  <si>
    <t xml:space="preserve">B201</t>
  </si>
  <si>
    <t xml:space="preserve">t0033910</t>
  </si>
  <si>
    <t xml:space="preserve">Miguel Corzo</t>
  </si>
  <si>
    <t xml:space="preserve">t0039802</t>
  </si>
  <si>
    <t xml:space="preserve">Brent Mcgirr</t>
  </si>
  <si>
    <t xml:space="preserve">B202</t>
  </si>
  <si>
    <t xml:space="preserve">t0029962</t>
  </si>
  <si>
    <t xml:space="preserve">Tamara Poff</t>
  </si>
  <si>
    <t xml:space="preserve">t0041048</t>
  </si>
  <si>
    <t xml:space="preserve">Clare Converse</t>
  </si>
  <si>
    <t xml:space="preserve">B203</t>
  </si>
  <si>
    <t xml:space="preserve">t0029849</t>
  </si>
  <si>
    <t xml:space="preserve">Jessica Macri-Feasel</t>
  </si>
  <si>
    <t xml:space="preserve">t0037754</t>
  </si>
  <si>
    <t xml:space="preserve">Anne Dalpini</t>
  </si>
  <si>
    <t xml:space="preserve">B204</t>
  </si>
  <si>
    <t xml:space="preserve">t0033388</t>
  </si>
  <si>
    <t xml:space="preserve">Sherry McKellip</t>
  </si>
  <si>
    <t xml:space="preserve">B205</t>
  </si>
  <si>
    <t xml:space="preserve">t0035120</t>
  </si>
  <si>
    <t xml:space="preserve">Harley Boisselle</t>
  </si>
  <si>
    <t xml:space="preserve">B206</t>
  </si>
  <si>
    <t xml:space="preserve">t0034065</t>
  </si>
  <si>
    <t xml:space="preserve">Mradul Mourya</t>
  </si>
  <si>
    <t xml:space="preserve">B207</t>
  </si>
  <si>
    <t xml:space="preserve">t0040535</t>
  </si>
  <si>
    <t xml:space="preserve">Camille Munk</t>
  </si>
  <si>
    <t xml:space="preserve">B208</t>
  </si>
  <si>
    <t xml:space="preserve">t0037734</t>
  </si>
  <si>
    <t xml:space="preserve">t0037959</t>
  </si>
  <si>
    <t xml:space="preserve">Kennedi Fischer</t>
  </si>
  <si>
    <t xml:space="preserve">B209</t>
  </si>
  <si>
    <t xml:space="preserve">t0030710</t>
  </si>
  <si>
    <t xml:space="preserve">Jacqueline Cornejo</t>
  </si>
  <si>
    <t xml:space="preserve">B211</t>
  </si>
  <si>
    <t xml:space="preserve">t0031131</t>
  </si>
  <si>
    <t xml:space="preserve">Megan Gist</t>
  </si>
  <si>
    <t xml:space="preserve">t0042612</t>
  </si>
  <si>
    <t xml:space="preserve">Stephanie Huner</t>
  </si>
  <si>
    <t xml:space="preserve">B212</t>
  </si>
  <si>
    <t xml:space="preserve">t0033347</t>
  </si>
  <si>
    <t xml:space="preserve">Austin Parker</t>
  </si>
  <si>
    <t xml:space="preserve">B213</t>
  </si>
  <si>
    <t xml:space="preserve">t0033040</t>
  </si>
  <si>
    <t xml:space="preserve">Sofia Orrico</t>
  </si>
  <si>
    <t xml:space="preserve">B302</t>
  </si>
  <si>
    <t xml:space="preserve">t0031340</t>
  </si>
  <si>
    <t xml:space="preserve">John Gomez</t>
  </si>
  <si>
    <t xml:space="preserve">t0040032</t>
  </si>
  <si>
    <t xml:space="preserve">Karey Hoke</t>
  </si>
  <si>
    <t xml:space="preserve">B304</t>
  </si>
  <si>
    <t xml:space="preserve">t0029884</t>
  </si>
  <si>
    <t xml:space="preserve">Zane Cooper</t>
  </si>
  <si>
    <t xml:space="preserve">t0037906</t>
  </si>
  <si>
    <t xml:space="preserve">Leah Sullivan</t>
  </si>
  <si>
    <t xml:space="preserve">B307</t>
  </si>
  <si>
    <t xml:space="preserve">t0028450</t>
  </si>
  <si>
    <t xml:space="preserve">Coleman Environmental Engineering</t>
  </si>
  <si>
    <t xml:space="preserve">B308</t>
  </si>
  <si>
    <t xml:space="preserve">t0035844</t>
  </si>
  <si>
    <t xml:space="preserve">Tim Burgett</t>
  </si>
  <si>
    <t xml:space="preserve">B309</t>
  </si>
  <si>
    <t xml:space="preserve">t0036272</t>
  </si>
  <si>
    <t xml:space="preserve">Habeeb Babatunde</t>
  </si>
  <si>
    <t xml:space="preserve">B310</t>
  </si>
  <si>
    <t xml:space="preserve">t0032334</t>
  </si>
  <si>
    <t xml:space="preserve">Tara Roehr</t>
  </si>
  <si>
    <t xml:space="preserve">t0039805</t>
  </si>
  <si>
    <t xml:space="preserve">Rikkie Flores</t>
  </si>
  <si>
    <t xml:space="preserve">B311</t>
  </si>
  <si>
    <t xml:space="preserve">t0026782</t>
  </si>
  <si>
    <t xml:space="preserve">Hannah Marcarian</t>
  </si>
  <si>
    <t xml:space="preserve">B312</t>
  </si>
  <si>
    <t xml:space="preserve">t0032713</t>
  </si>
  <si>
    <t xml:space="preserve">Omor Khan</t>
  </si>
  <si>
    <t xml:space="preserve">B313</t>
  </si>
  <si>
    <t xml:space="preserve">t0034276</t>
  </si>
  <si>
    <t xml:space="preserve">Almir Godusevic</t>
  </si>
  <si>
    <t xml:space="preserve">C101</t>
  </si>
  <si>
    <t xml:space="preserve">t0033679</t>
  </si>
  <si>
    <t xml:space="preserve">Nephi Bigler</t>
  </si>
  <si>
    <t xml:space="preserve">C102</t>
  </si>
  <si>
    <t xml:space="preserve">t0035184</t>
  </si>
  <si>
    <t xml:space="preserve">Bacilia Benitez</t>
  </si>
  <si>
    <t xml:space="preserve">t0042908</t>
  </si>
  <si>
    <t xml:space="preserve">maria colina</t>
  </si>
  <si>
    <t xml:space="preserve">C103</t>
  </si>
  <si>
    <t xml:space="preserve">t0035663</t>
  </si>
  <si>
    <t xml:space="preserve">Haley Gotchall</t>
  </si>
  <si>
    <t xml:space="preserve">C105</t>
  </si>
  <si>
    <t xml:space="preserve">t0030693</t>
  </si>
  <si>
    <t xml:space="preserve">David Ballew</t>
  </si>
  <si>
    <t xml:space="preserve">C106</t>
  </si>
  <si>
    <t xml:space="preserve">t0032889</t>
  </si>
  <si>
    <t xml:space="preserve">Khloe Risinger</t>
  </si>
  <si>
    <t xml:space="preserve">t0040715</t>
  </si>
  <si>
    <t xml:space="preserve">Catherine McInnes</t>
  </si>
  <si>
    <t xml:space="preserve">C107</t>
  </si>
  <si>
    <t xml:space="preserve">t0033579</t>
  </si>
  <si>
    <t xml:space="preserve">Melcolm Lopez</t>
  </si>
  <si>
    <t xml:space="preserve">Burn-off 6/21 (Jan roll rent was 0)</t>
  </si>
  <si>
    <t xml:space="preserve">C108</t>
  </si>
  <si>
    <t xml:space="preserve">t0031911</t>
  </si>
  <si>
    <t xml:space="preserve">Renata Holmes</t>
  </si>
  <si>
    <t xml:space="preserve">C109</t>
  </si>
  <si>
    <t xml:space="preserve">t0036085</t>
  </si>
  <si>
    <t xml:space="preserve">Emily Delzer</t>
  </si>
  <si>
    <t xml:space="preserve">C111</t>
  </si>
  <si>
    <t xml:space="preserve">t0031925</t>
  </si>
  <si>
    <t xml:space="preserve">Zachary Langford</t>
  </si>
  <si>
    <t xml:space="preserve">C112</t>
  </si>
  <si>
    <t xml:space="preserve">t0033511</t>
  </si>
  <si>
    <t xml:space="preserve">Zachary Gaines</t>
  </si>
  <si>
    <t xml:space="preserve">C113</t>
  </si>
  <si>
    <t xml:space="preserve">t0036010</t>
  </si>
  <si>
    <t xml:space="preserve">Simon Ayala Teran</t>
  </si>
  <si>
    <t xml:space="preserve">C201</t>
  </si>
  <si>
    <t xml:space="preserve">t0033287</t>
  </si>
  <si>
    <t xml:space="preserve">Matthew Luna</t>
  </si>
  <si>
    <t xml:space="preserve">C202</t>
  </si>
  <si>
    <t xml:space="preserve">t0031302</t>
  </si>
  <si>
    <t xml:space="preserve">Angelina Messecar</t>
  </si>
  <si>
    <t xml:space="preserve">C203</t>
  </si>
  <si>
    <t xml:space="preserve">t0031333</t>
  </si>
  <si>
    <t xml:space="preserve">David Berry</t>
  </si>
  <si>
    <t xml:space="preserve">C205</t>
  </si>
  <si>
    <t xml:space="preserve">t0030451</t>
  </si>
  <si>
    <t xml:space="preserve">Taylor Smith</t>
  </si>
  <si>
    <t xml:space="preserve">C206</t>
  </si>
  <si>
    <t xml:space="preserve">t0036712</t>
  </si>
  <si>
    <t xml:space="preserve">Glen Bradbury</t>
  </si>
  <si>
    <t xml:space="preserve">t0031027</t>
  </si>
  <si>
    <t xml:space="preserve">Steven Peterson</t>
  </si>
  <si>
    <t xml:space="preserve">C207</t>
  </si>
  <si>
    <t xml:space="preserve">t0033760</t>
  </si>
  <si>
    <t xml:space="preserve">Logan Juhl</t>
  </si>
  <si>
    <t xml:space="preserve">C208</t>
  </si>
  <si>
    <t xml:space="preserve">t0032011</t>
  </si>
  <si>
    <t xml:space="preserve">Julie moaddeli</t>
  </si>
  <si>
    <t xml:space="preserve">C209</t>
  </si>
  <si>
    <t xml:space="preserve">t0031949</t>
  </si>
  <si>
    <t xml:space="preserve">Connor Ashwood</t>
  </si>
  <si>
    <t xml:space="preserve">C210</t>
  </si>
  <si>
    <t xml:space="preserve">t0033480</t>
  </si>
  <si>
    <t xml:space="preserve">Kylee Gloria</t>
  </si>
  <si>
    <t xml:space="preserve">C212</t>
  </si>
  <si>
    <t xml:space="preserve">t0030621</t>
  </si>
  <si>
    <t xml:space="preserve">Holly House</t>
  </si>
  <si>
    <t xml:space="preserve">C213</t>
  </si>
  <si>
    <t xml:space="preserve">t0030186</t>
  </si>
  <si>
    <t xml:space="preserve">Tyler Winkler</t>
  </si>
  <si>
    <t xml:space="preserve">C302</t>
  </si>
  <si>
    <t xml:space="preserve">t0033532</t>
  </si>
  <si>
    <t xml:space="preserve">Lauren von Seelen</t>
  </si>
  <si>
    <t xml:space="preserve">C303</t>
  </si>
  <si>
    <t xml:space="preserve">t0036172</t>
  </si>
  <si>
    <t xml:space="preserve">Savannah Mancini</t>
  </si>
  <si>
    <t xml:space="preserve">C306</t>
  </si>
  <si>
    <t xml:space="preserve">t0036148</t>
  </si>
  <si>
    <t xml:space="preserve">Elijah Johnson</t>
  </si>
  <si>
    <t xml:space="preserve">C307</t>
  </si>
  <si>
    <t xml:space="preserve">t0034039</t>
  </si>
  <si>
    <t xml:space="preserve">Philip Mengeling</t>
  </si>
  <si>
    <t xml:space="preserve">C313</t>
  </si>
  <si>
    <t xml:space="preserve">t0030322</t>
  </si>
  <si>
    <t xml:space="preserve">Erika Marangi</t>
  </si>
  <si>
    <t xml:space="preserve">D101</t>
  </si>
  <si>
    <t xml:space="preserve">t0034396</t>
  </si>
  <si>
    <t xml:space="preserve">Cole McCunniff</t>
  </si>
  <si>
    <t xml:space="preserve">t0040447</t>
  </si>
  <si>
    <t xml:space="preserve">Tana Mclaughlin</t>
  </si>
  <si>
    <t xml:space="preserve">D102</t>
  </si>
  <si>
    <t xml:space="preserve">t0030197</t>
  </si>
  <si>
    <t xml:space="preserve">Stanimir Ilchev</t>
  </si>
  <si>
    <t xml:space="preserve">D103</t>
  </si>
  <si>
    <t xml:space="preserve">t0031960</t>
  </si>
  <si>
    <t xml:space="preserve">Caleb Cosentino</t>
  </si>
  <si>
    <t xml:space="preserve">D104</t>
  </si>
  <si>
    <t xml:space="preserve">t0033339</t>
  </si>
  <si>
    <t xml:space="preserve">Caden Paulson</t>
  </si>
  <si>
    <t xml:space="preserve">t0041472</t>
  </si>
  <si>
    <t xml:space="preserve">Zach Pulkinen</t>
  </si>
  <si>
    <t xml:space="preserve">D106</t>
  </si>
  <si>
    <t xml:space="preserve">t0036343</t>
  </si>
  <si>
    <t xml:space="preserve">Laura Calderon Quintana</t>
  </si>
  <si>
    <t xml:space="preserve">D107</t>
  </si>
  <si>
    <t xml:space="preserve">t0033088</t>
  </si>
  <si>
    <t xml:space="preserve">Cristina Hernandez</t>
  </si>
  <si>
    <t xml:space="preserve">t0042667</t>
  </si>
  <si>
    <t xml:space="preserve">Sam Burkholder</t>
  </si>
  <si>
    <t xml:space="preserve">D108</t>
  </si>
  <si>
    <t xml:space="preserve">t0036485</t>
  </si>
  <si>
    <t xml:space="preserve">Logan Cano</t>
  </si>
  <si>
    <t xml:space="preserve">D109</t>
  </si>
  <si>
    <t xml:space="preserve">t0036221</t>
  </si>
  <si>
    <t xml:space="preserve">Javier Albor</t>
  </si>
  <si>
    <t xml:space="preserve">D110</t>
  </si>
  <si>
    <t xml:space="preserve">t0031815</t>
  </si>
  <si>
    <t xml:space="preserve">Cindy Chandler</t>
  </si>
  <si>
    <t xml:space="preserve">D112</t>
  </si>
  <si>
    <t xml:space="preserve">t0038490</t>
  </si>
  <si>
    <t xml:space="preserve">Joshua Crawford</t>
  </si>
  <si>
    <t xml:space="preserve">t0038633</t>
  </si>
  <si>
    <t xml:space="preserve">Case Cardenas</t>
  </si>
  <si>
    <t xml:space="preserve">D113</t>
  </si>
  <si>
    <t xml:space="preserve">t0031752</t>
  </si>
  <si>
    <t xml:space="preserve">Emma Renn</t>
  </si>
  <si>
    <t xml:space="preserve">t0039860</t>
  </si>
  <si>
    <t xml:space="preserve">Lorena Limon-Walker</t>
  </si>
  <si>
    <t xml:space="preserve">D201</t>
  </si>
  <si>
    <t xml:space="preserve">t0034989</t>
  </si>
  <si>
    <t xml:space="preserve">Grace Chronister</t>
  </si>
  <si>
    <t xml:space="preserve">D202</t>
  </si>
  <si>
    <t xml:space="preserve">t0039482</t>
  </si>
  <si>
    <t xml:space="preserve">Annabella Pierotti</t>
  </si>
  <si>
    <t xml:space="preserve">None found (eff = gross)</t>
  </si>
  <si>
    <t xml:space="preserve">t0041717</t>
  </si>
  <si>
    <t xml:space="preserve">Mark Garcia</t>
  </si>
  <si>
    <t xml:space="preserve">D205</t>
  </si>
  <si>
    <t xml:space="preserve">t0036634</t>
  </si>
  <si>
    <t xml:space="preserve">Morggan Frank</t>
  </si>
  <si>
    <t xml:space="preserve">D207</t>
  </si>
  <si>
    <t xml:space="preserve">t0027817</t>
  </si>
  <si>
    <t xml:space="preserve">Landen King</t>
  </si>
  <si>
    <t xml:space="preserve">t0035639</t>
  </si>
  <si>
    <t xml:space="preserve">D210</t>
  </si>
  <si>
    <t xml:space="preserve">t0036702</t>
  </si>
  <si>
    <t xml:space="preserve">Emily Batt</t>
  </si>
  <si>
    <t xml:space="preserve">t0041421</t>
  </si>
  <si>
    <t xml:space="preserve">Jackalyn Gates</t>
  </si>
  <si>
    <t xml:space="preserve">D213</t>
  </si>
  <si>
    <t xml:space="preserve">t0032561</t>
  </si>
  <si>
    <t xml:space="preserve">Juliana Hernandez</t>
  </si>
  <si>
    <t xml:space="preserve">D301</t>
  </si>
  <si>
    <t xml:space="preserve">t0030324</t>
  </si>
  <si>
    <t xml:space="preserve">Cedar Massie</t>
  </si>
  <si>
    <t xml:space="preserve">D304</t>
  </si>
  <si>
    <t xml:space="preserve">t0035947</t>
  </si>
  <si>
    <t xml:space="preserve">Nikolas Viitaniemi</t>
  </si>
  <si>
    <t xml:space="preserve">D307</t>
  </si>
  <si>
    <t xml:space="preserve">t0028245</t>
  </si>
  <si>
    <t xml:space="preserve">Casey Martin</t>
  </si>
  <si>
    <t xml:space="preserve">HelloData episode (pre-Jan renewal)</t>
  </si>
  <si>
    <t xml:space="preserve">D308</t>
  </si>
  <si>
    <t xml:space="preserve">t0036345</t>
  </si>
  <si>
    <t xml:space="preserve">Cameron Ward</t>
  </si>
  <si>
    <t xml:space="preserve">D310</t>
  </si>
  <si>
    <t xml:space="preserve">t0032629</t>
  </si>
  <si>
    <t xml:space="preserve">Anahita Sadrossadat</t>
  </si>
  <si>
    <t xml:space="preserve">D311</t>
  </si>
  <si>
    <t xml:space="preserve">t0040571</t>
  </si>
  <si>
    <t xml:space="preserve">Samuel Oliferchik</t>
  </si>
  <si>
    <t xml:space="preserve">t0041398</t>
  </si>
  <si>
    <t xml:space="preserve">D312</t>
  </si>
  <si>
    <t xml:space="preserve">t0034004</t>
  </si>
  <si>
    <t xml:space="preserve">Joseph Leuschen</t>
  </si>
  <si>
    <t xml:space="preserve">D313</t>
  </si>
  <si>
    <t xml:space="preserve">t0033331</t>
  </si>
  <si>
    <t xml:space="preserve">Riley Farnsworth</t>
  </si>
  <si>
    <t xml:space="preserve">t0041999</t>
  </si>
  <si>
    <t xml:space="preserve">Brian Gray</t>
  </si>
  <si>
    <t xml:space="preserve">E101</t>
  </si>
  <si>
    <t xml:space="preserve">t0034400</t>
  </si>
  <si>
    <t xml:space="preserve">Jonathan Chavez</t>
  </si>
  <si>
    <t xml:space="preserve">E102</t>
  </si>
  <si>
    <t xml:space="preserve">t0034092</t>
  </si>
  <si>
    <t xml:space="preserve">Kayla Chauvin</t>
  </si>
  <si>
    <t xml:space="preserve">E103</t>
  </si>
  <si>
    <t xml:space="preserve">t0036234</t>
  </si>
  <si>
    <t xml:space="preserve">Jeff Beaudette</t>
  </si>
  <si>
    <t xml:space="preserve">E104</t>
  </si>
  <si>
    <t xml:space="preserve">t0035751</t>
  </si>
  <si>
    <t xml:space="preserve">Jessica Collins</t>
  </si>
  <si>
    <t xml:space="preserve">E105</t>
  </si>
  <si>
    <t xml:space="preserve">t0035265</t>
  </si>
  <si>
    <t xml:space="preserve">Janpreet Singh</t>
  </si>
  <si>
    <t xml:space="preserve">E106</t>
  </si>
  <si>
    <t xml:space="preserve">t0033629</t>
  </si>
  <si>
    <t xml:space="preserve">Tea Recanzone</t>
  </si>
  <si>
    <t xml:space="preserve">t0041408</t>
  </si>
  <si>
    <t xml:space="preserve">E107</t>
  </si>
  <si>
    <t xml:space="preserve">t0033668</t>
  </si>
  <si>
    <t xml:space="preserve">Haley Fellman</t>
  </si>
  <si>
    <t xml:space="preserve">2027-07</t>
  </si>
  <si>
    <t xml:space="preserve">E110</t>
  </si>
  <si>
    <t xml:space="preserve">t0036249</t>
  </si>
  <si>
    <t xml:space="preserve">Jeremy Scuffham</t>
  </si>
  <si>
    <t xml:space="preserve">E111</t>
  </si>
  <si>
    <t xml:space="preserve">t0031964</t>
  </si>
  <si>
    <t xml:space="preserve">Kay Warsinske</t>
  </si>
  <si>
    <t xml:space="preserve">t0041410</t>
  </si>
  <si>
    <t xml:space="preserve">E112</t>
  </si>
  <si>
    <t xml:space="preserve">t0031668</t>
  </si>
  <si>
    <t xml:space="preserve">Jonathan Willis</t>
  </si>
  <si>
    <t xml:space="preserve">E113</t>
  </si>
  <si>
    <t xml:space="preserve">t0031225</t>
  </si>
  <si>
    <t xml:space="preserve">Maria de Jesus Ramirez</t>
  </si>
  <si>
    <t xml:space="preserve">t0039790</t>
  </si>
  <si>
    <t xml:space="preserve">Arrin Gunn</t>
  </si>
  <si>
    <t xml:space="preserve">E201</t>
  </si>
  <si>
    <t xml:space="preserve">t0032972</t>
  </si>
  <si>
    <t xml:space="preserve">Ruslan BAKLANOV</t>
  </si>
  <si>
    <t xml:space="preserve">E202</t>
  </si>
  <si>
    <t xml:space="preserve">t0031050</t>
  </si>
  <si>
    <t xml:space="preserve">Kristen Summers</t>
  </si>
  <si>
    <t xml:space="preserve">E203</t>
  </si>
  <si>
    <t xml:space="preserve">t0031287</t>
  </si>
  <si>
    <t xml:space="preserve">Jacob Lewis</t>
  </si>
  <si>
    <t xml:space="preserve">t0040207</t>
  </si>
  <si>
    <t xml:space="preserve">Sebastian Mooney</t>
  </si>
  <si>
    <t xml:space="preserve">E204</t>
  </si>
  <si>
    <t xml:space="preserve">t0031417</t>
  </si>
  <si>
    <t xml:space="preserve">Nick Adams</t>
  </si>
  <si>
    <t xml:space="preserve">E205</t>
  </si>
  <si>
    <t xml:space="preserve">t0033020</t>
  </si>
  <si>
    <t xml:space="preserve">Dalton Bjorum</t>
  </si>
  <si>
    <t xml:space="preserve">E206</t>
  </si>
  <si>
    <t xml:space="preserve">t0029911</t>
  </si>
  <si>
    <t xml:space="preserve">Lyndsie Bell</t>
  </si>
  <si>
    <t xml:space="preserve">E207</t>
  </si>
  <si>
    <t xml:space="preserve">t0032407</t>
  </si>
  <si>
    <t xml:space="preserve">Randy Hunter</t>
  </si>
  <si>
    <t xml:space="preserve">E208</t>
  </si>
  <si>
    <t xml:space="preserve">t0036465</t>
  </si>
  <si>
    <t xml:space="preserve">Robert Acevedo</t>
  </si>
  <si>
    <t xml:space="preserve">t0039810</t>
  </si>
  <si>
    <t xml:space="preserve">Angelina Correia</t>
  </si>
  <si>
    <t xml:space="preserve">E210</t>
  </si>
  <si>
    <t xml:space="preserve">t0031091</t>
  </si>
  <si>
    <t xml:space="preserve">Kristy Figg</t>
  </si>
  <si>
    <t xml:space="preserve">t0040799</t>
  </si>
  <si>
    <t xml:space="preserve">Timothy Liu</t>
  </si>
  <si>
    <t xml:space="preserve">E211</t>
  </si>
  <si>
    <t xml:space="preserve">t0035711</t>
  </si>
  <si>
    <t xml:space="preserve">Jacob Gonzalez</t>
  </si>
  <si>
    <t xml:space="preserve">E213</t>
  </si>
  <si>
    <t xml:space="preserve">t0037957</t>
  </si>
  <si>
    <t xml:space="preserve">t0038417</t>
  </si>
  <si>
    <t xml:space="preserve">Kelcey Cooper</t>
  </si>
  <si>
    <t xml:space="preserve">E302</t>
  </si>
  <si>
    <t xml:space="preserve">t0030916</t>
  </si>
  <si>
    <t xml:space="preserve">Emma Winfield</t>
  </si>
  <si>
    <t xml:space="preserve">E304</t>
  </si>
  <si>
    <t xml:space="preserve">t0030516</t>
  </si>
  <si>
    <t xml:space="preserve">Laura Morin</t>
  </si>
  <si>
    <t xml:space="preserve">t0042719</t>
  </si>
  <si>
    <t xml:space="preserve">Anjali Devabhaktuni</t>
  </si>
  <si>
    <t xml:space="preserve">E309</t>
  </si>
  <si>
    <t xml:space="preserve">t0035874</t>
  </si>
  <si>
    <t xml:space="preserve">Suzana Grindle</t>
  </si>
  <si>
    <t xml:space="preserve">t0040460</t>
  </si>
  <si>
    <t xml:space="preserve">Enrique Castro Torres</t>
  </si>
  <si>
    <t xml:space="preserve">E310</t>
  </si>
  <si>
    <t xml:space="preserve">t0036509</t>
  </si>
  <si>
    <t xml:space="preserve">Landon Darst</t>
  </si>
  <si>
    <t xml:space="preserve">t0037823</t>
  </si>
  <si>
    <t xml:space="preserve">Maria Gaustelum Logan</t>
  </si>
  <si>
    <t xml:space="preserve">E311</t>
  </si>
  <si>
    <t xml:space="preserve">t0036641</t>
  </si>
  <si>
    <t xml:space="preserve">Shaun Greene</t>
  </si>
  <si>
    <t xml:space="preserve">E312</t>
  </si>
  <si>
    <t xml:space="preserve">t0030883</t>
  </si>
  <si>
    <t xml:space="preserve">Kylund Facer</t>
  </si>
  <si>
    <t xml:space="preserve">E313</t>
  </si>
  <si>
    <t xml:space="preserve">t0031264</t>
  </si>
  <si>
    <t xml:space="preserve">Crystal Rodgers</t>
  </si>
  <si>
    <t xml:space="preserve">F101</t>
  </si>
  <si>
    <t xml:space="preserve">t0034190</t>
  </si>
  <si>
    <t xml:space="preserve">Amanda Ormsby Alvarez</t>
  </si>
  <si>
    <t xml:space="preserve">F102</t>
  </si>
  <si>
    <t xml:space="preserve">t0032805</t>
  </si>
  <si>
    <t xml:space="preserve">Camille Nielsen</t>
  </si>
  <si>
    <t xml:space="preserve">F103</t>
  </si>
  <si>
    <t xml:space="preserve">t0030788</t>
  </si>
  <si>
    <t xml:space="preserve">Christopher Utley</t>
  </si>
  <si>
    <t xml:space="preserve">t0037755</t>
  </si>
  <si>
    <t xml:space="preserve">Mike Gorman</t>
  </si>
  <si>
    <t xml:space="preserve">F104</t>
  </si>
  <si>
    <t xml:space="preserve">t0033307</t>
  </si>
  <si>
    <t xml:space="preserve">Kricia Tauiliili</t>
  </si>
  <si>
    <t xml:space="preserve">F105</t>
  </si>
  <si>
    <t xml:space="preserve">t0035888</t>
  </si>
  <si>
    <t xml:space="preserve">Dawson Brake</t>
  </si>
  <si>
    <t xml:space="preserve">F106</t>
  </si>
  <si>
    <t xml:space="preserve">t0036072</t>
  </si>
  <si>
    <t xml:space="preserve">Zachary Tornquist</t>
  </si>
  <si>
    <t xml:space="preserve">F107</t>
  </si>
  <si>
    <t xml:space="preserve">t0033983</t>
  </si>
  <si>
    <t xml:space="preserve">Karen Davis</t>
  </si>
  <si>
    <t xml:space="preserve">F108</t>
  </si>
  <si>
    <t xml:space="preserve">t0033374</t>
  </si>
  <si>
    <t xml:space="preserve">Amber Thometz</t>
  </si>
  <si>
    <t xml:space="preserve">F109</t>
  </si>
  <si>
    <t xml:space="preserve">t0033338</t>
  </si>
  <si>
    <t xml:space="preserve">Eduardo Rueda</t>
  </si>
  <si>
    <t xml:space="preserve">t0042556</t>
  </si>
  <si>
    <t xml:space="preserve">Adrian Tate</t>
  </si>
  <si>
    <t xml:space="preserve">F111</t>
  </si>
  <si>
    <t xml:space="preserve">t0033145</t>
  </si>
  <si>
    <t xml:space="preserve">Ricardo Blanco</t>
  </si>
  <si>
    <t xml:space="preserve">t0039960</t>
  </si>
  <si>
    <t xml:space="preserve">Avery Lallande</t>
  </si>
  <si>
    <t xml:space="preserve">F112</t>
  </si>
  <si>
    <t xml:space="preserve">t0032440</t>
  </si>
  <si>
    <t xml:space="preserve">Arturo Martinez</t>
  </si>
  <si>
    <t xml:space="preserve">F113</t>
  </si>
  <si>
    <t xml:space="preserve">t0033989</t>
  </si>
  <si>
    <t xml:space="preserve">Andrew Towles</t>
  </si>
  <si>
    <t xml:space="preserve">F201</t>
  </si>
  <si>
    <t xml:space="preserve">t0033357</t>
  </si>
  <si>
    <t xml:space="preserve">Cameron Hom</t>
  </si>
  <si>
    <t xml:space="preserve">F202</t>
  </si>
  <si>
    <t xml:space="preserve">t0031987</t>
  </si>
  <si>
    <t xml:space="preserve">Ivan Barrera</t>
  </si>
  <si>
    <t xml:space="preserve">t0041224</t>
  </si>
  <si>
    <t xml:space="preserve">F203</t>
  </si>
  <si>
    <t xml:space="preserve">t0030721</t>
  </si>
  <si>
    <t xml:space="preserve">Lauren Doggett</t>
  </si>
  <si>
    <t xml:space="preserve">F204</t>
  </si>
  <si>
    <t xml:space="preserve">t0031290</t>
  </si>
  <si>
    <t xml:space="preserve">Michael Alloggio</t>
  </si>
  <si>
    <t xml:space="preserve">t0042733</t>
  </si>
  <si>
    <t xml:space="preserve">Christopher Rodriguez</t>
  </si>
  <si>
    <t xml:space="preserve">F205</t>
  </si>
  <si>
    <t xml:space="preserve">t0030384</t>
  </si>
  <si>
    <t xml:space="preserve">Isabella Andolfi</t>
  </si>
  <si>
    <t xml:space="preserve">F207</t>
  </si>
  <si>
    <t xml:space="preserve">t0033504</t>
  </si>
  <si>
    <t xml:space="preserve">Daniel Nassiri</t>
  </si>
  <si>
    <t xml:space="preserve">F208</t>
  </si>
  <si>
    <t xml:space="preserve">t0030993</t>
  </si>
  <si>
    <t xml:space="preserve">Lawrence Wells</t>
  </si>
  <si>
    <t xml:space="preserve">F209</t>
  </si>
  <si>
    <t xml:space="preserve">t0030454</t>
  </si>
  <si>
    <t xml:space="preserve">Gabriella Rice</t>
  </si>
  <si>
    <t xml:space="preserve">F210</t>
  </si>
  <si>
    <t xml:space="preserve">t0033323</t>
  </si>
  <si>
    <t xml:space="preserve">Gabriela Tennessen</t>
  </si>
  <si>
    <t xml:space="preserve">F211</t>
  </si>
  <si>
    <t xml:space="preserve">t0030833</t>
  </si>
  <si>
    <t xml:space="preserve">Brooke Jorde</t>
  </si>
  <si>
    <t xml:space="preserve">F212</t>
  </si>
  <si>
    <t xml:space="preserve">t0031191</t>
  </si>
  <si>
    <t xml:space="preserve">River Park</t>
  </si>
  <si>
    <t xml:space="preserve">t0040203</t>
  </si>
  <si>
    <t xml:space="preserve">Jeannetta Helms</t>
  </si>
  <si>
    <t xml:space="preserve">F213</t>
  </si>
  <si>
    <t xml:space="preserve">t0030945</t>
  </si>
  <si>
    <t xml:space="preserve">Remi Brandley</t>
  </si>
  <si>
    <t xml:space="preserve">F301</t>
  </si>
  <si>
    <t xml:space="preserve">t0031873</t>
  </si>
  <si>
    <t xml:space="preserve">Rianne Downing</t>
  </si>
  <si>
    <t xml:space="preserve">F303</t>
  </si>
  <si>
    <t xml:space="preserve">t0036292</t>
  </si>
  <si>
    <t xml:space="preserve">Olivia Feller</t>
  </si>
  <si>
    <t xml:space="preserve">F305</t>
  </si>
  <si>
    <t xml:space="preserve">t0030863</t>
  </si>
  <si>
    <t xml:space="preserve">April Schafer</t>
  </si>
  <si>
    <t xml:space="preserve">F306</t>
  </si>
  <si>
    <t xml:space="preserve">t0033780</t>
  </si>
  <si>
    <t xml:space="preserve">Anastasiia Mashenskaia</t>
  </si>
  <si>
    <t xml:space="preserve">t0038004</t>
  </si>
  <si>
    <t xml:space="preserve">John Chorlog</t>
  </si>
  <si>
    <t xml:space="preserve">F307</t>
  </si>
  <si>
    <t xml:space="preserve">t0030116</t>
  </si>
  <si>
    <t xml:space="preserve">Julian Aguirre</t>
  </si>
  <si>
    <t xml:space="preserve">t0040363</t>
  </si>
  <si>
    <t xml:space="preserve">Isabel Brown</t>
  </si>
  <si>
    <t xml:space="preserve">F310</t>
  </si>
  <si>
    <t xml:space="preserve">t0028211</t>
  </si>
  <si>
    <t xml:space="preserve">Logan Routson</t>
  </si>
  <si>
    <t xml:space="preserve">F312</t>
  </si>
  <si>
    <t xml:space="preserve">t0029443</t>
  </si>
  <si>
    <t xml:space="preserve">Isaac Grimm</t>
  </si>
  <si>
    <t xml:space="preserve">t0040841</t>
  </si>
  <si>
    <t xml:space="preserve">Angela Hart</t>
  </si>
  <si>
    <t xml:space="preserve">F313</t>
  </si>
  <si>
    <t xml:space="preserve">t0030480</t>
  </si>
  <si>
    <t xml:space="preserve">Rob Nord</t>
  </si>
  <si>
    <t xml:space="preserve">G102</t>
  </si>
  <si>
    <t xml:space="preserve">t0027745</t>
  </si>
  <si>
    <t xml:space="preserve">Brett Shorenstein</t>
  </si>
  <si>
    <t xml:space="preserve">t0039140</t>
  </si>
  <si>
    <t xml:space="preserve">Rachel Stice</t>
  </si>
  <si>
    <t xml:space="preserve">G104</t>
  </si>
  <si>
    <t xml:space="preserve">t0038432</t>
  </si>
  <si>
    <t xml:space="preserve">t0039678</t>
  </si>
  <si>
    <t xml:space="preserve">Liam Hilber</t>
  </si>
  <si>
    <t xml:space="preserve">G105</t>
  </si>
  <si>
    <t xml:space="preserve">t0032722</t>
  </si>
  <si>
    <t xml:space="preserve">Cassandra Win</t>
  </si>
  <si>
    <t xml:space="preserve">G106</t>
  </si>
  <si>
    <t xml:space="preserve">t0034347</t>
  </si>
  <si>
    <t xml:space="preserve">Eliseo Carrizales Resendiz</t>
  </si>
  <si>
    <t xml:space="preserve">G107</t>
  </si>
  <si>
    <t xml:space="preserve">t0026746</t>
  </si>
  <si>
    <t xml:space="preserve">Wayne Newsom</t>
  </si>
  <si>
    <t xml:space="preserve">t0027910</t>
  </si>
  <si>
    <t xml:space="preserve">Janece Gourley</t>
  </si>
  <si>
    <t xml:space="preserve">G108</t>
  </si>
  <si>
    <t xml:space="preserve">t0030355</t>
  </si>
  <si>
    <t xml:space="preserve">Chelsea Isip</t>
  </si>
  <si>
    <t xml:space="preserve">t0037936</t>
  </si>
  <si>
    <t xml:space="preserve">Andrew Heller</t>
  </si>
  <si>
    <t xml:space="preserve">G110</t>
  </si>
  <si>
    <t xml:space="preserve">t0037607</t>
  </si>
  <si>
    <t xml:space="preserve">t0040027</t>
  </si>
  <si>
    <t xml:space="preserve">Hayley Snyder</t>
  </si>
  <si>
    <t xml:space="preserve">G111</t>
  </si>
  <si>
    <t xml:space="preserve">t0030940</t>
  </si>
  <si>
    <t xml:space="preserve">Scott Trost</t>
  </si>
  <si>
    <t xml:space="preserve">G112</t>
  </si>
  <si>
    <t xml:space="preserve">t0034130</t>
  </si>
  <si>
    <t xml:space="preserve">Cheyenne Clough</t>
  </si>
  <si>
    <t xml:space="preserve">G113</t>
  </si>
  <si>
    <t xml:space="preserve">t0031810</t>
  </si>
  <si>
    <t xml:space="preserve">Alyssa Renz</t>
  </si>
  <si>
    <t xml:space="preserve">G201</t>
  </si>
  <si>
    <t xml:space="preserve">t0028411</t>
  </si>
  <si>
    <t xml:space="preserve">Johnnie Miles</t>
  </si>
  <si>
    <t xml:space="preserve">G202</t>
  </si>
  <si>
    <t xml:space="preserve">t0031425</t>
  </si>
  <si>
    <t xml:space="preserve">Yurik Barrera</t>
  </si>
  <si>
    <t xml:space="preserve">G203</t>
  </si>
  <si>
    <t xml:space="preserve">t0035108</t>
  </si>
  <si>
    <t xml:space="preserve">Ashley Snyder</t>
  </si>
  <si>
    <t xml:space="preserve">G205</t>
  </si>
  <si>
    <t xml:space="preserve">t0029898</t>
  </si>
  <si>
    <t xml:space="preserve">Aubrey Jensen</t>
  </si>
  <si>
    <t xml:space="preserve">G206</t>
  </si>
  <si>
    <t xml:space="preserve">t0029717</t>
  </si>
  <si>
    <t xml:space="preserve">Olha Pyvovar</t>
  </si>
  <si>
    <t xml:space="preserve">t0036949</t>
  </si>
  <si>
    <t xml:space="preserve">Kassidy Carleton</t>
  </si>
  <si>
    <t xml:space="preserve">G207</t>
  </si>
  <si>
    <t xml:space="preserve">t0028131</t>
  </si>
  <si>
    <t xml:space="preserve">Anna Henley</t>
  </si>
  <si>
    <t xml:space="preserve">t0037798</t>
  </si>
  <si>
    <t xml:space="preserve">Joshua Weeks</t>
  </si>
  <si>
    <t xml:space="preserve">G208</t>
  </si>
  <si>
    <t xml:space="preserve">t0035250</t>
  </si>
  <si>
    <t xml:space="preserve">Michelle Meyer</t>
  </si>
  <si>
    <t xml:space="preserve">G209</t>
  </si>
  <si>
    <t xml:space="preserve">t0027693</t>
  </si>
  <si>
    <t xml:space="preserve">Mary Ilett</t>
  </si>
  <si>
    <t xml:space="preserve">G210</t>
  </si>
  <si>
    <t xml:space="preserve">t0040098</t>
  </si>
  <si>
    <t xml:space="preserve">Jasmine Alger</t>
  </si>
  <si>
    <t xml:space="preserve">t0040121</t>
  </si>
  <si>
    <t xml:space="preserve">Britney Burnam</t>
  </si>
  <si>
    <t xml:space="preserve">G211</t>
  </si>
  <si>
    <t xml:space="preserve">t0029704</t>
  </si>
  <si>
    <t xml:space="preserve">Summer LeRoy</t>
  </si>
  <si>
    <t xml:space="preserve">G212</t>
  </si>
  <si>
    <t xml:space="preserve">t0031382</t>
  </si>
  <si>
    <t xml:space="preserve">Juan Quesada</t>
  </si>
  <si>
    <t xml:space="preserve">G213</t>
  </si>
  <si>
    <t xml:space="preserve">t0030368</t>
  </si>
  <si>
    <t xml:space="preserve">Hayden Anderson</t>
  </si>
  <si>
    <t xml:space="preserve">t0036557</t>
  </si>
  <si>
    <t xml:space="preserve">G301</t>
  </si>
  <si>
    <t xml:space="preserve">t0026594</t>
  </si>
  <si>
    <t xml:space="preserve">Edima Ekanem</t>
  </si>
  <si>
    <t xml:space="preserve">t0038412</t>
  </si>
  <si>
    <t xml:space="preserve">Alexander Nash</t>
  </si>
  <si>
    <t xml:space="preserve">G302</t>
  </si>
  <si>
    <t xml:space="preserve">t0027828</t>
  </si>
  <si>
    <t xml:space="preserve">Kimberly Turnblom</t>
  </si>
  <si>
    <t xml:space="preserve">G303</t>
  </si>
  <si>
    <t xml:space="preserve">t0030660</t>
  </si>
  <si>
    <t xml:space="preserve">Peter Hubacz</t>
  </si>
  <si>
    <t xml:space="preserve">G304</t>
  </si>
  <si>
    <t xml:space="preserve">t0034202</t>
  </si>
  <si>
    <t xml:space="preserve">Morgan Pavao</t>
  </si>
  <si>
    <t xml:space="preserve">G305</t>
  </si>
  <si>
    <t xml:space="preserve">t0026738</t>
  </si>
  <si>
    <t xml:space="preserve">Shawn Rowley</t>
  </si>
  <si>
    <t xml:space="preserve">t0039839</t>
  </si>
  <si>
    <t xml:space="preserve">Elijah Boysen</t>
  </si>
  <si>
    <t xml:space="preserve">G306</t>
  </si>
  <si>
    <t xml:space="preserve">t0030845</t>
  </si>
  <si>
    <t xml:space="preserve">Allison Wilcox</t>
  </si>
  <si>
    <t xml:space="preserve">G307</t>
  </si>
  <si>
    <t xml:space="preserve">t0034264</t>
  </si>
  <si>
    <t xml:space="preserve">Martha West</t>
  </si>
  <si>
    <t xml:space="preserve">G310</t>
  </si>
  <si>
    <t xml:space="preserve">t0036647</t>
  </si>
  <si>
    <t xml:space="preserve">Emily Malone</t>
  </si>
  <si>
    <t xml:space="preserve">G312</t>
  </si>
  <si>
    <t xml:space="preserve">t0031082</t>
  </si>
  <si>
    <t xml:space="preserve">Ruth Cuentas</t>
  </si>
  <si>
    <t xml:space="preserve">G313</t>
  </si>
  <si>
    <t xml:space="preserve">t0032278</t>
  </si>
  <si>
    <t xml:space="preserve">Keller Hunter</t>
  </si>
  <si>
    <t xml:space="preserve">t0030466</t>
  </si>
  <si>
    <t xml:space="preserve">H101</t>
  </si>
  <si>
    <t xml:space="preserve">t0033299</t>
  </si>
  <si>
    <t xml:space="preserve">Austin Bowlin</t>
  </si>
  <si>
    <t xml:space="preserve">H102</t>
  </si>
  <si>
    <t xml:space="preserve">t0031664</t>
  </si>
  <si>
    <t xml:space="preserve">antonio arellano</t>
  </si>
  <si>
    <t xml:space="preserve">H103</t>
  </si>
  <si>
    <t xml:space="preserve">t0036014</t>
  </si>
  <si>
    <t xml:space="preserve">Mathew Hwang</t>
  </si>
  <si>
    <t xml:space="preserve">H104</t>
  </si>
  <si>
    <t xml:space="preserve">t0034323</t>
  </si>
  <si>
    <t xml:space="preserve">Martin Ward</t>
  </si>
  <si>
    <t xml:space="preserve">H105</t>
  </si>
  <si>
    <t xml:space="preserve">t0028523</t>
  </si>
  <si>
    <t xml:space="preserve">Sarina Lloyd</t>
  </si>
  <si>
    <t xml:space="preserve">t0038359</t>
  </si>
  <si>
    <t xml:space="preserve">Hudson McFain</t>
  </si>
  <si>
    <t xml:space="preserve">H106</t>
  </si>
  <si>
    <t xml:space="preserve">t0034085</t>
  </si>
  <si>
    <t xml:space="preserve">Conner Parke</t>
  </si>
  <si>
    <t xml:space="preserve">H107</t>
  </si>
  <si>
    <t xml:space="preserve">t0027851</t>
  </si>
  <si>
    <t xml:space="preserve">Lindsay Stebbins</t>
  </si>
  <si>
    <t xml:space="preserve">H108</t>
  </si>
  <si>
    <t xml:space="preserve">t0036057</t>
  </si>
  <si>
    <t xml:space="preserve">Lynsi Lee</t>
  </si>
  <si>
    <t xml:space="preserve">t0038034</t>
  </si>
  <si>
    <t xml:space="preserve">Gage Warner</t>
  </si>
  <si>
    <t xml:space="preserve">H109</t>
  </si>
  <si>
    <t xml:space="preserve">t0029432</t>
  </si>
  <si>
    <t xml:space="preserve">Alma Barroso</t>
  </si>
  <si>
    <t xml:space="preserve">H110</t>
  </si>
  <si>
    <t xml:space="preserve">t0029495</t>
  </si>
  <si>
    <t xml:space="preserve">Clarixa Cruz Torres</t>
  </si>
  <si>
    <t xml:space="preserve">t0037739</t>
  </si>
  <si>
    <t xml:space="preserve">Sofia Manning</t>
  </si>
  <si>
    <t xml:space="preserve">H111</t>
  </si>
  <si>
    <t xml:space="preserve">t0027793</t>
  </si>
  <si>
    <t xml:space="preserve">Jayson Perez</t>
  </si>
  <si>
    <t xml:space="preserve">t0038355</t>
  </si>
  <si>
    <t xml:space="preserve">Wolff Corporate Housing Inc</t>
  </si>
  <si>
    <t xml:space="preserve">H112</t>
  </si>
  <si>
    <t xml:space="preserve">t0035056</t>
  </si>
  <si>
    <t xml:space="preserve">Benjamin Cox</t>
  </si>
  <si>
    <t xml:space="preserve">H113</t>
  </si>
  <si>
    <t xml:space="preserve">t0035155</t>
  </si>
  <si>
    <t xml:space="preserve">Connor Mahoney</t>
  </si>
  <si>
    <t xml:space="preserve">H201</t>
  </si>
  <si>
    <t xml:space="preserve">t0035900</t>
  </si>
  <si>
    <t xml:space="preserve">Nathan Fink</t>
  </si>
  <si>
    <t xml:space="preserve">H202</t>
  </si>
  <si>
    <t xml:space="preserve">t0031807</t>
  </si>
  <si>
    <t xml:space="preserve">Evan James</t>
  </si>
  <si>
    <t xml:space="preserve">H203</t>
  </si>
  <si>
    <t xml:space="preserve">t0027621</t>
  </si>
  <si>
    <t xml:space="preserve">Michael Swain</t>
  </si>
  <si>
    <t xml:space="preserve">H204</t>
  </si>
  <si>
    <t xml:space="preserve">t0036387</t>
  </si>
  <si>
    <t xml:space="preserve">Madison Thomas</t>
  </si>
  <si>
    <t xml:space="preserve">H205</t>
  </si>
  <si>
    <t xml:space="preserve">t0031399</t>
  </si>
  <si>
    <t xml:space="preserve">Jennifer Topor</t>
  </si>
  <si>
    <t xml:space="preserve">H206</t>
  </si>
  <si>
    <t xml:space="preserve">t0029041</t>
  </si>
  <si>
    <t xml:space="preserve">Marcos Marchant</t>
  </si>
  <si>
    <t xml:space="preserve">2025-11</t>
  </si>
  <si>
    <t xml:space="preserve">H207</t>
  </si>
  <si>
    <t xml:space="preserve">t0028081</t>
  </si>
  <si>
    <t xml:space="preserve">Ivy Wang</t>
  </si>
  <si>
    <t xml:space="preserve">t0038050</t>
  </si>
  <si>
    <t xml:space="preserve">Trey Axtell</t>
  </si>
  <si>
    <t xml:space="preserve">H208</t>
  </si>
  <si>
    <t xml:space="preserve">t0028957</t>
  </si>
  <si>
    <t xml:space="preserve">Maria Chan</t>
  </si>
  <si>
    <t xml:space="preserve">H209</t>
  </si>
  <si>
    <t xml:space="preserve">t0036224</t>
  </si>
  <si>
    <t xml:space="preserve">Joann Mae Villaluna</t>
  </si>
  <si>
    <t xml:space="preserve">H210</t>
  </si>
  <si>
    <t xml:space="preserve">t0026888</t>
  </si>
  <si>
    <t xml:space="preserve">Mike Sparks</t>
  </si>
  <si>
    <t xml:space="preserve">2025-08</t>
  </si>
  <si>
    <t xml:space="preserve">H211</t>
  </si>
  <si>
    <t xml:space="preserve">t0028976</t>
  </si>
  <si>
    <t xml:space="preserve">David Stricharskiy</t>
  </si>
  <si>
    <t xml:space="preserve">H212</t>
  </si>
  <si>
    <t xml:space="preserve">t0026584</t>
  </si>
  <si>
    <t xml:space="preserve">Daisy Maganda Brooks</t>
  </si>
  <si>
    <t xml:space="preserve">H213</t>
  </si>
  <si>
    <t xml:space="preserve">t0027942</t>
  </si>
  <si>
    <t xml:space="preserve">Nichole Schroeder</t>
  </si>
  <si>
    <t xml:space="preserve">2025-10</t>
  </si>
  <si>
    <t xml:space="preserve">H301</t>
  </si>
  <si>
    <t xml:space="preserve">t0034873</t>
  </si>
  <si>
    <t xml:space="preserve">Laurell Fink</t>
  </si>
  <si>
    <t xml:space="preserve">H304</t>
  </si>
  <si>
    <t xml:space="preserve">t0037709</t>
  </si>
  <si>
    <t xml:space="preserve">Brenner Luther</t>
  </si>
  <si>
    <t xml:space="preserve">t0037889</t>
  </si>
  <si>
    <t xml:space="preserve">Tyler Beam</t>
  </si>
  <si>
    <t xml:space="preserve">H307</t>
  </si>
  <si>
    <t xml:space="preserve">t0028395</t>
  </si>
  <si>
    <t xml:space="preserve">Anthony LaFond</t>
  </si>
  <si>
    <t xml:space="preserve">H308</t>
  </si>
  <si>
    <t xml:space="preserve">t0031159</t>
  </si>
  <si>
    <t xml:space="preserve">Jonathan Eckert</t>
  </si>
  <si>
    <t xml:space="preserve">H309</t>
  </si>
  <si>
    <t xml:space="preserve">t0029771</t>
  </si>
  <si>
    <t xml:space="preserve">Kelsey Epps</t>
  </si>
  <si>
    <t xml:space="preserve">H311</t>
  </si>
  <si>
    <t xml:space="preserve">t0035117</t>
  </si>
  <si>
    <t xml:space="preserve">Israel Adams</t>
  </si>
  <si>
    <t xml:space="preserve">H312</t>
  </si>
  <si>
    <t xml:space="preserve">t0027798</t>
  </si>
  <si>
    <t xml:space="preserve">Carmen Jones</t>
  </si>
  <si>
    <t xml:space="preserve">t0038546</t>
  </si>
  <si>
    <t xml:space="preserve">Arrianna Estes</t>
  </si>
  <si>
    <t xml:space="preserve">H313</t>
  </si>
  <si>
    <t xml:space="preserve">t0027795</t>
  </si>
  <si>
    <t xml:space="preserve">Maria Coy</t>
  </si>
  <si>
    <t xml:space="preserve">t0038947</t>
  </si>
  <si>
    <t xml:space="preserve">Cameron Welcome</t>
  </si>
  <si>
    <t xml:space="preserve">I101</t>
  </si>
  <si>
    <t xml:space="preserve">t0035822</t>
  </si>
  <si>
    <t xml:space="preserve">Heather Fleek</t>
  </si>
  <si>
    <t xml:space="preserve">I102</t>
  </si>
  <si>
    <t xml:space="preserve">t0029919</t>
  </si>
  <si>
    <t xml:space="preserve">Tyler Healy</t>
  </si>
  <si>
    <t xml:space="preserve">I103</t>
  </si>
  <si>
    <t xml:space="preserve">t0035091</t>
  </si>
  <si>
    <t xml:space="preserve">Tristen Kriner</t>
  </si>
  <si>
    <t xml:space="preserve">I104</t>
  </si>
  <si>
    <t xml:space="preserve">t0034175</t>
  </si>
  <si>
    <t xml:space="preserve">Laura Sudmeier</t>
  </si>
  <si>
    <t xml:space="preserve">I105</t>
  </si>
  <si>
    <t xml:space="preserve">t0030391</t>
  </si>
  <si>
    <t xml:space="preserve">Joseph Hageman</t>
  </si>
  <si>
    <t xml:space="preserve">I106</t>
  </si>
  <si>
    <t xml:space="preserve">t0034896</t>
  </si>
  <si>
    <t xml:space="preserve">Cregg Dickinson</t>
  </si>
  <si>
    <t xml:space="preserve">I107</t>
  </si>
  <si>
    <t xml:space="preserve">t0030046</t>
  </si>
  <si>
    <t xml:space="preserve">Kyler Eldredge</t>
  </si>
  <si>
    <t xml:space="preserve">t0038026</t>
  </si>
  <si>
    <t xml:space="preserve">Micah Frickel</t>
  </si>
  <si>
    <t xml:space="preserve">I108</t>
  </si>
  <si>
    <t xml:space="preserve">t0031314</t>
  </si>
  <si>
    <t xml:space="preserve">Eyob Tarekegn</t>
  </si>
  <si>
    <t xml:space="preserve">I109</t>
  </si>
  <si>
    <t xml:space="preserve">t0030462</t>
  </si>
  <si>
    <t xml:space="preserve">Lyndsey foster</t>
  </si>
  <si>
    <t xml:space="preserve">I110</t>
  </si>
  <si>
    <t xml:space="preserve">t0028100</t>
  </si>
  <si>
    <t xml:space="preserve">Nayeli Carrillo</t>
  </si>
  <si>
    <t xml:space="preserve">t0039164</t>
  </si>
  <si>
    <t xml:space="preserve">Gurleen Gill</t>
  </si>
  <si>
    <t xml:space="preserve">I111</t>
  </si>
  <si>
    <t xml:space="preserve">t0034766</t>
  </si>
  <si>
    <t xml:space="preserve">Carole Stuart</t>
  </si>
  <si>
    <t xml:space="preserve">I112</t>
  </si>
  <si>
    <t xml:space="preserve">t0032096</t>
  </si>
  <si>
    <t xml:space="preserve">Chareen Snelson</t>
  </si>
  <si>
    <t xml:space="preserve">I113</t>
  </si>
  <si>
    <t xml:space="preserve">t0032375</t>
  </si>
  <si>
    <t xml:space="preserve">Clarisa Alcantara</t>
  </si>
  <si>
    <t xml:space="preserve">I201</t>
  </si>
  <si>
    <t xml:space="preserve">t0029876</t>
  </si>
  <si>
    <t xml:space="preserve">Devin Maya</t>
  </si>
  <si>
    <t xml:space="preserve">t0037876</t>
  </si>
  <si>
    <t xml:space="preserve">Makyna Christensen</t>
  </si>
  <si>
    <t xml:space="preserve">I202</t>
  </si>
  <si>
    <t xml:space="preserve">t0029974</t>
  </si>
  <si>
    <t xml:space="preserve">Monica Pinto Ayala</t>
  </si>
  <si>
    <t xml:space="preserve">HelloData episode (Jan roll rent was 0)</t>
  </si>
  <si>
    <t xml:space="preserve">I203</t>
  </si>
  <si>
    <t xml:space="preserve">t0034066</t>
  </si>
  <si>
    <t xml:space="preserve">Andrei Ilin</t>
  </si>
  <si>
    <t xml:space="preserve">I205</t>
  </si>
  <si>
    <t xml:space="preserve">t0030392</t>
  </si>
  <si>
    <t xml:space="preserve">Blane Cordero</t>
  </si>
  <si>
    <t xml:space="preserve">I206</t>
  </si>
  <si>
    <t xml:space="preserve">t0029954</t>
  </si>
  <si>
    <t xml:space="preserve">Ray Monks</t>
  </si>
  <si>
    <t xml:space="preserve">I207</t>
  </si>
  <si>
    <t xml:space="preserve">t0026936</t>
  </si>
  <si>
    <t xml:space="preserve">Hannah Burk</t>
  </si>
  <si>
    <t xml:space="preserve">t0039656</t>
  </si>
  <si>
    <t xml:space="preserve">Amber Newbourg</t>
  </si>
  <si>
    <t xml:space="preserve">I208</t>
  </si>
  <si>
    <t xml:space="preserve">t0029733</t>
  </si>
  <si>
    <t xml:space="preserve">Vinh Nguyen</t>
  </si>
  <si>
    <t xml:space="preserve">I209</t>
  </si>
  <si>
    <t xml:space="preserve">t0033731</t>
  </si>
  <si>
    <t xml:space="preserve">Mason Peterson</t>
  </si>
  <si>
    <t xml:space="preserve">t0040232</t>
  </si>
  <si>
    <t xml:space="preserve">John Mock</t>
  </si>
  <si>
    <t xml:space="preserve">I211</t>
  </si>
  <si>
    <t xml:space="preserve">t0029850</t>
  </si>
  <si>
    <t xml:space="preserve">Jeffrey Kovick</t>
  </si>
  <si>
    <t xml:space="preserve">I212</t>
  </si>
  <si>
    <t xml:space="preserve">t0035976</t>
  </si>
  <si>
    <t xml:space="preserve">Diego Gil</t>
  </si>
  <si>
    <t xml:space="preserve">I213</t>
  </si>
  <si>
    <t xml:space="preserve">t0030420</t>
  </si>
  <si>
    <t xml:space="preserve">Kade Parker</t>
  </si>
  <si>
    <t xml:space="preserve">t0032788</t>
  </si>
  <si>
    <t xml:space="preserve">I301</t>
  </si>
  <si>
    <t xml:space="preserve">t0036033</t>
  </si>
  <si>
    <t xml:space="preserve">camille grimm</t>
  </si>
  <si>
    <t xml:space="preserve">I303</t>
  </si>
  <si>
    <t xml:space="preserve">t0035640</t>
  </si>
  <si>
    <t xml:space="preserve">Lucas Cressler</t>
  </si>
  <si>
    <t xml:space="preserve">I305</t>
  </si>
  <si>
    <t xml:space="preserve">t0036067</t>
  </si>
  <si>
    <t xml:space="preserve">Andrea Azpeitia Cueva</t>
  </si>
  <si>
    <t xml:space="preserve">I306</t>
  </si>
  <si>
    <t xml:space="preserve">t0035624</t>
  </si>
  <si>
    <t xml:space="preserve">Luke Bedell</t>
  </si>
  <si>
    <t xml:space="preserve">I307</t>
  </si>
  <si>
    <t xml:space="preserve">t0029395</t>
  </si>
  <si>
    <t xml:space="preserve">Kevin Seely</t>
  </si>
  <si>
    <t xml:space="preserve">I310</t>
  </si>
  <si>
    <t xml:space="preserve">t0026795</t>
  </si>
  <si>
    <t xml:space="preserve">Lawrence Horsey</t>
  </si>
  <si>
    <t xml:space="preserve">t0039136</t>
  </si>
  <si>
    <t xml:space="preserve">Mia Fandrey</t>
  </si>
  <si>
    <t xml:space="preserve">I312</t>
  </si>
  <si>
    <t xml:space="preserve">t0028083</t>
  </si>
  <si>
    <t xml:space="preserve">London Miller</t>
  </si>
  <si>
    <t xml:space="preserve">J101</t>
  </si>
  <si>
    <t xml:space="preserve">t0035182</t>
  </si>
  <si>
    <t xml:space="preserve">Devrie Sunseri</t>
  </si>
  <si>
    <t xml:space="preserve">J102</t>
  </si>
  <si>
    <t xml:space="preserve">t0032355</t>
  </si>
  <si>
    <t xml:space="preserve">Chad Lewis</t>
  </si>
  <si>
    <t xml:space="preserve">t0035112</t>
  </si>
  <si>
    <t xml:space="preserve">J103</t>
  </si>
  <si>
    <t xml:space="preserve">t0030273</t>
  </si>
  <si>
    <t xml:space="preserve">Micah Burkman</t>
  </si>
  <si>
    <t xml:space="preserve">J104</t>
  </si>
  <si>
    <t xml:space="preserve">t0035220</t>
  </si>
  <si>
    <t xml:space="preserve">Hailey Kelton</t>
  </si>
  <si>
    <t xml:space="preserve">J105</t>
  </si>
  <si>
    <t xml:space="preserve">t0035116</t>
  </si>
  <si>
    <t xml:space="preserve">Jonathan Gonzalez</t>
  </si>
  <si>
    <t xml:space="preserve">t0037879</t>
  </si>
  <si>
    <t xml:space="preserve">Allie Lamb</t>
  </si>
  <si>
    <t xml:space="preserve">J106</t>
  </si>
  <si>
    <t xml:space="preserve">t0030361</t>
  </si>
  <si>
    <t xml:space="preserve">Thomas James</t>
  </si>
  <si>
    <t xml:space="preserve">J107</t>
  </si>
  <si>
    <t xml:space="preserve">t0035830</t>
  </si>
  <si>
    <t xml:space="preserve">Kelsey Carter</t>
  </si>
  <si>
    <t xml:space="preserve">J108</t>
  </si>
  <si>
    <t xml:space="preserve">t0043258</t>
  </si>
  <si>
    <t xml:space="preserve">Osahonerhunmwen Ediae</t>
  </si>
  <si>
    <t xml:space="preserve">t0033902</t>
  </si>
  <si>
    <t xml:space="preserve">J109</t>
  </si>
  <si>
    <t xml:space="preserve">t0030080</t>
  </si>
  <si>
    <t xml:space="preserve">Jonathan Marin</t>
  </si>
  <si>
    <t xml:space="preserve">J110</t>
  </si>
  <si>
    <t xml:space="preserve">t0029522</t>
  </si>
  <si>
    <t xml:space="preserve">Kaylee Lamont</t>
  </si>
  <si>
    <t xml:space="preserve">t0037613</t>
  </si>
  <si>
    <t xml:space="preserve">Stephanie Reese</t>
  </si>
  <si>
    <t xml:space="preserve">J111</t>
  </si>
  <si>
    <t xml:space="preserve">t0029841</t>
  </si>
  <si>
    <t xml:space="preserve">alma dela rosa</t>
  </si>
  <si>
    <t xml:space="preserve">J112</t>
  </si>
  <si>
    <t xml:space="preserve">t0033441</t>
  </si>
  <si>
    <t xml:space="preserve">Shakayla Johnson</t>
  </si>
  <si>
    <t xml:space="preserve">J113</t>
  </si>
  <si>
    <t xml:space="preserve">t0035133</t>
  </si>
  <si>
    <t xml:space="preserve">Chelsea Radicia</t>
  </si>
  <si>
    <t xml:space="preserve">J201</t>
  </si>
  <si>
    <t xml:space="preserve">t0034253</t>
  </si>
  <si>
    <t xml:space="preserve">Jill Fanning</t>
  </si>
  <si>
    <t xml:space="preserve">J202</t>
  </si>
  <si>
    <t xml:space="preserve">t0030716</t>
  </si>
  <si>
    <t xml:space="preserve">Sasi Kiran Nallapaneni</t>
  </si>
  <si>
    <t xml:space="preserve">J203</t>
  </si>
  <si>
    <t xml:space="preserve">t0034013</t>
  </si>
  <si>
    <t xml:space="preserve">Ana Idoeta</t>
  </si>
  <si>
    <t xml:space="preserve">J204</t>
  </si>
  <si>
    <t xml:space="preserve">t0036618</t>
  </si>
  <si>
    <t xml:space="preserve">Alixe Satterly</t>
  </si>
  <si>
    <t xml:space="preserve">J205</t>
  </si>
  <si>
    <t xml:space="preserve">t0030727</t>
  </si>
  <si>
    <t xml:space="preserve">Jillian Eastman</t>
  </si>
  <si>
    <t xml:space="preserve">J206</t>
  </si>
  <si>
    <t xml:space="preserve">t0030203</t>
  </si>
  <si>
    <t xml:space="preserve">Alexandra Wright</t>
  </si>
  <si>
    <t xml:space="preserve">t0040870</t>
  </si>
  <si>
    <t xml:space="preserve">Bridget Lorentzen</t>
  </si>
  <si>
    <t xml:space="preserve">J207</t>
  </si>
  <si>
    <t xml:space="preserve">t0029277</t>
  </si>
  <si>
    <t xml:space="preserve">Elizabeth Garza</t>
  </si>
  <si>
    <t xml:space="preserve">t0038962</t>
  </si>
  <si>
    <t xml:space="preserve">Samuel Pardo</t>
  </si>
  <si>
    <t xml:space="preserve">J208</t>
  </si>
  <si>
    <t xml:space="preserve">t0029861</t>
  </si>
  <si>
    <t xml:space="preserve">Samuel Rempe</t>
  </si>
  <si>
    <t xml:space="preserve">J209</t>
  </si>
  <si>
    <t xml:space="preserve">t0030731</t>
  </si>
  <si>
    <t xml:space="preserve">Lexi Vogt</t>
  </si>
  <si>
    <t xml:space="preserve">t0038423</t>
  </si>
  <si>
    <t xml:space="preserve">Leah Martin</t>
  </si>
  <si>
    <t xml:space="preserve">J210</t>
  </si>
  <si>
    <t xml:space="preserve">t0029518</t>
  </si>
  <si>
    <t xml:space="preserve">Wyatt Dailing</t>
  </si>
  <si>
    <t xml:space="preserve">J211</t>
  </si>
  <si>
    <t xml:space="preserve">t0029879</t>
  </si>
  <si>
    <t xml:space="preserve">Hunter Steacker</t>
  </si>
  <si>
    <t xml:space="preserve">J212</t>
  </si>
  <si>
    <t xml:space="preserve">t0033382</t>
  </si>
  <si>
    <t xml:space="preserve">Afton Wingar</t>
  </si>
  <si>
    <t xml:space="preserve">J213</t>
  </si>
  <si>
    <t xml:space="preserve">t0029499</t>
  </si>
  <si>
    <t xml:space="preserve">Sterling Berrier</t>
  </si>
  <si>
    <t xml:space="preserve">t0037184</t>
  </si>
  <si>
    <t xml:space="preserve">Taj Conerly</t>
  </si>
  <si>
    <t xml:space="preserve">J301</t>
  </si>
  <si>
    <t xml:space="preserve">t0034473</t>
  </si>
  <si>
    <t xml:space="preserve">Kelsie Maloney</t>
  </si>
  <si>
    <t xml:space="preserve">J302</t>
  </si>
  <si>
    <t xml:space="preserve">t0041372</t>
  </si>
  <si>
    <t xml:space="preserve">Briana Neal</t>
  </si>
  <si>
    <t xml:space="preserve">t0041478</t>
  </si>
  <si>
    <t xml:space="preserve">Alliya Lopez</t>
  </si>
  <si>
    <t xml:space="preserve">J304</t>
  </si>
  <si>
    <t xml:space="preserve">t0028405</t>
  </si>
  <si>
    <t xml:space="preserve">Emma English</t>
  </si>
  <si>
    <t xml:space="preserve">t0038531</t>
  </si>
  <si>
    <t xml:space="preserve">Samantha Neilson</t>
  </si>
  <si>
    <t xml:space="preserve">J307</t>
  </si>
  <si>
    <t xml:space="preserve">t0030027</t>
  </si>
  <si>
    <t xml:space="preserve">Keriann Frisbee</t>
  </si>
  <si>
    <t xml:space="preserve">J308</t>
  </si>
  <si>
    <t xml:space="preserve">t0035145</t>
  </si>
  <si>
    <t xml:space="preserve">Tyler wilger</t>
  </si>
  <si>
    <t xml:space="preserve">J309</t>
  </si>
  <si>
    <t xml:space="preserve">t0035661</t>
  </si>
  <si>
    <t xml:space="preserve">Travis Vetter</t>
  </si>
  <si>
    <t xml:space="preserve">J310</t>
  </si>
  <si>
    <t xml:space="preserve">t0029419</t>
  </si>
  <si>
    <t xml:space="preserve">Linghan Chen</t>
  </si>
  <si>
    <t xml:space="preserve">J311</t>
  </si>
  <si>
    <t xml:space="preserve">t0034557</t>
  </si>
  <si>
    <t xml:space="preserve">Kelly North</t>
  </si>
  <si>
    <t xml:space="preserve">J312</t>
  </si>
  <si>
    <t xml:space="preserve">t0033105</t>
  </si>
  <si>
    <t xml:space="preserve">Jerry Slattum</t>
  </si>
  <si>
    <t xml:space="preserve">t0031384</t>
  </si>
  <si>
    <t xml:space="preserve">J313</t>
  </si>
  <si>
    <t xml:space="preserve">t0028409</t>
  </si>
  <si>
    <t xml:space="preserve">Michael Shanahan</t>
  </si>
  <si>
    <t xml:space="preserve">Group</t>
  </si>
  <si>
    <t xml:space="preserve">Cohort Units</t>
  </si>
  <si>
    <t xml:space="preserve">Expirations Due</t>
  </si>
  <si>
    <t xml:space="preserve">MTM</t>
  </si>
  <si>
    <t xml:space="preserve">Retention %</t>
  </si>
  <si>
    <t xml:space="preserve">Avg Initial Gross</t>
  </si>
  <si>
    <t xml:space="preserve">Renewal TO Gross %</t>
  </si>
  <si>
    <t xml:space="preserve">Renewal TO Eff %</t>
  </si>
  <si>
    <t xml:space="preserve">New-Lease TO Gross %</t>
  </si>
  <si>
    <t xml:space="preserve">New-Lease TO Eff %</t>
  </si>
  <si>
    <t xml:space="preserve">TOTAL</t>
  </si>
  <si>
    <t xml:space="preserve">First-Expiration Month</t>
  </si>
  <si>
    <t xml:space="preserve">Coming Due (not yet expired)</t>
  </si>
  <si>
    <t xml:space="preserve">Seasons at Meridian — First Turn Analysis: Methodology &amp; Caveats</t>
  </si>
  <si>
    <t xml:space="preserve">COHORT &amp; CONVENTION</t>
  </si>
  <si>
    <t xml:space="preserve">• Cohort = 314 residents in place on the 1/1/2026 rent roll (360 units, 87% occupied). Tracked by Yardi Resident ID into the 8/4/2026 rent roll.</t>
  </si>
  <si>
    <t xml:space="preserve">• Retention = renewals ÷ initial leases whose first expiration came due by 8/4/2026. MTM holdovers stay in the denominator (not renewed, not gone).</t>
  </si>
  <si>
    <t xml:space="preserve">• Early terminations (moved out before first expiration) are excluded from the ratio until their expiration month passes; shown separately and in the all-in ratio.</t>
  </si>
  <si>
    <t xml:space="preserve">• Early renewals count as renewed as of their original expiration date. One corporate lease (B307, Coleman Environmental) is excluded from all trade-out averages.</t>
  </si>
  <si>
    <t xml:space="preserve">RENEWAL IDENTIFICATION</t>
  </si>
  <si>
    <t xml:space="preserve">• Primary: Concession Burn Off reports (6/21 &amp; 7/30/2026) — the only source with Lease Start Date. Current lease start &gt; move-in +45 days = renewal.</t>
  </si>
  <si>
    <t xml:space="preserve">• The Renewal Tradeouts report (5/10–7/9/2026) supplies exact prior/new concession and term detail for the 23 renewals in its window (all 23 reconcile with the ledger).</t>
  </si>
  <si>
    <t xml:space="preserve">• 10 tenants renewed before 1/1/2026 (moved in Aug 2024–early 2025). Their initial rent comes from their HelloData leasing episode, since the Jan roll already shows renewal rent.</t>
  </si>
  <si>
    <t xml:space="preserve">RENT &amp; CONCESSION SOURCES (priority order, per lease)</t>
  </si>
  <si>
    <t xml:space="preserve">• Initial gross rent: 1/1/2026 rent roll Actual Rent (validated = as-of-January charge). Fallbacks for Yardi zero-charge rows: 6/21 burn-off Lease Rent, then HelloData last asking.</t>
  </si>
  <si>
    <t xml:space="preserve">• Initial concessions: Renewal report prior-lease detail &gt; Burn-off current-lease concessions (tenants still on initial lease) &gt; HelloData (ask − effective) × term. 21 leases have no concession data; effective = gross for those (conservative).</t>
  </si>
  <si>
    <t xml:space="preserve">• Renewal / new-lease concessions: Burn-off exact dollars (current lease), Renewal report for in-window renewals. Effective rent = gross − concession ÷ lease term (report convention).</t>
  </si>
  <si>
    <t xml:space="preserve">• New-lease rents: 8/4/2026 rent roll. HelloData cross-validation: 64 of 71 matched 2026 move-ins have Last Asking = contract rent to the dollar; units go off-market a median 15 days before move-in.</t>
  </si>
  <si>
    <t xml:space="preserve">DATA CAVEATS</t>
  </si>
  <si>
    <t xml:space="preserve">• The "1/1/2026" rent roll is BACKDATED (generated ~Aug 2026): its roster and rents are as-of-January and reliable, but its lease-expiration and move-out columns carry current data. Original first expirations for renewed tenants are reconstructed from the renewal report (Old Expiration) or the renewal lease start −1 day.</t>
  </si>
  <si>
    <t xml:space="preserve">• Blind spot: a tenant who renewed AND moved out before 6/21/2026 would be misread as a move-out on their initial lease. Bounded small: first expirations only began ~Aug 2025 and rent-change cross-checks caught none.</t>
  </si>
  <si>
    <t xml:space="preserve">• Initial lease terms were staggered on purpose (12mo ×173, 18mo ×63, plus 9–17mo tranches per the burn-off), so expiration timing, not move-in timing, drives when the first turn hits.</t>
  </si>
  <si>
    <t xml:space="preserve">• Trade-out percentages compare monthly rent levels; they do not annualize term differences. Effective trade-outs amortize upfront concessions over the lease term.</t>
  </si>
  <si>
    <t xml:space="preserve">SOURCE FILES (../../documents/)</t>
  </si>
  <si>
    <t xml:space="preserve">• rent-rolls/: RentRoll_AsOf_2026-01-01_BACKDATED, _07-07, _07-19, _08-04, withLeaseCharges_07-09</t>
  </si>
  <si>
    <t xml:space="preserve">• concession-burnoff/: 6/21 &amp; 7/30/2026 · renewal-reports/: 5/10–7/9/2026 · hellodata/: 8/12/2026 export · t12/: Jun25–May26, Jul25–Jun26</t>
  </si>
  <si>
    <t xml:space="preserve">• Rebuild: python3 build_ledger.py &amp;&amp; python3 build_workbook.py (analysis/first-turn/)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</si>
</sst>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\+0.0%;\-0.0%;0.0%"/>
    <numFmt numFmtId="168" formatCode="General"/>
    <numFmt numFmtId="169" formatCode="\$#,##0"/>
    <numFmt numFmtId="170" formatCode="0.0&quot; mo&quot;"/>
    <numFmt numFmtId="171" formatCode="mm/dd/yyyy"/>
    <numFmt numFmtId="172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4</v>
      </c>
      <c r="B6" s="6" t="n">
        <f aca="false">COUNTA('Unit Ledger'!$A$2:$A$315)</f>
        <v>314</v>
      </c>
    </row>
    <row r="7" customFormat="false" ht="15" hidden="false" customHeight="false" outlineLevel="0" collapsed="false">
      <c r="A7" s="7" t="s">
        <v>5</v>
      </c>
      <c r="B7" s="8" t="n">
        <f aca="false">COUNTIF('Unit Ledger'!$S$2:$S$315,"Y")</f>
        <v>154</v>
      </c>
    </row>
    <row r="8" customFormat="false" ht="15" hidden="false" customHeight="false" outlineLevel="0" collapsed="false">
      <c r="A8" s="5" t="s">
        <v>6</v>
      </c>
      <c r="B8" s="6" t="n">
        <f aca="false">COUNTIFS('Unit Ledger'!$S$2:$S$315,"Y",'Unit Ledger'!$Q$2:$Q$315,"Renewed")</f>
        <v>64</v>
      </c>
    </row>
    <row r="9" customFormat="false" ht="15" hidden="false" customHeight="false" outlineLevel="0" collapsed="false">
      <c r="A9" s="5" t="s">
        <v>7</v>
      </c>
      <c r="B9" s="6" t="n">
        <f aca="false">COUNTIFS('Unit Ledger'!$S$2:$S$315,"Y",'Unit Ledger'!$Q$2:$Q$315,"Moved Out")</f>
        <v>83</v>
      </c>
    </row>
    <row r="10" customFormat="false" ht="15" hidden="false" customHeight="false" outlineLevel="0" collapsed="false">
      <c r="A10" s="5" t="s">
        <v>8</v>
      </c>
      <c r="B10" s="6" t="n">
        <f aca="false">COUNTIFS('Unit Ledger'!$S$2:$S$315,"Y",'Unit Ledger'!$Q$2:$Q$315,"MTM Holdover")</f>
        <v>7</v>
      </c>
    </row>
    <row r="11" customFormat="false" ht="15" hidden="false" customHeight="false" outlineLevel="0" collapsed="false">
      <c r="A11" s="7" t="s">
        <v>9</v>
      </c>
      <c r="B11" s="9" t="n">
        <f aca="false">B8/B7</f>
        <v>0.415584415584416</v>
      </c>
    </row>
    <row r="12" customFormat="false" ht="15" hidden="false" customHeight="false" outlineLevel="0" collapsed="false">
      <c r="A12" s="5" t="s">
        <v>10</v>
      </c>
      <c r="B12" s="10" t="n">
        <f aca="false">(B8+B10)/B7</f>
        <v>0.461038961038961</v>
      </c>
      <c r="C12" s="11" t="s">
        <v>11</v>
      </c>
    </row>
    <row r="14" customFormat="false" ht="15" hidden="false" customHeight="false" outlineLevel="0" collapsed="false">
      <c r="A14" s="5" t="s">
        <v>12</v>
      </c>
      <c r="B14" s="6" t="n">
        <f aca="false">COUNTIFS('Unit Ledger'!$Q$2:$Q$315,"Moved Out",'Unit Ledger'!$S$2:$S$315,"&lt;&gt;Y")</f>
        <v>21</v>
      </c>
      <c r="C14" s="11" t="s">
        <v>13</v>
      </c>
    </row>
    <row r="15" customFormat="false" ht="15" hidden="false" customHeight="false" outlineLevel="0" collapsed="false">
      <c r="A15" s="5" t="s">
        <v>14</v>
      </c>
      <c r="B15" s="10" t="n">
        <f aca="false">B8/(B7+B14)</f>
        <v>0.365714285714286</v>
      </c>
    </row>
    <row r="16" customFormat="false" ht="15" hidden="false" customHeight="false" outlineLevel="0" collapsed="false">
      <c r="A16" s="5" t="s">
        <v>15</v>
      </c>
      <c r="B16" s="6" t="n">
        <f aca="false">COUNTIFS('Unit Ledger'!$Q$2:$Q$315,"Not Yet Expired")</f>
        <v>139</v>
      </c>
    </row>
    <row r="18" customFormat="false" ht="15" hidden="false" customHeight="false" outlineLevel="0" collapsed="false">
      <c r="A18" s="3" t="s">
        <v>16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B19" s="12" t="s">
        <v>17</v>
      </c>
      <c r="C19" s="12" t="s">
        <v>18</v>
      </c>
      <c r="D19" s="12" t="s">
        <v>19</v>
      </c>
    </row>
    <row r="20" customFormat="false" ht="15" hidden="false" customHeight="false" outlineLevel="0" collapsed="false">
      <c r="A20" s="7" t="s">
        <v>20</v>
      </c>
      <c r="B20" s="13" t="n">
        <f aca="false">AVERAGEIFS('Unit Ledger'!$AC$2:$AC$315,'Unit Ledger'!$Q$2:$Q$315,"Renewed",'Unit Ledger'!$V$2:$V$315,"&lt;&gt;Y")</f>
        <v>0.015364205303713</v>
      </c>
      <c r="C20" s="14" t="n">
        <f aca="false">MEDIAN('Unit Ledger'!$AC$2:$AC$315)</f>
        <v>0.0159856968717518</v>
      </c>
      <c r="D20" s="15" t="n">
        <f aca="false">COUNTIFS('Unit Ledger'!$Q$2:$Q$315,"Renewed",'Unit Ledger'!$V$2:$V$315,"&lt;&gt;Y",'Unit Ledger'!$Y$2:$Y$315,"&gt;0")</f>
        <v>64</v>
      </c>
    </row>
    <row r="21" customFormat="false" ht="15" hidden="false" customHeight="false" outlineLevel="0" collapsed="false">
      <c r="A21" s="7" t="s">
        <v>21</v>
      </c>
      <c r="B21" s="13" t="n">
        <f aca="false">AVERAGEIFS('Unit Ledger'!$AD$2:$AD$315,'Unit Ledger'!$Q$2:$Q$315,"Renewed",'Unit Ledger'!$V$2:$V$315,"&lt;&gt;Y")</f>
        <v>0.0953095839740832</v>
      </c>
      <c r="C21" s="14" t="n">
        <f aca="false">MEDIAN('Unit Ledger'!$AD$2:$AD$315)</f>
        <v>0.0863686818651228</v>
      </c>
      <c r="D21" s="15" t="n">
        <f aca="false">D20</f>
        <v>64</v>
      </c>
    </row>
    <row r="22" customFormat="false" ht="15" hidden="false" customHeight="false" outlineLevel="0" collapsed="false">
      <c r="A22" s="5" t="s">
        <v>22</v>
      </c>
      <c r="B22" s="16" t="n">
        <f aca="false">AVERAGEIFS('Unit Ledger'!$L$2:$L$315,'Unit Ledger'!$Q$2:$Q$315,"Renewed",'Unit Ledger'!$V$2:$V$315,"&lt;&gt;Y")</f>
        <v>1731.875</v>
      </c>
      <c r="C22" s="17" t="n">
        <f aca="false">AVERAGEIFS('Unit Ledger'!$Y$2:$Y$315,'Unit Ledger'!$Q$2:$Q$315,"Renewed",'Unit Ledger'!$V$2:$V$315,"&lt;&gt;Y")</f>
        <v>1757.890625</v>
      </c>
    </row>
    <row r="23" customFormat="false" ht="15" hidden="false" customHeight="false" outlineLevel="0" collapsed="false">
      <c r="A23" s="5" t="s">
        <v>23</v>
      </c>
      <c r="B23" s="6" t="n">
        <f aca="false">COUNTIFS('Unit Ledger'!$Q$2:$Q$315,"Renewed",'Unit Ledger'!$AC$2:$AC$315,"&lt;=0",'Unit Ledger'!$V$2:$V$315,"&lt;&gt;Y")</f>
        <v>23</v>
      </c>
      <c r="C23" s="11" t="s">
        <v>24</v>
      </c>
    </row>
    <row r="25" customFormat="false" ht="15" hidden="false" customHeight="false" outlineLevel="0" collapsed="false">
      <c r="A25" s="3" t="s">
        <v>25</v>
      </c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B26" s="12" t="s">
        <v>17</v>
      </c>
      <c r="C26" s="12" t="s">
        <v>18</v>
      </c>
      <c r="D26" s="12" t="s">
        <v>19</v>
      </c>
    </row>
    <row r="27" customFormat="false" ht="15" hidden="false" customHeight="false" outlineLevel="0" collapsed="false">
      <c r="A27" s="7" t="s">
        <v>26</v>
      </c>
      <c r="B27" s="13" t="n">
        <f aca="false">AVERAGEIFS('Unit Ledger'!$AM$2:$AM$315,'Unit Ledger'!$Q$2:$Q$315,"Moved Out",'Unit Ledger'!$V$2:$V$315,"&lt;&gt;Y")</f>
        <v>0.0517474843180309</v>
      </c>
      <c r="C27" s="14" t="n">
        <f aca="false">MEDIAN('Unit Ledger'!$AM$2:$AM$315)</f>
        <v>0.0399212450860471</v>
      </c>
      <c r="D27" s="15" t="n">
        <f aca="false">COUNTIFS('Unit Ledger'!$Q$2:$Q$315,"Moved Out",'Unit Ledger'!$V$2:$V$315,"&lt;&gt;Y",'Unit Ledger'!$AJ$2:$AJ$315,"&gt;0")</f>
        <v>92</v>
      </c>
    </row>
    <row r="28" customFormat="false" ht="15" hidden="false" customHeight="false" outlineLevel="0" collapsed="false">
      <c r="A28" s="7" t="s">
        <v>27</v>
      </c>
      <c r="B28" s="13" t="n">
        <f aca="false">AVERAGEIFS('Unit Ledger'!$AN$2:$AN$315,'Unit Ledger'!$Q$2:$Q$315,"Moved Out",'Unit Ledger'!$V$2:$V$315,"&lt;&gt;Y")</f>
        <v>0.106684200682296</v>
      </c>
      <c r="C28" s="14" t="n">
        <f aca="false">MEDIAN('Unit Ledger'!$AN$2:$AN$315)</f>
        <v>0.101975302874583</v>
      </c>
      <c r="D28" s="15" t="n">
        <f aca="false">SUMPRODUCT(('Unit Ledger'!$Q$2:$Q$315="Moved Out")*('Unit Ledger'!$V$2:$V$315&lt;&gt;"Y")*ISNUMBER('Unit Ledger'!$AN$2:$AN$315))</f>
        <v>88</v>
      </c>
    </row>
    <row r="29" customFormat="false" ht="15" hidden="false" customHeight="false" outlineLevel="0" collapsed="false">
      <c r="A29" s="5" t="s">
        <v>28</v>
      </c>
      <c r="B29" s="16" t="n">
        <f aca="false">AVERAGEIFS('Unit Ledger'!$L$2:$L$315,'Unit Ledger'!$Q$2:$Q$315,"Moved Out",'Unit Ledger'!$AJ$2:$AJ$315,"&gt;0",'Unit Ledger'!$V$2:$V$315,"&lt;&gt;Y")</f>
        <v>1751.22826086957</v>
      </c>
      <c r="C29" s="17" t="n">
        <f aca="false">AVERAGEIFS('Unit Ledger'!$AJ$2:$AJ$315,'Unit Ledger'!$Q$2:$Q$315,"Moved Out",'Unit Ledger'!$AJ$2:$AJ$315,"&gt;0",'Unit Ledger'!$V$2:$V$315,"&lt;&gt;Y")</f>
        <v>1838.14130434783</v>
      </c>
    </row>
    <row r="30" customFormat="false" ht="15" hidden="false" customHeight="false" outlineLevel="0" collapsed="false">
      <c r="A30" s="5" t="s">
        <v>29</v>
      </c>
      <c r="B30" s="6" t="n">
        <f aca="false">AVERAGEIFS('Unit Ledger'!$AO$2:$AO$315,'Unit Ledger'!$Q$2:$Q$315,"Moved Out")</f>
        <v>23.0337078651685</v>
      </c>
    </row>
    <row r="32" customFormat="false" ht="15" hidden="false" customHeight="false" outlineLevel="0" collapsed="false">
      <c r="A32" s="3" t="s">
        <v>30</v>
      </c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5" t="s">
        <v>31</v>
      </c>
      <c r="B33" s="10" t="n">
        <f aca="false">COUNTIF('Unit Ledger'!$M$2:$M$315,"&gt;0")/(COUNTIF('Unit Ledger'!$M$2:$M$315,"&gt;0")+COUNTIF('Unit Ledger'!$M$2:$M$315,"0"))</f>
        <v>0.709897610921502</v>
      </c>
      <c r="C33" s="11" t="s">
        <v>32</v>
      </c>
    </row>
    <row r="34" customFormat="false" ht="15" hidden="false" customHeight="false" outlineLevel="0" collapsed="false">
      <c r="A34" s="5" t="s">
        <v>33</v>
      </c>
      <c r="B34" s="16" t="n">
        <f aca="false">AVERAGEIF('Unit Ledger'!$M$2:$M$315,"&gt;0")</f>
        <v>2058.45802884615</v>
      </c>
    </row>
    <row r="35" customFormat="false" ht="15" hidden="false" customHeight="false" outlineLevel="0" collapsed="false">
      <c r="A35" s="5" t="s">
        <v>34</v>
      </c>
      <c r="B35" s="18" t="n">
        <f aca="false">AVERAGEIF('Unit Ledger'!$M$2:$M$315,"&gt;0")/AVERAGEIFS('Unit Ledger'!$L$2:$L$315,'Unit Ledger'!$M$2:$M$315,"&gt;0")</f>
        <v>1.17699250083843</v>
      </c>
    </row>
    <row r="36" customFormat="false" ht="15" hidden="false" customHeight="false" outlineLevel="0" collapsed="false">
      <c r="A36" s="5" t="s">
        <v>35</v>
      </c>
      <c r="B36" s="16" t="n">
        <f aca="false">AVERAGEIFS('Unit Ledger'!$Z$2:$Z$315,'Unit Ledger'!$Q$2:$Q$315,"Renewed")</f>
        <v>23.3984375</v>
      </c>
      <c r="C36" s="11" t="s">
        <v>36</v>
      </c>
    </row>
    <row r="37" customFormat="false" ht="15" hidden="false" customHeight="false" outlineLevel="0" collapsed="false">
      <c r="A37" s="5" t="s">
        <v>37</v>
      </c>
      <c r="B37" s="16" t="n">
        <f aca="false">AVERAGEIFS('Unit Ledger'!$AK$2:$AK$315,'Unit Ledger'!$Q$2:$Q$315,"Moved Out",'Unit Ledger'!$AJ$2:$AJ$315,"&gt;0")</f>
        <v>455.789772727273</v>
      </c>
    </row>
    <row r="39" customFormat="false" ht="15" hidden="false" customHeight="false" outlineLevel="0" collapsed="false">
      <c r="A39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AO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22"/>
    <col collapsed="false" customWidth="true" hidden="false" outlineLevel="0" max="14" min="12" style="0" width="10"/>
    <col collapsed="false" customWidth="true" hidden="false" outlineLevel="0" max="15" min="15" style="0" width="24"/>
    <col collapsed="false" customWidth="true" hidden="false" outlineLevel="0" max="16" min="16" style="0" width="22"/>
    <col collapsed="false" customWidth="true" hidden="false" outlineLevel="0" max="17" min="17" style="0" width="15"/>
    <col collapsed="false" customWidth="true" hidden="false" outlineLevel="0" max="19" min="18" style="0" width="8"/>
    <col collapsed="false" customWidth="true" hidden="false" outlineLevel="0" max="22" min="20" style="0" width="7"/>
    <col collapsed="false" customWidth="true" hidden="false" outlineLevel="0" max="23" min="23" style="0" width="10"/>
    <col collapsed="false" customWidth="true" hidden="false" outlineLevel="0" max="24" min="24" style="0" width="8"/>
    <col collapsed="false" customWidth="true" hidden="false" outlineLevel="0" max="27" min="25" style="0" width="10"/>
    <col collapsed="false" customWidth="true" hidden="false" outlineLevel="0" max="28" min="28" style="0" width="8"/>
    <col collapsed="false" customWidth="true" hidden="false" outlineLevel="0" max="30" min="29" style="0" width="9"/>
    <col collapsed="false" customWidth="true" hidden="false" outlineLevel="0" max="32" min="31" style="0" width="10"/>
    <col collapsed="false" customWidth="true" hidden="false" outlineLevel="0" max="33" min="33" style="0" width="20"/>
    <col collapsed="false" customWidth="true" hidden="false" outlineLevel="0" max="34" min="34" style="0" width="10"/>
    <col collapsed="false" customWidth="true" hidden="false" outlineLevel="0" max="35" min="35" style="0" width="8"/>
    <col collapsed="false" customWidth="true" hidden="false" outlineLevel="0" max="38" min="36" style="0" width="10"/>
    <col collapsed="false" customWidth="true" hidden="false" outlineLevel="0" max="40" min="39" style="0" width="9"/>
    <col collapsed="false" customWidth="true" hidden="false" outlineLevel="0" max="41" min="41" style="0" width="7"/>
  </cols>
  <sheetData>
    <row r="1" customFormat="false" ht="42" hidden="false" customHeight="true" outlineLevel="0" collapsed="false">
      <c r="A1" s="19" t="s">
        <v>39</v>
      </c>
      <c r="B1" s="19" t="s">
        <v>40</v>
      </c>
      <c r="C1" s="19" t="s">
        <v>41</v>
      </c>
      <c r="D1" s="19" t="s">
        <v>42</v>
      </c>
      <c r="E1" s="19" t="s">
        <v>43</v>
      </c>
      <c r="F1" s="19" t="s">
        <v>44</v>
      </c>
      <c r="G1" s="19" t="s">
        <v>45</v>
      </c>
      <c r="H1" s="19" t="s">
        <v>46</v>
      </c>
      <c r="I1" s="19" t="s">
        <v>47</v>
      </c>
      <c r="J1" s="19" t="s">
        <v>48</v>
      </c>
      <c r="K1" s="19" t="s">
        <v>49</v>
      </c>
      <c r="L1" s="19" t="s">
        <v>50</v>
      </c>
      <c r="M1" s="19" t="s">
        <v>51</v>
      </c>
      <c r="N1" s="19" t="s">
        <v>52</v>
      </c>
      <c r="O1" s="19" t="s">
        <v>53</v>
      </c>
      <c r="P1" s="19" t="s">
        <v>54</v>
      </c>
      <c r="Q1" s="19" t="s">
        <v>55</v>
      </c>
      <c r="R1" s="19" t="s">
        <v>56</v>
      </c>
      <c r="S1" s="19" t="s">
        <v>57</v>
      </c>
      <c r="T1" s="19" t="s">
        <v>58</v>
      </c>
      <c r="U1" s="19" t="s">
        <v>59</v>
      </c>
      <c r="V1" s="19" t="s">
        <v>60</v>
      </c>
      <c r="W1" s="19" t="s">
        <v>61</v>
      </c>
      <c r="X1" s="19" t="s">
        <v>62</v>
      </c>
      <c r="Y1" s="19" t="s">
        <v>63</v>
      </c>
      <c r="Z1" s="19" t="s">
        <v>64</v>
      </c>
      <c r="AA1" s="19" t="s">
        <v>65</v>
      </c>
      <c r="AB1" s="19" t="s">
        <v>66</v>
      </c>
      <c r="AC1" s="19" t="s">
        <v>67</v>
      </c>
      <c r="AD1" s="19" t="s">
        <v>68</v>
      </c>
      <c r="AE1" s="19" t="s">
        <v>69</v>
      </c>
      <c r="AF1" s="19" t="s">
        <v>70</v>
      </c>
      <c r="AG1" s="19" t="s">
        <v>71</v>
      </c>
      <c r="AH1" s="19" t="s">
        <v>72</v>
      </c>
      <c r="AI1" s="19" t="s">
        <v>73</v>
      </c>
      <c r="AJ1" s="19" t="s">
        <v>74</v>
      </c>
      <c r="AK1" s="19" t="s">
        <v>75</v>
      </c>
      <c r="AL1" s="19" t="s">
        <v>76</v>
      </c>
      <c r="AM1" s="19" t="s">
        <v>77</v>
      </c>
      <c r="AN1" s="19" t="s">
        <v>78</v>
      </c>
      <c r="AO1" s="19" t="s">
        <v>79</v>
      </c>
    </row>
    <row r="2" customFormat="false" ht="15" hidden="false" customHeight="false" outlineLevel="0" collapsed="false">
      <c r="A2" s="5" t="s">
        <v>80</v>
      </c>
      <c r="B2" s="5" t="s">
        <v>81</v>
      </c>
      <c r="C2" s="5" t="s">
        <v>82</v>
      </c>
      <c r="D2" s="6" t="n">
        <v>1141</v>
      </c>
      <c r="E2" s="5" t="s">
        <v>83</v>
      </c>
      <c r="F2" s="5" t="s">
        <v>84</v>
      </c>
      <c r="G2" s="20" t="n">
        <v>45998</v>
      </c>
      <c r="H2" s="5" t="n">
        <v>12</v>
      </c>
      <c r="I2" s="20" t="n">
        <v>46362</v>
      </c>
      <c r="J2" s="5" t="s">
        <v>85</v>
      </c>
      <c r="K2" s="5" t="s">
        <v>86</v>
      </c>
      <c r="L2" s="16" t="n">
        <v>1775</v>
      </c>
      <c r="M2" s="16" t="n">
        <v>887.5</v>
      </c>
      <c r="N2" s="21" t="n">
        <f aca="false">IF(OR($L2="",$H2="",$H2=0),"",$L2-N($M2)/$H2)</f>
        <v>1701.04166666667</v>
      </c>
      <c r="O2" s="5" t="s">
        <v>87</v>
      </c>
      <c r="P2" s="5" t="s">
        <v>88</v>
      </c>
      <c r="Q2" s="5" t="s">
        <v>89</v>
      </c>
      <c r="R2" s="5"/>
      <c r="S2" s="5"/>
      <c r="T2" s="5"/>
      <c r="U2" s="5"/>
      <c r="V2" s="5"/>
      <c r="W2" s="20"/>
      <c r="X2" s="5"/>
      <c r="Y2" s="16"/>
      <c r="Z2" s="16"/>
      <c r="AA2" s="21" t="str">
        <f aca="false">IF(OR($Y2="",$X2="",$X2=0),"",$Y2-N($Z2)/$X2)</f>
        <v/>
      </c>
      <c r="AB2" s="5"/>
      <c r="AC2" s="22" t="str">
        <f aca="false">IF(OR($Y2="",$L2="",$L2=0),"",$Y2/$L2-1)</f>
        <v/>
      </c>
      <c r="AD2" s="22" t="str">
        <f aca="false">IF(OR($AA2="",$N2="",$N2=0),"",$AA2/$N2-1)</f>
        <v/>
      </c>
      <c r="AE2" s="20"/>
      <c r="AF2" s="5"/>
      <c r="AG2" s="5"/>
      <c r="AH2" s="20"/>
      <c r="AI2" s="5"/>
      <c r="AJ2" s="16"/>
      <c r="AK2" s="16"/>
      <c r="AL2" s="21" t="str">
        <f aca="false">IF(OR($AJ2="",$AI2="",$AI2=0),"",$AJ2-N($AK2)/$AI2)</f>
        <v/>
      </c>
      <c r="AM2" s="22" t="str">
        <f aca="false">IF(OR($AJ2="",$L2="",$L2=0),"",$AJ2/$L2-1)</f>
        <v/>
      </c>
      <c r="AN2" s="22" t="str">
        <f aca="false">IF(OR($AL2="",$N2="",$N2=0),"",$AL2/$N2-1)</f>
        <v/>
      </c>
      <c r="AO2" s="6"/>
    </row>
    <row r="3" customFormat="false" ht="15" hidden="false" customHeight="false" outlineLevel="0" collapsed="false">
      <c r="A3" s="23" t="s">
        <v>90</v>
      </c>
      <c r="B3" s="23" t="s">
        <v>91</v>
      </c>
      <c r="C3" s="23" t="s">
        <v>92</v>
      </c>
      <c r="D3" s="24" t="n">
        <v>1328</v>
      </c>
      <c r="E3" s="23" t="s">
        <v>93</v>
      </c>
      <c r="F3" s="23" t="s">
        <v>94</v>
      </c>
      <c r="G3" s="25" t="n">
        <v>45695</v>
      </c>
      <c r="H3" s="23" t="n">
        <v>15</v>
      </c>
      <c r="I3" s="25" t="n">
        <v>46059</v>
      </c>
      <c r="J3" s="23" t="s">
        <v>95</v>
      </c>
      <c r="K3" s="23" t="s">
        <v>86</v>
      </c>
      <c r="L3" s="26" t="n">
        <v>2130</v>
      </c>
      <c r="M3" s="26" t="n">
        <v>495</v>
      </c>
      <c r="N3" s="27" t="n">
        <f aca="false">IF(OR($L3="",$H3="",$H3=0),"",$L3-N($M3)/$H3)</f>
        <v>2097</v>
      </c>
      <c r="O3" s="23" t="s">
        <v>87</v>
      </c>
      <c r="P3" s="23" t="s">
        <v>96</v>
      </c>
      <c r="Q3" s="23" t="s">
        <v>97</v>
      </c>
      <c r="R3" s="23" t="s">
        <v>98</v>
      </c>
      <c r="S3" s="23" t="s">
        <v>98</v>
      </c>
      <c r="T3" s="23"/>
      <c r="U3" s="23"/>
      <c r="V3" s="23"/>
      <c r="W3" s="25"/>
      <c r="X3" s="23"/>
      <c r="Y3" s="26"/>
      <c r="Z3" s="26"/>
      <c r="AA3" s="27" t="str">
        <f aca="false">IF(OR($Y3="",$X3="",$X3=0),"",$Y3-N($Z3)/$X3)</f>
        <v/>
      </c>
      <c r="AB3" s="23"/>
      <c r="AC3" s="28" t="str">
        <f aca="false">IF(OR($Y3="",$L3="",$L3=0),"",$Y3/$L3-1)</f>
        <v/>
      </c>
      <c r="AD3" s="28" t="str">
        <f aca="false">IF(OR($AA3="",$N3="",$N3=0),"",$AA3/$N3-1)</f>
        <v/>
      </c>
      <c r="AE3" s="25" t="n">
        <v>46059</v>
      </c>
      <c r="AF3" s="23" t="s">
        <v>99</v>
      </c>
      <c r="AG3" s="23" t="s">
        <v>100</v>
      </c>
      <c r="AH3" s="25" t="n">
        <v>46133</v>
      </c>
      <c r="AI3" s="23" t="n">
        <v>12</v>
      </c>
      <c r="AJ3" s="26" t="n">
        <v>2351</v>
      </c>
      <c r="AK3" s="26" t="n">
        <v>2351</v>
      </c>
      <c r="AL3" s="27" t="n">
        <f aca="false">IF(OR($AJ3="",$AI3="",$AI3=0),"",$AJ3-N($AK3)/$AI3)</f>
        <v>2155.08333333333</v>
      </c>
      <c r="AM3" s="28" t="n">
        <f aca="false">IF(OR($AJ3="",$L3="",$L3=0),"",$AJ3/$L3-1)</f>
        <v>0.103755868544601</v>
      </c>
      <c r="AN3" s="28" t="n">
        <f aca="false">IF(OR($AL3="",$N3="",$N3=0),"",$AL3/$N3-1)</f>
        <v>0.0276982991575268</v>
      </c>
      <c r="AO3" s="24" t="n">
        <v>74</v>
      </c>
    </row>
    <row r="4" customFormat="false" ht="15" hidden="false" customHeight="false" outlineLevel="0" collapsed="false">
      <c r="A4" s="5" t="s">
        <v>101</v>
      </c>
      <c r="B4" s="5" t="s">
        <v>102</v>
      </c>
      <c r="C4" s="5" t="s">
        <v>103</v>
      </c>
      <c r="D4" s="6" t="n">
        <v>693</v>
      </c>
      <c r="E4" s="5" t="s">
        <v>104</v>
      </c>
      <c r="F4" s="5" t="s">
        <v>105</v>
      </c>
      <c r="G4" s="20" t="n">
        <v>45960</v>
      </c>
      <c r="H4" s="5" t="n">
        <v>12</v>
      </c>
      <c r="I4" s="20" t="n">
        <v>46324</v>
      </c>
      <c r="J4" s="5" t="s">
        <v>106</v>
      </c>
      <c r="K4" s="5" t="s">
        <v>86</v>
      </c>
      <c r="L4" s="16" t="n">
        <v>1349</v>
      </c>
      <c r="M4" s="16" t="n">
        <v>674</v>
      </c>
      <c r="N4" s="21" t="n">
        <f aca="false">IF(OR($L4="",$H4="",$H4=0),"",$L4-N($M4)/$H4)</f>
        <v>1292.83333333333</v>
      </c>
      <c r="O4" s="5" t="s">
        <v>87</v>
      </c>
      <c r="P4" s="5" t="s">
        <v>88</v>
      </c>
      <c r="Q4" s="5" t="s">
        <v>97</v>
      </c>
      <c r="R4" s="5"/>
      <c r="S4" s="5"/>
      <c r="T4" s="5" t="s">
        <v>98</v>
      </c>
      <c r="U4" s="5"/>
      <c r="V4" s="5"/>
      <c r="W4" s="20"/>
      <c r="X4" s="5"/>
      <c r="Y4" s="16"/>
      <c r="Z4" s="16"/>
      <c r="AA4" s="21" t="str">
        <f aca="false">IF(OR($Y4="",$X4="",$X4=0),"",$Y4-N($Z4)/$X4)</f>
        <v/>
      </c>
      <c r="AB4" s="5"/>
      <c r="AC4" s="22" t="str">
        <f aca="false">IF(OR($Y4="",$L4="",$L4=0),"",$Y4/$L4-1)</f>
        <v/>
      </c>
      <c r="AD4" s="22" t="str">
        <f aca="false">IF(OR($AA4="",$N4="",$N4=0),"",$AA4/$N4-1)</f>
        <v/>
      </c>
      <c r="AE4" s="20" t="n">
        <v>46230</v>
      </c>
      <c r="AF4" s="5"/>
      <c r="AG4" s="5"/>
      <c r="AH4" s="20"/>
      <c r="AI4" s="5"/>
      <c r="AJ4" s="16"/>
      <c r="AK4" s="16"/>
      <c r="AL4" s="21" t="str">
        <f aca="false">IF(OR($AJ4="",$AI4="",$AI4=0),"",$AJ4-N($AK4)/$AI4)</f>
        <v/>
      </c>
      <c r="AM4" s="22" t="str">
        <f aca="false">IF(OR($AJ4="",$L4="",$L4=0),"",$AJ4/$L4-1)</f>
        <v/>
      </c>
      <c r="AN4" s="22" t="str">
        <f aca="false">IF(OR($AL4="",$N4="",$N4=0),"",$AL4/$N4-1)</f>
        <v/>
      </c>
      <c r="AO4" s="6"/>
    </row>
    <row r="5" customFormat="false" ht="15" hidden="false" customHeight="false" outlineLevel="0" collapsed="false">
      <c r="A5" s="23" t="s">
        <v>107</v>
      </c>
      <c r="B5" s="23" t="s">
        <v>108</v>
      </c>
      <c r="C5" s="23" t="s">
        <v>103</v>
      </c>
      <c r="D5" s="24" t="n">
        <v>746</v>
      </c>
      <c r="E5" s="23" t="s">
        <v>109</v>
      </c>
      <c r="F5" s="23" t="s">
        <v>110</v>
      </c>
      <c r="G5" s="25" t="n">
        <v>45975</v>
      </c>
      <c r="H5" s="23" t="n">
        <v>18</v>
      </c>
      <c r="I5" s="25" t="n">
        <v>46520</v>
      </c>
      <c r="J5" s="23" t="s">
        <v>111</v>
      </c>
      <c r="K5" s="23" t="s">
        <v>86</v>
      </c>
      <c r="L5" s="26" t="n">
        <v>1499</v>
      </c>
      <c r="M5" s="26" t="n">
        <v>0</v>
      </c>
      <c r="N5" s="27" t="n">
        <f aca="false">IF(OR($L5="",$H5="",$H5=0),"",$L5-N($M5)/$H5)</f>
        <v>1499</v>
      </c>
      <c r="O5" s="23" t="s">
        <v>87</v>
      </c>
      <c r="P5" s="23" t="s">
        <v>88</v>
      </c>
      <c r="Q5" s="23" t="s">
        <v>89</v>
      </c>
      <c r="R5" s="23"/>
      <c r="S5" s="23"/>
      <c r="T5" s="23"/>
      <c r="U5" s="23"/>
      <c r="V5" s="23"/>
      <c r="W5" s="25"/>
      <c r="X5" s="23"/>
      <c r="Y5" s="26"/>
      <c r="Z5" s="26"/>
      <c r="AA5" s="27" t="str">
        <f aca="false">IF(OR($Y5="",$X5="",$X5=0),"",$Y5-N($Z5)/$X5)</f>
        <v/>
      </c>
      <c r="AB5" s="23"/>
      <c r="AC5" s="28" t="str">
        <f aca="false">IF(OR($Y5="",$L5="",$L5=0),"",$Y5/$L5-1)</f>
        <v/>
      </c>
      <c r="AD5" s="28" t="str">
        <f aca="false">IF(OR($AA5="",$N5="",$N5=0),"",$AA5/$N5-1)</f>
        <v/>
      </c>
      <c r="AE5" s="25"/>
      <c r="AF5" s="23"/>
      <c r="AG5" s="23"/>
      <c r="AH5" s="25"/>
      <c r="AI5" s="23"/>
      <c r="AJ5" s="26"/>
      <c r="AK5" s="26"/>
      <c r="AL5" s="27" t="str">
        <f aca="false">IF(OR($AJ5="",$AI5="",$AI5=0),"",$AJ5-N($AK5)/$AI5)</f>
        <v/>
      </c>
      <c r="AM5" s="28" t="str">
        <f aca="false">IF(OR($AJ5="",$L5="",$L5=0),"",$AJ5/$L5-1)</f>
        <v/>
      </c>
      <c r="AN5" s="28" t="str">
        <f aca="false">IF(OR($AL5="",$N5="",$N5=0),"",$AL5/$N5-1)</f>
        <v/>
      </c>
      <c r="AO5" s="24"/>
    </row>
    <row r="6" customFormat="false" ht="15" hidden="false" customHeight="false" outlineLevel="0" collapsed="false">
      <c r="A6" s="5" t="s">
        <v>112</v>
      </c>
      <c r="B6" s="5" t="s">
        <v>113</v>
      </c>
      <c r="C6" s="5" t="s">
        <v>82</v>
      </c>
      <c r="D6" s="6" t="n">
        <v>1092</v>
      </c>
      <c r="E6" s="5" t="s">
        <v>114</v>
      </c>
      <c r="F6" s="5" t="s">
        <v>115</v>
      </c>
      <c r="G6" s="20" t="n">
        <v>45781</v>
      </c>
      <c r="H6" s="5" t="n">
        <v>14</v>
      </c>
      <c r="I6" s="20" t="n">
        <v>46206</v>
      </c>
      <c r="J6" s="5" t="s">
        <v>116</v>
      </c>
      <c r="K6" s="5" t="s">
        <v>86</v>
      </c>
      <c r="L6" s="16" t="n">
        <v>1885</v>
      </c>
      <c r="M6" s="16" t="n">
        <v>0</v>
      </c>
      <c r="N6" s="21" t="n">
        <f aca="false">IF(OR($L6="",$H6="",$H6=0),"",$L6-N($M6)/$H6)</f>
        <v>1885</v>
      </c>
      <c r="O6" s="5" t="s">
        <v>87</v>
      </c>
      <c r="P6" s="5" t="s">
        <v>88</v>
      </c>
      <c r="Q6" s="5" t="s">
        <v>97</v>
      </c>
      <c r="R6" s="5" t="s">
        <v>98</v>
      </c>
      <c r="S6" s="5" t="s">
        <v>98</v>
      </c>
      <c r="T6" s="5"/>
      <c r="U6" s="5"/>
      <c r="V6" s="5"/>
      <c r="W6" s="20"/>
      <c r="X6" s="5"/>
      <c r="Y6" s="16"/>
      <c r="Z6" s="16"/>
      <c r="AA6" s="21" t="str">
        <f aca="false">IF(OR($Y6="",$X6="",$X6=0),"",$Y6-N($Z6)/$X6)</f>
        <v/>
      </c>
      <c r="AB6" s="5"/>
      <c r="AC6" s="22" t="str">
        <f aca="false">IF(OR($Y6="",$L6="",$L6=0),"",$Y6/$L6-1)</f>
        <v/>
      </c>
      <c r="AD6" s="22" t="str">
        <f aca="false">IF(OR($AA6="",$N6="",$N6=0),"",$AA6/$N6-1)</f>
        <v/>
      </c>
      <c r="AE6" s="20" t="n">
        <v>46206</v>
      </c>
      <c r="AF6" s="5" t="s">
        <v>117</v>
      </c>
      <c r="AG6" s="5" t="s">
        <v>118</v>
      </c>
      <c r="AH6" s="20" t="n">
        <v>46220</v>
      </c>
      <c r="AI6" s="5" t="n">
        <v>12</v>
      </c>
      <c r="AJ6" s="16" t="n">
        <v>1924</v>
      </c>
      <c r="AK6" s="16" t="n">
        <v>0</v>
      </c>
      <c r="AL6" s="21" t="n">
        <f aca="false">IF(OR($AJ6="",$AI6="",$AI6=0),"",$AJ6-N($AK6)/$AI6)</f>
        <v>1924</v>
      </c>
      <c r="AM6" s="22" t="n">
        <f aca="false">IF(OR($AJ6="",$L6="",$L6=0),"",$AJ6/$L6-1)</f>
        <v>0.0206896551724138</v>
      </c>
      <c r="AN6" s="22" t="n">
        <f aca="false">IF(OR($AL6="",$N6="",$N6=0),"",$AL6/$N6-1)</f>
        <v>0.0206896551724138</v>
      </c>
      <c r="AO6" s="6" t="n">
        <v>14</v>
      </c>
    </row>
    <row r="7" customFormat="false" ht="15" hidden="false" customHeight="false" outlineLevel="0" collapsed="false">
      <c r="A7" s="23" t="s">
        <v>119</v>
      </c>
      <c r="B7" s="23" t="s">
        <v>102</v>
      </c>
      <c r="C7" s="23" t="s">
        <v>103</v>
      </c>
      <c r="D7" s="24" t="n">
        <v>693</v>
      </c>
      <c r="E7" s="23" t="s">
        <v>120</v>
      </c>
      <c r="F7" s="23" t="s">
        <v>121</v>
      </c>
      <c r="G7" s="25" t="n">
        <v>45957</v>
      </c>
      <c r="H7" s="23" t="n">
        <v>12</v>
      </c>
      <c r="I7" s="25" t="n">
        <v>46321</v>
      </c>
      <c r="J7" s="23" t="s">
        <v>106</v>
      </c>
      <c r="K7" s="23" t="s">
        <v>86</v>
      </c>
      <c r="L7" s="26" t="n">
        <v>1349</v>
      </c>
      <c r="M7" s="26" t="n">
        <v>0</v>
      </c>
      <c r="N7" s="27" t="n">
        <f aca="false">IF(OR($L7="",$H7="",$H7=0),"",$L7-N($M7)/$H7)</f>
        <v>1349</v>
      </c>
      <c r="O7" s="23" t="s">
        <v>87</v>
      </c>
      <c r="P7" s="23" t="s">
        <v>88</v>
      </c>
      <c r="Q7" s="23" t="s">
        <v>89</v>
      </c>
      <c r="R7" s="23"/>
      <c r="S7" s="23"/>
      <c r="T7" s="23"/>
      <c r="U7" s="23"/>
      <c r="V7" s="23"/>
      <c r="W7" s="25"/>
      <c r="X7" s="23"/>
      <c r="Y7" s="26"/>
      <c r="Z7" s="26"/>
      <c r="AA7" s="27" t="str">
        <f aca="false">IF(OR($Y7="",$X7="",$X7=0),"",$Y7-N($Z7)/$X7)</f>
        <v/>
      </c>
      <c r="AB7" s="23"/>
      <c r="AC7" s="28" t="str">
        <f aca="false">IF(OR($Y7="",$L7="",$L7=0),"",$Y7/$L7-1)</f>
        <v/>
      </c>
      <c r="AD7" s="28" t="str">
        <f aca="false">IF(OR($AA7="",$N7="",$N7=0),"",$AA7/$N7-1)</f>
        <v/>
      </c>
      <c r="AE7" s="25"/>
      <c r="AF7" s="23"/>
      <c r="AG7" s="23"/>
      <c r="AH7" s="25"/>
      <c r="AI7" s="23"/>
      <c r="AJ7" s="26"/>
      <c r="AK7" s="26"/>
      <c r="AL7" s="27" t="str">
        <f aca="false">IF(OR($AJ7="",$AI7="",$AI7=0),"",$AJ7-N($AK7)/$AI7)</f>
        <v/>
      </c>
      <c r="AM7" s="28" t="str">
        <f aca="false">IF(OR($AJ7="",$L7="",$L7=0),"",$AJ7/$L7-1)</f>
        <v/>
      </c>
      <c r="AN7" s="28" t="str">
        <f aca="false">IF(OR($AL7="",$N7="",$N7=0),"",$AL7/$N7-1)</f>
        <v/>
      </c>
      <c r="AO7" s="24"/>
    </row>
    <row r="8" customFormat="false" ht="15" hidden="false" customHeight="false" outlineLevel="0" collapsed="false">
      <c r="A8" s="5" t="s">
        <v>122</v>
      </c>
      <c r="B8" s="5" t="s">
        <v>81</v>
      </c>
      <c r="C8" s="5" t="s">
        <v>82</v>
      </c>
      <c r="D8" s="6" t="n">
        <v>1141</v>
      </c>
      <c r="E8" s="5" t="s">
        <v>123</v>
      </c>
      <c r="F8" s="5" t="s">
        <v>124</v>
      </c>
      <c r="G8" s="20" t="n">
        <v>45730</v>
      </c>
      <c r="H8" s="5" t="n">
        <v>15</v>
      </c>
      <c r="I8" s="20" t="n">
        <v>46094</v>
      </c>
      <c r="J8" s="5" t="s">
        <v>125</v>
      </c>
      <c r="K8" s="5" t="s">
        <v>126</v>
      </c>
      <c r="L8" s="16" t="n">
        <v>1995</v>
      </c>
      <c r="M8" s="16" t="n">
        <v>495</v>
      </c>
      <c r="N8" s="21" t="n">
        <f aca="false">IF(OR($L8="",$H8="",$H8=0),"",$L8-N($M8)/$H8)</f>
        <v>1962</v>
      </c>
      <c r="O8" s="5" t="s">
        <v>87</v>
      </c>
      <c r="P8" s="5" t="s">
        <v>96</v>
      </c>
      <c r="Q8" s="5" t="s">
        <v>127</v>
      </c>
      <c r="R8" s="5" t="s">
        <v>98</v>
      </c>
      <c r="S8" s="5" t="s">
        <v>98</v>
      </c>
      <c r="T8" s="5"/>
      <c r="U8" s="5"/>
      <c r="V8" s="5"/>
      <c r="W8" s="20" t="n">
        <v>46095</v>
      </c>
      <c r="X8" s="5" t="n">
        <v>6</v>
      </c>
      <c r="Y8" s="16" t="n">
        <v>1995</v>
      </c>
      <c r="Z8" s="16" t="n">
        <v>0</v>
      </c>
      <c r="AA8" s="21" t="n">
        <f aca="false">IF(OR($Y8="",$X8="",$X8=0),"",$Y8-N($Z8)/$X8)</f>
        <v>1995</v>
      </c>
      <c r="AB8" s="5"/>
      <c r="AC8" s="22" t="n">
        <f aca="false">IF(OR($Y8="",$L8="",$L8=0),"",$Y8/$L8-1)</f>
        <v>0</v>
      </c>
      <c r="AD8" s="22" t="n">
        <f aca="false">IF(OR($AA8="",$N8="",$N8=0),"",$AA8/$N8-1)</f>
        <v>0.0168195718654434</v>
      </c>
      <c r="AE8" s="20"/>
      <c r="AF8" s="5"/>
      <c r="AG8" s="5"/>
      <c r="AH8" s="20"/>
      <c r="AI8" s="5"/>
      <c r="AJ8" s="16"/>
      <c r="AK8" s="16"/>
      <c r="AL8" s="21" t="str">
        <f aca="false">IF(OR($AJ8="",$AI8="",$AI8=0),"",$AJ8-N($AK8)/$AI8)</f>
        <v/>
      </c>
      <c r="AM8" s="22" t="str">
        <f aca="false">IF(OR($AJ8="",$L8="",$L8=0),"",$AJ8/$L8-1)</f>
        <v/>
      </c>
      <c r="AN8" s="22" t="str">
        <f aca="false">IF(OR($AL8="",$N8="",$N8=0),"",$AL8/$N8-1)</f>
        <v/>
      </c>
      <c r="AO8" s="6"/>
    </row>
    <row r="9" customFormat="false" ht="15" hidden="false" customHeight="false" outlineLevel="0" collapsed="false">
      <c r="A9" s="23" t="s">
        <v>128</v>
      </c>
      <c r="B9" s="23" t="s">
        <v>102</v>
      </c>
      <c r="C9" s="23" t="s">
        <v>103</v>
      </c>
      <c r="D9" s="24" t="n">
        <v>693</v>
      </c>
      <c r="E9" s="23" t="s">
        <v>129</v>
      </c>
      <c r="F9" s="23" t="s">
        <v>130</v>
      </c>
      <c r="G9" s="25" t="n">
        <v>45961</v>
      </c>
      <c r="H9" s="23" t="n">
        <v>17</v>
      </c>
      <c r="I9" s="25" t="n">
        <v>46476</v>
      </c>
      <c r="J9" s="23" t="s">
        <v>131</v>
      </c>
      <c r="K9" s="23" t="s">
        <v>86</v>
      </c>
      <c r="L9" s="26" t="n">
        <v>1349</v>
      </c>
      <c r="M9" s="26" t="n">
        <v>674.5</v>
      </c>
      <c r="N9" s="27" t="n">
        <f aca="false">IF(OR($L9="",$H9="",$H9=0),"",$L9-N($M9)/$H9)</f>
        <v>1309.32352941176</v>
      </c>
      <c r="O9" s="23" t="s">
        <v>87</v>
      </c>
      <c r="P9" s="23" t="s">
        <v>88</v>
      </c>
      <c r="Q9" s="23" t="s">
        <v>89</v>
      </c>
      <c r="R9" s="23"/>
      <c r="S9" s="23"/>
      <c r="T9" s="23"/>
      <c r="U9" s="23"/>
      <c r="V9" s="23"/>
      <c r="W9" s="25"/>
      <c r="X9" s="23"/>
      <c r="Y9" s="26"/>
      <c r="Z9" s="26"/>
      <c r="AA9" s="27" t="str">
        <f aca="false">IF(OR($Y9="",$X9="",$X9=0),"",$Y9-N($Z9)/$X9)</f>
        <v/>
      </c>
      <c r="AB9" s="23"/>
      <c r="AC9" s="28" t="str">
        <f aca="false">IF(OR($Y9="",$L9="",$L9=0),"",$Y9/$L9-1)</f>
        <v/>
      </c>
      <c r="AD9" s="28" t="str">
        <f aca="false">IF(OR($AA9="",$N9="",$N9=0),"",$AA9/$N9-1)</f>
        <v/>
      </c>
      <c r="AE9" s="25"/>
      <c r="AF9" s="23"/>
      <c r="AG9" s="23"/>
      <c r="AH9" s="25"/>
      <c r="AI9" s="23"/>
      <c r="AJ9" s="26"/>
      <c r="AK9" s="26"/>
      <c r="AL9" s="27" t="str">
        <f aca="false">IF(OR($AJ9="",$AI9="",$AI9=0),"",$AJ9-N($AK9)/$AI9)</f>
        <v/>
      </c>
      <c r="AM9" s="28" t="str">
        <f aca="false">IF(OR($AJ9="",$L9="",$L9=0),"",$AJ9/$L9-1)</f>
        <v/>
      </c>
      <c r="AN9" s="28" t="str">
        <f aca="false">IF(OR($AL9="",$N9="",$N9=0),"",$AL9/$N9-1)</f>
        <v/>
      </c>
      <c r="AO9" s="24"/>
    </row>
    <row r="10" customFormat="false" ht="15" hidden="false" customHeight="false" outlineLevel="0" collapsed="false">
      <c r="A10" s="5" t="s">
        <v>132</v>
      </c>
      <c r="B10" s="5" t="s">
        <v>102</v>
      </c>
      <c r="C10" s="5" t="s">
        <v>103</v>
      </c>
      <c r="D10" s="6" t="n">
        <v>693</v>
      </c>
      <c r="E10" s="5" t="s">
        <v>133</v>
      </c>
      <c r="F10" s="5" t="s">
        <v>134</v>
      </c>
      <c r="G10" s="20" t="n">
        <v>45882</v>
      </c>
      <c r="H10" s="5" t="n">
        <v>12</v>
      </c>
      <c r="I10" s="20" t="n">
        <v>46246</v>
      </c>
      <c r="J10" s="5" t="s">
        <v>135</v>
      </c>
      <c r="K10" s="5" t="s">
        <v>86</v>
      </c>
      <c r="L10" s="16" t="n">
        <v>1600</v>
      </c>
      <c r="M10" s="16" t="n">
        <v>2400</v>
      </c>
      <c r="N10" s="21" t="n">
        <f aca="false">IF(OR($L10="",$H10="",$H10=0),"",$L10-N($M10)/$H10)</f>
        <v>1400</v>
      </c>
      <c r="O10" s="5" t="s">
        <v>87</v>
      </c>
      <c r="P10" s="5" t="s">
        <v>88</v>
      </c>
      <c r="Q10" s="5" t="s">
        <v>89</v>
      </c>
      <c r="R10" s="5"/>
      <c r="S10" s="5"/>
      <c r="T10" s="5"/>
      <c r="U10" s="5"/>
      <c r="V10" s="5"/>
      <c r="W10" s="20"/>
      <c r="X10" s="5"/>
      <c r="Y10" s="16"/>
      <c r="Z10" s="16"/>
      <c r="AA10" s="21" t="str">
        <f aca="false">IF(OR($Y10="",$X10="",$X10=0),"",$Y10-N($Z10)/$X10)</f>
        <v/>
      </c>
      <c r="AB10" s="5"/>
      <c r="AC10" s="22" t="str">
        <f aca="false">IF(OR($Y10="",$L10="",$L10=0),"",$Y10/$L10-1)</f>
        <v/>
      </c>
      <c r="AD10" s="22" t="str">
        <f aca="false">IF(OR($AA10="",$N10="",$N10=0),"",$AA10/$N10-1)</f>
        <v/>
      </c>
      <c r="AE10" s="20"/>
      <c r="AF10" s="5"/>
      <c r="AG10" s="5"/>
      <c r="AH10" s="20"/>
      <c r="AI10" s="5"/>
      <c r="AJ10" s="16"/>
      <c r="AK10" s="16"/>
      <c r="AL10" s="21" t="str">
        <f aca="false">IF(OR($AJ10="",$AI10="",$AI10=0),"",$AJ10-N($AK10)/$AI10)</f>
        <v/>
      </c>
      <c r="AM10" s="22" t="str">
        <f aca="false">IF(OR($AJ10="",$L10="",$L10=0),"",$AJ10/$L10-1)</f>
        <v/>
      </c>
      <c r="AN10" s="22" t="str">
        <f aca="false">IF(OR($AL10="",$N10="",$N10=0),"",$AL10/$N10-1)</f>
        <v/>
      </c>
      <c r="AO10" s="6"/>
    </row>
    <row r="11" customFormat="false" ht="15" hidden="false" customHeight="false" outlineLevel="0" collapsed="false">
      <c r="A11" s="23" t="s">
        <v>136</v>
      </c>
      <c r="B11" s="23" t="s">
        <v>108</v>
      </c>
      <c r="C11" s="23" t="s">
        <v>103</v>
      </c>
      <c r="D11" s="24" t="n">
        <v>746</v>
      </c>
      <c r="E11" s="23" t="s">
        <v>137</v>
      </c>
      <c r="F11" s="23" t="s">
        <v>138</v>
      </c>
      <c r="G11" s="25" t="n">
        <v>46009</v>
      </c>
      <c r="H11" s="23" t="n">
        <v>18</v>
      </c>
      <c r="I11" s="25" t="n">
        <v>46555</v>
      </c>
      <c r="J11" s="23" t="s">
        <v>139</v>
      </c>
      <c r="K11" s="23" t="s">
        <v>86</v>
      </c>
      <c r="L11" s="26" t="n">
        <v>1499</v>
      </c>
      <c r="M11" s="26" t="n">
        <v>0</v>
      </c>
      <c r="N11" s="27" t="n">
        <f aca="false">IF(OR($L11="",$H11="",$H11=0),"",$L11-N($M11)/$H11)</f>
        <v>1499</v>
      </c>
      <c r="O11" s="23" t="s">
        <v>87</v>
      </c>
      <c r="P11" s="23" t="s">
        <v>88</v>
      </c>
      <c r="Q11" s="23" t="s">
        <v>89</v>
      </c>
      <c r="R11" s="23"/>
      <c r="S11" s="23"/>
      <c r="T11" s="23"/>
      <c r="U11" s="23"/>
      <c r="V11" s="23"/>
      <c r="W11" s="25"/>
      <c r="X11" s="23"/>
      <c r="Y11" s="26"/>
      <c r="Z11" s="26"/>
      <c r="AA11" s="27" t="str">
        <f aca="false">IF(OR($Y11="",$X11="",$X11=0),"",$Y11-N($Z11)/$X11)</f>
        <v/>
      </c>
      <c r="AB11" s="23"/>
      <c r="AC11" s="28" t="str">
        <f aca="false">IF(OR($Y11="",$L11="",$L11=0),"",$Y11/$L11-1)</f>
        <v/>
      </c>
      <c r="AD11" s="28" t="str">
        <f aca="false">IF(OR($AA11="",$N11="",$N11=0),"",$AA11/$N11-1)</f>
        <v/>
      </c>
      <c r="AE11" s="25"/>
      <c r="AF11" s="23"/>
      <c r="AG11" s="23"/>
      <c r="AH11" s="25"/>
      <c r="AI11" s="23"/>
      <c r="AJ11" s="26"/>
      <c r="AK11" s="26"/>
      <c r="AL11" s="27" t="str">
        <f aca="false">IF(OR($AJ11="",$AI11="",$AI11=0),"",$AJ11-N($AK11)/$AI11)</f>
        <v/>
      </c>
      <c r="AM11" s="28" t="str">
        <f aca="false">IF(OR($AJ11="",$L11="",$L11=0),"",$AJ11/$L11-1)</f>
        <v/>
      </c>
      <c r="AN11" s="28" t="str">
        <f aca="false">IF(OR($AL11="",$N11="",$N11=0),"",$AL11/$N11-1)</f>
        <v/>
      </c>
      <c r="AO11" s="24"/>
    </row>
    <row r="12" customFormat="false" ht="15" hidden="false" customHeight="false" outlineLevel="0" collapsed="false">
      <c r="A12" s="5" t="s">
        <v>140</v>
      </c>
      <c r="B12" s="5" t="s">
        <v>102</v>
      </c>
      <c r="C12" s="5" t="s">
        <v>103</v>
      </c>
      <c r="D12" s="6" t="n">
        <v>693</v>
      </c>
      <c r="E12" s="5" t="s">
        <v>141</v>
      </c>
      <c r="F12" s="5" t="s">
        <v>142</v>
      </c>
      <c r="G12" s="20" t="n">
        <v>45936</v>
      </c>
      <c r="H12" s="5" t="n">
        <v>18</v>
      </c>
      <c r="I12" s="20" t="n">
        <v>46482</v>
      </c>
      <c r="J12" s="5" t="s">
        <v>143</v>
      </c>
      <c r="K12" s="5" t="s">
        <v>86</v>
      </c>
      <c r="L12" s="16" t="n">
        <v>1349</v>
      </c>
      <c r="M12" s="16" t="n">
        <v>674</v>
      </c>
      <c r="N12" s="21" t="n">
        <f aca="false">IF(OR($L12="",$H12="",$H12=0),"",$L12-N($M12)/$H12)</f>
        <v>1311.55555555556</v>
      </c>
      <c r="O12" s="5" t="s">
        <v>87</v>
      </c>
      <c r="P12" s="5" t="s">
        <v>88</v>
      </c>
      <c r="Q12" s="5" t="s">
        <v>89</v>
      </c>
      <c r="R12" s="5"/>
      <c r="S12" s="5"/>
      <c r="T12" s="5"/>
      <c r="U12" s="5"/>
      <c r="V12" s="5"/>
      <c r="W12" s="20"/>
      <c r="X12" s="5"/>
      <c r="Y12" s="16"/>
      <c r="Z12" s="16"/>
      <c r="AA12" s="21" t="str">
        <f aca="false">IF(OR($Y12="",$X12="",$X12=0),"",$Y12-N($Z12)/$X12)</f>
        <v/>
      </c>
      <c r="AB12" s="5"/>
      <c r="AC12" s="22" t="str">
        <f aca="false">IF(OR($Y12="",$L12="",$L12=0),"",$Y12/$L12-1)</f>
        <v/>
      </c>
      <c r="AD12" s="22" t="str">
        <f aca="false">IF(OR($AA12="",$N12="",$N12=0),"",$AA12/$N12-1)</f>
        <v/>
      </c>
      <c r="AE12" s="20"/>
      <c r="AF12" s="5"/>
      <c r="AG12" s="5"/>
      <c r="AH12" s="20"/>
      <c r="AI12" s="5"/>
      <c r="AJ12" s="16"/>
      <c r="AK12" s="16"/>
      <c r="AL12" s="21" t="str">
        <f aca="false">IF(OR($AJ12="",$AI12="",$AI12=0),"",$AJ12-N($AK12)/$AI12)</f>
        <v/>
      </c>
      <c r="AM12" s="22" t="str">
        <f aca="false">IF(OR($AJ12="",$L12="",$L12=0),"",$AJ12/$L12-1)</f>
        <v/>
      </c>
      <c r="AN12" s="22" t="str">
        <f aca="false">IF(OR($AL12="",$N12="",$N12=0),"",$AL12/$N12-1)</f>
        <v/>
      </c>
      <c r="AO12" s="6"/>
    </row>
    <row r="13" customFormat="false" ht="15" hidden="false" customHeight="false" outlineLevel="0" collapsed="false">
      <c r="A13" s="23" t="s">
        <v>144</v>
      </c>
      <c r="B13" s="23" t="s">
        <v>145</v>
      </c>
      <c r="C13" s="23" t="s">
        <v>82</v>
      </c>
      <c r="D13" s="24" t="n">
        <v>1165</v>
      </c>
      <c r="E13" s="23" t="s">
        <v>146</v>
      </c>
      <c r="F13" s="23" t="s">
        <v>147</v>
      </c>
      <c r="G13" s="25" t="n">
        <v>45776</v>
      </c>
      <c r="H13" s="23" t="n">
        <v>12</v>
      </c>
      <c r="I13" s="25" t="n">
        <v>46170</v>
      </c>
      <c r="J13" s="23" t="s">
        <v>148</v>
      </c>
      <c r="K13" s="23" t="s">
        <v>86</v>
      </c>
      <c r="L13" s="26" t="n">
        <v>1820</v>
      </c>
      <c r="M13" s="26" t="n">
        <v>1824</v>
      </c>
      <c r="N13" s="27" t="n">
        <f aca="false">IF(OR($L13="",$H13="",$H13=0),"",$L13-N($M13)/$H13)</f>
        <v>1668</v>
      </c>
      <c r="O13" s="23" t="s">
        <v>87</v>
      </c>
      <c r="P13" s="23" t="s">
        <v>96</v>
      </c>
      <c r="Q13" s="23" t="s">
        <v>97</v>
      </c>
      <c r="R13" s="23" t="s">
        <v>98</v>
      </c>
      <c r="S13" s="23" t="s">
        <v>98</v>
      </c>
      <c r="T13" s="23"/>
      <c r="U13" s="23"/>
      <c r="V13" s="23"/>
      <c r="W13" s="25"/>
      <c r="X13" s="23"/>
      <c r="Y13" s="26"/>
      <c r="Z13" s="26"/>
      <c r="AA13" s="27" t="str">
        <f aca="false">IF(OR($Y13="",$X13="",$X13=0),"",$Y13-N($Z13)/$X13)</f>
        <v/>
      </c>
      <c r="AB13" s="23"/>
      <c r="AC13" s="28" t="str">
        <f aca="false">IF(OR($Y13="",$L13="",$L13=0),"",$Y13/$L13-1)</f>
        <v/>
      </c>
      <c r="AD13" s="28" t="str">
        <f aca="false">IF(OR($AA13="",$N13="",$N13=0),"",$AA13/$N13-1)</f>
        <v/>
      </c>
      <c r="AE13" s="25" t="n">
        <v>46170</v>
      </c>
      <c r="AF13" s="23"/>
      <c r="AG13" s="23"/>
      <c r="AH13" s="25"/>
      <c r="AI13" s="23"/>
      <c r="AJ13" s="26"/>
      <c r="AK13" s="26"/>
      <c r="AL13" s="27" t="str">
        <f aca="false">IF(OR($AJ13="",$AI13="",$AI13=0),"",$AJ13-N($AK13)/$AI13)</f>
        <v/>
      </c>
      <c r="AM13" s="28" t="str">
        <f aca="false">IF(OR($AJ13="",$L13="",$L13=0),"",$AJ13/$L13-1)</f>
        <v/>
      </c>
      <c r="AN13" s="28" t="str">
        <f aca="false">IF(OR($AL13="",$N13="",$N13=0),"",$AL13/$N13-1)</f>
        <v/>
      </c>
      <c r="AO13" s="24"/>
    </row>
    <row r="14" customFormat="false" ht="15" hidden="false" customHeight="false" outlineLevel="0" collapsed="false">
      <c r="A14" s="5" t="s">
        <v>149</v>
      </c>
      <c r="B14" s="5" t="s">
        <v>145</v>
      </c>
      <c r="C14" s="5" t="s">
        <v>82</v>
      </c>
      <c r="D14" s="6" t="n">
        <v>1165</v>
      </c>
      <c r="E14" s="5" t="s">
        <v>150</v>
      </c>
      <c r="F14" s="5" t="s">
        <v>151</v>
      </c>
      <c r="G14" s="20" t="n">
        <v>45829</v>
      </c>
      <c r="H14" s="5" t="n">
        <v>12</v>
      </c>
      <c r="I14" s="20" t="n">
        <v>46193</v>
      </c>
      <c r="J14" s="5" t="s">
        <v>152</v>
      </c>
      <c r="K14" s="5" t="s">
        <v>86</v>
      </c>
      <c r="L14" s="16" t="n">
        <v>1885</v>
      </c>
      <c r="M14" s="16" t="n">
        <v>2827</v>
      </c>
      <c r="N14" s="21" t="n">
        <f aca="false">IF(OR($L14="",$H14="",$H14=0),"",$L14-N($M14)/$H14)</f>
        <v>1649.41666666667</v>
      </c>
      <c r="O14" s="5" t="s">
        <v>87</v>
      </c>
      <c r="P14" s="5" t="s">
        <v>88</v>
      </c>
      <c r="Q14" s="5" t="s">
        <v>97</v>
      </c>
      <c r="R14" s="5" t="s">
        <v>98</v>
      </c>
      <c r="S14" s="5" t="s">
        <v>98</v>
      </c>
      <c r="T14" s="5"/>
      <c r="U14" s="5"/>
      <c r="V14" s="5"/>
      <c r="W14" s="20"/>
      <c r="X14" s="5"/>
      <c r="Y14" s="16"/>
      <c r="Z14" s="16"/>
      <c r="AA14" s="21" t="str">
        <f aca="false">IF(OR($Y14="",$X14="",$X14=0),"",$Y14-N($Z14)/$X14)</f>
        <v/>
      </c>
      <c r="AB14" s="5"/>
      <c r="AC14" s="22" t="str">
        <f aca="false">IF(OR($Y14="",$L14="",$L14=0),"",$Y14/$L14-1)</f>
        <v/>
      </c>
      <c r="AD14" s="22" t="str">
        <f aca="false">IF(OR($AA14="",$N14="",$N14=0),"",$AA14/$N14-1)</f>
        <v/>
      </c>
      <c r="AE14" s="20" t="n">
        <v>46223</v>
      </c>
      <c r="AF14" s="5" t="s">
        <v>153</v>
      </c>
      <c r="AG14" s="5" t="s">
        <v>154</v>
      </c>
      <c r="AH14" s="20" t="n">
        <v>46232</v>
      </c>
      <c r="AI14" s="5" t="n">
        <v>18</v>
      </c>
      <c r="AJ14" s="16" t="n">
        <v>2117</v>
      </c>
      <c r="AK14" s="16" t="n">
        <v>0</v>
      </c>
      <c r="AL14" s="21" t="n">
        <f aca="false">IF(OR($AJ14="",$AI14="",$AI14=0),"",$AJ14-N($AK14)/$AI14)</f>
        <v>2117</v>
      </c>
      <c r="AM14" s="22" t="n">
        <f aca="false">IF(OR($AJ14="",$L14="",$L14=0),"",$AJ14/$L14-1)</f>
        <v>0.123076923076923</v>
      </c>
      <c r="AN14" s="22" t="n">
        <f aca="false">IF(OR($AL14="",$N14="",$N14=0),"",$AL14/$N14-1)</f>
        <v>0.28348406002122</v>
      </c>
      <c r="AO14" s="6" t="n">
        <v>9</v>
      </c>
    </row>
    <row r="15" customFormat="false" ht="15" hidden="false" customHeight="false" outlineLevel="0" collapsed="false">
      <c r="A15" s="23" t="s">
        <v>155</v>
      </c>
      <c r="B15" s="23" t="s">
        <v>81</v>
      </c>
      <c r="C15" s="23" t="s">
        <v>82</v>
      </c>
      <c r="D15" s="24" t="n">
        <v>1141</v>
      </c>
      <c r="E15" s="23" t="s">
        <v>156</v>
      </c>
      <c r="F15" s="23" t="s">
        <v>157</v>
      </c>
      <c r="G15" s="25" t="n">
        <v>45852</v>
      </c>
      <c r="H15" s="23" t="n">
        <v>12</v>
      </c>
      <c r="I15" s="25" t="n">
        <v>46216</v>
      </c>
      <c r="J15" s="23" t="s">
        <v>116</v>
      </c>
      <c r="K15" s="23" t="s">
        <v>86</v>
      </c>
      <c r="L15" s="26" t="n">
        <v>1869</v>
      </c>
      <c r="M15" s="26" t="n">
        <v>1869</v>
      </c>
      <c r="N15" s="27" t="n">
        <f aca="false">IF(OR($L15="",$H15="",$H15=0),"",$L15-N($M15)/$H15)</f>
        <v>1713.25</v>
      </c>
      <c r="O15" s="23" t="s">
        <v>87</v>
      </c>
      <c r="P15" s="23" t="s">
        <v>88</v>
      </c>
      <c r="Q15" s="23" t="s">
        <v>97</v>
      </c>
      <c r="R15" s="23" t="s">
        <v>98</v>
      </c>
      <c r="S15" s="23" t="s">
        <v>98</v>
      </c>
      <c r="T15" s="23"/>
      <c r="U15" s="23"/>
      <c r="V15" s="23"/>
      <c r="W15" s="25"/>
      <c r="X15" s="23"/>
      <c r="Y15" s="26"/>
      <c r="Z15" s="26"/>
      <c r="AA15" s="27" t="str">
        <f aca="false">IF(OR($Y15="",$X15="",$X15=0),"",$Y15-N($Z15)/$X15)</f>
        <v/>
      </c>
      <c r="AB15" s="23"/>
      <c r="AC15" s="28" t="str">
        <f aca="false">IF(OR($Y15="",$L15="",$L15=0),"",$Y15/$L15-1)</f>
        <v/>
      </c>
      <c r="AD15" s="28" t="str">
        <f aca="false">IF(OR($AA15="",$N15="",$N15=0),"",$AA15/$N15-1)</f>
        <v/>
      </c>
      <c r="AE15" s="25" t="n">
        <v>46216</v>
      </c>
      <c r="AF15" s="23" t="s">
        <v>158</v>
      </c>
      <c r="AG15" s="23" t="s">
        <v>159</v>
      </c>
      <c r="AH15" s="25" t="n">
        <v>46232</v>
      </c>
      <c r="AI15" s="23" t="n">
        <v>12</v>
      </c>
      <c r="AJ15" s="26" t="n">
        <v>2070</v>
      </c>
      <c r="AK15" s="26" t="n">
        <v>0</v>
      </c>
      <c r="AL15" s="27" t="n">
        <f aca="false">IF(OR($AJ15="",$AI15="",$AI15=0),"",$AJ15-N($AK15)/$AI15)</f>
        <v>2070</v>
      </c>
      <c r="AM15" s="28" t="n">
        <f aca="false">IF(OR($AJ15="",$L15="",$L15=0),"",$AJ15/$L15-1)</f>
        <v>0.107544141252006</v>
      </c>
      <c r="AN15" s="28" t="n">
        <f aca="false">IF(OR($AL15="",$N15="",$N15=0),"",$AL15/$N15-1)</f>
        <v>0.208229972274916</v>
      </c>
      <c r="AO15" s="24" t="n">
        <v>16</v>
      </c>
    </row>
    <row r="16" customFormat="false" ht="15" hidden="false" customHeight="false" outlineLevel="0" collapsed="false">
      <c r="A16" s="5" t="s">
        <v>160</v>
      </c>
      <c r="B16" s="5" t="s">
        <v>161</v>
      </c>
      <c r="C16" s="5" t="s">
        <v>92</v>
      </c>
      <c r="D16" s="6" t="n">
        <v>1340</v>
      </c>
      <c r="E16" s="5" t="s">
        <v>162</v>
      </c>
      <c r="F16" s="5" t="s">
        <v>163</v>
      </c>
      <c r="G16" s="20" t="n">
        <v>45682</v>
      </c>
      <c r="H16" s="5" t="n">
        <v>15</v>
      </c>
      <c r="I16" s="20" t="n">
        <v>46105</v>
      </c>
      <c r="J16" s="5" t="s">
        <v>125</v>
      </c>
      <c r="K16" s="5" t="s">
        <v>126</v>
      </c>
      <c r="L16" s="16" t="n">
        <v>2055</v>
      </c>
      <c r="M16" s="16" t="n">
        <v>495</v>
      </c>
      <c r="N16" s="21" t="n">
        <f aca="false">IF(OR($L16="",$H16="",$H16=0),"",$L16-N($M16)/$H16)</f>
        <v>2022</v>
      </c>
      <c r="O16" s="5" t="s">
        <v>87</v>
      </c>
      <c r="P16" s="5" t="s">
        <v>96</v>
      </c>
      <c r="Q16" s="5" t="s">
        <v>127</v>
      </c>
      <c r="R16" s="5" t="s">
        <v>98</v>
      </c>
      <c r="S16" s="5" t="s">
        <v>98</v>
      </c>
      <c r="T16" s="5"/>
      <c r="U16" s="5"/>
      <c r="V16" s="5"/>
      <c r="W16" s="20" t="n">
        <v>46106</v>
      </c>
      <c r="X16" s="5" t="n">
        <v>12</v>
      </c>
      <c r="Y16" s="16" t="n">
        <v>2055</v>
      </c>
      <c r="Z16" s="16" t="n">
        <v>0</v>
      </c>
      <c r="AA16" s="21" t="n">
        <f aca="false">IF(OR($Y16="",$X16="",$X16=0),"",$Y16-N($Z16)/$X16)</f>
        <v>2055</v>
      </c>
      <c r="AB16" s="5"/>
      <c r="AC16" s="22" t="n">
        <f aca="false">IF(OR($Y16="",$L16="",$L16=0),"",$Y16/$L16-1)</f>
        <v>0</v>
      </c>
      <c r="AD16" s="22" t="n">
        <f aca="false">IF(OR($AA16="",$N16="",$N16=0),"",$AA16/$N16-1)</f>
        <v>0.0163204747774481</v>
      </c>
      <c r="AE16" s="20"/>
      <c r="AF16" s="5"/>
      <c r="AG16" s="5"/>
      <c r="AH16" s="20"/>
      <c r="AI16" s="5"/>
      <c r="AJ16" s="16"/>
      <c r="AK16" s="16"/>
      <c r="AL16" s="21" t="str">
        <f aca="false">IF(OR($AJ16="",$AI16="",$AI16=0),"",$AJ16-N($AK16)/$AI16)</f>
        <v/>
      </c>
      <c r="AM16" s="22" t="str">
        <f aca="false">IF(OR($AJ16="",$L16="",$L16=0),"",$AJ16/$L16-1)</f>
        <v/>
      </c>
      <c r="AN16" s="22" t="str">
        <f aca="false">IF(OR($AL16="",$N16="",$N16=0),"",$AL16/$N16-1)</f>
        <v/>
      </c>
      <c r="AO16" s="6"/>
    </row>
    <row r="17" customFormat="false" ht="15" hidden="false" customHeight="false" outlineLevel="0" collapsed="false">
      <c r="A17" s="23" t="s">
        <v>164</v>
      </c>
      <c r="B17" s="23" t="s">
        <v>102</v>
      </c>
      <c r="C17" s="23" t="s">
        <v>103</v>
      </c>
      <c r="D17" s="24" t="n">
        <v>693</v>
      </c>
      <c r="E17" s="23" t="s">
        <v>165</v>
      </c>
      <c r="F17" s="23" t="s">
        <v>166</v>
      </c>
      <c r="G17" s="25" t="n">
        <v>45708</v>
      </c>
      <c r="H17" s="23" t="n">
        <v>15</v>
      </c>
      <c r="I17" s="25" t="n">
        <v>46131</v>
      </c>
      <c r="J17" s="23" t="s">
        <v>167</v>
      </c>
      <c r="K17" s="23" t="s">
        <v>86</v>
      </c>
      <c r="L17" s="26" t="n">
        <v>1410</v>
      </c>
      <c r="M17" s="26" t="n">
        <v>495</v>
      </c>
      <c r="N17" s="27" t="n">
        <f aca="false">IF(OR($L17="",$H17="",$H17=0),"",$L17-N($M17)/$H17)</f>
        <v>1377</v>
      </c>
      <c r="O17" s="23" t="s">
        <v>87</v>
      </c>
      <c r="P17" s="23" t="s">
        <v>96</v>
      </c>
      <c r="Q17" s="23" t="s">
        <v>97</v>
      </c>
      <c r="R17" s="23" t="s">
        <v>98</v>
      </c>
      <c r="S17" s="23" t="s">
        <v>98</v>
      </c>
      <c r="T17" s="23" t="s">
        <v>98</v>
      </c>
      <c r="U17" s="23"/>
      <c r="V17" s="23"/>
      <c r="W17" s="25"/>
      <c r="X17" s="23"/>
      <c r="Y17" s="26"/>
      <c r="Z17" s="26"/>
      <c r="AA17" s="27" t="str">
        <f aca="false">IF(OR($Y17="",$X17="",$X17=0),"",$Y17-N($Z17)/$X17)</f>
        <v/>
      </c>
      <c r="AB17" s="23"/>
      <c r="AC17" s="28" t="str">
        <f aca="false">IF(OR($Y17="",$L17="",$L17=0),"",$Y17/$L17-1)</f>
        <v/>
      </c>
      <c r="AD17" s="28" t="str">
        <f aca="false">IF(OR($AA17="",$N17="",$N17=0),"",$AA17/$N17-1)</f>
        <v/>
      </c>
      <c r="AE17" s="25" t="n">
        <v>46062</v>
      </c>
      <c r="AF17" s="23" t="s">
        <v>168</v>
      </c>
      <c r="AG17" s="23" t="s">
        <v>169</v>
      </c>
      <c r="AH17" s="25" t="n">
        <v>46092</v>
      </c>
      <c r="AI17" s="23" t="n">
        <v>12</v>
      </c>
      <c r="AJ17" s="26" t="n">
        <v>1490</v>
      </c>
      <c r="AK17" s="26" t="n">
        <v>0</v>
      </c>
      <c r="AL17" s="27" t="n">
        <f aca="false">IF(OR($AJ17="",$AI17="",$AI17=0),"",$AJ17-N($AK17)/$AI17)</f>
        <v>1490</v>
      </c>
      <c r="AM17" s="28" t="n">
        <f aca="false">IF(OR($AJ17="",$L17="",$L17=0),"",$AJ17/$L17-1)</f>
        <v>0.0567375886524824</v>
      </c>
      <c r="AN17" s="28" t="n">
        <f aca="false">IF(OR($AL17="",$N17="",$N17=0),"",$AL17/$N17-1)</f>
        <v>0.0820624546114743</v>
      </c>
      <c r="AO17" s="24" t="n">
        <v>30</v>
      </c>
    </row>
    <row r="18" customFormat="false" ht="15" hidden="false" customHeight="false" outlineLevel="0" collapsed="false">
      <c r="A18" s="5" t="s">
        <v>170</v>
      </c>
      <c r="B18" s="5" t="s">
        <v>108</v>
      </c>
      <c r="C18" s="5" t="s">
        <v>103</v>
      </c>
      <c r="D18" s="6" t="n">
        <v>746</v>
      </c>
      <c r="E18" s="5" t="s">
        <v>171</v>
      </c>
      <c r="F18" s="5" t="s">
        <v>172</v>
      </c>
      <c r="G18" s="20" t="n">
        <v>45673</v>
      </c>
      <c r="H18" s="5" t="n">
        <v>18</v>
      </c>
      <c r="I18" s="20" t="n">
        <v>46219</v>
      </c>
      <c r="J18" s="5" t="s">
        <v>116</v>
      </c>
      <c r="K18" s="5" t="s">
        <v>86</v>
      </c>
      <c r="L18" s="16" t="n">
        <v>1664</v>
      </c>
      <c r="M18" s="16" t="n">
        <v>1664</v>
      </c>
      <c r="N18" s="21" t="n">
        <f aca="false">IF(OR($L18="",$H18="",$H18=0),"",$L18-N($M18)/$H18)</f>
        <v>1571.55555555556</v>
      </c>
      <c r="O18" s="5" t="s">
        <v>87</v>
      </c>
      <c r="P18" s="5" t="s">
        <v>88</v>
      </c>
      <c r="Q18" s="5" t="s">
        <v>173</v>
      </c>
      <c r="R18" s="5" t="s">
        <v>98</v>
      </c>
      <c r="S18" s="5" t="s">
        <v>98</v>
      </c>
      <c r="T18" s="5"/>
      <c r="U18" s="5"/>
      <c r="V18" s="5"/>
      <c r="W18" s="20"/>
      <c r="X18" s="5"/>
      <c r="Y18" s="16"/>
      <c r="Z18" s="16"/>
      <c r="AA18" s="21" t="str">
        <f aca="false">IF(OR($Y18="",$X18="",$X18=0),"",$Y18-N($Z18)/$X18)</f>
        <v/>
      </c>
      <c r="AB18" s="5"/>
      <c r="AC18" s="22" t="str">
        <f aca="false">IF(OR($Y18="",$L18="",$L18=0),"",$Y18/$L18-1)</f>
        <v/>
      </c>
      <c r="AD18" s="22" t="str">
        <f aca="false">IF(OR($AA18="",$N18="",$N18=0),"",$AA18/$N18-1)</f>
        <v/>
      </c>
      <c r="AE18" s="20"/>
      <c r="AF18" s="5"/>
      <c r="AG18" s="5"/>
      <c r="AH18" s="20"/>
      <c r="AI18" s="5"/>
      <c r="AJ18" s="16"/>
      <c r="AK18" s="16"/>
      <c r="AL18" s="21" t="str">
        <f aca="false">IF(OR($AJ18="",$AI18="",$AI18=0),"",$AJ18-N($AK18)/$AI18)</f>
        <v/>
      </c>
      <c r="AM18" s="22" t="str">
        <f aca="false">IF(OR($AJ18="",$L18="",$L18=0),"",$AJ18/$L18-1)</f>
        <v/>
      </c>
      <c r="AN18" s="22" t="str">
        <f aca="false">IF(OR($AL18="",$N18="",$N18=0),"",$AL18/$N18-1)</f>
        <v/>
      </c>
      <c r="AO18" s="6"/>
    </row>
    <row r="19" customFormat="false" ht="15" hidden="false" customHeight="false" outlineLevel="0" collapsed="false">
      <c r="A19" s="23" t="s">
        <v>174</v>
      </c>
      <c r="B19" s="23" t="s">
        <v>113</v>
      </c>
      <c r="C19" s="23" t="s">
        <v>82</v>
      </c>
      <c r="D19" s="24" t="n">
        <v>1092</v>
      </c>
      <c r="E19" s="23" t="s">
        <v>175</v>
      </c>
      <c r="F19" s="23" t="s">
        <v>176</v>
      </c>
      <c r="G19" s="25" t="n">
        <v>45744</v>
      </c>
      <c r="H19" s="23" t="n">
        <v>15</v>
      </c>
      <c r="I19" s="25" t="n">
        <v>46049</v>
      </c>
      <c r="J19" s="23" t="s">
        <v>177</v>
      </c>
      <c r="K19" s="23" t="s">
        <v>86</v>
      </c>
      <c r="L19" s="26" t="n">
        <v>1715</v>
      </c>
      <c r="M19" s="26" t="n">
        <v>495</v>
      </c>
      <c r="N19" s="27" t="n">
        <f aca="false">IF(OR($L19="",$H19="",$H19=0),"",$L19-N($M19)/$H19)</f>
        <v>1682</v>
      </c>
      <c r="O19" s="23" t="s">
        <v>87</v>
      </c>
      <c r="P19" s="23" t="s">
        <v>96</v>
      </c>
      <c r="Q19" s="23" t="s">
        <v>97</v>
      </c>
      <c r="R19" s="23" t="s">
        <v>98</v>
      </c>
      <c r="S19" s="23" t="s">
        <v>98</v>
      </c>
      <c r="T19" s="23"/>
      <c r="U19" s="23"/>
      <c r="V19" s="23"/>
      <c r="W19" s="25"/>
      <c r="X19" s="23"/>
      <c r="Y19" s="26"/>
      <c r="Z19" s="26"/>
      <c r="AA19" s="27" t="str">
        <f aca="false">IF(OR($Y19="",$X19="",$X19=0),"",$Y19-N($Z19)/$X19)</f>
        <v/>
      </c>
      <c r="AB19" s="23"/>
      <c r="AC19" s="28" t="str">
        <f aca="false">IF(OR($Y19="",$L19="",$L19=0),"",$Y19/$L19-1)</f>
        <v/>
      </c>
      <c r="AD19" s="28" t="str">
        <f aca="false">IF(OR($AA19="",$N19="",$N19=0),"",$AA19/$N19-1)</f>
        <v/>
      </c>
      <c r="AE19" s="25" t="n">
        <v>46053</v>
      </c>
      <c r="AF19" s="23" t="s">
        <v>178</v>
      </c>
      <c r="AG19" s="23" t="s">
        <v>179</v>
      </c>
      <c r="AH19" s="25" t="n">
        <v>46073</v>
      </c>
      <c r="AI19" s="23" t="n">
        <v>18</v>
      </c>
      <c r="AJ19" s="26" t="n">
        <v>1799</v>
      </c>
      <c r="AK19" s="26" t="n">
        <v>0</v>
      </c>
      <c r="AL19" s="27" t="n">
        <f aca="false">IF(OR($AJ19="",$AI19="",$AI19=0),"",$AJ19-N($AK19)/$AI19)</f>
        <v>1799</v>
      </c>
      <c r="AM19" s="28" t="n">
        <f aca="false">IF(OR($AJ19="",$L19="",$L19=0),"",$AJ19/$L19-1)</f>
        <v>0.0489795918367346</v>
      </c>
      <c r="AN19" s="28" t="n">
        <f aca="false">IF(OR($AL19="",$N19="",$N19=0),"",$AL19/$N19-1)</f>
        <v>0.0695600475624256</v>
      </c>
      <c r="AO19" s="24" t="n">
        <v>20</v>
      </c>
    </row>
    <row r="20" customFormat="false" ht="15" hidden="false" customHeight="false" outlineLevel="0" collapsed="false">
      <c r="A20" s="5" t="s">
        <v>180</v>
      </c>
      <c r="B20" s="5" t="s">
        <v>102</v>
      </c>
      <c r="C20" s="5" t="s">
        <v>103</v>
      </c>
      <c r="D20" s="6" t="n">
        <v>693</v>
      </c>
      <c r="E20" s="5" t="s">
        <v>181</v>
      </c>
      <c r="F20" s="5" t="s">
        <v>182</v>
      </c>
      <c r="G20" s="20" t="n">
        <v>46001</v>
      </c>
      <c r="H20" s="5" t="n">
        <v>12</v>
      </c>
      <c r="I20" s="20" t="n">
        <v>46365</v>
      </c>
      <c r="J20" s="5" t="s">
        <v>85</v>
      </c>
      <c r="K20" s="5" t="s">
        <v>86</v>
      </c>
      <c r="L20" s="16" t="n">
        <v>1399</v>
      </c>
      <c r="M20" s="16" t="n">
        <v>0</v>
      </c>
      <c r="N20" s="21" t="n">
        <f aca="false">IF(OR($L20="",$H20="",$H20=0),"",$L20-N($M20)/$H20)</f>
        <v>1399</v>
      </c>
      <c r="O20" s="5" t="s">
        <v>87</v>
      </c>
      <c r="P20" s="5" t="s">
        <v>88</v>
      </c>
      <c r="Q20" s="5" t="s">
        <v>89</v>
      </c>
      <c r="R20" s="5"/>
      <c r="S20" s="5"/>
      <c r="T20" s="5"/>
      <c r="U20" s="5"/>
      <c r="V20" s="5"/>
      <c r="W20" s="20"/>
      <c r="X20" s="5"/>
      <c r="Y20" s="16"/>
      <c r="Z20" s="16"/>
      <c r="AA20" s="21" t="str">
        <f aca="false">IF(OR($Y20="",$X20="",$X20=0),"",$Y20-N($Z20)/$X20)</f>
        <v/>
      </c>
      <c r="AB20" s="5"/>
      <c r="AC20" s="22" t="str">
        <f aca="false">IF(OR($Y20="",$L20="",$L20=0),"",$Y20/$L20-1)</f>
        <v/>
      </c>
      <c r="AD20" s="22" t="str">
        <f aca="false">IF(OR($AA20="",$N20="",$N20=0),"",$AA20/$N20-1)</f>
        <v/>
      </c>
      <c r="AE20" s="20"/>
      <c r="AF20" s="5"/>
      <c r="AG20" s="5"/>
      <c r="AH20" s="20"/>
      <c r="AI20" s="5"/>
      <c r="AJ20" s="16"/>
      <c r="AK20" s="16"/>
      <c r="AL20" s="21" t="str">
        <f aca="false">IF(OR($AJ20="",$AI20="",$AI20=0),"",$AJ20-N($AK20)/$AI20)</f>
        <v/>
      </c>
      <c r="AM20" s="22" t="str">
        <f aca="false">IF(OR($AJ20="",$L20="",$L20=0),"",$AJ20/$L20-1)</f>
        <v/>
      </c>
      <c r="AN20" s="22" t="str">
        <f aca="false">IF(OR($AL20="",$N20="",$N20=0),"",$AL20/$N20-1)</f>
        <v/>
      </c>
      <c r="AO20" s="6"/>
    </row>
    <row r="21" customFormat="false" ht="15" hidden="false" customHeight="false" outlineLevel="0" collapsed="false">
      <c r="A21" s="23" t="s">
        <v>183</v>
      </c>
      <c r="B21" s="23" t="s">
        <v>81</v>
      </c>
      <c r="C21" s="23" t="s">
        <v>82</v>
      </c>
      <c r="D21" s="24" t="n">
        <v>1141</v>
      </c>
      <c r="E21" s="23" t="s">
        <v>184</v>
      </c>
      <c r="F21" s="23" t="s">
        <v>185</v>
      </c>
      <c r="G21" s="25" t="n">
        <v>45904</v>
      </c>
      <c r="H21" s="23" t="n">
        <v>12</v>
      </c>
      <c r="I21" s="25" t="n">
        <v>46268</v>
      </c>
      <c r="J21" s="23" t="s">
        <v>186</v>
      </c>
      <c r="K21" s="23" t="s">
        <v>86</v>
      </c>
      <c r="L21" s="26" t="n">
        <v>1919</v>
      </c>
      <c r="M21" s="26" t="n">
        <v>1919</v>
      </c>
      <c r="N21" s="27" t="n">
        <f aca="false">IF(OR($L21="",$H21="",$H21=0),"",$L21-N($M21)/$H21)</f>
        <v>1759.08333333333</v>
      </c>
      <c r="O21" s="23" t="s">
        <v>87</v>
      </c>
      <c r="P21" s="23" t="s">
        <v>88</v>
      </c>
      <c r="Q21" s="23" t="s">
        <v>89</v>
      </c>
      <c r="R21" s="23"/>
      <c r="S21" s="23"/>
      <c r="T21" s="23"/>
      <c r="U21" s="23" t="s">
        <v>98</v>
      </c>
      <c r="V21" s="23"/>
      <c r="W21" s="25"/>
      <c r="X21" s="23"/>
      <c r="Y21" s="26"/>
      <c r="Z21" s="26"/>
      <c r="AA21" s="27" t="str">
        <f aca="false">IF(OR($Y21="",$X21="",$X21=0),"",$Y21-N($Z21)/$X21)</f>
        <v/>
      </c>
      <c r="AB21" s="23"/>
      <c r="AC21" s="28" t="str">
        <f aca="false">IF(OR($Y21="",$L21="",$L21=0),"",$Y21/$L21-1)</f>
        <v/>
      </c>
      <c r="AD21" s="28" t="str">
        <f aca="false">IF(OR($AA21="",$N21="",$N21=0),"",$AA21/$N21-1)</f>
        <v/>
      </c>
      <c r="AE21" s="25"/>
      <c r="AF21" s="23"/>
      <c r="AG21" s="23"/>
      <c r="AH21" s="25"/>
      <c r="AI21" s="23"/>
      <c r="AJ21" s="26"/>
      <c r="AK21" s="26"/>
      <c r="AL21" s="27" t="str">
        <f aca="false">IF(OR($AJ21="",$AI21="",$AI21=0),"",$AJ21-N($AK21)/$AI21)</f>
        <v/>
      </c>
      <c r="AM21" s="28" t="str">
        <f aca="false">IF(OR($AJ21="",$L21="",$L21=0),"",$AJ21/$L21-1)</f>
        <v/>
      </c>
      <c r="AN21" s="28" t="str">
        <f aca="false">IF(OR($AL21="",$N21="",$N21=0),"",$AL21/$N21-1)</f>
        <v/>
      </c>
      <c r="AO21" s="24"/>
    </row>
    <row r="22" customFormat="false" ht="15" hidden="false" customHeight="false" outlineLevel="0" collapsed="false">
      <c r="A22" s="5" t="s">
        <v>187</v>
      </c>
      <c r="B22" s="5" t="s">
        <v>102</v>
      </c>
      <c r="C22" s="5" t="s">
        <v>103</v>
      </c>
      <c r="D22" s="6" t="n">
        <v>693</v>
      </c>
      <c r="E22" s="5" t="s">
        <v>188</v>
      </c>
      <c r="F22" s="5" t="s">
        <v>189</v>
      </c>
      <c r="G22" s="20" t="n">
        <v>45957</v>
      </c>
      <c r="H22" s="5" t="n">
        <v>12</v>
      </c>
      <c r="I22" s="20" t="n">
        <v>46321</v>
      </c>
      <c r="J22" s="5" t="s">
        <v>106</v>
      </c>
      <c r="K22" s="5" t="s">
        <v>86</v>
      </c>
      <c r="L22" s="16" t="n">
        <v>1349</v>
      </c>
      <c r="M22" s="16" t="n">
        <v>674.5</v>
      </c>
      <c r="N22" s="21" t="n">
        <f aca="false">IF(OR($L22="",$H22="",$H22=0),"",$L22-N($M22)/$H22)</f>
        <v>1292.79166666667</v>
      </c>
      <c r="O22" s="5" t="s">
        <v>87</v>
      </c>
      <c r="P22" s="5" t="s">
        <v>88</v>
      </c>
      <c r="Q22" s="5" t="s">
        <v>89</v>
      </c>
      <c r="R22" s="5"/>
      <c r="S22" s="5"/>
      <c r="T22" s="5"/>
      <c r="U22" s="5"/>
      <c r="V22" s="5"/>
      <c r="W22" s="20"/>
      <c r="X22" s="5"/>
      <c r="Y22" s="16"/>
      <c r="Z22" s="16"/>
      <c r="AA22" s="21" t="str">
        <f aca="false">IF(OR($Y22="",$X22="",$X22=0),"",$Y22-N($Z22)/$X22)</f>
        <v/>
      </c>
      <c r="AB22" s="5"/>
      <c r="AC22" s="22" t="str">
        <f aca="false">IF(OR($Y22="",$L22="",$L22=0),"",$Y22/$L22-1)</f>
        <v/>
      </c>
      <c r="AD22" s="22" t="str">
        <f aca="false">IF(OR($AA22="",$N22="",$N22=0),"",$AA22/$N22-1)</f>
        <v/>
      </c>
      <c r="AE22" s="20"/>
      <c r="AF22" s="5"/>
      <c r="AG22" s="5"/>
      <c r="AH22" s="20"/>
      <c r="AI22" s="5"/>
      <c r="AJ22" s="16"/>
      <c r="AK22" s="16"/>
      <c r="AL22" s="21" t="str">
        <f aca="false">IF(OR($AJ22="",$AI22="",$AI22=0),"",$AJ22-N($AK22)/$AI22)</f>
        <v/>
      </c>
      <c r="AM22" s="22" t="str">
        <f aca="false">IF(OR($AJ22="",$L22="",$L22=0),"",$AJ22/$L22-1)</f>
        <v/>
      </c>
      <c r="AN22" s="22" t="str">
        <f aca="false">IF(OR($AL22="",$N22="",$N22=0),"",$AL22/$N22-1)</f>
        <v/>
      </c>
      <c r="AO22" s="6"/>
    </row>
    <row r="23" customFormat="false" ht="15" hidden="false" customHeight="false" outlineLevel="0" collapsed="false">
      <c r="A23" s="23" t="s">
        <v>190</v>
      </c>
      <c r="B23" s="23" t="s">
        <v>102</v>
      </c>
      <c r="C23" s="23" t="s">
        <v>103</v>
      </c>
      <c r="D23" s="24" t="n">
        <v>693</v>
      </c>
      <c r="E23" s="23" t="s">
        <v>191</v>
      </c>
      <c r="F23" s="23" t="s">
        <v>192</v>
      </c>
      <c r="G23" s="25" t="n">
        <v>45971</v>
      </c>
      <c r="H23" s="23" t="n">
        <v>12</v>
      </c>
      <c r="I23" s="25" t="n">
        <v>46335</v>
      </c>
      <c r="J23" s="23" t="s">
        <v>193</v>
      </c>
      <c r="K23" s="23" t="s">
        <v>86</v>
      </c>
      <c r="L23" s="26" t="n">
        <v>1399</v>
      </c>
      <c r="M23" s="26" t="n">
        <v>0</v>
      </c>
      <c r="N23" s="27" t="n">
        <f aca="false">IF(OR($L23="",$H23="",$H23=0),"",$L23-N($M23)/$H23)</f>
        <v>1399</v>
      </c>
      <c r="O23" s="23" t="s">
        <v>87</v>
      </c>
      <c r="P23" s="23" t="s">
        <v>88</v>
      </c>
      <c r="Q23" s="23" t="s">
        <v>89</v>
      </c>
      <c r="R23" s="23"/>
      <c r="S23" s="23"/>
      <c r="T23" s="23"/>
      <c r="U23" s="23"/>
      <c r="V23" s="23"/>
      <c r="W23" s="25"/>
      <c r="X23" s="23"/>
      <c r="Y23" s="26"/>
      <c r="Z23" s="26"/>
      <c r="AA23" s="27" t="str">
        <f aca="false">IF(OR($Y23="",$X23="",$X23=0),"",$Y23-N($Z23)/$X23)</f>
        <v/>
      </c>
      <c r="AB23" s="23"/>
      <c r="AC23" s="28" t="str">
        <f aca="false">IF(OR($Y23="",$L23="",$L23=0),"",$Y23/$L23-1)</f>
        <v/>
      </c>
      <c r="AD23" s="28" t="str">
        <f aca="false">IF(OR($AA23="",$N23="",$N23=0),"",$AA23/$N23-1)</f>
        <v/>
      </c>
      <c r="AE23" s="25"/>
      <c r="AF23" s="23"/>
      <c r="AG23" s="23"/>
      <c r="AH23" s="25"/>
      <c r="AI23" s="23"/>
      <c r="AJ23" s="26"/>
      <c r="AK23" s="26"/>
      <c r="AL23" s="27" t="str">
        <f aca="false">IF(OR($AJ23="",$AI23="",$AI23=0),"",$AJ23-N($AK23)/$AI23)</f>
        <v/>
      </c>
      <c r="AM23" s="28" t="str">
        <f aca="false">IF(OR($AJ23="",$L23="",$L23=0),"",$AJ23/$L23-1)</f>
        <v/>
      </c>
      <c r="AN23" s="28" t="str">
        <f aca="false">IF(OR($AL23="",$N23="",$N23=0),"",$AL23/$N23-1)</f>
        <v/>
      </c>
      <c r="AO23" s="24"/>
    </row>
    <row r="24" customFormat="false" ht="15" hidden="false" customHeight="false" outlineLevel="0" collapsed="false">
      <c r="A24" s="5" t="s">
        <v>194</v>
      </c>
      <c r="B24" s="5" t="s">
        <v>108</v>
      </c>
      <c r="C24" s="5" t="s">
        <v>103</v>
      </c>
      <c r="D24" s="6" t="n">
        <v>746</v>
      </c>
      <c r="E24" s="5" t="s">
        <v>195</v>
      </c>
      <c r="F24" s="5" t="s">
        <v>196</v>
      </c>
      <c r="G24" s="20" t="n">
        <v>45913</v>
      </c>
      <c r="H24" s="5" t="n">
        <v>12</v>
      </c>
      <c r="I24" s="20" t="n">
        <v>46277</v>
      </c>
      <c r="J24" s="5" t="s">
        <v>186</v>
      </c>
      <c r="K24" s="5" t="s">
        <v>86</v>
      </c>
      <c r="L24" s="16" t="n">
        <v>1694</v>
      </c>
      <c r="M24" s="16" t="n">
        <v>3384</v>
      </c>
      <c r="N24" s="21" t="n">
        <f aca="false">IF(OR($L24="",$H24="",$H24=0),"",$L24-N($M24)/$H24)</f>
        <v>1412</v>
      </c>
      <c r="O24" s="5" t="s">
        <v>87</v>
      </c>
      <c r="P24" s="5" t="s">
        <v>96</v>
      </c>
      <c r="Q24" s="5" t="s">
        <v>97</v>
      </c>
      <c r="R24" s="5"/>
      <c r="S24" s="5"/>
      <c r="T24" s="5" t="s">
        <v>98</v>
      </c>
      <c r="U24" s="5"/>
      <c r="V24" s="5"/>
      <c r="W24" s="20"/>
      <c r="X24" s="5"/>
      <c r="Y24" s="16"/>
      <c r="Z24" s="16"/>
      <c r="AA24" s="21" t="str">
        <f aca="false">IF(OR($Y24="",$X24="",$X24=0),"",$Y24-N($Z24)/$X24)</f>
        <v/>
      </c>
      <c r="AB24" s="5"/>
      <c r="AC24" s="22" t="str">
        <f aca="false">IF(OR($Y24="",$L24="",$L24=0),"",$Y24/$L24-1)</f>
        <v/>
      </c>
      <c r="AD24" s="22" t="str">
        <f aca="false">IF(OR($AA24="",$N24="",$N24=0),"",$AA24/$N24-1)</f>
        <v/>
      </c>
      <c r="AE24" s="20" t="n">
        <v>46024</v>
      </c>
      <c r="AF24" s="5" t="s">
        <v>197</v>
      </c>
      <c r="AG24" s="5" t="s">
        <v>198</v>
      </c>
      <c r="AH24" s="20" t="n">
        <v>46071</v>
      </c>
      <c r="AI24" s="5" t="n">
        <v>9</v>
      </c>
      <c r="AJ24" s="16" t="n">
        <v>1644</v>
      </c>
      <c r="AK24" s="16" t="n">
        <v>0</v>
      </c>
      <c r="AL24" s="21" t="n">
        <f aca="false">IF(OR($AJ24="",$AI24="",$AI24=0),"",$AJ24-N($AK24)/$AI24)</f>
        <v>1644</v>
      </c>
      <c r="AM24" s="22" t="n">
        <f aca="false">IF(OR($AJ24="",$L24="",$L24=0),"",$AJ24/$L24-1)</f>
        <v>-0.0295159386068476</v>
      </c>
      <c r="AN24" s="22" t="n">
        <f aca="false">IF(OR($AL24="",$N24="",$N24=0),"",$AL24/$N24-1)</f>
        <v>0.164305949008499</v>
      </c>
      <c r="AO24" s="6" t="n">
        <v>47</v>
      </c>
    </row>
    <row r="25" customFormat="false" ht="15" hidden="false" customHeight="false" outlineLevel="0" collapsed="false">
      <c r="A25" s="23" t="s">
        <v>199</v>
      </c>
      <c r="B25" s="23" t="s">
        <v>102</v>
      </c>
      <c r="C25" s="23" t="s">
        <v>103</v>
      </c>
      <c r="D25" s="24" t="n">
        <v>693</v>
      </c>
      <c r="E25" s="23" t="s">
        <v>200</v>
      </c>
      <c r="F25" s="23" t="s">
        <v>201</v>
      </c>
      <c r="G25" s="25" t="n">
        <v>45772</v>
      </c>
      <c r="H25" s="23" t="n">
        <v>13</v>
      </c>
      <c r="I25" s="25" t="n">
        <v>46166</v>
      </c>
      <c r="J25" s="23" t="s">
        <v>148</v>
      </c>
      <c r="K25" s="23" t="s">
        <v>202</v>
      </c>
      <c r="L25" s="26" t="n">
        <v>1520</v>
      </c>
      <c r="M25" s="26" t="n">
        <v>2280</v>
      </c>
      <c r="N25" s="27" t="n">
        <f aca="false">IF(OR($L25="",$H25="",$H25=0),"",$L25-N($M25)/$H25)</f>
        <v>1344.61538461538</v>
      </c>
      <c r="O25" s="23" t="s">
        <v>87</v>
      </c>
      <c r="P25" s="23" t="s">
        <v>202</v>
      </c>
      <c r="Q25" s="23" t="s">
        <v>127</v>
      </c>
      <c r="R25" s="23" t="s">
        <v>98</v>
      </c>
      <c r="S25" s="23" t="s">
        <v>98</v>
      </c>
      <c r="T25" s="23"/>
      <c r="U25" s="23"/>
      <c r="V25" s="23"/>
      <c r="W25" s="25" t="n">
        <v>46167</v>
      </c>
      <c r="X25" s="23" t="n">
        <v>11</v>
      </c>
      <c r="Y25" s="26" t="n">
        <v>1570</v>
      </c>
      <c r="Z25" s="26" t="n">
        <v>0</v>
      </c>
      <c r="AA25" s="27" t="n">
        <f aca="false">IF(OR($Y25="",$X25="",$X25=0),"",$Y25-N($Z25)/$X25)</f>
        <v>1570</v>
      </c>
      <c r="AB25" s="23" t="s">
        <v>98</v>
      </c>
      <c r="AC25" s="28" t="n">
        <f aca="false">IF(OR($Y25="",$L25="",$L25=0),"",$Y25/$L25-1)</f>
        <v>0.0328947368421053</v>
      </c>
      <c r="AD25" s="28" t="n">
        <f aca="false">IF(OR($AA25="",$N25="",$N25=0),"",$AA25/$N25-1)</f>
        <v>0.167620137299771</v>
      </c>
      <c r="AE25" s="25"/>
      <c r="AF25" s="23"/>
      <c r="AG25" s="23"/>
      <c r="AH25" s="25"/>
      <c r="AI25" s="23"/>
      <c r="AJ25" s="26"/>
      <c r="AK25" s="26"/>
      <c r="AL25" s="27" t="str">
        <f aca="false">IF(OR($AJ25="",$AI25="",$AI25=0),"",$AJ25-N($AK25)/$AI25)</f>
        <v/>
      </c>
      <c r="AM25" s="28" t="str">
        <f aca="false">IF(OR($AJ25="",$L25="",$L25=0),"",$AJ25/$L25-1)</f>
        <v/>
      </c>
      <c r="AN25" s="28" t="str">
        <f aca="false">IF(OR($AL25="",$N25="",$N25=0),"",$AL25/$N25-1)</f>
        <v/>
      </c>
      <c r="AO25" s="24"/>
    </row>
    <row r="26" customFormat="false" ht="15" hidden="false" customHeight="false" outlineLevel="0" collapsed="false">
      <c r="A26" s="5" t="s">
        <v>203</v>
      </c>
      <c r="B26" s="5" t="s">
        <v>204</v>
      </c>
      <c r="C26" s="5" t="s">
        <v>82</v>
      </c>
      <c r="D26" s="6" t="n">
        <v>1177</v>
      </c>
      <c r="E26" s="5" t="s">
        <v>205</v>
      </c>
      <c r="F26" s="5" t="s">
        <v>196</v>
      </c>
      <c r="G26" s="20" t="n">
        <v>46022</v>
      </c>
      <c r="H26" s="5" t="n">
        <v>12</v>
      </c>
      <c r="I26" s="20" t="n">
        <v>46386</v>
      </c>
      <c r="J26" s="5" t="s">
        <v>85</v>
      </c>
      <c r="K26" s="5" t="s">
        <v>86</v>
      </c>
      <c r="L26" s="16" t="n">
        <v>1999</v>
      </c>
      <c r="M26" s="16" t="n">
        <v>0</v>
      </c>
      <c r="N26" s="21" t="n">
        <f aca="false">IF(OR($L26="",$H26="",$H26=0),"",$L26-N($M26)/$H26)</f>
        <v>1999</v>
      </c>
      <c r="O26" s="5" t="s">
        <v>87</v>
      </c>
      <c r="P26" s="5" t="s">
        <v>88</v>
      </c>
      <c r="Q26" s="5" t="s">
        <v>89</v>
      </c>
      <c r="R26" s="5"/>
      <c r="S26" s="5"/>
      <c r="T26" s="5"/>
      <c r="U26" s="5"/>
      <c r="V26" s="5"/>
      <c r="W26" s="20"/>
      <c r="X26" s="5"/>
      <c r="Y26" s="16"/>
      <c r="Z26" s="16"/>
      <c r="AA26" s="21" t="str">
        <f aca="false">IF(OR($Y26="",$X26="",$X26=0),"",$Y26-N($Z26)/$X26)</f>
        <v/>
      </c>
      <c r="AB26" s="5"/>
      <c r="AC26" s="22" t="str">
        <f aca="false">IF(OR($Y26="",$L26="",$L26=0),"",$Y26/$L26-1)</f>
        <v/>
      </c>
      <c r="AD26" s="22" t="str">
        <f aca="false">IF(OR($AA26="",$N26="",$N26=0),"",$AA26/$N26-1)</f>
        <v/>
      </c>
      <c r="AE26" s="20"/>
      <c r="AF26" s="5"/>
      <c r="AG26" s="5"/>
      <c r="AH26" s="20"/>
      <c r="AI26" s="5"/>
      <c r="AJ26" s="16"/>
      <c r="AK26" s="16"/>
      <c r="AL26" s="21" t="str">
        <f aca="false">IF(OR($AJ26="",$AI26="",$AI26=0),"",$AJ26-N($AK26)/$AI26)</f>
        <v/>
      </c>
      <c r="AM26" s="22" t="str">
        <f aca="false">IF(OR($AJ26="",$L26="",$L26=0),"",$AJ26/$L26-1)</f>
        <v/>
      </c>
      <c r="AN26" s="22" t="str">
        <f aca="false">IF(OR($AL26="",$N26="",$N26=0),"",$AL26/$N26-1)</f>
        <v/>
      </c>
      <c r="AO26" s="6"/>
    </row>
    <row r="27" customFormat="false" ht="15" hidden="false" customHeight="false" outlineLevel="0" collapsed="false">
      <c r="A27" s="23" t="s">
        <v>206</v>
      </c>
      <c r="B27" s="23" t="s">
        <v>204</v>
      </c>
      <c r="C27" s="23" t="s">
        <v>82</v>
      </c>
      <c r="D27" s="24" t="n">
        <v>1177</v>
      </c>
      <c r="E27" s="23" t="s">
        <v>207</v>
      </c>
      <c r="F27" s="23" t="s">
        <v>208</v>
      </c>
      <c r="G27" s="25" t="n">
        <v>45969</v>
      </c>
      <c r="H27" s="23" t="n">
        <v>12</v>
      </c>
      <c r="I27" s="25" t="n">
        <v>46333</v>
      </c>
      <c r="J27" s="23" t="s">
        <v>193</v>
      </c>
      <c r="K27" s="23" t="s">
        <v>86</v>
      </c>
      <c r="L27" s="26" t="n">
        <v>1800</v>
      </c>
      <c r="M27" s="26" t="n">
        <v>900</v>
      </c>
      <c r="N27" s="27" t="n">
        <f aca="false">IF(OR($L27="",$H27="",$H27=0),"",$L27-N($M27)/$H27)</f>
        <v>1725</v>
      </c>
      <c r="O27" s="23" t="s">
        <v>87</v>
      </c>
      <c r="P27" s="23" t="s">
        <v>88</v>
      </c>
      <c r="Q27" s="23" t="s">
        <v>89</v>
      </c>
      <c r="R27" s="23"/>
      <c r="S27" s="23"/>
      <c r="T27" s="23"/>
      <c r="U27" s="23"/>
      <c r="V27" s="23"/>
      <c r="W27" s="25"/>
      <c r="X27" s="23"/>
      <c r="Y27" s="26"/>
      <c r="Z27" s="26"/>
      <c r="AA27" s="27" t="str">
        <f aca="false">IF(OR($Y27="",$X27="",$X27=0),"",$Y27-N($Z27)/$X27)</f>
        <v/>
      </c>
      <c r="AB27" s="23"/>
      <c r="AC27" s="28" t="str">
        <f aca="false">IF(OR($Y27="",$L27="",$L27=0),"",$Y27/$L27-1)</f>
        <v/>
      </c>
      <c r="AD27" s="28" t="str">
        <f aca="false">IF(OR($AA27="",$N27="",$N27=0),"",$AA27/$N27-1)</f>
        <v/>
      </c>
      <c r="AE27" s="25"/>
      <c r="AF27" s="23"/>
      <c r="AG27" s="23"/>
      <c r="AH27" s="25"/>
      <c r="AI27" s="23"/>
      <c r="AJ27" s="26"/>
      <c r="AK27" s="26"/>
      <c r="AL27" s="27" t="str">
        <f aca="false">IF(OR($AJ27="",$AI27="",$AI27=0),"",$AJ27-N($AK27)/$AI27)</f>
        <v/>
      </c>
      <c r="AM27" s="28" t="str">
        <f aca="false">IF(OR($AJ27="",$L27="",$L27=0),"",$AJ27/$L27-1)</f>
        <v/>
      </c>
      <c r="AN27" s="28" t="str">
        <f aca="false">IF(OR($AL27="",$N27="",$N27=0),"",$AL27/$N27-1)</f>
        <v/>
      </c>
      <c r="AO27" s="24"/>
    </row>
    <row r="28" customFormat="false" ht="15" hidden="false" customHeight="false" outlineLevel="0" collapsed="false">
      <c r="A28" s="5" t="s">
        <v>209</v>
      </c>
      <c r="B28" s="5" t="s">
        <v>81</v>
      </c>
      <c r="C28" s="5" t="s">
        <v>82</v>
      </c>
      <c r="D28" s="6" t="n">
        <v>1141</v>
      </c>
      <c r="E28" s="5" t="s">
        <v>210</v>
      </c>
      <c r="F28" s="5" t="s">
        <v>211</v>
      </c>
      <c r="G28" s="20" t="n">
        <v>45924</v>
      </c>
      <c r="H28" s="5" t="n">
        <v>12</v>
      </c>
      <c r="I28" s="20" t="n">
        <v>46288</v>
      </c>
      <c r="J28" s="5" t="s">
        <v>186</v>
      </c>
      <c r="K28" s="5" t="s">
        <v>86</v>
      </c>
      <c r="L28" s="16" t="n">
        <v>1954</v>
      </c>
      <c r="M28" s="16" t="n">
        <v>1954</v>
      </c>
      <c r="N28" s="21" t="n">
        <f aca="false">IF(OR($L28="",$H28="",$H28=0),"",$L28-N($M28)/$H28)</f>
        <v>1791.16666666667</v>
      </c>
      <c r="O28" s="5" t="s">
        <v>87</v>
      </c>
      <c r="P28" s="5" t="s">
        <v>88</v>
      </c>
      <c r="Q28" s="5" t="s">
        <v>89</v>
      </c>
      <c r="R28" s="5"/>
      <c r="S28" s="5"/>
      <c r="T28" s="5"/>
      <c r="U28" s="5" t="s">
        <v>98</v>
      </c>
      <c r="V28" s="5"/>
      <c r="W28" s="20"/>
      <c r="X28" s="5"/>
      <c r="Y28" s="16"/>
      <c r="Z28" s="16"/>
      <c r="AA28" s="21" t="str">
        <f aca="false">IF(OR($Y28="",$X28="",$X28=0),"",$Y28-N($Z28)/$X28)</f>
        <v/>
      </c>
      <c r="AB28" s="5"/>
      <c r="AC28" s="22" t="str">
        <f aca="false">IF(OR($Y28="",$L28="",$L28=0),"",$Y28/$L28-1)</f>
        <v/>
      </c>
      <c r="AD28" s="22" t="str">
        <f aca="false">IF(OR($AA28="",$N28="",$N28=0),"",$AA28/$N28-1)</f>
        <v/>
      </c>
      <c r="AE28" s="20"/>
      <c r="AF28" s="5"/>
      <c r="AG28" s="5"/>
      <c r="AH28" s="20"/>
      <c r="AI28" s="5"/>
      <c r="AJ28" s="16"/>
      <c r="AK28" s="16"/>
      <c r="AL28" s="21" t="str">
        <f aca="false">IF(OR($AJ28="",$AI28="",$AI28=0),"",$AJ28-N($AK28)/$AI28)</f>
        <v/>
      </c>
      <c r="AM28" s="22" t="str">
        <f aca="false">IF(OR($AJ28="",$L28="",$L28=0),"",$AJ28/$L28-1)</f>
        <v/>
      </c>
      <c r="AN28" s="22" t="str">
        <f aca="false">IF(OR($AL28="",$N28="",$N28=0),"",$AL28/$N28-1)</f>
        <v/>
      </c>
      <c r="AO28" s="6"/>
    </row>
    <row r="29" customFormat="false" ht="15" hidden="false" customHeight="false" outlineLevel="0" collapsed="false">
      <c r="A29" s="23" t="s">
        <v>212</v>
      </c>
      <c r="B29" s="23" t="s">
        <v>102</v>
      </c>
      <c r="C29" s="23" t="s">
        <v>103</v>
      </c>
      <c r="D29" s="24" t="n">
        <v>693</v>
      </c>
      <c r="E29" s="23" t="s">
        <v>213</v>
      </c>
      <c r="F29" s="23" t="s">
        <v>214</v>
      </c>
      <c r="G29" s="25" t="n">
        <v>45960</v>
      </c>
      <c r="H29" s="23" t="n">
        <v>18</v>
      </c>
      <c r="I29" s="25" t="n">
        <v>46506</v>
      </c>
      <c r="J29" s="23" t="s">
        <v>143</v>
      </c>
      <c r="K29" s="23" t="s">
        <v>86</v>
      </c>
      <c r="L29" s="26" t="n">
        <v>1349</v>
      </c>
      <c r="M29" s="26" t="n">
        <v>674</v>
      </c>
      <c r="N29" s="27" t="n">
        <f aca="false">IF(OR($L29="",$H29="",$H29=0),"",$L29-N($M29)/$H29)</f>
        <v>1311.55555555556</v>
      </c>
      <c r="O29" s="23" t="s">
        <v>87</v>
      </c>
      <c r="P29" s="23" t="s">
        <v>88</v>
      </c>
      <c r="Q29" s="23" t="s">
        <v>89</v>
      </c>
      <c r="R29" s="23"/>
      <c r="S29" s="23"/>
      <c r="T29" s="23"/>
      <c r="U29" s="23" t="s">
        <v>98</v>
      </c>
      <c r="V29" s="23"/>
      <c r="W29" s="25"/>
      <c r="X29" s="23"/>
      <c r="Y29" s="26"/>
      <c r="Z29" s="26"/>
      <c r="AA29" s="27" t="str">
        <f aca="false">IF(OR($Y29="",$X29="",$X29=0),"",$Y29-N($Z29)/$X29)</f>
        <v/>
      </c>
      <c r="AB29" s="23"/>
      <c r="AC29" s="28" t="str">
        <f aca="false">IF(OR($Y29="",$L29="",$L29=0),"",$Y29/$L29-1)</f>
        <v/>
      </c>
      <c r="AD29" s="28" t="str">
        <f aca="false">IF(OR($AA29="",$N29="",$N29=0),"",$AA29/$N29-1)</f>
        <v/>
      </c>
      <c r="AE29" s="25"/>
      <c r="AF29" s="23"/>
      <c r="AG29" s="23"/>
      <c r="AH29" s="25"/>
      <c r="AI29" s="23"/>
      <c r="AJ29" s="26"/>
      <c r="AK29" s="26"/>
      <c r="AL29" s="27" t="str">
        <f aca="false">IF(OR($AJ29="",$AI29="",$AI29=0),"",$AJ29-N($AK29)/$AI29)</f>
        <v/>
      </c>
      <c r="AM29" s="28" t="str">
        <f aca="false">IF(OR($AJ29="",$L29="",$L29=0),"",$AJ29/$L29-1)</f>
        <v/>
      </c>
      <c r="AN29" s="28" t="str">
        <f aca="false">IF(OR($AL29="",$N29="",$N29=0),"",$AL29/$N29-1)</f>
        <v/>
      </c>
      <c r="AO29" s="24"/>
    </row>
    <row r="30" customFormat="false" ht="15" hidden="false" customHeight="false" outlineLevel="0" collapsed="false">
      <c r="A30" s="5" t="s">
        <v>215</v>
      </c>
      <c r="B30" s="5" t="s">
        <v>108</v>
      </c>
      <c r="C30" s="5" t="s">
        <v>103</v>
      </c>
      <c r="D30" s="6" t="n">
        <v>746</v>
      </c>
      <c r="E30" s="5" t="s">
        <v>216</v>
      </c>
      <c r="F30" s="5" t="s">
        <v>217</v>
      </c>
      <c r="G30" s="20" t="n">
        <v>45763</v>
      </c>
      <c r="H30" s="5" t="n">
        <v>15</v>
      </c>
      <c r="I30" s="20" t="n">
        <v>46218</v>
      </c>
      <c r="J30" s="5" t="s">
        <v>116</v>
      </c>
      <c r="K30" s="5" t="s">
        <v>86</v>
      </c>
      <c r="L30" s="16" t="n">
        <v>1689</v>
      </c>
      <c r="M30" s="16" t="n">
        <v>2533</v>
      </c>
      <c r="N30" s="21" t="n">
        <f aca="false">IF(OR($L30="",$H30="",$H30=0),"",$L30-N($M30)/$H30)</f>
        <v>1520.13333333333</v>
      </c>
      <c r="O30" s="5" t="s">
        <v>87</v>
      </c>
      <c r="P30" s="5" t="s">
        <v>88</v>
      </c>
      <c r="Q30" s="5" t="s">
        <v>97</v>
      </c>
      <c r="R30" s="5" t="s">
        <v>98</v>
      </c>
      <c r="S30" s="5" t="s">
        <v>98</v>
      </c>
      <c r="T30" s="5"/>
      <c r="U30" s="5"/>
      <c r="V30" s="5"/>
      <c r="W30" s="20"/>
      <c r="X30" s="5"/>
      <c r="Y30" s="16"/>
      <c r="Z30" s="16"/>
      <c r="AA30" s="21" t="str">
        <f aca="false">IF(OR($Y30="",$X30="",$X30=0),"",$Y30-N($Z30)/$X30)</f>
        <v/>
      </c>
      <c r="AB30" s="5"/>
      <c r="AC30" s="22" t="str">
        <f aca="false">IF(OR($Y30="",$L30="",$L30=0),"",$Y30/$L30-1)</f>
        <v/>
      </c>
      <c r="AD30" s="22" t="str">
        <f aca="false">IF(OR($AA30="",$N30="",$N30=0),"",$AA30/$N30-1)</f>
        <v/>
      </c>
      <c r="AE30" s="20" t="n">
        <v>46218</v>
      </c>
      <c r="AF30" s="5" t="s">
        <v>218</v>
      </c>
      <c r="AG30" s="5" t="s">
        <v>219</v>
      </c>
      <c r="AH30" s="20" t="n">
        <v>46228</v>
      </c>
      <c r="AI30" s="5" t="n">
        <v>12</v>
      </c>
      <c r="AJ30" s="16" t="n">
        <v>1869</v>
      </c>
      <c r="AK30" s="16" t="n">
        <v>0</v>
      </c>
      <c r="AL30" s="21" t="n">
        <f aca="false">IF(OR($AJ30="",$AI30="",$AI30=0),"",$AJ30-N($AK30)/$AI30)</f>
        <v>1869</v>
      </c>
      <c r="AM30" s="22" t="n">
        <f aca="false">IF(OR($AJ30="",$L30="",$L30=0),"",$AJ30/$L30-1)</f>
        <v>0.106571936056838</v>
      </c>
      <c r="AN30" s="22" t="n">
        <f aca="false">IF(OR($AL30="",$N30="",$N30=0),"",$AL30/$N30-1)</f>
        <v>0.229497412507675</v>
      </c>
      <c r="AO30" s="6" t="n">
        <v>10</v>
      </c>
    </row>
    <row r="31" customFormat="false" ht="15" hidden="false" customHeight="false" outlineLevel="0" collapsed="false">
      <c r="A31" s="23" t="s">
        <v>220</v>
      </c>
      <c r="B31" s="23" t="s">
        <v>113</v>
      </c>
      <c r="C31" s="23" t="s">
        <v>82</v>
      </c>
      <c r="D31" s="24" t="n">
        <v>1092</v>
      </c>
      <c r="E31" s="23" t="s">
        <v>221</v>
      </c>
      <c r="F31" s="23" t="s">
        <v>222</v>
      </c>
      <c r="G31" s="25" t="n">
        <v>45804</v>
      </c>
      <c r="H31" s="23" t="n">
        <v>12</v>
      </c>
      <c r="I31" s="25" t="n">
        <v>46168</v>
      </c>
      <c r="J31" s="23" t="s">
        <v>148</v>
      </c>
      <c r="K31" s="23" t="s">
        <v>202</v>
      </c>
      <c r="L31" s="26" t="n">
        <v>1995</v>
      </c>
      <c r="M31" s="26" t="n">
        <v>3989.5</v>
      </c>
      <c r="N31" s="27" t="n">
        <f aca="false">IF(OR($L31="",$H31="",$H31=0),"",$L31-N($M31)/$H31)</f>
        <v>1662.54166666667</v>
      </c>
      <c r="O31" s="23" t="s">
        <v>87</v>
      </c>
      <c r="P31" s="23" t="s">
        <v>202</v>
      </c>
      <c r="Q31" s="23" t="s">
        <v>127</v>
      </c>
      <c r="R31" s="23" t="s">
        <v>98</v>
      </c>
      <c r="S31" s="23" t="s">
        <v>98</v>
      </c>
      <c r="T31" s="23"/>
      <c r="U31" s="23"/>
      <c r="V31" s="23"/>
      <c r="W31" s="25" t="n">
        <v>46169</v>
      </c>
      <c r="X31" s="23" t="n">
        <v>13</v>
      </c>
      <c r="Y31" s="26" t="n">
        <v>1995</v>
      </c>
      <c r="Z31" s="26" t="n">
        <v>997.5</v>
      </c>
      <c r="AA31" s="27" t="n">
        <f aca="false">IF(OR($Y31="",$X31="",$X31=0),"",$Y31-N($Z31)/$X31)</f>
        <v>1918.26923076923</v>
      </c>
      <c r="AB31" s="23" t="s">
        <v>98</v>
      </c>
      <c r="AC31" s="28" t="n">
        <f aca="false">IF(OR($Y31="",$L31="",$L31=0),"",$Y31/$L31-1)</f>
        <v>0</v>
      </c>
      <c r="AD31" s="28" t="n">
        <f aca="false">IF(OR($AA31="",$N31="",$N31=0),"",$AA31/$N31-1)</f>
        <v>0.153817236120938</v>
      </c>
      <c r="AE31" s="25"/>
      <c r="AF31" s="23"/>
      <c r="AG31" s="23"/>
      <c r="AH31" s="25"/>
      <c r="AI31" s="23"/>
      <c r="AJ31" s="26"/>
      <c r="AK31" s="26"/>
      <c r="AL31" s="27" t="str">
        <f aca="false">IF(OR($AJ31="",$AI31="",$AI31=0),"",$AJ31-N($AK31)/$AI31)</f>
        <v/>
      </c>
      <c r="AM31" s="28" t="str">
        <f aca="false">IF(OR($AJ31="",$L31="",$L31=0),"",$AJ31/$L31-1)</f>
        <v/>
      </c>
      <c r="AN31" s="28" t="str">
        <f aca="false">IF(OR($AL31="",$N31="",$N31=0),"",$AL31/$N31-1)</f>
        <v/>
      </c>
      <c r="AO31" s="24"/>
    </row>
    <row r="32" customFormat="false" ht="15" hidden="false" customHeight="false" outlineLevel="0" collapsed="false">
      <c r="A32" s="5" t="s">
        <v>223</v>
      </c>
      <c r="B32" s="5" t="s">
        <v>102</v>
      </c>
      <c r="C32" s="5" t="s">
        <v>103</v>
      </c>
      <c r="D32" s="6" t="n">
        <v>693</v>
      </c>
      <c r="E32" s="5" t="s">
        <v>224</v>
      </c>
      <c r="F32" s="5" t="s">
        <v>225</v>
      </c>
      <c r="G32" s="20" t="n">
        <v>45961</v>
      </c>
      <c r="H32" s="5" t="n">
        <v>12</v>
      </c>
      <c r="I32" s="20" t="n">
        <v>46325</v>
      </c>
      <c r="J32" s="5" t="s">
        <v>106</v>
      </c>
      <c r="K32" s="5" t="s">
        <v>86</v>
      </c>
      <c r="L32" s="16" t="n">
        <v>1349</v>
      </c>
      <c r="M32" s="16" t="n">
        <v>0</v>
      </c>
      <c r="N32" s="21" t="n">
        <f aca="false">IF(OR($L32="",$H32="",$H32=0),"",$L32-N($M32)/$H32)</f>
        <v>1349</v>
      </c>
      <c r="O32" s="5" t="s">
        <v>87</v>
      </c>
      <c r="P32" s="5" t="s">
        <v>88</v>
      </c>
      <c r="Q32" s="5" t="s">
        <v>89</v>
      </c>
      <c r="R32" s="5"/>
      <c r="S32" s="5"/>
      <c r="T32" s="5"/>
      <c r="U32" s="5"/>
      <c r="V32" s="5"/>
      <c r="W32" s="20"/>
      <c r="X32" s="5"/>
      <c r="Y32" s="16"/>
      <c r="Z32" s="16"/>
      <c r="AA32" s="21" t="str">
        <f aca="false">IF(OR($Y32="",$X32="",$X32=0),"",$Y32-N($Z32)/$X32)</f>
        <v/>
      </c>
      <c r="AB32" s="5"/>
      <c r="AC32" s="22" t="str">
        <f aca="false">IF(OR($Y32="",$L32="",$L32=0),"",$Y32/$L32-1)</f>
        <v/>
      </c>
      <c r="AD32" s="22" t="str">
        <f aca="false">IF(OR($AA32="",$N32="",$N32=0),"",$AA32/$N32-1)</f>
        <v/>
      </c>
      <c r="AE32" s="20"/>
      <c r="AF32" s="5"/>
      <c r="AG32" s="5"/>
      <c r="AH32" s="20"/>
      <c r="AI32" s="5"/>
      <c r="AJ32" s="16"/>
      <c r="AK32" s="16"/>
      <c r="AL32" s="21" t="str">
        <f aca="false">IF(OR($AJ32="",$AI32="",$AI32=0),"",$AJ32-N($AK32)/$AI32)</f>
        <v/>
      </c>
      <c r="AM32" s="22" t="str">
        <f aca="false">IF(OR($AJ32="",$L32="",$L32=0),"",$AJ32/$L32-1)</f>
        <v/>
      </c>
      <c r="AN32" s="22" t="str">
        <f aca="false">IF(OR($AL32="",$N32="",$N32=0),"",$AL32/$N32-1)</f>
        <v/>
      </c>
      <c r="AO32" s="6"/>
    </row>
    <row r="33" customFormat="false" ht="15" hidden="false" customHeight="false" outlineLevel="0" collapsed="false">
      <c r="A33" s="23" t="s">
        <v>226</v>
      </c>
      <c r="B33" s="23" t="s">
        <v>81</v>
      </c>
      <c r="C33" s="23" t="s">
        <v>82</v>
      </c>
      <c r="D33" s="24" t="n">
        <v>1141</v>
      </c>
      <c r="E33" s="23" t="s">
        <v>227</v>
      </c>
      <c r="F33" s="23" t="s">
        <v>228</v>
      </c>
      <c r="G33" s="25" t="n">
        <v>45674</v>
      </c>
      <c r="H33" s="23" t="n">
        <v>12</v>
      </c>
      <c r="I33" s="25" t="n">
        <v>46219</v>
      </c>
      <c r="J33" s="23" t="s">
        <v>116</v>
      </c>
      <c r="K33" s="23" t="s">
        <v>126</v>
      </c>
      <c r="L33" s="26" t="n">
        <v>2020</v>
      </c>
      <c r="M33" s="26" t="n">
        <v>3732</v>
      </c>
      <c r="N33" s="27" t="n">
        <f aca="false">IF(OR($L33="",$H33="",$H33=0),"",$L33-N($M33)/$H33)</f>
        <v>1709</v>
      </c>
      <c r="O33" s="23" t="s">
        <v>87</v>
      </c>
      <c r="P33" s="23" t="s">
        <v>96</v>
      </c>
      <c r="Q33" s="23" t="s">
        <v>127</v>
      </c>
      <c r="R33" s="23" t="s">
        <v>98</v>
      </c>
      <c r="S33" s="23" t="s">
        <v>98</v>
      </c>
      <c r="T33" s="23"/>
      <c r="U33" s="23"/>
      <c r="V33" s="23"/>
      <c r="W33" s="25" t="n">
        <v>46220</v>
      </c>
      <c r="X33" s="23" t="n">
        <v>12</v>
      </c>
      <c r="Y33" s="26" t="n">
        <v>2058</v>
      </c>
      <c r="Z33" s="26" t="n">
        <v>0</v>
      </c>
      <c r="AA33" s="27" t="n">
        <f aca="false">IF(OR($Y33="",$X33="",$X33=0),"",$Y33-N($Z33)/$X33)</f>
        <v>2058</v>
      </c>
      <c r="AB33" s="23"/>
      <c r="AC33" s="28" t="n">
        <f aca="false">IF(OR($Y33="",$L33="",$L33=0),"",$Y33/$L33-1)</f>
        <v>0.0188118811881188</v>
      </c>
      <c r="AD33" s="28" t="n">
        <f aca="false">IF(OR($AA33="",$N33="",$N33=0),"",$AA33/$N33-1)</f>
        <v>0.204212990052662</v>
      </c>
      <c r="AE33" s="25"/>
      <c r="AF33" s="23"/>
      <c r="AG33" s="23"/>
      <c r="AH33" s="25"/>
      <c r="AI33" s="23"/>
      <c r="AJ33" s="26"/>
      <c r="AK33" s="26"/>
      <c r="AL33" s="27" t="str">
        <f aca="false">IF(OR($AJ33="",$AI33="",$AI33=0),"",$AJ33-N($AK33)/$AI33)</f>
        <v/>
      </c>
      <c r="AM33" s="28" t="str">
        <f aca="false">IF(OR($AJ33="",$L33="",$L33=0),"",$AJ33/$L33-1)</f>
        <v/>
      </c>
      <c r="AN33" s="28" t="str">
        <f aca="false">IF(OR($AL33="",$N33="",$N33=0),"",$AL33/$N33-1)</f>
        <v/>
      </c>
      <c r="AO33" s="24"/>
    </row>
    <row r="34" customFormat="false" ht="15" hidden="false" customHeight="false" outlineLevel="0" collapsed="false">
      <c r="A34" s="5" t="s">
        <v>229</v>
      </c>
      <c r="B34" s="5" t="s">
        <v>108</v>
      </c>
      <c r="C34" s="5" t="s">
        <v>103</v>
      </c>
      <c r="D34" s="6" t="n">
        <v>746</v>
      </c>
      <c r="E34" s="5" t="s">
        <v>230</v>
      </c>
      <c r="F34" s="5" t="s">
        <v>231</v>
      </c>
      <c r="G34" s="20" t="n">
        <v>45717</v>
      </c>
      <c r="H34" s="5" t="n">
        <v>18</v>
      </c>
      <c r="I34" s="20" t="n">
        <v>46265</v>
      </c>
      <c r="J34" s="5" t="s">
        <v>135</v>
      </c>
      <c r="K34" s="5" t="s">
        <v>86</v>
      </c>
      <c r="L34" s="16" t="n">
        <v>1689</v>
      </c>
      <c r="M34" s="16" t="n">
        <v>0</v>
      </c>
      <c r="N34" s="21" t="n">
        <f aca="false">IF(OR($L34="",$H34="",$H34=0),"",$L34-N($M34)/$H34)</f>
        <v>1689</v>
      </c>
      <c r="O34" s="5" t="s">
        <v>87</v>
      </c>
      <c r="P34" s="5" t="s">
        <v>88</v>
      </c>
      <c r="Q34" s="5" t="s">
        <v>89</v>
      </c>
      <c r="R34" s="5"/>
      <c r="S34" s="5"/>
      <c r="T34" s="5"/>
      <c r="U34" s="5"/>
      <c r="V34" s="5"/>
      <c r="W34" s="20"/>
      <c r="X34" s="5"/>
      <c r="Y34" s="16"/>
      <c r="Z34" s="16"/>
      <c r="AA34" s="21" t="str">
        <f aca="false">IF(OR($Y34="",$X34="",$X34=0),"",$Y34-N($Z34)/$X34)</f>
        <v/>
      </c>
      <c r="AB34" s="5"/>
      <c r="AC34" s="22" t="str">
        <f aca="false">IF(OR($Y34="",$L34="",$L34=0),"",$Y34/$L34-1)</f>
        <v/>
      </c>
      <c r="AD34" s="22" t="str">
        <f aca="false">IF(OR($AA34="",$N34="",$N34=0),"",$AA34/$N34-1)</f>
        <v/>
      </c>
      <c r="AE34" s="20"/>
      <c r="AF34" s="5"/>
      <c r="AG34" s="5"/>
      <c r="AH34" s="20"/>
      <c r="AI34" s="5"/>
      <c r="AJ34" s="16"/>
      <c r="AK34" s="16"/>
      <c r="AL34" s="21" t="str">
        <f aca="false">IF(OR($AJ34="",$AI34="",$AI34=0),"",$AJ34-N($AK34)/$AI34)</f>
        <v/>
      </c>
      <c r="AM34" s="22" t="str">
        <f aca="false">IF(OR($AJ34="",$L34="",$L34=0),"",$AJ34/$L34-1)</f>
        <v/>
      </c>
      <c r="AN34" s="22" t="str">
        <f aca="false">IF(OR($AL34="",$N34="",$N34=0),"",$AL34/$N34-1)</f>
        <v/>
      </c>
      <c r="AO34" s="6"/>
    </row>
    <row r="35" customFormat="false" ht="15" hidden="false" customHeight="false" outlineLevel="0" collapsed="false">
      <c r="A35" s="23" t="s">
        <v>232</v>
      </c>
      <c r="B35" s="23" t="s">
        <v>204</v>
      </c>
      <c r="C35" s="23" t="s">
        <v>82</v>
      </c>
      <c r="D35" s="24" t="n">
        <v>1177</v>
      </c>
      <c r="E35" s="23" t="s">
        <v>233</v>
      </c>
      <c r="F35" s="23" t="s">
        <v>234</v>
      </c>
      <c r="G35" s="25" t="n">
        <v>45744</v>
      </c>
      <c r="H35" s="23" t="n">
        <v>12</v>
      </c>
      <c r="I35" s="25" t="n">
        <v>46292</v>
      </c>
      <c r="J35" s="23" t="s">
        <v>186</v>
      </c>
      <c r="K35" s="23" t="s">
        <v>86</v>
      </c>
      <c r="L35" s="26" t="n">
        <v>1770</v>
      </c>
      <c r="M35" s="26" t="n">
        <v>2448</v>
      </c>
      <c r="N35" s="27" t="n">
        <f aca="false">IF(OR($L35="",$H35="",$H35=0),"",$L35-N($M35)/$H35)</f>
        <v>1566</v>
      </c>
      <c r="O35" s="23" t="s">
        <v>87</v>
      </c>
      <c r="P35" s="23" t="s">
        <v>96</v>
      </c>
      <c r="Q35" s="23" t="s">
        <v>97</v>
      </c>
      <c r="R35" s="23"/>
      <c r="S35" s="23"/>
      <c r="T35" s="23" t="s">
        <v>98</v>
      </c>
      <c r="U35" s="23"/>
      <c r="V35" s="23"/>
      <c r="W35" s="25"/>
      <c r="X35" s="23"/>
      <c r="Y35" s="26"/>
      <c r="Z35" s="26"/>
      <c r="AA35" s="27" t="str">
        <f aca="false">IF(OR($Y35="",$X35="",$X35=0),"",$Y35-N($Z35)/$X35)</f>
        <v/>
      </c>
      <c r="AB35" s="23"/>
      <c r="AC35" s="28" t="str">
        <f aca="false">IF(OR($Y35="",$L35="",$L35=0),"",$Y35/$L35-1)</f>
        <v/>
      </c>
      <c r="AD35" s="28" t="str">
        <f aca="false">IF(OR($AA35="",$N35="",$N35=0),"",$AA35/$N35-1)</f>
        <v/>
      </c>
      <c r="AE35" s="25" t="n">
        <v>46053</v>
      </c>
      <c r="AF35" s="23" t="s">
        <v>235</v>
      </c>
      <c r="AG35" s="23" t="s">
        <v>236</v>
      </c>
      <c r="AH35" s="25" t="n">
        <v>46093</v>
      </c>
      <c r="AI35" s="23" t="n">
        <v>12</v>
      </c>
      <c r="AJ35" s="26" t="n">
        <v>1850</v>
      </c>
      <c r="AK35" s="26" t="n">
        <v>0</v>
      </c>
      <c r="AL35" s="27" t="n">
        <f aca="false">IF(OR($AJ35="",$AI35="",$AI35=0),"",$AJ35-N($AK35)/$AI35)</f>
        <v>1850</v>
      </c>
      <c r="AM35" s="28" t="n">
        <f aca="false">IF(OR($AJ35="",$L35="",$L35=0),"",$AJ35/$L35-1)</f>
        <v>0.0451977401129944</v>
      </c>
      <c r="AN35" s="28" t="n">
        <f aca="false">IF(OR($AL35="",$N35="",$N35=0),"",$AL35/$N35-1)</f>
        <v>0.181353767560664</v>
      </c>
      <c r="AO35" s="24" t="n">
        <v>40</v>
      </c>
    </row>
    <row r="36" customFormat="false" ht="15" hidden="false" customHeight="false" outlineLevel="0" collapsed="false">
      <c r="A36" s="5" t="s">
        <v>237</v>
      </c>
      <c r="B36" s="5" t="s">
        <v>204</v>
      </c>
      <c r="C36" s="5" t="s">
        <v>82</v>
      </c>
      <c r="D36" s="6" t="n">
        <v>1177</v>
      </c>
      <c r="E36" s="5" t="s">
        <v>238</v>
      </c>
      <c r="F36" s="5" t="s">
        <v>239</v>
      </c>
      <c r="G36" s="20" t="n">
        <v>45754</v>
      </c>
      <c r="H36" s="5" t="n">
        <v>13</v>
      </c>
      <c r="I36" s="20" t="n">
        <v>46148</v>
      </c>
      <c r="J36" s="5" t="s">
        <v>148</v>
      </c>
      <c r="K36" s="5" t="s">
        <v>86</v>
      </c>
      <c r="L36" s="16" t="n">
        <v>1935</v>
      </c>
      <c r="M36" s="16" t="n">
        <v>2902.5</v>
      </c>
      <c r="N36" s="21" t="n">
        <f aca="false">IF(OR($L36="",$H36="",$H36=0),"",$L36-N($M36)/$H36)</f>
        <v>1711.73076923077</v>
      </c>
      <c r="O36" s="5" t="s">
        <v>87</v>
      </c>
      <c r="P36" s="5" t="s">
        <v>88</v>
      </c>
      <c r="Q36" s="5" t="s">
        <v>173</v>
      </c>
      <c r="R36" s="5" t="s">
        <v>98</v>
      </c>
      <c r="S36" s="5" t="s">
        <v>98</v>
      </c>
      <c r="T36" s="5"/>
      <c r="U36" s="5"/>
      <c r="V36" s="5"/>
      <c r="W36" s="20"/>
      <c r="X36" s="5"/>
      <c r="Y36" s="16"/>
      <c r="Z36" s="16"/>
      <c r="AA36" s="21" t="str">
        <f aca="false">IF(OR($Y36="",$X36="",$X36=0),"",$Y36-N($Z36)/$X36)</f>
        <v/>
      </c>
      <c r="AB36" s="5"/>
      <c r="AC36" s="22" t="str">
        <f aca="false">IF(OR($Y36="",$L36="",$L36=0),"",$Y36/$L36-1)</f>
        <v/>
      </c>
      <c r="AD36" s="22" t="str">
        <f aca="false">IF(OR($AA36="",$N36="",$N36=0),"",$AA36/$N36-1)</f>
        <v/>
      </c>
      <c r="AE36" s="20"/>
      <c r="AF36" s="5"/>
      <c r="AG36" s="5"/>
      <c r="AH36" s="20"/>
      <c r="AI36" s="5"/>
      <c r="AJ36" s="16"/>
      <c r="AK36" s="16"/>
      <c r="AL36" s="21" t="str">
        <f aca="false">IF(OR($AJ36="",$AI36="",$AI36=0),"",$AJ36-N($AK36)/$AI36)</f>
        <v/>
      </c>
      <c r="AM36" s="22" t="str">
        <f aca="false">IF(OR($AJ36="",$L36="",$L36=0),"",$AJ36/$L36-1)</f>
        <v/>
      </c>
      <c r="AN36" s="22" t="str">
        <f aca="false">IF(OR($AL36="",$N36="",$N36=0),"",$AL36/$N36-1)</f>
        <v/>
      </c>
      <c r="AO36" s="6"/>
    </row>
    <row r="37" customFormat="false" ht="15" hidden="false" customHeight="false" outlineLevel="0" collapsed="false">
      <c r="A37" s="23" t="s">
        <v>240</v>
      </c>
      <c r="B37" s="23" t="s">
        <v>81</v>
      </c>
      <c r="C37" s="23" t="s">
        <v>82</v>
      </c>
      <c r="D37" s="24" t="n">
        <v>1141</v>
      </c>
      <c r="E37" s="23" t="s">
        <v>241</v>
      </c>
      <c r="F37" s="23" t="s">
        <v>242</v>
      </c>
      <c r="G37" s="25" t="n">
        <v>45694</v>
      </c>
      <c r="H37" s="23" t="n">
        <v>18</v>
      </c>
      <c r="I37" s="25" t="n">
        <v>46239</v>
      </c>
      <c r="J37" s="23" t="s">
        <v>135</v>
      </c>
      <c r="K37" s="23" t="s">
        <v>86</v>
      </c>
      <c r="L37" s="26" t="n">
        <v>1845</v>
      </c>
      <c r="M37" s="26" t="n">
        <v>0</v>
      </c>
      <c r="N37" s="27" t="n">
        <f aca="false">IF(OR($L37="",$H37="",$H37=0),"",$L37-N($M37)/$H37)</f>
        <v>1845</v>
      </c>
      <c r="O37" s="23" t="s">
        <v>87</v>
      </c>
      <c r="P37" s="23" t="s">
        <v>88</v>
      </c>
      <c r="Q37" s="23" t="s">
        <v>89</v>
      </c>
      <c r="R37" s="23"/>
      <c r="S37" s="23"/>
      <c r="T37" s="23"/>
      <c r="U37" s="23"/>
      <c r="V37" s="23"/>
      <c r="W37" s="25"/>
      <c r="X37" s="23"/>
      <c r="Y37" s="26"/>
      <c r="Z37" s="26"/>
      <c r="AA37" s="27" t="str">
        <f aca="false">IF(OR($Y37="",$X37="",$X37=0),"",$Y37-N($Z37)/$X37)</f>
        <v/>
      </c>
      <c r="AB37" s="23"/>
      <c r="AC37" s="28" t="str">
        <f aca="false">IF(OR($Y37="",$L37="",$L37=0),"",$Y37/$L37-1)</f>
        <v/>
      </c>
      <c r="AD37" s="28" t="str">
        <f aca="false">IF(OR($AA37="",$N37="",$N37=0),"",$AA37/$N37-1)</f>
        <v/>
      </c>
      <c r="AE37" s="25"/>
      <c r="AF37" s="23"/>
      <c r="AG37" s="23"/>
      <c r="AH37" s="25"/>
      <c r="AI37" s="23"/>
      <c r="AJ37" s="26"/>
      <c r="AK37" s="26"/>
      <c r="AL37" s="27" t="str">
        <f aca="false">IF(OR($AJ37="",$AI37="",$AI37=0),"",$AJ37-N($AK37)/$AI37)</f>
        <v/>
      </c>
      <c r="AM37" s="28" t="str">
        <f aca="false">IF(OR($AJ37="",$L37="",$L37=0),"",$AJ37/$L37-1)</f>
        <v/>
      </c>
      <c r="AN37" s="28" t="str">
        <f aca="false">IF(OR($AL37="",$N37="",$N37=0),"",$AL37/$N37-1)</f>
        <v/>
      </c>
      <c r="AO37" s="24"/>
    </row>
    <row r="38" customFormat="false" ht="15" hidden="false" customHeight="false" outlineLevel="0" collapsed="false">
      <c r="A38" s="5" t="s">
        <v>243</v>
      </c>
      <c r="B38" s="5" t="s">
        <v>145</v>
      </c>
      <c r="C38" s="5" t="s">
        <v>82</v>
      </c>
      <c r="D38" s="6" t="n">
        <v>1165</v>
      </c>
      <c r="E38" s="5" t="s">
        <v>244</v>
      </c>
      <c r="F38" s="5" t="s">
        <v>245</v>
      </c>
      <c r="G38" s="20" t="n">
        <v>45813</v>
      </c>
      <c r="H38" s="5" t="n">
        <v>12</v>
      </c>
      <c r="I38" s="20" t="n">
        <v>46360</v>
      </c>
      <c r="J38" s="5" t="s">
        <v>85</v>
      </c>
      <c r="K38" s="5" t="s">
        <v>86</v>
      </c>
      <c r="L38" s="16" t="n">
        <v>1820</v>
      </c>
      <c r="M38" s="16" t="n">
        <v>2520</v>
      </c>
      <c r="N38" s="21" t="n">
        <f aca="false">IF(OR($L38="",$H38="",$H38=0),"",$L38-N($M38)/$H38)</f>
        <v>1610</v>
      </c>
      <c r="O38" s="5" t="s">
        <v>87</v>
      </c>
      <c r="P38" s="5" t="s">
        <v>96</v>
      </c>
      <c r="Q38" s="5" t="s">
        <v>97</v>
      </c>
      <c r="R38" s="5"/>
      <c r="S38" s="5"/>
      <c r="T38" s="5" t="s">
        <v>98</v>
      </c>
      <c r="U38" s="5"/>
      <c r="V38" s="5"/>
      <c r="W38" s="20"/>
      <c r="X38" s="5"/>
      <c r="Y38" s="16"/>
      <c r="Z38" s="16"/>
      <c r="AA38" s="21" t="str">
        <f aca="false">IF(OR($Y38="",$X38="",$X38=0),"",$Y38-N($Z38)/$X38)</f>
        <v/>
      </c>
      <c r="AB38" s="5"/>
      <c r="AC38" s="22" t="str">
        <f aca="false">IF(OR($Y38="",$L38="",$L38=0),"",$Y38/$L38-1)</f>
        <v/>
      </c>
      <c r="AD38" s="22" t="str">
        <f aca="false">IF(OR($AA38="",$N38="",$N38=0),"",$AA38/$N38-1)</f>
        <v/>
      </c>
      <c r="AE38" s="20" t="n">
        <v>46112</v>
      </c>
      <c r="AF38" s="5" t="s">
        <v>246</v>
      </c>
      <c r="AG38" s="5" t="s">
        <v>247</v>
      </c>
      <c r="AH38" s="20" t="n">
        <v>46122</v>
      </c>
      <c r="AI38" s="5" t="n">
        <v>12</v>
      </c>
      <c r="AJ38" s="16" t="n">
        <v>2045</v>
      </c>
      <c r="AK38" s="16" t="n">
        <v>0</v>
      </c>
      <c r="AL38" s="21" t="n">
        <f aca="false">IF(OR($AJ38="",$AI38="",$AI38=0),"",$AJ38-N($AK38)/$AI38)</f>
        <v>2045</v>
      </c>
      <c r="AM38" s="22" t="n">
        <f aca="false">IF(OR($AJ38="",$L38="",$L38=0),"",$AJ38/$L38-1)</f>
        <v>0.123626373626374</v>
      </c>
      <c r="AN38" s="22" t="n">
        <f aca="false">IF(OR($AL38="",$N38="",$N38=0),"",$AL38/$N38-1)</f>
        <v>0.270186335403727</v>
      </c>
      <c r="AO38" s="6" t="n">
        <v>10</v>
      </c>
    </row>
    <row r="39" customFormat="false" ht="15" hidden="false" customHeight="false" outlineLevel="0" collapsed="false">
      <c r="A39" s="23" t="s">
        <v>248</v>
      </c>
      <c r="B39" s="23" t="s">
        <v>102</v>
      </c>
      <c r="C39" s="23" t="s">
        <v>103</v>
      </c>
      <c r="D39" s="24" t="n">
        <v>693</v>
      </c>
      <c r="E39" s="23" t="s">
        <v>249</v>
      </c>
      <c r="F39" s="23" t="s">
        <v>250</v>
      </c>
      <c r="G39" s="25" t="n">
        <v>45762</v>
      </c>
      <c r="H39" s="23" t="n">
        <v>22</v>
      </c>
      <c r="I39" s="25" t="n">
        <v>46432</v>
      </c>
      <c r="J39" s="23" t="s">
        <v>251</v>
      </c>
      <c r="K39" s="23" t="s">
        <v>86</v>
      </c>
      <c r="L39" s="26" t="n">
        <v>1510</v>
      </c>
      <c r="M39" s="26" t="n">
        <v>2265</v>
      </c>
      <c r="N39" s="27" t="n">
        <f aca="false">IF(OR($L39="",$H39="",$H39=0),"",$L39-N($M39)/$H39)</f>
        <v>1407.04545454545</v>
      </c>
      <c r="O39" s="23" t="s">
        <v>87</v>
      </c>
      <c r="P39" s="23" t="s">
        <v>88</v>
      </c>
      <c r="Q39" s="23" t="s">
        <v>89</v>
      </c>
      <c r="R39" s="23"/>
      <c r="S39" s="23"/>
      <c r="T39" s="23"/>
      <c r="U39" s="23"/>
      <c r="V39" s="23"/>
      <c r="W39" s="25"/>
      <c r="X39" s="23"/>
      <c r="Y39" s="26"/>
      <c r="Z39" s="26"/>
      <c r="AA39" s="27" t="str">
        <f aca="false">IF(OR($Y39="",$X39="",$X39=0),"",$Y39-N($Z39)/$X39)</f>
        <v/>
      </c>
      <c r="AB39" s="23"/>
      <c r="AC39" s="28" t="str">
        <f aca="false">IF(OR($Y39="",$L39="",$L39=0),"",$Y39/$L39-1)</f>
        <v/>
      </c>
      <c r="AD39" s="28" t="str">
        <f aca="false">IF(OR($AA39="",$N39="",$N39=0),"",$AA39/$N39-1)</f>
        <v/>
      </c>
      <c r="AE39" s="25"/>
      <c r="AF39" s="23"/>
      <c r="AG39" s="23"/>
      <c r="AH39" s="25"/>
      <c r="AI39" s="23"/>
      <c r="AJ39" s="26"/>
      <c r="AK39" s="26"/>
      <c r="AL39" s="27" t="str">
        <f aca="false">IF(OR($AJ39="",$AI39="",$AI39=0),"",$AJ39-N($AK39)/$AI39)</f>
        <v/>
      </c>
      <c r="AM39" s="28" t="str">
        <f aca="false">IF(OR($AJ39="",$L39="",$L39=0),"",$AJ39/$L39-1)</f>
        <v/>
      </c>
      <c r="AN39" s="28" t="str">
        <f aca="false">IF(OR($AL39="",$N39="",$N39=0),"",$AL39/$N39-1)</f>
        <v/>
      </c>
      <c r="AO39" s="24"/>
    </row>
    <row r="40" customFormat="false" ht="15" hidden="false" customHeight="false" outlineLevel="0" collapsed="false">
      <c r="A40" s="5" t="s">
        <v>252</v>
      </c>
      <c r="B40" s="5" t="s">
        <v>102</v>
      </c>
      <c r="C40" s="5" t="s">
        <v>103</v>
      </c>
      <c r="D40" s="6" t="n">
        <v>693</v>
      </c>
      <c r="E40" s="5" t="s">
        <v>253</v>
      </c>
      <c r="F40" s="5" t="s">
        <v>254</v>
      </c>
      <c r="G40" s="20" t="n">
        <v>45680</v>
      </c>
      <c r="H40" s="5" t="n">
        <v>18</v>
      </c>
      <c r="I40" s="20" t="n">
        <v>46225</v>
      </c>
      <c r="J40" s="5" t="s">
        <v>116</v>
      </c>
      <c r="K40" s="5" t="s">
        <v>86</v>
      </c>
      <c r="L40" s="16" t="n">
        <v>1425</v>
      </c>
      <c r="M40" s="16" t="n">
        <v>0</v>
      </c>
      <c r="N40" s="21" t="n">
        <f aca="false">IF(OR($L40="",$H40="",$H40=0),"",$L40-N($M40)/$H40)</f>
        <v>1425</v>
      </c>
      <c r="O40" s="5" t="s">
        <v>87</v>
      </c>
      <c r="P40" s="5" t="s">
        <v>88</v>
      </c>
      <c r="Q40" s="5" t="s">
        <v>97</v>
      </c>
      <c r="R40" s="5" t="s">
        <v>98</v>
      </c>
      <c r="S40" s="5" t="s">
        <v>98</v>
      </c>
      <c r="T40" s="5"/>
      <c r="U40" s="5"/>
      <c r="V40" s="5"/>
      <c r="W40" s="20"/>
      <c r="X40" s="5"/>
      <c r="Y40" s="16"/>
      <c r="Z40" s="16"/>
      <c r="AA40" s="21" t="str">
        <f aca="false">IF(OR($Y40="",$X40="",$X40=0),"",$Y40-N($Z40)/$X40)</f>
        <v/>
      </c>
      <c r="AB40" s="5"/>
      <c r="AC40" s="22" t="str">
        <f aca="false">IF(OR($Y40="",$L40="",$L40=0),"",$Y40/$L40-1)</f>
        <v/>
      </c>
      <c r="AD40" s="22" t="str">
        <f aca="false">IF(OR($AA40="",$N40="",$N40=0),"",$AA40/$N40-1)</f>
        <v/>
      </c>
      <c r="AE40" s="20" t="n">
        <v>46225</v>
      </c>
      <c r="AF40" s="5" t="s">
        <v>255</v>
      </c>
      <c r="AG40" s="5" t="s">
        <v>256</v>
      </c>
      <c r="AH40" s="20" t="n">
        <v>46232</v>
      </c>
      <c r="AI40" s="5" t="n">
        <v>9</v>
      </c>
      <c r="AJ40" s="16" t="n">
        <v>1678</v>
      </c>
      <c r="AK40" s="16" t="n">
        <v>0</v>
      </c>
      <c r="AL40" s="21" t="n">
        <f aca="false">IF(OR($AJ40="",$AI40="",$AI40=0),"",$AJ40-N($AK40)/$AI40)</f>
        <v>1678</v>
      </c>
      <c r="AM40" s="22" t="n">
        <f aca="false">IF(OR($AJ40="",$L40="",$L40=0),"",$AJ40/$L40-1)</f>
        <v>0.177543859649123</v>
      </c>
      <c r="AN40" s="22" t="n">
        <f aca="false">IF(OR($AL40="",$N40="",$N40=0),"",$AL40/$N40-1)</f>
        <v>0.177543859649123</v>
      </c>
      <c r="AO40" s="6" t="n">
        <v>7</v>
      </c>
    </row>
    <row r="41" customFormat="false" ht="15" hidden="false" customHeight="false" outlineLevel="0" collapsed="false">
      <c r="A41" s="23" t="s">
        <v>257</v>
      </c>
      <c r="B41" s="23" t="s">
        <v>102</v>
      </c>
      <c r="C41" s="23" t="s">
        <v>103</v>
      </c>
      <c r="D41" s="24" t="n">
        <v>693</v>
      </c>
      <c r="E41" s="23" t="s">
        <v>258</v>
      </c>
      <c r="F41" s="23" t="s">
        <v>259</v>
      </c>
      <c r="G41" s="25" t="n">
        <v>45773</v>
      </c>
      <c r="H41" s="23" t="n">
        <v>15</v>
      </c>
      <c r="I41" s="25" t="n">
        <v>46228</v>
      </c>
      <c r="J41" s="23" t="s">
        <v>116</v>
      </c>
      <c r="K41" s="23" t="s">
        <v>86</v>
      </c>
      <c r="L41" s="26" t="n">
        <v>1495</v>
      </c>
      <c r="M41" s="26" t="n">
        <v>2242</v>
      </c>
      <c r="N41" s="27" t="n">
        <f aca="false">IF(OR($L41="",$H41="",$H41=0),"",$L41-N($M41)/$H41)</f>
        <v>1345.53333333333</v>
      </c>
      <c r="O41" s="23" t="s">
        <v>87</v>
      </c>
      <c r="P41" s="23" t="s">
        <v>88</v>
      </c>
      <c r="Q41" s="23" t="s">
        <v>97</v>
      </c>
      <c r="R41" s="23" t="s">
        <v>98</v>
      </c>
      <c r="S41" s="23" t="s">
        <v>98</v>
      </c>
      <c r="T41" s="23"/>
      <c r="U41" s="23"/>
      <c r="V41" s="23"/>
      <c r="W41" s="25"/>
      <c r="X41" s="23"/>
      <c r="Y41" s="26"/>
      <c r="Z41" s="26"/>
      <c r="AA41" s="27" t="str">
        <f aca="false">IF(OR($Y41="",$X41="",$X41=0),"",$Y41-N($Z41)/$X41)</f>
        <v/>
      </c>
      <c r="AB41" s="23"/>
      <c r="AC41" s="28" t="str">
        <f aca="false">IF(OR($Y41="",$L41="",$L41=0),"",$Y41/$L41-1)</f>
        <v/>
      </c>
      <c r="AD41" s="28" t="str">
        <f aca="false">IF(OR($AA41="",$N41="",$N41=0),"",$AA41/$N41-1)</f>
        <v/>
      </c>
      <c r="AE41" s="25" t="n">
        <v>46228</v>
      </c>
      <c r="AF41" s="23" t="s">
        <v>260</v>
      </c>
      <c r="AG41" s="23" t="s">
        <v>261</v>
      </c>
      <c r="AH41" s="25" t="n">
        <v>46236</v>
      </c>
      <c r="AI41" s="23"/>
      <c r="AJ41" s="26" t="n">
        <v>1678</v>
      </c>
      <c r="AK41" s="26"/>
      <c r="AL41" s="27" t="str">
        <f aca="false">IF(OR($AJ41="",$AI41="",$AI41=0),"",$AJ41-N($AK41)/$AI41)</f>
        <v/>
      </c>
      <c r="AM41" s="28" t="n">
        <f aca="false">IF(OR($AJ41="",$L41="",$L41=0),"",$AJ41/$L41-1)</f>
        <v>0.122408026755853</v>
      </c>
      <c r="AN41" s="28" t="str">
        <f aca="false">IF(OR($AL41="",$N41="",$N41=0),"",$AL41/$N41-1)</f>
        <v/>
      </c>
      <c r="AO41" s="24" t="n">
        <v>8</v>
      </c>
    </row>
    <row r="42" customFormat="false" ht="15" hidden="false" customHeight="false" outlineLevel="0" collapsed="false">
      <c r="A42" s="5" t="s">
        <v>262</v>
      </c>
      <c r="B42" s="5" t="s">
        <v>81</v>
      </c>
      <c r="C42" s="5" t="s">
        <v>82</v>
      </c>
      <c r="D42" s="6" t="n">
        <v>1141</v>
      </c>
      <c r="E42" s="5" t="s">
        <v>263</v>
      </c>
      <c r="F42" s="5" t="s">
        <v>264</v>
      </c>
      <c r="G42" s="20" t="n">
        <v>45843</v>
      </c>
      <c r="H42" s="5" t="n">
        <v>18</v>
      </c>
      <c r="I42" s="20" t="n">
        <v>46418</v>
      </c>
      <c r="J42" s="5" t="s">
        <v>265</v>
      </c>
      <c r="K42" s="5" t="s">
        <v>86</v>
      </c>
      <c r="L42" s="16" t="n">
        <v>1894</v>
      </c>
      <c r="M42" s="16" t="n">
        <v>1894</v>
      </c>
      <c r="N42" s="21" t="n">
        <f aca="false">IF(OR($L42="",$H42="",$H42=0),"",$L42-N($M42)/$H42)</f>
        <v>1788.77777777778</v>
      </c>
      <c r="O42" s="5" t="s">
        <v>87</v>
      </c>
      <c r="P42" s="5" t="s">
        <v>88</v>
      </c>
      <c r="Q42" s="5" t="s">
        <v>89</v>
      </c>
      <c r="R42" s="5"/>
      <c r="S42" s="5"/>
      <c r="T42" s="5"/>
      <c r="U42" s="5"/>
      <c r="V42" s="5"/>
      <c r="W42" s="20"/>
      <c r="X42" s="5"/>
      <c r="Y42" s="16"/>
      <c r="Z42" s="16"/>
      <c r="AA42" s="21" t="str">
        <f aca="false">IF(OR($Y42="",$X42="",$X42=0),"",$Y42-N($Z42)/$X42)</f>
        <v/>
      </c>
      <c r="AB42" s="5"/>
      <c r="AC42" s="22" t="str">
        <f aca="false">IF(OR($Y42="",$L42="",$L42=0),"",$Y42/$L42-1)</f>
        <v/>
      </c>
      <c r="AD42" s="22" t="str">
        <f aca="false">IF(OR($AA42="",$N42="",$N42=0),"",$AA42/$N42-1)</f>
        <v/>
      </c>
      <c r="AE42" s="20"/>
      <c r="AF42" s="5"/>
      <c r="AG42" s="5"/>
      <c r="AH42" s="20"/>
      <c r="AI42" s="5"/>
      <c r="AJ42" s="16"/>
      <c r="AK42" s="16"/>
      <c r="AL42" s="21" t="str">
        <f aca="false">IF(OR($AJ42="",$AI42="",$AI42=0),"",$AJ42-N($AK42)/$AI42)</f>
        <v/>
      </c>
      <c r="AM42" s="22" t="str">
        <f aca="false">IF(OR($AJ42="",$L42="",$L42=0),"",$AJ42/$L42-1)</f>
        <v/>
      </c>
      <c r="AN42" s="22" t="str">
        <f aca="false">IF(OR($AL42="",$N42="",$N42=0),"",$AL42/$N42-1)</f>
        <v/>
      </c>
      <c r="AO42" s="6"/>
    </row>
    <row r="43" customFormat="false" ht="15" hidden="false" customHeight="false" outlineLevel="0" collapsed="false">
      <c r="A43" s="23" t="s">
        <v>266</v>
      </c>
      <c r="B43" s="23" t="s">
        <v>102</v>
      </c>
      <c r="C43" s="23" t="s">
        <v>103</v>
      </c>
      <c r="D43" s="24" t="n">
        <v>693</v>
      </c>
      <c r="E43" s="23" t="s">
        <v>267</v>
      </c>
      <c r="F43" s="23" t="s">
        <v>268</v>
      </c>
      <c r="G43" s="25" t="n">
        <v>45845</v>
      </c>
      <c r="H43" s="23" t="n">
        <v>12</v>
      </c>
      <c r="I43" s="25" t="n">
        <v>46148</v>
      </c>
      <c r="J43" s="23" t="s">
        <v>148</v>
      </c>
      <c r="K43" s="23" t="s">
        <v>86</v>
      </c>
      <c r="L43" s="26" t="n">
        <v>1575</v>
      </c>
      <c r="M43" s="26" t="n">
        <v>1572</v>
      </c>
      <c r="N43" s="27" t="n">
        <f aca="false">IF(OR($L43="",$H43="",$H43=0),"",$L43-N($M43)/$H43)</f>
        <v>1444</v>
      </c>
      <c r="O43" s="23" t="s">
        <v>87</v>
      </c>
      <c r="P43" s="23" t="s">
        <v>96</v>
      </c>
      <c r="Q43" s="23" t="s">
        <v>97</v>
      </c>
      <c r="R43" s="23" t="s">
        <v>98</v>
      </c>
      <c r="S43" s="23" t="s">
        <v>98</v>
      </c>
      <c r="T43" s="23" t="s">
        <v>98</v>
      </c>
      <c r="U43" s="23"/>
      <c r="V43" s="23"/>
      <c r="W43" s="25"/>
      <c r="X43" s="23"/>
      <c r="Y43" s="26"/>
      <c r="Z43" s="26"/>
      <c r="AA43" s="27" t="str">
        <f aca="false">IF(OR($Y43="",$X43="",$X43=0),"",$Y43-N($Z43)/$X43)</f>
        <v/>
      </c>
      <c r="AB43" s="23"/>
      <c r="AC43" s="28" t="str">
        <f aca="false">IF(OR($Y43="",$L43="",$L43=0),"",$Y43/$L43-1)</f>
        <v/>
      </c>
      <c r="AD43" s="28" t="str">
        <f aca="false">IF(OR($AA43="",$N43="",$N43=0),"",$AA43/$N43-1)</f>
        <v/>
      </c>
      <c r="AE43" s="25" t="n">
        <v>46139</v>
      </c>
      <c r="AF43" s="23" t="s">
        <v>269</v>
      </c>
      <c r="AG43" s="23" t="s">
        <v>270</v>
      </c>
      <c r="AH43" s="25" t="n">
        <v>46140</v>
      </c>
      <c r="AI43" s="23" t="n">
        <v>9</v>
      </c>
      <c r="AJ43" s="26" t="n">
        <v>1575</v>
      </c>
      <c r="AK43" s="26" t="n">
        <v>0</v>
      </c>
      <c r="AL43" s="27" t="n">
        <f aca="false">IF(OR($AJ43="",$AI43="",$AI43=0),"",$AJ43-N($AK43)/$AI43)</f>
        <v>1575</v>
      </c>
      <c r="AM43" s="28" t="n">
        <f aca="false">IF(OR($AJ43="",$L43="",$L43=0),"",$AJ43/$L43-1)</f>
        <v>0</v>
      </c>
      <c r="AN43" s="28" t="n">
        <f aca="false">IF(OR($AL43="",$N43="",$N43=0),"",$AL43/$N43-1)</f>
        <v>0.0907202216066483</v>
      </c>
      <c r="AO43" s="24" t="n">
        <v>1</v>
      </c>
    </row>
    <row r="44" customFormat="false" ht="15" hidden="false" customHeight="false" outlineLevel="0" collapsed="false">
      <c r="A44" s="5" t="s">
        <v>271</v>
      </c>
      <c r="B44" s="5" t="s">
        <v>113</v>
      </c>
      <c r="C44" s="5" t="s">
        <v>82</v>
      </c>
      <c r="D44" s="6" t="n">
        <v>1092</v>
      </c>
      <c r="E44" s="5" t="s">
        <v>272</v>
      </c>
      <c r="F44" s="5" t="s">
        <v>273</v>
      </c>
      <c r="G44" s="20" t="n">
        <v>45715</v>
      </c>
      <c r="H44" s="5" t="n">
        <v>15</v>
      </c>
      <c r="I44" s="20" t="n">
        <v>46138</v>
      </c>
      <c r="J44" s="5" t="s">
        <v>167</v>
      </c>
      <c r="K44" s="5" t="s">
        <v>126</v>
      </c>
      <c r="L44" s="16" t="n">
        <v>1765</v>
      </c>
      <c r="M44" s="16" t="n">
        <v>495</v>
      </c>
      <c r="N44" s="21" t="n">
        <f aca="false">IF(OR($L44="",$H44="",$H44=0),"",$L44-N($M44)/$H44)</f>
        <v>1732</v>
      </c>
      <c r="O44" s="5" t="s">
        <v>87</v>
      </c>
      <c r="P44" s="5" t="s">
        <v>96</v>
      </c>
      <c r="Q44" s="5" t="s">
        <v>127</v>
      </c>
      <c r="R44" s="5" t="s">
        <v>98</v>
      </c>
      <c r="S44" s="5" t="s">
        <v>98</v>
      </c>
      <c r="T44" s="5"/>
      <c r="U44" s="5"/>
      <c r="V44" s="5"/>
      <c r="W44" s="20" t="n">
        <v>46139</v>
      </c>
      <c r="X44" s="5" t="n">
        <v>12</v>
      </c>
      <c r="Y44" s="16" t="n">
        <v>1810</v>
      </c>
      <c r="Z44" s="16" t="n">
        <v>0</v>
      </c>
      <c r="AA44" s="21" t="n">
        <f aca="false">IF(OR($Y44="",$X44="",$X44=0),"",$Y44-N($Z44)/$X44)</f>
        <v>1810</v>
      </c>
      <c r="AB44" s="5"/>
      <c r="AC44" s="22" t="n">
        <f aca="false">IF(OR($Y44="",$L44="",$L44=0),"",$Y44/$L44-1)</f>
        <v>0.0254957507082152</v>
      </c>
      <c r="AD44" s="22" t="n">
        <f aca="false">IF(OR($AA44="",$N44="",$N44=0),"",$AA44/$N44-1)</f>
        <v>0.0450346420323327</v>
      </c>
      <c r="AE44" s="20"/>
      <c r="AF44" s="5"/>
      <c r="AG44" s="5"/>
      <c r="AH44" s="20"/>
      <c r="AI44" s="5"/>
      <c r="AJ44" s="16"/>
      <c r="AK44" s="16"/>
      <c r="AL44" s="21" t="str">
        <f aca="false">IF(OR($AJ44="",$AI44="",$AI44=0),"",$AJ44-N($AK44)/$AI44)</f>
        <v/>
      </c>
      <c r="AM44" s="22" t="str">
        <f aca="false">IF(OR($AJ44="",$L44="",$L44=0),"",$AJ44/$L44-1)</f>
        <v/>
      </c>
      <c r="AN44" s="22" t="str">
        <f aca="false">IF(OR($AL44="",$N44="",$N44=0),"",$AL44/$N44-1)</f>
        <v/>
      </c>
      <c r="AO44" s="6"/>
    </row>
    <row r="45" customFormat="false" ht="15" hidden="false" customHeight="false" outlineLevel="0" collapsed="false">
      <c r="A45" s="23" t="s">
        <v>274</v>
      </c>
      <c r="B45" s="23" t="s">
        <v>275</v>
      </c>
      <c r="C45" s="23" t="s">
        <v>276</v>
      </c>
      <c r="D45" s="24" t="n">
        <v>517</v>
      </c>
      <c r="E45" s="23" t="s">
        <v>277</v>
      </c>
      <c r="F45" s="23" t="s">
        <v>278</v>
      </c>
      <c r="G45" s="25" t="n">
        <v>45686</v>
      </c>
      <c r="H45" s="23" t="n">
        <v>15</v>
      </c>
      <c r="I45" s="25" t="n">
        <v>46140</v>
      </c>
      <c r="J45" s="23" t="s">
        <v>167</v>
      </c>
      <c r="K45" s="23" t="s">
        <v>126</v>
      </c>
      <c r="L45" s="26" t="n">
        <v>1295</v>
      </c>
      <c r="M45" s="26" t="n">
        <v>495</v>
      </c>
      <c r="N45" s="27" t="n">
        <f aca="false">IF(OR($L45="",$H45="",$H45=0),"",$L45-N($M45)/$H45)</f>
        <v>1262</v>
      </c>
      <c r="O45" s="23" t="s">
        <v>87</v>
      </c>
      <c r="P45" s="23" t="s">
        <v>96</v>
      </c>
      <c r="Q45" s="23" t="s">
        <v>127</v>
      </c>
      <c r="R45" s="23" t="s">
        <v>98</v>
      </c>
      <c r="S45" s="23" t="s">
        <v>98</v>
      </c>
      <c r="T45" s="23"/>
      <c r="U45" s="23"/>
      <c r="V45" s="23"/>
      <c r="W45" s="25" t="n">
        <v>46141</v>
      </c>
      <c r="X45" s="23" t="n">
        <v>12</v>
      </c>
      <c r="Y45" s="26" t="n">
        <v>1320</v>
      </c>
      <c r="Z45" s="26" t="n">
        <v>0</v>
      </c>
      <c r="AA45" s="27" t="n">
        <f aca="false">IF(OR($Y45="",$X45="",$X45=0),"",$Y45-N($Z45)/$X45)</f>
        <v>1320</v>
      </c>
      <c r="AB45" s="23"/>
      <c r="AC45" s="28" t="n">
        <f aca="false">IF(OR($Y45="",$L45="",$L45=0),"",$Y45/$L45-1)</f>
        <v>0.0193050193050193</v>
      </c>
      <c r="AD45" s="28" t="n">
        <f aca="false">IF(OR($AA45="",$N45="",$N45=0),"",$AA45/$N45-1)</f>
        <v>0.0459587955625991</v>
      </c>
      <c r="AE45" s="25"/>
      <c r="AF45" s="23"/>
      <c r="AG45" s="23"/>
      <c r="AH45" s="25"/>
      <c r="AI45" s="23"/>
      <c r="AJ45" s="26"/>
      <c r="AK45" s="26"/>
      <c r="AL45" s="27" t="str">
        <f aca="false">IF(OR($AJ45="",$AI45="",$AI45=0),"",$AJ45-N($AK45)/$AI45)</f>
        <v/>
      </c>
      <c r="AM45" s="28" t="str">
        <f aca="false">IF(OR($AJ45="",$L45="",$L45=0),"",$AJ45/$L45-1)</f>
        <v/>
      </c>
      <c r="AN45" s="28" t="str">
        <f aca="false">IF(OR($AL45="",$N45="",$N45=0),"",$AL45/$N45-1)</f>
        <v/>
      </c>
      <c r="AO45" s="24"/>
    </row>
    <row r="46" customFormat="false" ht="15" hidden="false" customHeight="false" outlineLevel="0" collapsed="false">
      <c r="A46" s="5" t="s">
        <v>279</v>
      </c>
      <c r="B46" s="5" t="s">
        <v>102</v>
      </c>
      <c r="C46" s="5" t="s">
        <v>103</v>
      </c>
      <c r="D46" s="6" t="n">
        <v>693</v>
      </c>
      <c r="E46" s="5" t="s">
        <v>280</v>
      </c>
      <c r="F46" s="5" t="s">
        <v>281</v>
      </c>
      <c r="G46" s="20" t="n">
        <v>45953</v>
      </c>
      <c r="H46" s="5" t="n">
        <v>12</v>
      </c>
      <c r="I46" s="20" t="n">
        <v>46317</v>
      </c>
      <c r="J46" s="5" t="s">
        <v>106</v>
      </c>
      <c r="K46" s="5" t="s">
        <v>86</v>
      </c>
      <c r="L46" s="16" t="n">
        <v>1349</v>
      </c>
      <c r="M46" s="16" t="n">
        <v>674.5</v>
      </c>
      <c r="N46" s="21" t="n">
        <f aca="false">IF(OR($L46="",$H46="",$H46=0),"",$L46-N($M46)/$H46)</f>
        <v>1292.79166666667</v>
      </c>
      <c r="O46" s="5" t="s">
        <v>87</v>
      </c>
      <c r="P46" s="5" t="s">
        <v>88</v>
      </c>
      <c r="Q46" s="5" t="s">
        <v>89</v>
      </c>
      <c r="R46" s="5"/>
      <c r="S46" s="5"/>
      <c r="T46" s="5"/>
      <c r="U46" s="5"/>
      <c r="V46" s="5"/>
      <c r="W46" s="20"/>
      <c r="X46" s="5"/>
      <c r="Y46" s="16"/>
      <c r="Z46" s="16"/>
      <c r="AA46" s="21" t="str">
        <f aca="false">IF(OR($Y46="",$X46="",$X46=0),"",$Y46-N($Z46)/$X46)</f>
        <v/>
      </c>
      <c r="AB46" s="5"/>
      <c r="AC46" s="22" t="str">
        <f aca="false">IF(OR($Y46="",$L46="",$L46=0),"",$Y46/$L46-1)</f>
        <v/>
      </c>
      <c r="AD46" s="22" t="str">
        <f aca="false">IF(OR($AA46="",$N46="",$N46=0),"",$AA46/$N46-1)</f>
        <v/>
      </c>
      <c r="AE46" s="20"/>
      <c r="AF46" s="5"/>
      <c r="AG46" s="5"/>
      <c r="AH46" s="20"/>
      <c r="AI46" s="5"/>
      <c r="AJ46" s="16"/>
      <c r="AK46" s="16"/>
      <c r="AL46" s="21" t="str">
        <f aca="false">IF(OR($AJ46="",$AI46="",$AI46=0),"",$AJ46-N($AK46)/$AI46)</f>
        <v/>
      </c>
      <c r="AM46" s="22" t="str">
        <f aca="false">IF(OR($AJ46="",$L46="",$L46=0),"",$AJ46/$L46-1)</f>
        <v/>
      </c>
      <c r="AN46" s="22" t="str">
        <f aca="false">IF(OR($AL46="",$N46="",$N46=0),"",$AL46/$N46-1)</f>
        <v/>
      </c>
      <c r="AO46" s="6"/>
    </row>
    <row r="47" customFormat="false" ht="15" hidden="false" customHeight="false" outlineLevel="0" collapsed="false">
      <c r="A47" s="23" t="s">
        <v>282</v>
      </c>
      <c r="B47" s="23" t="s">
        <v>91</v>
      </c>
      <c r="C47" s="23" t="s">
        <v>92</v>
      </c>
      <c r="D47" s="24" t="n">
        <v>1328</v>
      </c>
      <c r="E47" s="23" t="s">
        <v>283</v>
      </c>
      <c r="F47" s="23" t="s">
        <v>284</v>
      </c>
      <c r="G47" s="25" t="n">
        <v>45835</v>
      </c>
      <c r="H47" s="23" t="n">
        <v>12</v>
      </c>
      <c r="I47" s="25" t="n">
        <v>46199</v>
      </c>
      <c r="J47" s="23" t="s">
        <v>152</v>
      </c>
      <c r="K47" s="23" t="s">
        <v>86</v>
      </c>
      <c r="L47" s="26" t="n">
        <v>2526</v>
      </c>
      <c r="M47" s="26" t="n">
        <v>5052</v>
      </c>
      <c r="N47" s="27" t="n">
        <f aca="false">IF(OR($L47="",$H47="",$H47=0),"",$L47-N($M47)/$H47)</f>
        <v>2105</v>
      </c>
      <c r="O47" s="23" t="s">
        <v>87</v>
      </c>
      <c r="P47" s="23" t="s">
        <v>88</v>
      </c>
      <c r="Q47" s="23" t="s">
        <v>97</v>
      </c>
      <c r="R47" s="23" t="s">
        <v>98</v>
      </c>
      <c r="S47" s="23" t="s">
        <v>98</v>
      </c>
      <c r="T47" s="23"/>
      <c r="U47" s="23"/>
      <c r="V47" s="23"/>
      <c r="W47" s="25"/>
      <c r="X47" s="23"/>
      <c r="Y47" s="26"/>
      <c r="Z47" s="26"/>
      <c r="AA47" s="27" t="str">
        <f aca="false">IF(OR($Y47="",$X47="",$X47=0),"",$Y47-N($Z47)/$X47)</f>
        <v/>
      </c>
      <c r="AB47" s="23"/>
      <c r="AC47" s="28" t="str">
        <f aca="false">IF(OR($Y47="",$L47="",$L47=0),"",$Y47/$L47-1)</f>
        <v/>
      </c>
      <c r="AD47" s="28" t="str">
        <f aca="false">IF(OR($AA47="",$N47="",$N47=0),"",$AA47/$N47-1)</f>
        <v/>
      </c>
      <c r="AE47" s="25" t="n">
        <v>46199</v>
      </c>
      <c r="AF47" s="23" t="s">
        <v>285</v>
      </c>
      <c r="AG47" s="23" t="s">
        <v>256</v>
      </c>
      <c r="AH47" s="25" t="n">
        <v>46209</v>
      </c>
      <c r="AI47" s="23" t="n">
        <v>9</v>
      </c>
      <c r="AJ47" s="26" t="n">
        <v>2579</v>
      </c>
      <c r="AK47" s="26" t="n">
        <v>0</v>
      </c>
      <c r="AL47" s="27" t="n">
        <f aca="false">IF(OR($AJ47="",$AI47="",$AI47=0),"",$AJ47-N($AK47)/$AI47)</f>
        <v>2579</v>
      </c>
      <c r="AM47" s="28" t="n">
        <f aca="false">IF(OR($AJ47="",$L47="",$L47=0),"",$AJ47/$L47-1)</f>
        <v>0.0209817893903406</v>
      </c>
      <c r="AN47" s="28" t="n">
        <f aca="false">IF(OR($AL47="",$N47="",$N47=0),"",$AL47/$N47-1)</f>
        <v>0.225178147268408</v>
      </c>
      <c r="AO47" s="24" t="n">
        <v>10</v>
      </c>
    </row>
    <row r="48" customFormat="false" ht="15" hidden="false" customHeight="false" outlineLevel="0" collapsed="false">
      <c r="A48" s="5" t="s">
        <v>286</v>
      </c>
      <c r="B48" s="5" t="s">
        <v>81</v>
      </c>
      <c r="C48" s="5" t="s">
        <v>82</v>
      </c>
      <c r="D48" s="6" t="n">
        <v>1141</v>
      </c>
      <c r="E48" s="5" t="s">
        <v>287</v>
      </c>
      <c r="F48" s="5" t="s">
        <v>288</v>
      </c>
      <c r="G48" s="20" t="n">
        <v>45910</v>
      </c>
      <c r="H48" s="5" t="n">
        <v>3</v>
      </c>
      <c r="I48" s="20" t="n">
        <v>46022</v>
      </c>
      <c r="J48" s="5" t="s">
        <v>289</v>
      </c>
      <c r="K48" s="5" t="s">
        <v>202</v>
      </c>
      <c r="L48" s="16" t="n">
        <v>1894</v>
      </c>
      <c r="M48" s="16" t="n">
        <v>0</v>
      </c>
      <c r="N48" s="21" t="n">
        <f aca="false">IF(OR($L48="",$H48="",$H48=0),"",$L48-N($M48)/$H48)</f>
        <v>1894</v>
      </c>
      <c r="O48" s="5" t="s">
        <v>87</v>
      </c>
      <c r="P48" s="5" t="s">
        <v>202</v>
      </c>
      <c r="Q48" s="5" t="s">
        <v>127</v>
      </c>
      <c r="R48" s="5" t="s">
        <v>98</v>
      </c>
      <c r="S48" s="5" t="s">
        <v>98</v>
      </c>
      <c r="T48" s="5"/>
      <c r="U48" s="5"/>
      <c r="V48" s="5"/>
      <c r="W48" s="20" t="n">
        <v>46174</v>
      </c>
      <c r="X48" s="5" t="n">
        <v>11</v>
      </c>
      <c r="Y48" s="16" t="n">
        <v>1922</v>
      </c>
      <c r="Z48" s="16" t="n">
        <v>0</v>
      </c>
      <c r="AA48" s="21" t="n">
        <f aca="false">IF(OR($Y48="",$X48="",$X48=0),"",$Y48-N($Z48)/$X48)</f>
        <v>1922</v>
      </c>
      <c r="AB48" s="5" t="s">
        <v>98</v>
      </c>
      <c r="AC48" s="22" t="n">
        <f aca="false">IF(OR($Y48="",$L48="",$L48=0),"",$Y48/$L48-1)</f>
        <v>0.0147835269271384</v>
      </c>
      <c r="AD48" s="22" t="n">
        <f aca="false">IF(OR($AA48="",$N48="",$N48=0),"",$AA48/$N48-1)</f>
        <v>0.0147835269271384</v>
      </c>
      <c r="AE48" s="20"/>
      <c r="AF48" s="5"/>
      <c r="AG48" s="5"/>
      <c r="AH48" s="20"/>
      <c r="AI48" s="5"/>
      <c r="AJ48" s="16"/>
      <c r="AK48" s="16"/>
      <c r="AL48" s="21" t="str">
        <f aca="false">IF(OR($AJ48="",$AI48="",$AI48=0),"",$AJ48-N($AK48)/$AI48)</f>
        <v/>
      </c>
      <c r="AM48" s="22" t="str">
        <f aca="false">IF(OR($AJ48="",$L48="",$L48=0),"",$AJ48/$L48-1)</f>
        <v/>
      </c>
      <c r="AN48" s="22" t="str">
        <f aca="false">IF(OR($AL48="",$N48="",$N48=0),"",$AL48/$N48-1)</f>
        <v/>
      </c>
      <c r="AO48" s="6"/>
    </row>
    <row r="49" customFormat="false" ht="15" hidden="false" customHeight="false" outlineLevel="0" collapsed="false">
      <c r="A49" s="23" t="s">
        <v>290</v>
      </c>
      <c r="B49" s="23" t="s">
        <v>81</v>
      </c>
      <c r="C49" s="23" t="s">
        <v>82</v>
      </c>
      <c r="D49" s="24" t="n">
        <v>1141</v>
      </c>
      <c r="E49" s="23" t="s">
        <v>291</v>
      </c>
      <c r="F49" s="23" t="s">
        <v>292</v>
      </c>
      <c r="G49" s="25" t="n">
        <v>45869</v>
      </c>
      <c r="H49" s="23" t="n">
        <v>12</v>
      </c>
      <c r="I49" s="25" t="n">
        <v>46233</v>
      </c>
      <c r="J49" s="23" t="s">
        <v>116</v>
      </c>
      <c r="K49" s="23" t="s">
        <v>86</v>
      </c>
      <c r="L49" s="26" t="n">
        <v>1869</v>
      </c>
      <c r="M49" s="26" t="n">
        <v>1872</v>
      </c>
      <c r="N49" s="27" t="n">
        <f aca="false">IF(OR($L49="",$H49="",$H49=0),"",$L49-N($M49)/$H49)</f>
        <v>1713</v>
      </c>
      <c r="O49" s="23" t="s">
        <v>87</v>
      </c>
      <c r="P49" s="23" t="s">
        <v>96</v>
      </c>
      <c r="Q49" s="23" t="s">
        <v>97</v>
      </c>
      <c r="R49" s="23" t="s">
        <v>98</v>
      </c>
      <c r="S49" s="23" t="s">
        <v>98</v>
      </c>
      <c r="T49" s="23" t="s">
        <v>98</v>
      </c>
      <c r="U49" s="23"/>
      <c r="V49" s="23"/>
      <c r="W49" s="25"/>
      <c r="X49" s="23"/>
      <c r="Y49" s="26"/>
      <c r="Z49" s="26"/>
      <c r="AA49" s="27" t="str">
        <f aca="false">IF(OR($Y49="",$X49="",$X49=0),"",$Y49-N($Z49)/$X49)</f>
        <v/>
      </c>
      <c r="AB49" s="23"/>
      <c r="AC49" s="28" t="str">
        <f aca="false">IF(OR($Y49="",$L49="",$L49=0),"",$Y49/$L49-1)</f>
        <v/>
      </c>
      <c r="AD49" s="28" t="str">
        <f aca="false">IF(OR($AA49="",$N49="",$N49=0),"",$AA49/$N49-1)</f>
        <v/>
      </c>
      <c r="AE49" s="25" t="n">
        <v>46173</v>
      </c>
      <c r="AF49" s="23" t="s">
        <v>293</v>
      </c>
      <c r="AG49" s="23" t="s">
        <v>294</v>
      </c>
      <c r="AH49" s="25" t="n">
        <v>46183</v>
      </c>
      <c r="AI49" s="23" t="n">
        <v>12</v>
      </c>
      <c r="AJ49" s="26" t="n">
        <v>1985</v>
      </c>
      <c r="AK49" s="26" t="n">
        <v>1985</v>
      </c>
      <c r="AL49" s="27" t="n">
        <f aca="false">IF(OR($AJ49="",$AI49="",$AI49=0),"",$AJ49-N($AK49)/$AI49)</f>
        <v>1819.58333333333</v>
      </c>
      <c r="AM49" s="28" t="n">
        <f aca="false">IF(OR($AJ49="",$L49="",$L49=0),"",$AJ49/$L49-1)</f>
        <v>0.0620652755484217</v>
      </c>
      <c r="AN49" s="28" t="n">
        <f aca="false">IF(OR($AL49="",$N49="",$N49=0),"",$AL49/$N49-1)</f>
        <v>0.0622202763183499</v>
      </c>
      <c r="AO49" s="24" t="n">
        <v>10</v>
      </c>
    </row>
    <row r="50" customFormat="false" ht="15" hidden="false" customHeight="false" outlineLevel="0" collapsed="false">
      <c r="A50" s="5" t="s">
        <v>295</v>
      </c>
      <c r="B50" s="5" t="s">
        <v>204</v>
      </c>
      <c r="C50" s="5" t="s">
        <v>82</v>
      </c>
      <c r="D50" s="6" t="n">
        <v>1177</v>
      </c>
      <c r="E50" s="5" t="s">
        <v>296</v>
      </c>
      <c r="F50" s="5" t="s">
        <v>297</v>
      </c>
      <c r="G50" s="20" t="n">
        <v>45682</v>
      </c>
      <c r="H50" s="5" t="n">
        <v>18</v>
      </c>
      <c r="I50" s="20" t="n">
        <v>46227</v>
      </c>
      <c r="J50" s="5" t="s">
        <v>116</v>
      </c>
      <c r="K50" s="5" t="s">
        <v>86</v>
      </c>
      <c r="L50" s="16" t="n">
        <v>1798</v>
      </c>
      <c r="M50" s="16" t="n">
        <v>0</v>
      </c>
      <c r="N50" s="21" t="n">
        <f aca="false">IF(OR($L50="",$H50="",$H50=0),"",$L50-N($M50)/$H50)</f>
        <v>1798</v>
      </c>
      <c r="O50" s="5" t="s">
        <v>87</v>
      </c>
      <c r="P50" s="5" t="s">
        <v>88</v>
      </c>
      <c r="Q50" s="5" t="s">
        <v>97</v>
      </c>
      <c r="R50" s="5" t="s">
        <v>98</v>
      </c>
      <c r="S50" s="5" t="s">
        <v>98</v>
      </c>
      <c r="T50" s="5"/>
      <c r="U50" s="5"/>
      <c r="V50" s="5"/>
      <c r="W50" s="20"/>
      <c r="X50" s="5"/>
      <c r="Y50" s="16"/>
      <c r="Z50" s="16"/>
      <c r="AA50" s="21" t="str">
        <f aca="false">IF(OR($Y50="",$X50="",$X50=0),"",$Y50-N($Z50)/$X50)</f>
        <v/>
      </c>
      <c r="AB50" s="5"/>
      <c r="AC50" s="22" t="str">
        <f aca="false">IF(OR($Y50="",$L50="",$L50=0),"",$Y50/$L50-1)</f>
        <v/>
      </c>
      <c r="AD50" s="22" t="str">
        <f aca="false">IF(OR($AA50="",$N50="",$N50=0),"",$AA50/$N50-1)</f>
        <v/>
      </c>
      <c r="AE50" s="20" t="n">
        <v>46227</v>
      </c>
      <c r="AF50" s="5" t="s">
        <v>298</v>
      </c>
      <c r="AG50" s="5" t="s">
        <v>299</v>
      </c>
      <c r="AH50" s="20" t="n">
        <v>46234</v>
      </c>
      <c r="AI50" s="5"/>
      <c r="AJ50" s="16" t="n">
        <v>2096</v>
      </c>
      <c r="AK50" s="16"/>
      <c r="AL50" s="21" t="str">
        <f aca="false">IF(OR($AJ50="",$AI50="",$AI50=0),"",$AJ50-N($AK50)/$AI50)</f>
        <v/>
      </c>
      <c r="AM50" s="22" t="n">
        <f aca="false">IF(OR($AJ50="",$L50="",$L50=0),"",$AJ50/$L50-1)</f>
        <v>0.165739710789766</v>
      </c>
      <c r="AN50" s="22" t="str">
        <f aca="false">IF(OR($AL50="",$N50="",$N50=0),"",$AL50/$N50-1)</f>
        <v/>
      </c>
      <c r="AO50" s="6" t="n">
        <v>7</v>
      </c>
    </row>
    <row r="51" customFormat="false" ht="15" hidden="false" customHeight="false" outlineLevel="0" collapsed="false">
      <c r="A51" s="23" t="s">
        <v>300</v>
      </c>
      <c r="B51" s="23" t="s">
        <v>102</v>
      </c>
      <c r="C51" s="23" t="s">
        <v>103</v>
      </c>
      <c r="D51" s="24" t="n">
        <v>693</v>
      </c>
      <c r="E51" s="23" t="s">
        <v>301</v>
      </c>
      <c r="F51" s="23" t="s">
        <v>302</v>
      </c>
      <c r="G51" s="25" t="n">
        <v>45672</v>
      </c>
      <c r="H51" s="23" t="n">
        <v>14</v>
      </c>
      <c r="I51" s="25" t="n">
        <v>46036</v>
      </c>
      <c r="J51" s="23" t="s">
        <v>177</v>
      </c>
      <c r="K51" s="23" t="s">
        <v>86</v>
      </c>
      <c r="L51" s="26" t="n">
        <v>1400</v>
      </c>
      <c r="M51" s="26" t="n">
        <v>504</v>
      </c>
      <c r="N51" s="27" t="n">
        <f aca="false">IF(OR($L51="",$H51="",$H51=0),"",$L51-N($M51)/$H51)</f>
        <v>1364</v>
      </c>
      <c r="O51" s="23" t="s">
        <v>87</v>
      </c>
      <c r="P51" s="23" t="s">
        <v>96</v>
      </c>
      <c r="Q51" s="23" t="s">
        <v>97</v>
      </c>
      <c r="R51" s="23" t="s">
        <v>98</v>
      </c>
      <c r="S51" s="23" t="s">
        <v>98</v>
      </c>
      <c r="T51" s="23"/>
      <c r="U51" s="23"/>
      <c r="V51" s="23"/>
      <c r="W51" s="25"/>
      <c r="X51" s="23"/>
      <c r="Y51" s="26"/>
      <c r="Z51" s="26"/>
      <c r="AA51" s="27" t="str">
        <f aca="false">IF(OR($Y51="",$X51="",$X51=0),"",$Y51-N($Z51)/$X51)</f>
        <v/>
      </c>
      <c r="AB51" s="23"/>
      <c r="AC51" s="28" t="str">
        <f aca="false">IF(OR($Y51="",$L51="",$L51=0),"",$Y51/$L51-1)</f>
        <v/>
      </c>
      <c r="AD51" s="28" t="str">
        <f aca="false">IF(OR($AA51="",$N51="",$N51=0),"",$AA51/$N51-1)</f>
        <v/>
      </c>
      <c r="AE51" s="25" t="n">
        <v>46053</v>
      </c>
      <c r="AF51" s="23" t="s">
        <v>303</v>
      </c>
      <c r="AG51" s="23" t="s">
        <v>304</v>
      </c>
      <c r="AH51" s="25" t="n">
        <v>46088</v>
      </c>
      <c r="AI51" s="23" t="n">
        <v>18</v>
      </c>
      <c r="AJ51" s="26" t="n">
        <v>1490</v>
      </c>
      <c r="AK51" s="26" t="n">
        <v>0</v>
      </c>
      <c r="AL51" s="27" t="n">
        <f aca="false">IF(OR($AJ51="",$AI51="",$AI51=0),"",$AJ51-N($AK51)/$AI51)</f>
        <v>1490</v>
      </c>
      <c r="AM51" s="28" t="n">
        <f aca="false">IF(OR($AJ51="",$L51="",$L51=0),"",$AJ51/$L51-1)</f>
        <v>0.0642857142857143</v>
      </c>
      <c r="AN51" s="28" t="n">
        <f aca="false">IF(OR($AL51="",$N51="",$N51=0),"",$AL51/$N51-1)</f>
        <v>0.0923753665689149</v>
      </c>
      <c r="AO51" s="24" t="n">
        <v>35</v>
      </c>
    </row>
    <row r="52" customFormat="false" ht="15" hidden="false" customHeight="false" outlineLevel="0" collapsed="false">
      <c r="A52" s="5" t="s">
        <v>305</v>
      </c>
      <c r="B52" s="5" t="s">
        <v>108</v>
      </c>
      <c r="C52" s="5" t="s">
        <v>103</v>
      </c>
      <c r="D52" s="6" t="n">
        <v>746</v>
      </c>
      <c r="E52" s="5" t="s">
        <v>306</v>
      </c>
      <c r="F52" s="5" t="s">
        <v>307</v>
      </c>
      <c r="G52" s="20" t="n">
        <v>45855</v>
      </c>
      <c r="H52" s="5" t="n">
        <v>20</v>
      </c>
      <c r="I52" s="20" t="n">
        <v>46462</v>
      </c>
      <c r="J52" s="5" t="s">
        <v>131</v>
      </c>
      <c r="K52" s="5" t="s">
        <v>86</v>
      </c>
      <c r="L52" s="16" t="n">
        <v>1669</v>
      </c>
      <c r="M52" s="16" t="n">
        <v>1669</v>
      </c>
      <c r="N52" s="21" t="n">
        <f aca="false">IF(OR($L52="",$H52="",$H52=0),"",$L52-N($M52)/$H52)</f>
        <v>1585.55</v>
      </c>
      <c r="O52" s="5" t="s">
        <v>87</v>
      </c>
      <c r="P52" s="5" t="s">
        <v>88</v>
      </c>
      <c r="Q52" s="5" t="s">
        <v>89</v>
      </c>
      <c r="R52" s="5"/>
      <c r="S52" s="5"/>
      <c r="T52" s="5"/>
      <c r="U52" s="5"/>
      <c r="V52" s="5"/>
      <c r="W52" s="20"/>
      <c r="X52" s="5"/>
      <c r="Y52" s="16"/>
      <c r="Z52" s="16"/>
      <c r="AA52" s="21" t="str">
        <f aca="false">IF(OR($Y52="",$X52="",$X52=0),"",$Y52-N($Z52)/$X52)</f>
        <v/>
      </c>
      <c r="AB52" s="5"/>
      <c r="AC52" s="22" t="str">
        <f aca="false">IF(OR($Y52="",$L52="",$L52=0),"",$Y52/$L52-1)</f>
        <v/>
      </c>
      <c r="AD52" s="22" t="str">
        <f aca="false">IF(OR($AA52="",$N52="",$N52=0),"",$AA52/$N52-1)</f>
        <v/>
      </c>
      <c r="AE52" s="20"/>
      <c r="AF52" s="5"/>
      <c r="AG52" s="5"/>
      <c r="AH52" s="20"/>
      <c r="AI52" s="5"/>
      <c r="AJ52" s="16"/>
      <c r="AK52" s="16"/>
      <c r="AL52" s="21" t="str">
        <f aca="false">IF(OR($AJ52="",$AI52="",$AI52=0),"",$AJ52-N($AK52)/$AI52)</f>
        <v/>
      </c>
      <c r="AM52" s="22" t="str">
        <f aca="false">IF(OR($AJ52="",$L52="",$L52=0),"",$AJ52/$L52-1)</f>
        <v/>
      </c>
      <c r="AN52" s="22" t="str">
        <f aca="false">IF(OR($AL52="",$N52="",$N52=0),"",$AL52/$N52-1)</f>
        <v/>
      </c>
      <c r="AO52" s="6"/>
    </row>
    <row r="53" customFormat="false" ht="15" hidden="false" customHeight="false" outlineLevel="0" collapsed="false">
      <c r="A53" s="23" t="s">
        <v>308</v>
      </c>
      <c r="B53" s="23" t="s">
        <v>102</v>
      </c>
      <c r="C53" s="23" t="s">
        <v>103</v>
      </c>
      <c r="D53" s="24" t="n">
        <v>693</v>
      </c>
      <c r="E53" s="23" t="s">
        <v>309</v>
      </c>
      <c r="F53" s="23" t="s">
        <v>310</v>
      </c>
      <c r="G53" s="25" t="n">
        <v>45959</v>
      </c>
      <c r="H53" s="23" t="n">
        <v>18</v>
      </c>
      <c r="I53" s="25" t="n">
        <v>46505</v>
      </c>
      <c r="J53" s="23" t="s">
        <v>143</v>
      </c>
      <c r="K53" s="23" t="s">
        <v>86</v>
      </c>
      <c r="L53" s="26" t="n">
        <v>1399</v>
      </c>
      <c r="M53" s="26" t="n">
        <v>1399</v>
      </c>
      <c r="N53" s="27" t="n">
        <f aca="false">IF(OR($L53="",$H53="",$H53=0),"",$L53-N($M53)/$H53)</f>
        <v>1321.27777777778</v>
      </c>
      <c r="O53" s="23" t="s">
        <v>87</v>
      </c>
      <c r="P53" s="23" t="s">
        <v>88</v>
      </c>
      <c r="Q53" s="23" t="s">
        <v>89</v>
      </c>
      <c r="R53" s="23"/>
      <c r="S53" s="23"/>
      <c r="T53" s="23"/>
      <c r="U53" s="23"/>
      <c r="V53" s="23"/>
      <c r="W53" s="25"/>
      <c r="X53" s="23"/>
      <c r="Y53" s="26"/>
      <c r="Z53" s="26"/>
      <c r="AA53" s="27" t="str">
        <f aca="false">IF(OR($Y53="",$X53="",$X53=0),"",$Y53-N($Z53)/$X53)</f>
        <v/>
      </c>
      <c r="AB53" s="23"/>
      <c r="AC53" s="28" t="str">
        <f aca="false">IF(OR($Y53="",$L53="",$L53=0),"",$Y53/$L53-1)</f>
        <v/>
      </c>
      <c r="AD53" s="28" t="str">
        <f aca="false">IF(OR($AA53="",$N53="",$N53=0),"",$AA53/$N53-1)</f>
        <v/>
      </c>
      <c r="AE53" s="25"/>
      <c r="AF53" s="23"/>
      <c r="AG53" s="23"/>
      <c r="AH53" s="25"/>
      <c r="AI53" s="23"/>
      <c r="AJ53" s="26"/>
      <c r="AK53" s="26"/>
      <c r="AL53" s="27" t="str">
        <f aca="false">IF(OR($AJ53="",$AI53="",$AI53=0),"",$AJ53-N($AK53)/$AI53)</f>
        <v/>
      </c>
      <c r="AM53" s="28" t="str">
        <f aca="false">IF(OR($AJ53="",$L53="",$L53=0),"",$AJ53/$L53-1)</f>
        <v/>
      </c>
      <c r="AN53" s="28" t="str">
        <f aca="false">IF(OR($AL53="",$N53="",$N53=0),"",$AL53/$N53-1)</f>
        <v/>
      </c>
      <c r="AO53" s="24"/>
    </row>
    <row r="54" customFormat="false" ht="15" hidden="false" customHeight="false" outlineLevel="0" collapsed="false">
      <c r="A54" s="5" t="s">
        <v>311</v>
      </c>
      <c r="B54" s="5" t="s">
        <v>102</v>
      </c>
      <c r="C54" s="5" t="s">
        <v>103</v>
      </c>
      <c r="D54" s="6" t="n">
        <v>693</v>
      </c>
      <c r="E54" s="5" t="s">
        <v>312</v>
      </c>
      <c r="F54" s="5" t="s">
        <v>313</v>
      </c>
      <c r="G54" s="20" t="n">
        <v>45900</v>
      </c>
      <c r="H54" s="5" t="n">
        <v>12</v>
      </c>
      <c r="I54" s="20" t="n">
        <v>46264</v>
      </c>
      <c r="J54" s="5" t="s">
        <v>135</v>
      </c>
      <c r="K54" s="5" t="s">
        <v>86</v>
      </c>
      <c r="L54" s="16" t="n">
        <v>1525</v>
      </c>
      <c r="M54" s="16" t="n">
        <v>1525</v>
      </c>
      <c r="N54" s="21" t="n">
        <f aca="false">IF(OR($L54="",$H54="",$H54=0),"",$L54-N($M54)/$H54)</f>
        <v>1397.91666666667</v>
      </c>
      <c r="O54" s="5" t="s">
        <v>87</v>
      </c>
      <c r="P54" s="5" t="s">
        <v>88</v>
      </c>
      <c r="Q54" s="5" t="s">
        <v>89</v>
      </c>
      <c r="R54" s="5"/>
      <c r="S54" s="5"/>
      <c r="T54" s="5"/>
      <c r="U54" s="5" t="s">
        <v>98</v>
      </c>
      <c r="V54" s="5"/>
      <c r="W54" s="20"/>
      <c r="X54" s="5"/>
      <c r="Y54" s="16"/>
      <c r="Z54" s="16"/>
      <c r="AA54" s="21" t="str">
        <f aca="false">IF(OR($Y54="",$X54="",$X54=0),"",$Y54-N($Z54)/$X54)</f>
        <v/>
      </c>
      <c r="AB54" s="5"/>
      <c r="AC54" s="22" t="str">
        <f aca="false">IF(OR($Y54="",$L54="",$L54=0),"",$Y54/$L54-1)</f>
        <v/>
      </c>
      <c r="AD54" s="22" t="str">
        <f aca="false">IF(OR($AA54="",$N54="",$N54=0),"",$AA54/$N54-1)</f>
        <v/>
      </c>
      <c r="AE54" s="20"/>
      <c r="AF54" s="5"/>
      <c r="AG54" s="5"/>
      <c r="AH54" s="20"/>
      <c r="AI54" s="5"/>
      <c r="AJ54" s="16"/>
      <c r="AK54" s="16"/>
      <c r="AL54" s="21" t="str">
        <f aca="false">IF(OR($AJ54="",$AI54="",$AI54=0),"",$AJ54-N($AK54)/$AI54)</f>
        <v/>
      </c>
      <c r="AM54" s="22" t="str">
        <f aca="false">IF(OR($AJ54="",$L54="",$L54=0),"",$AJ54/$L54-1)</f>
        <v/>
      </c>
      <c r="AN54" s="22" t="str">
        <f aca="false">IF(OR($AL54="",$N54="",$N54=0),"",$AL54/$N54-1)</f>
        <v/>
      </c>
      <c r="AO54" s="6"/>
    </row>
    <row r="55" customFormat="false" ht="15" hidden="false" customHeight="false" outlineLevel="0" collapsed="false">
      <c r="A55" s="23" t="s">
        <v>314</v>
      </c>
      <c r="B55" s="23" t="s">
        <v>81</v>
      </c>
      <c r="C55" s="23" t="s">
        <v>82</v>
      </c>
      <c r="D55" s="24" t="n">
        <v>1141</v>
      </c>
      <c r="E55" s="23" t="s">
        <v>315</v>
      </c>
      <c r="F55" s="23" t="s">
        <v>316</v>
      </c>
      <c r="G55" s="25" t="n">
        <v>45878</v>
      </c>
      <c r="H55" s="23" t="n">
        <v>12</v>
      </c>
      <c r="I55" s="25" t="n">
        <v>46242</v>
      </c>
      <c r="J55" s="23" t="s">
        <v>135</v>
      </c>
      <c r="K55" s="23" t="s">
        <v>86</v>
      </c>
      <c r="L55" s="26" t="n">
        <v>1919</v>
      </c>
      <c r="M55" s="26" t="n">
        <v>0</v>
      </c>
      <c r="N55" s="27" t="n">
        <f aca="false">IF(OR($L55="",$H55="",$H55=0),"",$L55-N($M55)/$H55)</f>
        <v>1919</v>
      </c>
      <c r="O55" s="23" t="s">
        <v>87</v>
      </c>
      <c r="P55" s="23" t="s">
        <v>88</v>
      </c>
      <c r="Q55" s="23" t="s">
        <v>89</v>
      </c>
      <c r="R55" s="23"/>
      <c r="S55" s="23"/>
      <c r="T55" s="23"/>
      <c r="U55" s="23" t="s">
        <v>98</v>
      </c>
      <c r="V55" s="23"/>
      <c r="W55" s="25"/>
      <c r="X55" s="23"/>
      <c r="Y55" s="26"/>
      <c r="Z55" s="26"/>
      <c r="AA55" s="27" t="str">
        <f aca="false">IF(OR($Y55="",$X55="",$X55=0),"",$Y55-N($Z55)/$X55)</f>
        <v/>
      </c>
      <c r="AB55" s="23"/>
      <c r="AC55" s="28" t="str">
        <f aca="false">IF(OR($Y55="",$L55="",$L55=0),"",$Y55/$L55-1)</f>
        <v/>
      </c>
      <c r="AD55" s="28" t="str">
        <f aca="false">IF(OR($AA55="",$N55="",$N55=0),"",$AA55/$N55-1)</f>
        <v/>
      </c>
      <c r="AE55" s="25"/>
      <c r="AF55" s="23"/>
      <c r="AG55" s="23"/>
      <c r="AH55" s="25"/>
      <c r="AI55" s="23"/>
      <c r="AJ55" s="26"/>
      <c r="AK55" s="26"/>
      <c r="AL55" s="27" t="str">
        <f aca="false">IF(OR($AJ55="",$AI55="",$AI55=0),"",$AJ55-N($AK55)/$AI55)</f>
        <v/>
      </c>
      <c r="AM55" s="28" t="str">
        <f aca="false">IF(OR($AJ55="",$L55="",$L55=0),"",$AJ55/$L55-1)</f>
        <v/>
      </c>
      <c r="AN55" s="28" t="str">
        <f aca="false">IF(OR($AL55="",$N55="",$N55=0),"",$AL55/$N55-1)</f>
        <v/>
      </c>
      <c r="AO55" s="24"/>
    </row>
    <row r="56" customFormat="false" ht="15" hidden="false" customHeight="false" outlineLevel="0" collapsed="false">
      <c r="A56" s="5" t="s">
        <v>317</v>
      </c>
      <c r="B56" s="5" t="s">
        <v>102</v>
      </c>
      <c r="C56" s="5" t="s">
        <v>103</v>
      </c>
      <c r="D56" s="6" t="n">
        <v>693</v>
      </c>
      <c r="E56" s="5" t="s">
        <v>318</v>
      </c>
      <c r="F56" s="5" t="s">
        <v>179</v>
      </c>
      <c r="G56" s="20" t="n">
        <v>45751</v>
      </c>
      <c r="H56" s="5" t="n">
        <v>12</v>
      </c>
      <c r="I56" s="20" t="n">
        <v>46298</v>
      </c>
      <c r="J56" s="5" t="s">
        <v>106</v>
      </c>
      <c r="K56" s="5" t="s">
        <v>86</v>
      </c>
      <c r="L56" s="16" t="n">
        <v>1470</v>
      </c>
      <c r="M56" s="16" t="n">
        <v>2040</v>
      </c>
      <c r="N56" s="21" t="n">
        <f aca="false">IF(OR($L56="",$H56="",$H56=0),"",$L56-N($M56)/$H56)</f>
        <v>1300</v>
      </c>
      <c r="O56" s="5" t="s">
        <v>87</v>
      </c>
      <c r="P56" s="5" t="s">
        <v>96</v>
      </c>
      <c r="Q56" s="5" t="s">
        <v>97</v>
      </c>
      <c r="R56" s="5"/>
      <c r="S56" s="5"/>
      <c r="T56" s="5" t="s">
        <v>98</v>
      </c>
      <c r="U56" s="5"/>
      <c r="V56" s="5"/>
      <c r="W56" s="20"/>
      <c r="X56" s="5"/>
      <c r="Y56" s="16"/>
      <c r="Z56" s="16"/>
      <c r="AA56" s="21" t="str">
        <f aca="false">IF(OR($Y56="",$X56="",$X56=0),"",$Y56-N($Z56)/$X56)</f>
        <v/>
      </c>
      <c r="AB56" s="5"/>
      <c r="AC56" s="22" t="str">
        <f aca="false">IF(OR($Y56="",$L56="",$L56=0),"",$Y56/$L56-1)</f>
        <v/>
      </c>
      <c r="AD56" s="22" t="str">
        <f aca="false">IF(OR($AA56="",$N56="",$N56=0),"",$AA56/$N56-1)</f>
        <v/>
      </c>
      <c r="AE56" s="20" t="n">
        <v>46074</v>
      </c>
      <c r="AF56" s="5" t="s">
        <v>319</v>
      </c>
      <c r="AG56" s="5" t="s">
        <v>320</v>
      </c>
      <c r="AH56" s="20" t="n">
        <v>46095</v>
      </c>
      <c r="AI56" s="5" t="n">
        <v>18</v>
      </c>
      <c r="AJ56" s="16" t="n">
        <v>1475</v>
      </c>
      <c r="AK56" s="16" t="n">
        <v>0</v>
      </c>
      <c r="AL56" s="21" t="n">
        <f aca="false">IF(OR($AJ56="",$AI56="",$AI56=0),"",$AJ56-N($AK56)/$AI56)</f>
        <v>1475</v>
      </c>
      <c r="AM56" s="22" t="n">
        <f aca="false">IF(OR($AJ56="",$L56="",$L56=0),"",$AJ56/$L56-1)</f>
        <v>0.00340136054421758</v>
      </c>
      <c r="AN56" s="22" t="n">
        <f aca="false">IF(OR($AL56="",$N56="",$N56=0),"",$AL56/$N56-1)</f>
        <v>0.134615384615385</v>
      </c>
      <c r="AO56" s="6" t="n">
        <v>21</v>
      </c>
    </row>
    <row r="57" customFormat="false" ht="15" hidden="false" customHeight="false" outlineLevel="0" collapsed="false">
      <c r="A57" s="23" t="s">
        <v>321</v>
      </c>
      <c r="B57" s="23" t="s">
        <v>113</v>
      </c>
      <c r="C57" s="23" t="s">
        <v>82</v>
      </c>
      <c r="D57" s="24" t="n">
        <v>1092</v>
      </c>
      <c r="E57" s="23" t="s">
        <v>322</v>
      </c>
      <c r="F57" s="23" t="s">
        <v>323</v>
      </c>
      <c r="G57" s="25" t="n">
        <v>45743</v>
      </c>
      <c r="H57" s="23" t="n">
        <v>12</v>
      </c>
      <c r="I57" s="25" t="n">
        <v>46107</v>
      </c>
      <c r="J57" s="23" t="s">
        <v>125</v>
      </c>
      <c r="K57" s="23" t="s">
        <v>126</v>
      </c>
      <c r="L57" s="26" t="n">
        <v>1715</v>
      </c>
      <c r="M57" s="26" t="n">
        <v>1716</v>
      </c>
      <c r="N57" s="27" t="n">
        <f aca="false">IF(OR($L57="",$H57="",$H57=0),"",$L57-N($M57)/$H57)</f>
        <v>1572</v>
      </c>
      <c r="O57" s="23" t="s">
        <v>87</v>
      </c>
      <c r="P57" s="23" t="s">
        <v>96</v>
      </c>
      <c r="Q57" s="23" t="s">
        <v>127</v>
      </c>
      <c r="R57" s="23" t="s">
        <v>98</v>
      </c>
      <c r="S57" s="23" t="s">
        <v>98</v>
      </c>
      <c r="T57" s="23"/>
      <c r="U57" s="23"/>
      <c r="V57" s="23"/>
      <c r="W57" s="25" t="n">
        <v>46108</v>
      </c>
      <c r="X57" s="23" t="n">
        <v>9</v>
      </c>
      <c r="Y57" s="26" t="n">
        <v>1715</v>
      </c>
      <c r="Z57" s="26" t="n">
        <v>0</v>
      </c>
      <c r="AA57" s="27" t="n">
        <f aca="false">IF(OR($Y57="",$X57="",$X57=0),"",$Y57-N($Z57)/$X57)</f>
        <v>1715</v>
      </c>
      <c r="AB57" s="23"/>
      <c r="AC57" s="28" t="n">
        <f aca="false">IF(OR($Y57="",$L57="",$L57=0),"",$Y57/$L57-1)</f>
        <v>0</v>
      </c>
      <c r="AD57" s="28" t="n">
        <f aca="false">IF(OR($AA57="",$N57="",$N57=0),"",$AA57/$N57-1)</f>
        <v>0.0909669211195929</v>
      </c>
      <c r="AE57" s="25"/>
      <c r="AF57" s="23"/>
      <c r="AG57" s="23"/>
      <c r="AH57" s="25"/>
      <c r="AI57" s="23"/>
      <c r="AJ57" s="26"/>
      <c r="AK57" s="26"/>
      <c r="AL57" s="27" t="str">
        <f aca="false">IF(OR($AJ57="",$AI57="",$AI57=0),"",$AJ57-N($AK57)/$AI57)</f>
        <v/>
      </c>
      <c r="AM57" s="28" t="str">
        <f aca="false">IF(OR($AJ57="",$L57="",$L57=0),"",$AJ57/$L57-1)</f>
        <v/>
      </c>
      <c r="AN57" s="28" t="str">
        <f aca="false">IF(OR($AL57="",$N57="",$N57=0),"",$AL57/$N57-1)</f>
        <v/>
      </c>
      <c r="AO57" s="24"/>
    </row>
    <row r="58" customFormat="false" ht="15" hidden="false" customHeight="false" outlineLevel="0" collapsed="false">
      <c r="A58" s="5" t="s">
        <v>324</v>
      </c>
      <c r="B58" s="5" t="s">
        <v>102</v>
      </c>
      <c r="C58" s="5" t="s">
        <v>103</v>
      </c>
      <c r="D58" s="6" t="n">
        <v>693</v>
      </c>
      <c r="E58" s="5" t="s">
        <v>325</v>
      </c>
      <c r="F58" s="5" t="s">
        <v>326</v>
      </c>
      <c r="G58" s="20" t="n">
        <v>45759</v>
      </c>
      <c r="H58" s="5" t="n">
        <v>15</v>
      </c>
      <c r="I58" s="20" t="n">
        <v>46214</v>
      </c>
      <c r="J58" s="5" t="s">
        <v>116</v>
      </c>
      <c r="K58" s="5" t="s">
        <v>86</v>
      </c>
      <c r="L58" s="16" t="n">
        <v>1485</v>
      </c>
      <c r="M58" s="16" t="n">
        <v>2227.5</v>
      </c>
      <c r="N58" s="21" t="n">
        <f aca="false">IF(OR($L58="",$H58="",$H58=0),"",$L58-N($M58)/$H58)</f>
        <v>1336.5</v>
      </c>
      <c r="O58" s="5" t="s">
        <v>87</v>
      </c>
      <c r="P58" s="5" t="s">
        <v>88</v>
      </c>
      <c r="Q58" s="5" t="s">
        <v>97</v>
      </c>
      <c r="R58" s="5" t="s">
        <v>98</v>
      </c>
      <c r="S58" s="5" t="s">
        <v>98</v>
      </c>
      <c r="T58" s="5" t="s">
        <v>98</v>
      </c>
      <c r="U58" s="5"/>
      <c r="V58" s="5"/>
      <c r="W58" s="20"/>
      <c r="X58" s="5"/>
      <c r="Y58" s="16"/>
      <c r="Z58" s="16"/>
      <c r="AA58" s="21" t="str">
        <f aca="false">IF(OR($Y58="",$X58="",$X58=0),"",$Y58-N($Z58)/$X58)</f>
        <v/>
      </c>
      <c r="AB58" s="5"/>
      <c r="AC58" s="22" t="str">
        <f aca="false">IF(OR($Y58="",$L58="",$L58=0),"",$Y58/$L58-1)</f>
        <v/>
      </c>
      <c r="AD58" s="22" t="str">
        <f aca="false">IF(OR($AA58="",$N58="",$N58=0),"",$AA58/$N58-1)</f>
        <v/>
      </c>
      <c r="AE58" s="20" t="n">
        <v>46204</v>
      </c>
      <c r="AF58" s="5" t="s">
        <v>327</v>
      </c>
      <c r="AG58" s="5" t="s">
        <v>328</v>
      </c>
      <c r="AH58" s="20" t="n">
        <v>46223</v>
      </c>
      <c r="AI58" s="5" t="n">
        <v>12</v>
      </c>
      <c r="AJ58" s="16" t="n">
        <v>1668</v>
      </c>
      <c r="AK58" s="16" t="n">
        <v>0</v>
      </c>
      <c r="AL58" s="21" t="n">
        <f aca="false">IF(OR($AJ58="",$AI58="",$AI58=0),"",$AJ58-N($AK58)/$AI58)</f>
        <v>1668</v>
      </c>
      <c r="AM58" s="22" t="n">
        <f aca="false">IF(OR($AJ58="",$L58="",$L58=0),"",$AJ58/$L58-1)</f>
        <v>0.123232323232323</v>
      </c>
      <c r="AN58" s="22" t="n">
        <f aca="false">IF(OR($AL58="",$N58="",$N58=0),"",$AL58/$N58-1)</f>
        <v>0.248035914702581</v>
      </c>
      <c r="AO58" s="6" t="n">
        <v>19</v>
      </c>
    </row>
    <row r="59" customFormat="false" ht="15" hidden="false" customHeight="false" outlineLevel="0" collapsed="false">
      <c r="A59" s="23" t="s">
        <v>329</v>
      </c>
      <c r="B59" s="23" t="s">
        <v>161</v>
      </c>
      <c r="C59" s="23" t="s">
        <v>92</v>
      </c>
      <c r="D59" s="24" t="n">
        <v>1340</v>
      </c>
      <c r="E59" s="23" t="s">
        <v>330</v>
      </c>
      <c r="F59" s="23" t="s">
        <v>331</v>
      </c>
      <c r="G59" s="25" t="n">
        <v>45845</v>
      </c>
      <c r="H59" s="23" t="n">
        <v>13</v>
      </c>
      <c r="I59" s="25" t="n">
        <v>46240</v>
      </c>
      <c r="J59" s="23" t="s">
        <v>135</v>
      </c>
      <c r="K59" s="23" t="s">
        <v>86</v>
      </c>
      <c r="L59" s="26" t="n">
        <v>2330</v>
      </c>
      <c r="M59" s="26" t="n">
        <v>4660</v>
      </c>
      <c r="N59" s="27" t="n">
        <f aca="false">IF(OR($L59="",$H59="",$H59=0),"",$L59-N($M59)/$H59)</f>
        <v>1971.53846153846</v>
      </c>
      <c r="O59" s="23" t="s">
        <v>87</v>
      </c>
      <c r="P59" s="23" t="s">
        <v>88</v>
      </c>
      <c r="Q59" s="23" t="s">
        <v>89</v>
      </c>
      <c r="R59" s="23"/>
      <c r="S59" s="23"/>
      <c r="T59" s="23"/>
      <c r="U59" s="23" t="s">
        <v>98</v>
      </c>
      <c r="V59" s="23"/>
      <c r="W59" s="25"/>
      <c r="X59" s="23"/>
      <c r="Y59" s="26"/>
      <c r="Z59" s="26"/>
      <c r="AA59" s="27" t="str">
        <f aca="false">IF(OR($Y59="",$X59="",$X59=0),"",$Y59-N($Z59)/$X59)</f>
        <v/>
      </c>
      <c r="AB59" s="23"/>
      <c r="AC59" s="28" t="str">
        <f aca="false">IF(OR($Y59="",$L59="",$L59=0),"",$Y59/$L59-1)</f>
        <v/>
      </c>
      <c r="AD59" s="28" t="str">
        <f aca="false">IF(OR($AA59="",$N59="",$N59=0),"",$AA59/$N59-1)</f>
        <v/>
      </c>
      <c r="AE59" s="25"/>
      <c r="AF59" s="23"/>
      <c r="AG59" s="23"/>
      <c r="AH59" s="25"/>
      <c r="AI59" s="23"/>
      <c r="AJ59" s="26"/>
      <c r="AK59" s="26"/>
      <c r="AL59" s="27" t="str">
        <f aca="false">IF(OR($AJ59="",$AI59="",$AI59=0),"",$AJ59-N($AK59)/$AI59)</f>
        <v/>
      </c>
      <c r="AM59" s="28" t="str">
        <f aca="false">IF(OR($AJ59="",$L59="",$L59=0),"",$AJ59/$L59-1)</f>
        <v/>
      </c>
      <c r="AN59" s="28" t="str">
        <f aca="false">IF(OR($AL59="",$N59="",$N59=0),"",$AL59/$N59-1)</f>
        <v/>
      </c>
      <c r="AO59" s="24"/>
    </row>
    <row r="60" customFormat="false" ht="15" hidden="false" customHeight="false" outlineLevel="0" collapsed="false">
      <c r="A60" s="5" t="s">
        <v>332</v>
      </c>
      <c r="B60" s="5" t="s">
        <v>81</v>
      </c>
      <c r="C60" s="5" t="s">
        <v>82</v>
      </c>
      <c r="D60" s="6" t="n">
        <v>1141</v>
      </c>
      <c r="E60" s="5" t="s">
        <v>333</v>
      </c>
      <c r="F60" s="5" t="s">
        <v>334</v>
      </c>
      <c r="G60" s="20" t="n">
        <v>45836</v>
      </c>
      <c r="H60" s="5" t="n">
        <v>12</v>
      </c>
      <c r="I60" s="20" t="n">
        <v>46200</v>
      </c>
      <c r="J60" s="5" t="s">
        <v>152</v>
      </c>
      <c r="K60" s="5" t="s">
        <v>86</v>
      </c>
      <c r="L60" s="16" t="n">
        <v>1919</v>
      </c>
      <c r="M60" s="16" t="n">
        <v>2878</v>
      </c>
      <c r="N60" s="21" t="n">
        <f aca="false">IF(OR($L60="",$H60="",$H60=0),"",$L60-N($M60)/$H60)</f>
        <v>1679.16666666667</v>
      </c>
      <c r="O60" s="5" t="s">
        <v>87</v>
      </c>
      <c r="P60" s="5" t="s">
        <v>88</v>
      </c>
      <c r="Q60" s="5" t="s">
        <v>97</v>
      </c>
      <c r="R60" s="5" t="s">
        <v>98</v>
      </c>
      <c r="S60" s="5" t="s">
        <v>98</v>
      </c>
      <c r="T60" s="5"/>
      <c r="U60" s="5"/>
      <c r="V60" s="5"/>
      <c r="W60" s="20"/>
      <c r="X60" s="5"/>
      <c r="Y60" s="16"/>
      <c r="Z60" s="16"/>
      <c r="AA60" s="21" t="str">
        <f aca="false">IF(OR($Y60="",$X60="",$X60=0),"",$Y60-N($Z60)/$X60)</f>
        <v/>
      </c>
      <c r="AB60" s="5"/>
      <c r="AC60" s="22" t="str">
        <f aca="false">IF(OR($Y60="",$L60="",$L60=0),"",$Y60/$L60-1)</f>
        <v/>
      </c>
      <c r="AD60" s="22" t="str">
        <f aca="false">IF(OR($AA60="",$N60="",$N60=0),"",$AA60/$N60-1)</f>
        <v/>
      </c>
      <c r="AE60" s="20" t="n">
        <v>46234</v>
      </c>
      <c r="AF60" s="5"/>
      <c r="AG60" s="5"/>
      <c r="AH60" s="20"/>
      <c r="AI60" s="5"/>
      <c r="AJ60" s="16"/>
      <c r="AK60" s="16"/>
      <c r="AL60" s="21" t="str">
        <f aca="false">IF(OR($AJ60="",$AI60="",$AI60=0),"",$AJ60-N($AK60)/$AI60)</f>
        <v/>
      </c>
      <c r="AM60" s="22" t="str">
        <f aca="false">IF(OR($AJ60="",$L60="",$L60=0),"",$AJ60/$L60-1)</f>
        <v/>
      </c>
      <c r="AN60" s="22" t="str">
        <f aca="false">IF(OR($AL60="",$N60="",$N60=0),"",$AL60/$N60-1)</f>
        <v/>
      </c>
      <c r="AO60" s="6"/>
    </row>
    <row r="61" customFormat="false" ht="15" hidden="false" customHeight="false" outlineLevel="0" collapsed="false">
      <c r="A61" s="23" t="s">
        <v>335</v>
      </c>
      <c r="B61" s="23" t="s">
        <v>204</v>
      </c>
      <c r="C61" s="23" t="s">
        <v>82</v>
      </c>
      <c r="D61" s="24" t="n">
        <v>1177</v>
      </c>
      <c r="E61" s="23" t="s">
        <v>336</v>
      </c>
      <c r="F61" s="23" t="s">
        <v>337</v>
      </c>
      <c r="G61" s="25" t="n">
        <v>45818</v>
      </c>
      <c r="H61" s="23" t="n">
        <v>12</v>
      </c>
      <c r="I61" s="25" t="n">
        <v>46182</v>
      </c>
      <c r="J61" s="23" t="s">
        <v>152</v>
      </c>
      <c r="K61" s="23" t="s">
        <v>86</v>
      </c>
      <c r="L61" s="26" t="n">
        <v>1970</v>
      </c>
      <c r="M61" s="26" t="n">
        <v>2724</v>
      </c>
      <c r="N61" s="27" t="n">
        <f aca="false">IF(OR($L61="",$H61="",$H61=0),"",$L61-N($M61)/$H61)</f>
        <v>1743</v>
      </c>
      <c r="O61" s="23" t="s">
        <v>87</v>
      </c>
      <c r="P61" s="23" t="s">
        <v>96</v>
      </c>
      <c r="Q61" s="23" t="s">
        <v>97</v>
      </c>
      <c r="R61" s="23" t="s">
        <v>98</v>
      </c>
      <c r="S61" s="23" t="s">
        <v>98</v>
      </c>
      <c r="T61" s="23"/>
      <c r="U61" s="23"/>
      <c r="V61" s="23"/>
      <c r="W61" s="25"/>
      <c r="X61" s="23"/>
      <c r="Y61" s="26"/>
      <c r="Z61" s="26"/>
      <c r="AA61" s="27" t="str">
        <f aca="false">IF(OR($Y61="",$X61="",$X61=0),"",$Y61-N($Z61)/$X61)</f>
        <v/>
      </c>
      <c r="AB61" s="23"/>
      <c r="AC61" s="28" t="str">
        <f aca="false">IF(OR($Y61="",$L61="",$L61=0),"",$Y61/$L61-1)</f>
        <v/>
      </c>
      <c r="AD61" s="28" t="str">
        <f aca="false">IF(OR($AA61="",$N61="",$N61=0),"",$AA61/$N61-1)</f>
        <v/>
      </c>
      <c r="AE61" s="25" t="n">
        <v>46182</v>
      </c>
      <c r="AF61" s="23" t="s">
        <v>338</v>
      </c>
      <c r="AG61" s="23" t="s">
        <v>339</v>
      </c>
      <c r="AH61" s="25" t="n">
        <v>46189</v>
      </c>
      <c r="AI61" s="23" t="n">
        <v>12</v>
      </c>
      <c r="AJ61" s="26" t="n">
        <v>2135</v>
      </c>
      <c r="AK61" s="26" t="n">
        <v>2135</v>
      </c>
      <c r="AL61" s="27" t="n">
        <f aca="false">IF(OR($AJ61="",$AI61="",$AI61=0),"",$AJ61-N($AK61)/$AI61)</f>
        <v>1957.08333333333</v>
      </c>
      <c r="AM61" s="28" t="n">
        <f aca="false">IF(OR($AJ61="",$L61="",$L61=0),"",$AJ61/$L61-1)</f>
        <v>0.0837563451776651</v>
      </c>
      <c r="AN61" s="28" t="n">
        <f aca="false">IF(OR($AL61="",$N61="",$N61=0),"",$AL61/$N61-1)</f>
        <v>0.122824631860776</v>
      </c>
      <c r="AO61" s="24" t="n">
        <v>7</v>
      </c>
    </row>
    <row r="62" customFormat="false" ht="15" hidden="false" customHeight="false" outlineLevel="0" collapsed="false">
      <c r="A62" s="5" t="s">
        <v>340</v>
      </c>
      <c r="B62" s="5" t="s">
        <v>108</v>
      </c>
      <c r="C62" s="5" t="s">
        <v>103</v>
      </c>
      <c r="D62" s="6" t="n">
        <v>746</v>
      </c>
      <c r="E62" s="5" t="s">
        <v>341</v>
      </c>
      <c r="F62" s="5" t="s">
        <v>342</v>
      </c>
      <c r="G62" s="20" t="n">
        <v>45706</v>
      </c>
      <c r="H62" s="5" t="n">
        <v>14</v>
      </c>
      <c r="I62" s="20" t="n">
        <v>46129</v>
      </c>
      <c r="J62" s="5" t="s">
        <v>167</v>
      </c>
      <c r="K62" s="5" t="s">
        <v>86</v>
      </c>
      <c r="L62" s="16" t="n">
        <v>1689</v>
      </c>
      <c r="M62" s="16" t="n">
        <v>504</v>
      </c>
      <c r="N62" s="21" t="n">
        <f aca="false">IF(OR($L62="",$H62="",$H62=0),"",$L62-N($M62)/$H62)</f>
        <v>1653</v>
      </c>
      <c r="O62" s="5" t="s">
        <v>87</v>
      </c>
      <c r="P62" s="5" t="s">
        <v>96</v>
      </c>
      <c r="Q62" s="5" t="s">
        <v>97</v>
      </c>
      <c r="R62" s="5" t="s">
        <v>98</v>
      </c>
      <c r="S62" s="5" t="s">
        <v>98</v>
      </c>
      <c r="T62" s="5"/>
      <c r="U62" s="5"/>
      <c r="V62" s="5"/>
      <c r="W62" s="20"/>
      <c r="X62" s="5"/>
      <c r="Y62" s="16"/>
      <c r="Z62" s="16"/>
      <c r="AA62" s="21" t="str">
        <f aca="false">IF(OR($Y62="",$X62="",$X62=0),"",$Y62-N($Z62)/$X62)</f>
        <v/>
      </c>
      <c r="AB62" s="5"/>
      <c r="AC62" s="22" t="str">
        <f aca="false">IF(OR($Y62="",$L62="",$L62=0),"",$Y62/$L62-1)</f>
        <v/>
      </c>
      <c r="AD62" s="22" t="str">
        <f aca="false">IF(OR($AA62="",$N62="",$N62=0),"",$AA62/$N62-1)</f>
        <v/>
      </c>
      <c r="AE62" s="20" t="n">
        <v>46129</v>
      </c>
      <c r="AF62" s="5" t="s">
        <v>343</v>
      </c>
      <c r="AG62" s="5" t="s">
        <v>344</v>
      </c>
      <c r="AH62" s="20" t="n">
        <v>46136</v>
      </c>
      <c r="AI62" s="5" t="n">
        <v>15</v>
      </c>
      <c r="AJ62" s="16" t="n">
        <v>1689</v>
      </c>
      <c r="AK62" s="16" t="n">
        <v>1689</v>
      </c>
      <c r="AL62" s="21" t="n">
        <f aca="false">IF(OR($AJ62="",$AI62="",$AI62=0),"",$AJ62-N($AK62)/$AI62)</f>
        <v>1576.4</v>
      </c>
      <c r="AM62" s="22" t="n">
        <f aca="false">IF(OR($AJ62="",$L62="",$L62=0),"",$AJ62/$L62-1)</f>
        <v>0</v>
      </c>
      <c r="AN62" s="22" t="n">
        <f aca="false">IF(OR($AL62="",$N62="",$N62=0),"",$AL62/$N62-1)</f>
        <v>-0.0463399879007864</v>
      </c>
      <c r="AO62" s="6" t="n">
        <v>7</v>
      </c>
    </row>
    <row r="63" customFormat="false" ht="15" hidden="false" customHeight="false" outlineLevel="0" collapsed="false">
      <c r="A63" s="23" t="s">
        <v>345</v>
      </c>
      <c r="B63" s="23" t="s">
        <v>81</v>
      </c>
      <c r="C63" s="23" t="s">
        <v>82</v>
      </c>
      <c r="D63" s="24" t="n">
        <v>1141</v>
      </c>
      <c r="E63" s="23" t="s">
        <v>346</v>
      </c>
      <c r="F63" s="23" t="s">
        <v>347</v>
      </c>
      <c r="G63" s="25" t="n">
        <v>45673</v>
      </c>
      <c r="H63" s="23" t="n">
        <v>13</v>
      </c>
      <c r="I63" s="25" t="n">
        <v>46068</v>
      </c>
      <c r="J63" s="23" t="s">
        <v>95</v>
      </c>
      <c r="K63" s="23" t="s">
        <v>86</v>
      </c>
      <c r="L63" s="26" t="n">
        <v>2245</v>
      </c>
      <c r="M63" s="26" t="n">
        <v>1122</v>
      </c>
      <c r="N63" s="27" t="n">
        <f aca="false">IF(OR($L63="",$H63="",$H63=0),"",$L63-N($M63)/$H63)</f>
        <v>2158.69230769231</v>
      </c>
      <c r="O63" s="23" t="s">
        <v>87</v>
      </c>
      <c r="P63" s="23" t="s">
        <v>88</v>
      </c>
      <c r="Q63" s="23" t="s">
        <v>173</v>
      </c>
      <c r="R63" s="23" t="s">
        <v>98</v>
      </c>
      <c r="S63" s="23" t="s">
        <v>98</v>
      </c>
      <c r="T63" s="23"/>
      <c r="U63" s="23" t="s">
        <v>98</v>
      </c>
      <c r="V63" s="23" t="s">
        <v>98</v>
      </c>
      <c r="W63" s="25"/>
      <c r="X63" s="23"/>
      <c r="Y63" s="26"/>
      <c r="Z63" s="26"/>
      <c r="AA63" s="27" t="str">
        <f aca="false">IF(OR($Y63="",$X63="",$X63=0),"",$Y63-N($Z63)/$X63)</f>
        <v/>
      </c>
      <c r="AB63" s="23"/>
      <c r="AC63" s="28" t="str">
        <f aca="false">IF(OR($Y63="",$L63="",$L63=0),"",$Y63/$L63-1)</f>
        <v/>
      </c>
      <c r="AD63" s="28" t="str">
        <f aca="false">IF(OR($AA63="",$N63="",$N63=0),"",$AA63/$N63-1)</f>
        <v/>
      </c>
      <c r="AE63" s="25"/>
      <c r="AF63" s="23"/>
      <c r="AG63" s="23"/>
      <c r="AH63" s="25"/>
      <c r="AI63" s="23"/>
      <c r="AJ63" s="26"/>
      <c r="AK63" s="26"/>
      <c r="AL63" s="27" t="str">
        <f aca="false">IF(OR($AJ63="",$AI63="",$AI63=0),"",$AJ63-N($AK63)/$AI63)</f>
        <v/>
      </c>
      <c r="AM63" s="28" t="str">
        <f aca="false">IF(OR($AJ63="",$L63="",$L63=0),"",$AJ63/$L63-1)</f>
        <v/>
      </c>
      <c r="AN63" s="28" t="str">
        <f aca="false">IF(OR($AL63="",$N63="",$N63=0),"",$AL63/$N63-1)</f>
        <v/>
      </c>
      <c r="AO63" s="24"/>
    </row>
    <row r="64" customFormat="false" ht="15" hidden="false" customHeight="false" outlineLevel="0" collapsed="false">
      <c r="A64" s="5" t="s">
        <v>348</v>
      </c>
      <c r="B64" s="5" t="s">
        <v>102</v>
      </c>
      <c r="C64" s="5" t="s">
        <v>103</v>
      </c>
      <c r="D64" s="6" t="n">
        <v>693</v>
      </c>
      <c r="E64" s="5" t="s">
        <v>349</v>
      </c>
      <c r="F64" s="5" t="s">
        <v>350</v>
      </c>
      <c r="G64" s="20" t="n">
        <v>45951</v>
      </c>
      <c r="H64" s="5" t="n">
        <v>17</v>
      </c>
      <c r="I64" s="20" t="n">
        <v>46466</v>
      </c>
      <c r="J64" s="5" t="s">
        <v>131</v>
      </c>
      <c r="K64" s="5" t="s">
        <v>86</v>
      </c>
      <c r="L64" s="16" t="n">
        <v>1349</v>
      </c>
      <c r="M64" s="16" t="n">
        <v>674.5</v>
      </c>
      <c r="N64" s="21" t="n">
        <f aca="false">IF(OR($L64="",$H64="",$H64=0),"",$L64-N($M64)/$H64)</f>
        <v>1309.32352941176</v>
      </c>
      <c r="O64" s="5" t="s">
        <v>87</v>
      </c>
      <c r="P64" s="5" t="s">
        <v>88</v>
      </c>
      <c r="Q64" s="5" t="s">
        <v>89</v>
      </c>
      <c r="R64" s="5"/>
      <c r="S64" s="5"/>
      <c r="T64" s="5"/>
      <c r="U64" s="5"/>
      <c r="V64" s="5"/>
      <c r="W64" s="20"/>
      <c r="X64" s="5"/>
      <c r="Y64" s="16"/>
      <c r="Z64" s="16"/>
      <c r="AA64" s="21" t="str">
        <f aca="false">IF(OR($Y64="",$X64="",$X64=0),"",$Y64-N($Z64)/$X64)</f>
        <v/>
      </c>
      <c r="AB64" s="5"/>
      <c r="AC64" s="22" t="str">
        <f aca="false">IF(OR($Y64="",$L64="",$L64=0),"",$Y64/$L64-1)</f>
        <v/>
      </c>
      <c r="AD64" s="22" t="str">
        <f aca="false">IF(OR($AA64="",$N64="",$N64=0),"",$AA64/$N64-1)</f>
        <v/>
      </c>
      <c r="AE64" s="20"/>
      <c r="AF64" s="5"/>
      <c r="AG64" s="5"/>
      <c r="AH64" s="20"/>
      <c r="AI64" s="5"/>
      <c r="AJ64" s="16"/>
      <c r="AK64" s="16"/>
      <c r="AL64" s="21" t="str">
        <f aca="false">IF(OR($AJ64="",$AI64="",$AI64=0),"",$AJ64-N($AK64)/$AI64)</f>
        <v/>
      </c>
      <c r="AM64" s="22" t="str">
        <f aca="false">IF(OR($AJ64="",$L64="",$L64=0),"",$AJ64/$L64-1)</f>
        <v/>
      </c>
      <c r="AN64" s="22" t="str">
        <f aca="false">IF(OR($AL64="",$N64="",$N64=0),"",$AL64/$N64-1)</f>
        <v/>
      </c>
      <c r="AO64" s="6"/>
    </row>
    <row r="65" customFormat="false" ht="15" hidden="false" customHeight="false" outlineLevel="0" collapsed="false">
      <c r="A65" s="23" t="s">
        <v>351</v>
      </c>
      <c r="B65" s="23" t="s">
        <v>113</v>
      </c>
      <c r="C65" s="23" t="s">
        <v>82</v>
      </c>
      <c r="D65" s="24" t="n">
        <v>1092</v>
      </c>
      <c r="E65" s="23" t="s">
        <v>352</v>
      </c>
      <c r="F65" s="23" t="s">
        <v>353</v>
      </c>
      <c r="G65" s="25" t="n">
        <v>46006</v>
      </c>
      <c r="H65" s="23" t="n">
        <v>12</v>
      </c>
      <c r="I65" s="25" t="n">
        <v>46370</v>
      </c>
      <c r="J65" s="23" t="s">
        <v>85</v>
      </c>
      <c r="K65" s="23" t="s">
        <v>86</v>
      </c>
      <c r="L65" s="26" t="n">
        <v>1695</v>
      </c>
      <c r="M65" s="26" t="n">
        <v>0</v>
      </c>
      <c r="N65" s="27" t="n">
        <f aca="false">IF(OR($L65="",$H65="",$H65=0),"",$L65-N($M65)/$H65)</f>
        <v>1695</v>
      </c>
      <c r="O65" s="23" t="s">
        <v>87</v>
      </c>
      <c r="P65" s="23" t="s">
        <v>88</v>
      </c>
      <c r="Q65" s="23" t="s">
        <v>89</v>
      </c>
      <c r="R65" s="23"/>
      <c r="S65" s="23"/>
      <c r="T65" s="23"/>
      <c r="U65" s="23"/>
      <c r="V65" s="23"/>
      <c r="W65" s="25"/>
      <c r="X65" s="23"/>
      <c r="Y65" s="26"/>
      <c r="Z65" s="26"/>
      <c r="AA65" s="27" t="str">
        <f aca="false">IF(OR($Y65="",$X65="",$X65=0),"",$Y65-N($Z65)/$X65)</f>
        <v/>
      </c>
      <c r="AB65" s="23"/>
      <c r="AC65" s="28" t="str">
        <f aca="false">IF(OR($Y65="",$L65="",$L65=0),"",$Y65/$L65-1)</f>
        <v/>
      </c>
      <c r="AD65" s="28" t="str">
        <f aca="false">IF(OR($AA65="",$N65="",$N65=0),"",$AA65/$N65-1)</f>
        <v/>
      </c>
      <c r="AE65" s="25"/>
      <c r="AF65" s="23"/>
      <c r="AG65" s="23"/>
      <c r="AH65" s="25"/>
      <c r="AI65" s="23"/>
      <c r="AJ65" s="26"/>
      <c r="AK65" s="26"/>
      <c r="AL65" s="27" t="str">
        <f aca="false">IF(OR($AJ65="",$AI65="",$AI65=0),"",$AJ65-N($AK65)/$AI65)</f>
        <v/>
      </c>
      <c r="AM65" s="28" t="str">
        <f aca="false">IF(OR($AJ65="",$L65="",$L65=0),"",$AJ65/$L65-1)</f>
        <v/>
      </c>
      <c r="AN65" s="28" t="str">
        <f aca="false">IF(OR($AL65="",$N65="",$N65=0),"",$AL65/$N65-1)</f>
        <v/>
      </c>
      <c r="AO65" s="24"/>
    </row>
    <row r="66" customFormat="false" ht="15" hidden="false" customHeight="false" outlineLevel="0" collapsed="false">
      <c r="A66" s="5" t="s">
        <v>354</v>
      </c>
      <c r="B66" s="5" t="s">
        <v>275</v>
      </c>
      <c r="C66" s="5" t="s">
        <v>276</v>
      </c>
      <c r="D66" s="6" t="n">
        <v>517</v>
      </c>
      <c r="E66" s="5" t="s">
        <v>355</v>
      </c>
      <c r="F66" s="5" t="s">
        <v>356</v>
      </c>
      <c r="G66" s="20" t="n">
        <v>45794</v>
      </c>
      <c r="H66" s="5" t="n">
        <v>12</v>
      </c>
      <c r="I66" s="20" t="n">
        <v>46158</v>
      </c>
      <c r="J66" s="5" t="s">
        <v>148</v>
      </c>
      <c r="K66" s="5" t="s">
        <v>86</v>
      </c>
      <c r="L66" s="16" t="n">
        <v>1530</v>
      </c>
      <c r="M66" s="16" t="n">
        <v>1536</v>
      </c>
      <c r="N66" s="21" t="n">
        <f aca="false">IF(OR($L66="",$H66="",$H66=0),"",$L66-N($M66)/$H66)</f>
        <v>1402</v>
      </c>
      <c r="O66" s="5" t="s">
        <v>87</v>
      </c>
      <c r="P66" s="5" t="s">
        <v>96</v>
      </c>
      <c r="Q66" s="5" t="s">
        <v>97</v>
      </c>
      <c r="R66" s="5" t="s">
        <v>98</v>
      </c>
      <c r="S66" s="5" t="s">
        <v>98</v>
      </c>
      <c r="T66" s="5"/>
      <c r="U66" s="5"/>
      <c r="V66" s="5"/>
      <c r="W66" s="20"/>
      <c r="X66" s="5"/>
      <c r="Y66" s="16"/>
      <c r="Z66" s="16"/>
      <c r="AA66" s="21" t="str">
        <f aca="false">IF(OR($Y66="",$X66="",$X66=0),"",$Y66-N($Z66)/$X66)</f>
        <v/>
      </c>
      <c r="AB66" s="5"/>
      <c r="AC66" s="22" t="str">
        <f aca="false">IF(OR($Y66="",$L66="",$L66=0),"",$Y66/$L66-1)</f>
        <v/>
      </c>
      <c r="AD66" s="22" t="str">
        <f aca="false">IF(OR($AA66="",$N66="",$N66=0),"",$AA66/$N66-1)</f>
        <v/>
      </c>
      <c r="AE66" s="20" t="n">
        <v>46158</v>
      </c>
      <c r="AF66" s="5" t="s">
        <v>357</v>
      </c>
      <c r="AG66" s="5" t="s">
        <v>358</v>
      </c>
      <c r="AH66" s="20" t="n">
        <v>46165</v>
      </c>
      <c r="AI66" s="5" t="n">
        <v>12</v>
      </c>
      <c r="AJ66" s="16" t="n">
        <v>1530</v>
      </c>
      <c r="AK66" s="16" t="n">
        <v>0</v>
      </c>
      <c r="AL66" s="21" t="n">
        <f aca="false">IF(OR($AJ66="",$AI66="",$AI66=0),"",$AJ66-N($AK66)/$AI66)</f>
        <v>1530</v>
      </c>
      <c r="AM66" s="22" t="n">
        <f aca="false">IF(OR($AJ66="",$L66="",$L66=0),"",$AJ66/$L66-1)</f>
        <v>0</v>
      </c>
      <c r="AN66" s="22" t="n">
        <f aca="false">IF(OR($AL66="",$N66="",$N66=0),"",$AL66/$N66-1)</f>
        <v>0.0912981455064195</v>
      </c>
      <c r="AO66" s="6" t="n">
        <v>7</v>
      </c>
    </row>
    <row r="67" customFormat="false" ht="15" hidden="false" customHeight="false" outlineLevel="0" collapsed="false">
      <c r="A67" s="23" t="s">
        <v>359</v>
      </c>
      <c r="B67" s="23" t="s">
        <v>102</v>
      </c>
      <c r="C67" s="23" t="s">
        <v>103</v>
      </c>
      <c r="D67" s="24" t="n">
        <v>693</v>
      </c>
      <c r="E67" s="23" t="s">
        <v>360</v>
      </c>
      <c r="F67" s="23" t="s">
        <v>361</v>
      </c>
      <c r="G67" s="25" t="n">
        <v>45985</v>
      </c>
      <c r="H67" s="23" t="n">
        <v>12</v>
      </c>
      <c r="I67" s="25" t="n">
        <v>46356</v>
      </c>
      <c r="J67" s="23" t="s">
        <v>193</v>
      </c>
      <c r="K67" s="23" t="s">
        <v>86</v>
      </c>
      <c r="L67" s="26" t="n">
        <v>1399</v>
      </c>
      <c r="M67" s="26" t="n">
        <v>0</v>
      </c>
      <c r="N67" s="27" t="n">
        <f aca="false">IF(OR($L67="",$H67="",$H67=0),"",$L67-N($M67)/$H67)</f>
        <v>1399</v>
      </c>
      <c r="O67" s="23" t="s">
        <v>87</v>
      </c>
      <c r="P67" s="23" t="s">
        <v>88</v>
      </c>
      <c r="Q67" s="23" t="s">
        <v>89</v>
      </c>
      <c r="R67" s="23"/>
      <c r="S67" s="23"/>
      <c r="T67" s="23"/>
      <c r="U67" s="23"/>
      <c r="V67" s="23"/>
      <c r="W67" s="25"/>
      <c r="X67" s="23"/>
      <c r="Y67" s="26"/>
      <c r="Z67" s="26"/>
      <c r="AA67" s="27" t="str">
        <f aca="false">IF(OR($Y67="",$X67="",$X67=0),"",$Y67-N($Z67)/$X67)</f>
        <v/>
      </c>
      <c r="AB67" s="23"/>
      <c r="AC67" s="28" t="str">
        <f aca="false">IF(OR($Y67="",$L67="",$L67=0),"",$Y67/$L67-1)</f>
        <v/>
      </c>
      <c r="AD67" s="28" t="str">
        <f aca="false">IF(OR($AA67="",$N67="",$N67=0),"",$AA67/$N67-1)</f>
        <v/>
      </c>
      <c r="AE67" s="25"/>
      <c r="AF67" s="23"/>
      <c r="AG67" s="23"/>
      <c r="AH67" s="25"/>
      <c r="AI67" s="23"/>
      <c r="AJ67" s="26"/>
      <c r="AK67" s="26"/>
      <c r="AL67" s="27" t="str">
        <f aca="false">IF(OR($AJ67="",$AI67="",$AI67=0),"",$AJ67-N($AK67)/$AI67)</f>
        <v/>
      </c>
      <c r="AM67" s="28" t="str">
        <f aca="false">IF(OR($AJ67="",$L67="",$L67=0),"",$AJ67/$L67-1)</f>
        <v/>
      </c>
      <c r="AN67" s="28" t="str">
        <f aca="false">IF(OR($AL67="",$N67="",$N67=0),"",$AL67/$N67-1)</f>
        <v/>
      </c>
      <c r="AO67" s="24"/>
    </row>
    <row r="68" customFormat="false" ht="15" hidden="false" customHeight="false" outlineLevel="0" collapsed="false">
      <c r="A68" s="5" t="s">
        <v>362</v>
      </c>
      <c r="B68" s="5" t="s">
        <v>161</v>
      </c>
      <c r="C68" s="5" t="s">
        <v>92</v>
      </c>
      <c r="D68" s="6" t="n">
        <v>1340</v>
      </c>
      <c r="E68" s="5" t="s">
        <v>363</v>
      </c>
      <c r="F68" s="5" t="s">
        <v>364</v>
      </c>
      <c r="G68" s="20" t="n">
        <v>45827</v>
      </c>
      <c r="H68" s="5" t="n">
        <v>20</v>
      </c>
      <c r="I68" s="20" t="n">
        <v>46436</v>
      </c>
      <c r="J68" s="5" t="s">
        <v>251</v>
      </c>
      <c r="K68" s="5" t="s">
        <v>86</v>
      </c>
      <c r="L68" s="16" t="n">
        <v>2380</v>
      </c>
      <c r="M68" s="16" t="n">
        <v>4760</v>
      </c>
      <c r="N68" s="21" t="n">
        <f aca="false">IF(OR($L68="",$H68="",$H68=0),"",$L68-N($M68)/$H68)</f>
        <v>2142</v>
      </c>
      <c r="O68" s="5" t="s">
        <v>87</v>
      </c>
      <c r="P68" s="5" t="s">
        <v>88</v>
      </c>
      <c r="Q68" s="5" t="s">
        <v>89</v>
      </c>
      <c r="R68" s="5"/>
      <c r="S68" s="5"/>
      <c r="T68" s="5"/>
      <c r="U68" s="5"/>
      <c r="V68" s="5"/>
      <c r="W68" s="20"/>
      <c r="X68" s="5"/>
      <c r="Y68" s="16"/>
      <c r="Z68" s="16"/>
      <c r="AA68" s="21" t="str">
        <f aca="false">IF(OR($Y68="",$X68="",$X68=0),"",$Y68-N($Z68)/$X68)</f>
        <v/>
      </c>
      <c r="AB68" s="5"/>
      <c r="AC68" s="22" t="str">
        <f aca="false">IF(OR($Y68="",$L68="",$L68=0),"",$Y68/$L68-1)</f>
        <v/>
      </c>
      <c r="AD68" s="22" t="str">
        <f aca="false">IF(OR($AA68="",$N68="",$N68=0),"",$AA68/$N68-1)</f>
        <v/>
      </c>
      <c r="AE68" s="20"/>
      <c r="AF68" s="5"/>
      <c r="AG68" s="5"/>
      <c r="AH68" s="20"/>
      <c r="AI68" s="5"/>
      <c r="AJ68" s="16"/>
      <c r="AK68" s="16"/>
      <c r="AL68" s="21" t="str">
        <f aca="false">IF(OR($AJ68="",$AI68="",$AI68=0),"",$AJ68-N($AK68)/$AI68)</f>
        <v/>
      </c>
      <c r="AM68" s="22" t="str">
        <f aca="false">IF(OR($AJ68="",$L68="",$L68=0),"",$AJ68/$L68-1)</f>
        <v/>
      </c>
      <c r="AN68" s="22" t="str">
        <f aca="false">IF(OR($AL68="",$N68="",$N68=0),"",$AL68/$N68-1)</f>
        <v/>
      </c>
      <c r="AO68" s="6"/>
    </row>
    <row r="69" customFormat="false" ht="15" hidden="false" customHeight="false" outlineLevel="0" collapsed="false">
      <c r="A69" s="23" t="s">
        <v>365</v>
      </c>
      <c r="B69" s="23" t="s">
        <v>81</v>
      </c>
      <c r="C69" s="23" t="s">
        <v>82</v>
      </c>
      <c r="D69" s="24" t="n">
        <v>1141</v>
      </c>
      <c r="E69" s="23" t="s">
        <v>366</v>
      </c>
      <c r="F69" s="23" t="s">
        <v>367</v>
      </c>
      <c r="G69" s="25" t="n">
        <v>45900</v>
      </c>
      <c r="H69" s="23" t="n">
        <v>12</v>
      </c>
      <c r="I69" s="25" t="n">
        <v>46264</v>
      </c>
      <c r="J69" s="23" t="s">
        <v>135</v>
      </c>
      <c r="K69" s="23" t="s">
        <v>86</v>
      </c>
      <c r="L69" s="26" t="n">
        <v>1919</v>
      </c>
      <c r="M69" s="26" t="n">
        <v>2878</v>
      </c>
      <c r="N69" s="27" t="n">
        <f aca="false">IF(OR($L69="",$H69="",$H69=0),"",$L69-N($M69)/$H69)</f>
        <v>1679.16666666667</v>
      </c>
      <c r="O69" s="23" t="s">
        <v>87</v>
      </c>
      <c r="P69" s="23" t="s">
        <v>88</v>
      </c>
      <c r="Q69" s="23" t="s">
        <v>89</v>
      </c>
      <c r="R69" s="23"/>
      <c r="S69" s="23"/>
      <c r="T69" s="23"/>
      <c r="U69" s="23"/>
      <c r="V69" s="23"/>
      <c r="W69" s="25"/>
      <c r="X69" s="23"/>
      <c r="Y69" s="26"/>
      <c r="Z69" s="26"/>
      <c r="AA69" s="27" t="str">
        <f aca="false">IF(OR($Y69="",$X69="",$X69=0),"",$Y69-N($Z69)/$X69)</f>
        <v/>
      </c>
      <c r="AB69" s="23"/>
      <c r="AC69" s="28" t="str">
        <f aca="false">IF(OR($Y69="",$L69="",$L69=0),"",$Y69/$L69-1)</f>
        <v/>
      </c>
      <c r="AD69" s="28" t="str">
        <f aca="false">IF(OR($AA69="",$N69="",$N69=0),"",$AA69/$N69-1)</f>
        <v/>
      </c>
      <c r="AE69" s="25"/>
      <c r="AF69" s="23"/>
      <c r="AG69" s="23"/>
      <c r="AH69" s="25"/>
      <c r="AI69" s="23"/>
      <c r="AJ69" s="26"/>
      <c r="AK69" s="26"/>
      <c r="AL69" s="27" t="str">
        <f aca="false">IF(OR($AJ69="",$AI69="",$AI69=0),"",$AJ69-N($AK69)/$AI69)</f>
        <v/>
      </c>
      <c r="AM69" s="28" t="str">
        <f aca="false">IF(OR($AJ69="",$L69="",$L69=0),"",$AJ69/$L69-1)</f>
        <v/>
      </c>
      <c r="AN69" s="28" t="str">
        <f aca="false">IF(OR($AL69="",$N69="",$N69=0),"",$AL69/$N69-1)</f>
        <v/>
      </c>
      <c r="AO69" s="24"/>
    </row>
    <row r="70" customFormat="false" ht="15" hidden="false" customHeight="false" outlineLevel="0" collapsed="false">
      <c r="A70" s="5" t="s">
        <v>368</v>
      </c>
      <c r="B70" s="5" t="s">
        <v>81</v>
      </c>
      <c r="C70" s="5" t="s">
        <v>82</v>
      </c>
      <c r="D70" s="6" t="n">
        <v>1141</v>
      </c>
      <c r="E70" s="5" t="s">
        <v>369</v>
      </c>
      <c r="F70" s="5" t="s">
        <v>370</v>
      </c>
      <c r="G70" s="20" t="n">
        <v>45880</v>
      </c>
      <c r="H70" s="5" t="n">
        <v>12</v>
      </c>
      <c r="I70" s="20" t="n">
        <v>46244</v>
      </c>
      <c r="J70" s="5" t="s">
        <v>135</v>
      </c>
      <c r="K70" s="5" t="s">
        <v>86</v>
      </c>
      <c r="L70" s="16" t="n">
        <v>1894</v>
      </c>
      <c r="M70" s="16" t="n">
        <v>1894</v>
      </c>
      <c r="N70" s="21" t="n">
        <f aca="false">IF(OR($L70="",$H70="",$H70=0),"",$L70-N($M70)/$H70)</f>
        <v>1736.16666666667</v>
      </c>
      <c r="O70" s="5" t="s">
        <v>87</v>
      </c>
      <c r="P70" s="5" t="s">
        <v>88</v>
      </c>
      <c r="Q70" s="5" t="s">
        <v>89</v>
      </c>
      <c r="R70" s="5"/>
      <c r="S70" s="5"/>
      <c r="T70" s="5"/>
      <c r="U70" s="5"/>
      <c r="V70" s="5"/>
      <c r="W70" s="20"/>
      <c r="X70" s="5"/>
      <c r="Y70" s="16"/>
      <c r="Z70" s="16"/>
      <c r="AA70" s="21" t="str">
        <f aca="false">IF(OR($Y70="",$X70="",$X70=0),"",$Y70-N($Z70)/$X70)</f>
        <v/>
      </c>
      <c r="AB70" s="5"/>
      <c r="AC70" s="22" t="str">
        <f aca="false">IF(OR($Y70="",$L70="",$L70=0),"",$Y70/$L70-1)</f>
        <v/>
      </c>
      <c r="AD70" s="22" t="str">
        <f aca="false">IF(OR($AA70="",$N70="",$N70=0),"",$AA70/$N70-1)</f>
        <v/>
      </c>
      <c r="AE70" s="20"/>
      <c r="AF70" s="5"/>
      <c r="AG70" s="5"/>
      <c r="AH70" s="20"/>
      <c r="AI70" s="5"/>
      <c r="AJ70" s="16"/>
      <c r="AK70" s="16"/>
      <c r="AL70" s="21" t="str">
        <f aca="false">IF(OR($AJ70="",$AI70="",$AI70=0),"",$AJ70-N($AK70)/$AI70)</f>
        <v/>
      </c>
      <c r="AM70" s="22" t="str">
        <f aca="false">IF(OR($AJ70="",$L70="",$L70=0),"",$AJ70/$L70-1)</f>
        <v/>
      </c>
      <c r="AN70" s="22" t="str">
        <f aca="false">IF(OR($AL70="",$N70="",$N70=0),"",$AL70/$N70-1)</f>
        <v/>
      </c>
      <c r="AO70" s="6"/>
    </row>
    <row r="71" customFormat="false" ht="15" hidden="false" customHeight="false" outlineLevel="0" collapsed="false">
      <c r="A71" s="23" t="s">
        <v>371</v>
      </c>
      <c r="B71" s="23" t="s">
        <v>91</v>
      </c>
      <c r="C71" s="23" t="s">
        <v>92</v>
      </c>
      <c r="D71" s="24" t="n">
        <v>1328</v>
      </c>
      <c r="E71" s="23" t="s">
        <v>372</v>
      </c>
      <c r="F71" s="23" t="s">
        <v>373</v>
      </c>
      <c r="G71" s="25" t="n">
        <v>45940</v>
      </c>
      <c r="H71" s="23" t="n">
        <v>16</v>
      </c>
      <c r="I71" s="25" t="n">
        <v>46427</v>
      </c>
      <c r="J71" s="23" t="s">
        <v>251</v>
      </c>
      <c r="K71" s="23" t="s">
        <v>86</v>
      </c>
      <c r="L71" s="26" t="n">
        <v>2326</v>
      </c>
      <c r="M71" s="26" t="n">
        <v>4652</v>
      </c>
      <c r="N71" s="27" t="n">
        <f aca="false">IF(OR($L71="",$H71="",$H71=0),"",$L71-N($M71)/$H71)</f>
        <v>2035.25</v>
      </c>
      <c r="O71" s="23" t="s">
        <v>87</v>
      </c>
      <c r="P71" s="23" t="s">
        <v>88</v>
      </c>
      <c r="Q71" s="23" t="s">
        <v>97</v>
      </c>
      <c r="R71" s="23"/>
      <c r="S71" s="23"/>
      <c r="T71" s="23" t="s">
        <v>98</v>
      </c>
      <c r="U71" s="23"/>
      <c r="V71" s="23"/>
      <c r="W71" s="25"/>
      <c r="X71" s="23"/>
      <c r="Y71" s="26"/>
      <c r="Z71" s="26"/>
      <c r="AA71" s="27" t="str">
        <f aca="false">IF(OR($Y71="",$X71="",$X71=0),"",$Y71-N($Z71)/$X71)</f>
        <v/>
      </c>
      <c r="AB71" s="23"/>
      <c r="AC71" s="28" t="str">
        <f aca="false">IF(OR($Y71="",$L71="",$L71=0),"",$Y71/$L71-1)</f>
        <v/>
      </c>
      <c r="AD71" s="28" t="str">
        <f aca="false">IF(OR($AA71="",$N71="",$N71=0),"",$AA71/$N71-1)</f>
        <v/>
      </c>
      <c r="AE71" s="25"/>
      <c r="AF71" s="23" t="s">
        <v>374</v>
      </c>
      <c r="AG71" s="23" t="s">
        <v>375</v>
      </c>
      <c r="AH71" s="25" t="n">
        <v>46237</v>
      </c>
      <c r="AI71" s="23"/>
      <c r="AJ71" s="26" t="n">
        <v>2879</v>
      </c>
      <c r="AK71" s="26"/>
      <c r="AL71" s="27" t="str">
        <f aca="false">IF(OR($AJ71="",$AI71="",$AI71=0),"",$AJ71-N($AK71)/$AI71)</f>
        <v/>
      </c>
      <c r="AM71" s="28" t="n">
        <f aca="false">IF(OR($AJ71="",$L71="",$L71=0),"",$AJ71/$L71-1)</f>
        <v>0.237747205503009</v>
      </c>
      <c r="AN71" s="28" t="str">
        <f aca="false">IF(OR($AL71="",$N71="",$N71=0),"",$AL71/$N71-1)</f>
        <v/>
      </c>
      <c r="AO71" s="24"/>
    </row>
    <row r="72" customFormat="false" ht="15" hidden="false" customHeight="false" outlineLevel="0" collapsed="false">
      <c r="A72" s="5" t="s">
        <v>376</v>
      </c>
      <c r="B72" s="5" t="s">
        <v>102</v>
      </c>
      <c r="C72" s="5" t="s">
        <v>103</v>
      </c>
      <c r="D72" s="6" t="n">
        <v>693</v>
      </c>
      <c r="E72" s="5" t="s">
        <v>377</v>
      </c>
      <c r="F72" s="5" t="s">
        <v>378</v>
      </c>
      <c r="G72" s="20" t="n">
        <v>45943</v>
      </c>
      <c r="H72" s="5" t="n">
        <v>16</v>
      </c>
      <c r="I72" s="20" t="n">
        <v>46430</v>
      </c>
      <c r="J72" s="5" t="s">
        <v>251</v>
      </c>
      <c r="K72" s="5" t="s">
        <v>86</v>
      </c>
      <c r="L72" s="16" t="n">
        <v>1565</v>
      </c>
      <c r="M72" s="16" t="n">
        <v>3130</v>
      </c>
      <c r="N72" s="21" t="n">
        <f aca="false">IF(OR($L72="",$H72="",$H72=0),"",$L72-N($M72)/$H72)</f>
        <v>1369.375</v>
      </c>
      <c r="O72" s="5" t="s">
        <v>87</v>
      </c>
      <c r="P72" s="5" t="s">
        <v>88</v>
      </c>
      <c r="Q72" s="5" t="s">
        <v>89</v>
      </c>
      <c r="R72" s="5"/>
      <c r="S72" s="5"/>
      <c r="T72" s="5"/>
      <c r="U72" s="5"/>
      <c r="V72" s="5"/>
      <c r="W72" s="20"/>
      <c r="X72" s="5"/>
      <c r="Y72" s="16"/>
      <c r="Z72" s="16"/>
      <c r="AA72" s="21" t="str">
        <f aca="false">IF(OR($Y72="",$X72="",$X72=0),"",$Y72-N($Z72)/$X72)</f>
        <v/>
      </c>
      <c r="AB72" s="5"/>
      <c r="AC72" s="22" t="str">
        <f aca="false">IF(OR($Y72="",$L72="",$L72=0),"",$Y72/$L72-1)</f>
        <v/>
      </c>
      <c r="AD72" s="22" t="str">
        <f aca="false">IF(OR($AA72="",$N72="",$N72=0),"",$AA72/$N72-1)</f>
        <v/>
      </c>
      <c r="AE72" s="20"/>
      <c r="AF72" s="5"/>
      <c r="AG72" s="5"/>
      <c r="AH72" s="20"/>
      <c r="AI72" s="5"/>
      <c r="AJ72" s="16"/>
      <c r="AK72" s="16"/>
      <c r="AL72" s="21" t="str">
        <f aca="false">IF(OR($AJ72="",$AI72="",$AI72=0),"",$AJ72-N($AK72)/$AI72)</f>
        <v/>
      </c>
      <c r="AM72" s="22" t="str">
        <f aca="false">IF(OR($AJ72="",$L72="",$L72=0),"",$AJ72/$L72-1)</f>
        <v/>
      </c>
      <c r="AN72" s="22" t="str">
        <f aca="false">IF(OR($AL72="",$N72="",$N72=0),"",$AL72/$N72-1)</f>
        <v/>
      </c>
      <c r="AO72" s="6"/>
    </row>
    <row r="73" customFormat="false" ht="15" hidden="false" customHeight="false" outlineLevel="0" collapsed="false">
      <c r="A73" s="23" t="s">
        <v>379</v>
      </c>
      <c r="B73" s="23" t="s">
        <v>113</v>
      </c>
      <c r="C73" s="23" t="s">
        <v>82</v>
      </c>
      <c r="D73" s="24" t="n">
        <v>1092</v>
      </c>
      <c r="E73" s="23" t="s">
        <v>380</v>
      </c>
      <c r="F73" s="23" t="s">
        <v>381</v>
      </c>
      <c r="G73" s="25" t="n">
        <v>45798</v>
      </c>
      <c r="H73" s="23" t="n">
        <v>18</v>
      </c>
      <c r="I73" s="25" t="n">
        <v>46346</v>
      </c>
      <c r="J73" s="23" t="s">
        <v>193</v>
      </c>
      <c r="K73" s="23" t="s">
        <v>86</v>
      </c>
      <c r="L73" s="26" t="n">
        <v>1765</v>
      </c>
      <c r="M73" s="26" t="n">
        <v>2647.5</v>
      </c>
      <c r="N73" s="27" t="n">
        <f aca="false">IF(OR($L73="",$H73="",$H73=0),"",$L73-N($M73)/$H73)</f>
        <v>1617.91666666667</v>
      </c>
      <c r="O73" s="23" t="s">
        <v>87</v>
      </c>
      <c r="P73" s="23" t="s">
        <v>88</v>
      </c>
      <c r="Q73" s="23" t="s">
        <v>89</v>
      </c>
      <c r="R73" s="23"/>
      <c r="S73" s="23"/>
      <c r="T73" s="23"/>
      <c r="U73" s="23"/>
      <c r="V73" s="23"/>
      <c r="W73" s="25"/>
      <c r="X73" s="23"/>
      <c r="Y73" s="26"/>
      <c r="Z73" s="26"/>
      <c r="AA73" s="27" t="str">
        <f aca="false">IF(OR($Y73="",$X73="",$X73=0),"",$Y73-N($Z73)/$X73)</f>
        <v/>
      </c>
      <c r="AB73" s="23"/>
      <c r="AC73" s="28" t="str">
        <f aca="false">IF(OR($Y73="",$L73="",$L73=0),"",$Y73/$L73-1)</f>
        <v/>
      </c>
      <c r="AD73" s="28" t="str">
        <f aca="false">IF(OR($AA73="",$N73="",$N73=0),"",$AA73/$N73-1)</f>
        <v/>
      </c>
      <c r="AE73" s="25"/>
      <c r="AF73" s="23"/>
      <c r="AG73" s="23"/>
      <c r="AH73" s="25"/>
      <c r="AI73" s="23"/>
      <c r="AJ73" s="26"/>
      <c r="AK73" s="26"/>
      <c r="AL73" s="27" t="str">
        <f aca="false">IF(OR($AJ73="",$AI73="",$AI73=0),"",$AJ73-N($AK73)/$AI73)</f>
        <v/>
      </c>
      <c r="AM73" s="28" t="str">
        <f aca="false">IF(OR($AJ73="",$L73="",$L73=0),"",$AJ73/$L73-1)</f>
        <v/>
      </c>
      <c r="AN73" s="28" t="str">
        <f aca="false">IF(OR($AL73="",$N73="",$N73=0),"",$AL73/$N73-1)</f>
        <v/>
      </c>
      <c r="AO73" s="24"/>
    </row>
    <row r="74" customFormat="false" ht="15" hidden="false" customHeight="false" outlineLevel="0" collapsed="false">
      <c r="A74" s="5" t="s">
        <v>382</v>
      </c>
      <c r="B74" s="5" t="s">
        <v>102</v>
      </c>
      <c r="C74" s="5" t="s">
        <v>103</v>
      </c>
      <c r="D74" s="6" t="n">
        <v>693</v>
      </c>
      <c r="E74" s="5" t="s">
        <v>383</v>
      </c>
      <c r="F74" s="5" t="s">
        <v>384</v>
      </c>
      <c r="G74" s="20" t="n">
        <v>45850</v>
      </c>
      <c r="H74" s="5" t="n">
        <v>12</v>
      </c>
      <c r="I74" s="20" t="n">
        <v>46214</v>
      </c>
      <c r="J74" s="5" t="s">
        <v>116</v>
      </c>
      <c r="K74" s="5" t="s">
        <v>86</v>
      </c>
      <c r="L74" s="16" t="n">
        <v>1590</v>
      </c>
      <c r="M74" s="16" t="n">
        <v>2385</v>
      </c>
      <c r="N74" s="21" t="n">
        <f aca="false">IF(OR($L74="",$H74="",$H74=0),"",$L74-N($M74)/$H74)</f>
        <v>1391.25</v>
      </c>
      <c r="O74" s="5" t="s">
        <v>87</v>
      </c>
      <c r="P74" s="5" t="s">
        <v>88</v>
      </c>
      <c r="Q74" s="5" t="s">
        <v>97</v>
      </c>
      <c r="R74" s="5" t="s">
        <v>98</v>
      </c>
      <c r="S74" s="5" t="s">
        <v>98</v>
      </c>
      <c r="T74" s="5"/>
      <c r="U74" s="5"/>
      <c r="V74" s="5"/>
      <c r="W74" s="20"/>
      <c r="X74" s="5"/>
      <c r="Y74" s="16"/>
      <c r="Z74" s="16"/>
      <c r="AA74" s="21" t="str">
        <f aca="false">IF(OR($Y74="",$X74="",$X74=0),"",$Y74-N($Z74)/$X74)</f>
        <v/>
      </c>
      <c r="AB74" s="5"/>
      <c r="AC74" s="22" t="str">
        <f aca="false">IF(OR($Y74="",$L74="",$L74=0),"",$Y74/$L74-1)</f>
        <v/>
      </c>
      <c r="AD74" s="22" t="str">
        <f aca="false">IF(OR($AA74="",$N74="",$N74=0),"",$AA74/$N74-1)</f>
        <v/>
      </c>
      <c r="AE74" s="20" t="n">
        <v>46214</v>
      </c>
      <c r="AF74" s="5" t="s">
        <v>385</v>
      </c>
      <c r="AG74" s="5" t="s">
        <v>386</v>
      </c>
      <c r="AH74" s="20" t="n">
        <v>46225</v>
      </c>
      <c r="AI74" s="5" t="n">
        <v>12</v>
      </c>
      <c r="AJ74" s="16" t="n">
        <v>1693</v>
      </c>
      <c r="AK74" s="16" t="n">
        <v>0</v>
      </c>
      <c r="AL74" s="21" t="n">
        <f aca="false">IF(OR($AJ74="",$AI74="",$AI74=0),"",$AJ74-N($AK74)/$AI74)</f>
        <v>1693</v>
      </c>
      <c r="AM74" s="22" t="n">
        <f aca="false">IF(OR($AJ74="",$L74="",$L74=0),"",$AJ74/$L74-1)</f>
        <v>0.0647798742138366</v>
      </c>
      <c r="AN74" s="22" t="n">
        <f aca="false">IF(OR($AL74="",$N74="",$N74=0),"",$AL74/$N74-1)</f>
        <v>0.216891284815813</v>
      </c>
      <c r="AO74" s="6" t="n">
        <v>11</v>
      </c>
    </row>
    <row r="75" customFormat="false" ht="15" hidden="false" customHeight="false" outlineLevel="0" collapsed="false">
      <c r="A75" s="23" t="s">
        <v>387</v>
      </c>
      <c r="B75" s="23" t="s">
        <v>81</v>
      </c>
      <c r="C75" s="23" t="s">
        <v>82</v>
      </c>
      <c r="D75" s="24" t="n">
        <v>1141</v>
      </c>
      <c r="E75" s="23" t="s">
        <v>388</v>
      </c>
      <c r="F75" s="23" t="s">
        <v>389</v>
      </c>
      <c r="G75" s="25" t="n">
        <v>45879</v>
      </c>
      <c r="H75" s="23" t="n">
        <v>12</v>
      </c>
      <c r="I75" s="25" t="n">
        <v>46243</v>
      </c>
      <c r="J75" s="23" t="s">
        <v>135</v>
      </c>
      <c r="K75" s="23" t="s">
        <v>86</v>
      </c>
      <c r="L75" s="26" t="n">
        <v>1894</v>
      </c>
      <c r="M75" s="26" t="n">
        <v>0</v>
      </c>
      <c r="N75" s="27" t="n">
        <f aca="false">IF(OR($L75="",$H75="",$H75=0),"",$L75-N($M75)/$H75)</f>
        <v>1894</v>
      </c>
      <c r="O75" s="23" t="s">
        <v>390</v>
      </c>
      <c r="P75" s="23" t="s">
        <v>88</v>
      </c>
      <c r="Q75" s="23" t="s">
        <v>89</v>
      </c>
      <c r="R75" s="23"/>
      <c r="S75" s="23"/>
      <c r="T75" s="23"/>
      <c r="U75" s="23"/>
      <c r="V75" s="23"/>
      <c r="W75" s="25"/>
      <c r="X75" s="23"/>
      <c r="Y75" s="26"/>
      <c r="Z75" s="26"/>
      <c r="AA75" s="27" t="str">
        <f aca="false">IF(OR($Y75="",$X75="",$X75=0),"",$Y75-N($Z75)/$X75)</f>
        <v/>
      </c>
      <c r="AB75" s="23"/>
      <c r="AC75" s="28" t="str">
        <f aca="false">IF(OR($Y75="",$L75="",$L75=0),"",$Y75/$L75-1)</f>
        <v/>
      </c>
      <c r="AD75" s="28" t="str">
        <f aca="false">IF(OR($AA75="",$N75="",$N75=0),"",$AA75/$N75-1)</f>
        <v/>
      </c>
      <c r="AE75" s="25"/>
      <c r="AF75" s="23"/>
      <c r="AG75" s="23"/>
      <c r="AH75" s="25"/>
      <c r="AI75" s="23"/>
      <c r="AJ75" s="26"/>
      <c r="AK75" s="26"/>
      <c r="AL75" s="27" t="str">
        <f aca="false">IF(OR($AJ75="",$AI75="",$AI75=0),"",$AJ75-N($AK75)/$AI75)</f>
        <v/>
      </c>
      <c r="AM75" s="28" t="str">
        <f aca="false">IF(OR($AJ75="",$L75="",$L75=0),"",$AJ75/$L75-1)</f>
        <v/>
      </c>
      <c r="AN75" s="28" t="str">
        <f aca="false">IF(OR($AL75="",$N75="",$N75=0),"",$AL75/$N75-1)</f>
        <v/>
      </c>
      <c r="AO75" s="24"/>
    </row>
    <row r="76" customFormat="false" ht="15" hidden="false" customHeight="false" outlineLevel="0" collapsed="false">
      <c r="A76" s="5" t="s">
        <v>391</v>
      </c>
      <c r="B76" s="5" t="s">
        <v>102</v>
      </c>
      <c r="C76" s="5" t="s">
        <v>103</v>
      </c>
      <c r="D76" s="6" t="n">
        <v>693</v>
      </c>
      <c r="E76" s="5" t="s">
        <v>392</v>
      </c>
      <c r="F76" s="5" t="s">
        <v>393</v>
      </c>
      <c r="G76" s="20" t="n">
        <v>45841</v>
      </c>
      <c r="H76" s="5" t="n">
        <v>12</v>
      </c>
      <c r="I76" s="20" t="n">
        <v>46205</v>
      </c>
      <c r="J76" s="5" t="s">
        <v>116</v>
      </c>
      <c r="K76" s="5" t="s">
        <v>202</v>
      </c>
      <c r="L76" s="16" t="n">
        <v>1650</v>
      </c>
      <c r="M76" s="16" t="n">
        <v>1000</v>
      </c>
      <c r="N76" s="21" t="n">
        <f aca="false">IF(OR($L76="",$H76="",$H76=0),"",$L76-N($M76)/$H76)</f>
        <v>1566.66666666667</v>
      </c>
      <c r="O76" s="5" t="s">
        <v>87</v>
      </c>
      <c r="P76" s="5" t="s">
        <v>202</v>
      </c>
      <c r="Q76" s="5" t="s">
        <v>127</v>
      </c>
      <c r="R76" s="5" t="s">
        <v>98</v>
      </c>
      <c r="S76" s="5" t="s">
        <v>98</v>
      </c>
      <c r="T76" s="5"/>
      <c r="U76" s="5"/>
      <c r="V76" s="5"/>
      <c r="W76" s="20" t="n">
        <v>46206</v>
      </c>
      <c r="X76" s="5" t="n">
        <v>12</v>
      </c>
      <c r="Y76" s="16" t="n">
        <v>1650</v>
      </c>
      <c r="Z76" s="16" t="n">
        <v>0</v>
      </c>
      <c r="AA76" s="21" t="n">
        <f aca="false">IF(OR($Y76="",$X76="",$X76=0),"",$Y76-N($Z76)/$X76)</f>
        <v>1650</v>
      </c>
      <c r="AB76" s="5" t="s">
        <v>98</v>
      </c>
      <c r="AC76" s="22" t="n">
        <f aca="false">IF(OR($Y76="",$L76="",$L76=0),"",$Y76/$L76-1)</f>
        <v>0</v>
      </c>
      <c r="AD76" s="22" t="n">
        <f aca="false">IF(OR($AA76="",$N76="",$N76=0),"",$AA76/$N76-1)</f>
        <v>0.053191489361702</v>
      </c>
      <c r="AE76" s="20"/>
      <c r="AF76" s="5"/>
      <c r="AG76" s="5"/>
      <c r="AH76" s="20"/>
      <c r="AI76" s="5"/>
      <c r="AJ76" s="16"/>
      <c r="AK76" s="16"/>
      <c r="AL76" s="21" t="str">
        <f aca="false">IF(OR($AJ76="",$AI76="",$AI76=0),"",$AJ76-N($AK76)/$AI76)</f>
        <v/>
      </c>
      <c r="AM76" s="22" t="str">
        <f aca="false">IF(OR($AJ76="",$L76="",$L76=0),"",$AJ76/$L76-1)</f>
        <v/>
      </c>
      <c r="AN76" s="22" t="str">
        <f aca="false">IF(OR($AL76="",$N76="",$N76=0),"",$AL76/$N76-1)</f>
        <v/>
      </c>
      <c r="AO76" s="6"/>
    </row>
    <row r="77" customFormat="false" ht="15" hidden="false" customHeight="false" outlineLevel="0" collapsed="false">
      <c r="A77" s="23" t="s">
        <v>394</v>
      </c>
      <c r="B77" s="23" t="s">
        <v>102</v>
      </c>
      <c r="C77" s="23" t="s">
        <v>103</v>
      </c>
      <c r="D77" s="24" t="n">
        <v>693</v>
      </c>
      <c r="E77" s="23" t="s">
        <v>395</v>
      </c>
      <c r="F77" s="23" t="s">
        <v>396</v>
      </c>
      <c r="G77" s="25" t="n">
        <v>45963</v>
      </c>
      <c r="H77" s="23" t="n">
        <v>12</v>
      </c>
      <c r="I77" s="25" t="n">
        <v>46327</v>
      </c>
      <c r="J77" s="23" t="s">
        <v>193</v>
      </c>
      <c r="K77" s="23" t="s">
        <v>86</v>
      </c>
      <c r="L77" s="26" t="n">
        <v>1349</v>
      </c>
      <c r="M77" s="26" t="n">
        <v>674.5</v>
      </c>
      <c r="N77" s="27" t="n">
        <f aca="false">IF(OR($L77="",$H77="",$H77=0),"",$L77-N($M77)/$H77)</f>
        <v>1292.79166666667</v>
      </c>
      <c r="O77" s="23" t="s">
        <v>87</v>
      </c>
      <c r="P77" s="23" t="s">
        <v>88</v>
      </c>
      <c r="Q77" s="23" t="s">
        <v>97</v>
      </c>
      <c r="R77" s="23"/>
      <c r="S77" s="23"/>
      <c r="T77" s="23" t="s">
        <v>98</v>
      </c>
      <c r="U77" s="23"/>
      <c r="V77" s="23"/>
      <c r="W77" s="25"/>
      <c r="X77" s="23"/>
      <c r="Y77" s="26"/>
      <c r="Z77" s="26"/>
      <c r="AA77" s="27" t="str">
        <f aca="false">IF(OR($Y77="",$X77="",$X77=0),"",$Y77-N($Z77)/$X77)</f>
        <v/>
      </c>
      <c r="AB77" s="23"/>
      <c r="AC77" s="28" t="str">
        <f aca="false">IF(OR($Y77="",$L77="",$L77=0),"",$Y77/$L77-1)</f>
        <v/>
      </c>
      <c r="AD77" s="28" t="str">
        <f aca="false">IF(OR($AA77="",$N77="",$N77=0),"",$AA77/$N77-1)</f>
        <v/>
      </c>
      <c r="AE77" s="25"/>
      <c r="AF77" s="23"/>
      <c r="AG77" s="23"/>
      <c r="AH77" s="25"/>
      <c r="AI77" s="23"/>
      <c r="AJ77" s="26"/>
      <c r="AK77" s="26"/>
      <c r="AL77" s="27" t="str">
        <f aca="false">IF(OR($AJ77="",$AI77="",$AI77=0),"",$AJ77-N($AK77)/$AI77)</f>
        <v/>
      </c>
      <c r="AM77" s="28" t="str">
        <f aca="false">IF(OR($AJ77="",$L77="",$L77=0),"",$AJ77/$L77-1)</f>
        <v/>
      </c>
      <c r="AN77" s="28" t="str">
        <f aca="false">IF(OR($AL77="",$N77="",$N77=0),"",$AL77/$N77-1)</f>
        <v/>
      </c>
      <c r="AO77" s="24"/>
    </row>
    <row r="78" customFormat="false" ht="15" hidden="false" customHeight="false" outlineLevel="0" collapsed="false">
      <c r="A78" s="5" t="s">
        <v>397</v>
      </c>
      <c r="B78" s="5" t="s">
        <v>102</v>
      </c>
      <c r="C78" s="5" t="s">
        <v>103</v>
      </c>
      <c r="D78" s="6" t="n">
        <v>693</v>
      </c>
      <c r="E78" s="5" t="s">
        <v>398</v>
      </c>
      <c r="F78" s="5" t="s">
        <v>399</v>
      </c>
      <c r="G78" s="20" t="n">
        <v>45839</v>
      </c>
      <c r="H78" s="5" t="n">
        <v>12</v>
      </c>
      <c r="I78" s="20" t="n">
        <v>46203</v>
      </c>
      <c r="J78" s="5" t="s">
        <v>152</v>
      </c>
      <c r="K78" s="5" t="s">
        <v>202</v>
      </c>
      <c r="L78" s="16" t="n">
        <v>1555</v>
      </c>
      <c r="M78" s="16" t="n">
        <v>1000</v>
      </c>
      <c r="N78" s="21" t="n">
        <f aca="false">IF(OR($L78="",$H78="",$H78=0),"",$L78-N($M78)/$H78)</f>
        <v>1471.66666666667</v>
      </c>
      <c r="O78" s="5" t="s">
        <v>87</v>
      </c>
      <c r="P78" s="5" t="s">
        <v>202</v>
      </c>
      <c r="Q78" s="5" t="s">
        <v>127</v>
      </c>
      <c r="R78" s="5" t="s">
        <v>98</v>
      </c>
      <c r="S78" s="5" t="s">
        <v>98</v>
      </c>
      <c r="T78" s="5"/>
      <c r="U78" s="5"/>
      <c r="V78" s="5"/>
      <c r="W78" s="20" t="n">
        <v>46204</v>
      </c>
      <c r="X78" s="5" t="n">
        <v>12</v>
      </c>
      <c r="Y78" s="16" t="n">
        <v>1555</v>
      </c>
      <c r="Z78" s="16" t="n">
        <v>0</v>
      </c>
      <c r="AA78" s="21" t="n">
        <f aca="false">IF(OR($Y78="",$X78="",$X78=0),"",$Y78-N($Z78)/$X78)</f>
        <v>1555</v>
      </c>
      <c r="AB78" s="5" t="s">
        <v>98</v>
      </c>
      <c r="AC78" s="22" t="n">
        <f aca="false">IF(OR($Y78="",$L78="",$L78=0),"",$Y78/$L78-1)</f>
        <v>0</v>
      </c>
      <c r="AD78" s="22" t="n">
        <f aca="false">IF(OR($AA78="",$N78="",$N78=0),"",$AA78/$N78-1)</f>
        <v>0.0566251415628538</v>
      </c>
      <c r="AE78" s="20"/>
      <c r="AF78" s="5"/>
      <c r="AG78" s="5"/>
      <c r="AH78" s="20"/>
      <c r="AI78" s="5"/>
      <c r="AJ78" s="16"/>
      <c r="AK78" s="16"/>
      <c r="AL78" s="21" t="str">
        <f aca="false">IF(OR($AJ78="",$AI78="",$AI78=0),"",$AJ78-N($AK78)/$AI78)</f>
        <v/>
      </c>
      <c r="AM78" s="22" t="str">
        <f aca="false">IF(OR($AJ78="",$L78="",$L78=0),"",$AJ78/$L78-1)</f>
        <v/>
      </c>
      <c r="AN78" s="22" t="str">
        <f aca="false">IF(OR($AL78="",$N78="",$N78=0),"",$AL78/$N78-1)</f>
        <v/>
      </c>
      <c r="AO78" s="6"/>
    </row>
    <row r="79" customFormat="false" ht="15" hidden="false" customHeight="false" outlineLevel="0" collapsed="false">
      <c r="A79" s="23" t="s">
        <v>400</v>
      </c>
      <c r="B79" s="23" t="s">
        <v>145</v>
      </c>
      <c r="C79" s="23" t="s">
        <v>82</v>
      </c>
      <c r="D79" s="24" t="n">
        <v>1165</v>
      </c>
      <c r="E79" s="23" t="s">
        <v>401</v>
      </c>
      <c r="F79" s="23" t="s">
        <v>402</v>
      </c>
      <c r="G79" s="25" t="n">
        <v>45868</v>
      </c>
      <c r="H79" s="23" t="n">
        <v>12</v>
      </c>
      <c r="I79" s="25" t="n">
        <v>46232</v>
      </c>
      <c r="J79" s="23" t="s">
        <v>116</v>
      </c>
      <c r="K79" s="23" t="s">
        <v>86</v>
      </c>
      <c r="L79" s="26" t="n">
        <v>1820</v>
      </c>
      <c r="M79" s="26" t="n">
        <v>1820</v>
      </c>
      <c r="N79" s="27" t="n">
        <f aca="false">IF(OR($L79="",$H79="",$H79=0),"",$L79-N($M79)/$H79)</f>
        <v>1668.33333333333</v>
      </c>
      <c r="O79" s="23" t="s">
        <v>87</v>
      </c>
      <c r="P79" s="23" t="s">
        <v>88</v>
      </c>
      <c r="Q79" s="23" t="s">
        <v>97</v>
      </c>
      <c r="R79" s="23" t="s">
        <v>98</v>
      </c>
      <c r="S79" s="23" t="s">
        <v>98</v>
      </c>
      <c r="T79" s="23"/>
      <c r="U79" s="23"/>
      <c r="V79" s="23"/>
      <c r="W79" s="25"/>
      <c r="X79" s="23"/>
      <c r="Y79" s="26"/>
      <c r="Z79" s="26"/>
      <c r="AA79" s="27" t="str">
        <f aca="false">IF(OR($Y79="",$X79="",$X79=0),"",$Y79-N($Z79)/$X79)</f>
        <v/>
      </c>
      <c r="AB79" s="23"/>
      <c r="AC79" s="28" t="str">
        <f aca="false">IF(OR($Y79="",$L79="",$L79=0),"",$Y79/$L79-1)</f>
        <v/>
      </c>
      <c r="AD79" s="28" t="str">
        <f aca="false">IF(OR($AA79="",$N79="",$N79=0),"",$AA79/$N79-1)</f>
        <v/>
      </c>
      <c r="AE79" s="25" t="n">
        <v>46232</v>
      </c>
      <c r="AF79" s="23"/>
      <c r="AG79" s="23"/>
      <c r="AH79" s="25"/>
      <c r="AI79" s="23"/>
      <c r="AJ79" s="26"/>
      <c r="AK79" s="26"/>
      <c r="AL79" s="27" t="str">
        <f aca="false">IF(OR($AJ79="",$AI79="",$AI79=0),"",$AJ79-N($AK79)/$AI79)</f>
        <v/>
      </c>
      <c r="AM79" s="28" t="str">
        <f aca="false">IF(OR($AJ79="",$L79="",$L79=0),"",$AJ79/$L79-1)</f>
        <v/>
      </c>
      <c r="AN79" s="28" t="str">
        <f aca="false">IF(OR($AL79="",$N79="",$N79=0),"",$AL79/$N79-1)</f>
        <v/>
      </c>
      <c r="AO79" s="24"/>
    </row>
    <row r="80" customFormat="false" ht="15" hidden="false" customHeight="false" outlineLevel="0" collapsed="false">
      <c r="A80" s="5" t="s">
        <v>403</v>
      </c>
      <c r="B80" s="5" t="s">
        <v>145</v>
      </c>
      <c r="C80" s="5" t="s">
        <v>82</v>
      </c>
      <c r="D80" s="6" t="n">
        <v>1165</v>
      </c>
      <c r="E80" s="5" t="s">
        <v>404</v>
      </c>
      <c r="F80" s="5" t="s">
        <v>405</v>
      </c>
      <c r="G80" s="20" t="n">
        <v>45965</v>
      </c>
      <c r="H80" s="5" t="n">
        <v>17</v>
      </c>
      <c r="I80" s="20" t="n">
        <v>46480</v>
      </c>
      <c r="J80" s="5" t="s">
        <v>143</v>
      </c>
      <c r="K80" s="5" t="s">
        <v>86</v>
      </c>
      <c r="L80" s="16" t="n">
        <v>2135</v>
      </c>
      <c r="M80" s="16" t="n">
        <v>4270</v>
      </c>
      <c r="N80" s="21" t="n">
        <f aca="false">IF(OR($L80="",$H80="",$H80=0),"",$L80-N($M80)/$H80)</f>
        <v>1883.82352941176</v>
      </c>
      <c r="O80" s="5" t="s">
        <v>87</v>
      </c>
      <c r="P80" s="5" t="s">
        <v>88</v>
      </c>
      <c r="Q80" s="5" t="s">
        <v>89</v>
      </c>
      <c r="R80" s="5"/>
      <c r="S80" s="5"/>
      <c r="T80" s="5"/>
      <c r="U80" s="5"/>
      <c r="V80" s="5"/>
      <c r="W80" s="20"/>
      <c r="X80" s="5"/>
      <c r="Y80" s="16"/>
      <c r="Z80" s="16"/>
      <c r="AA80" s="21" t="str">
        <f aca="false">IF(OR($Y80="",$X80="",$X80=0),"",$Y80-N($Z80)/$X80)</f>
        <v/>
      </c>
      <c r="AB80" s="5"/>
      <c r="AC80" s="22" t="str">
        <f aca="false">IF(OR($Y80="",$L80="",$L80=0),"",$Y80/$L80-1)</f>
        <v/>
      </c>
      <c r="AD80" s="22" t="str">
        <f aca="false">IF(OR($AA80="",$N80="",$N80=0),"",$AA80/$N80-1)</f>
        <v/>
      </c>
      <c r="AE80" s="20"/>
      <c r="AF80" s="5"/>
      <c r="AG80" s="5"/>
      <c r="AH80" s="20"/>
      <c r="AI80" s="5"/>
      <c r="AJ80" s="16"/>
      <c r="AK80" s="16"/>
      <c r="AL80" s="21" t="str">
        <f aca="false">IF(OR($AJ80="",$AI80="",$AI80=0),"",$AJ80-N($AK80)/$AI80)</f>
        <v/>
      </c>
      <c r="AM80" s="22" t="str">
        <f aca="false">IF(OR($AJ80="",$L80="",$L80=0),"",$AJ80/$L80-1)</f>
        <v/>
      </c>
      <c r="AN80" s="22" t="str">
        <f aca="false">IF(OR($AL80="",$N80="",$N80=0),"",$AL80/$N80-1)</f>
        <v/>
      </c>
      <c r="AO80" s="6"/>
    </row>
    <row r="81" customFormat="false" ht="15" hidden="false" customHeight="false" outlineLevel="0" collapsed="false">
      <c r="A81" s="23" t="s">
        <v>406</v>
      </c>
      <c r="B81" s="23" t="s">
        <v>81</v>
      </c>
      <c r="C81" s="23" t="s">
        <v>82</v>
      </c>
      <c r="D81" s="24" t="n">
        <v>1141</v>
      </c>
      <c r="E81" s="23" t="s">
        <v>407</v>
      </c>
      <c r="F81" s="23" t="s">
        <v>408</v>
      </c>
      <c r="G81" s="25" t="n">
        <v>45870</v>
      </c>
      <c r="H81" s="23" t="n">
        <v>19</v>
      </c>
      <c r="I81" s="25" t="n">
        <v>46446</v>
      </c>
      <c r="J81" s="23" t="s">
        <v>251</v>
      </c>
      <c r="K81" s="23" t="s">
        <v>86</v>
      </c>
      <c r="L81" s="26" t="n">
        <v>1869</v>
      </c>
      <c r="M81" s="26" t="n">
        <v>1869</v>
      </c>
      <c r="N81" s="27" t="n">
        <f aca="false">IF(OR($L81="",$H81="",$H81=0),"",$L81-N($M81)/$H81)</f>
        <v>1770.63157894737</v>
      </c>
      <c r="O81" s="23" t="s">
        <v>87</v>
      </c>
      <c r="P81" s="23" t="s">
        <v>88</v>
      </c>
      <c r="Q81" s="23" t="s">
        <v>89</v>
      </c>
      <c r="R81" s="23"/>
      <c r="S81" s="23"/>
      <c r="T81" s="23"/>
      <c r="U81" s="23"/>
      <c r="V81" s="23"/>
      <c r="W81" s="25"/>
      <c r="X81" s="23"/>
      <c r="Y81" s="26"/>
      <c r="Z81" s="26"/>
      <c r="AA81" s="27" t="str">
        <f aca="false">IF(OR($Y81="",$X81="",$X81=0),"",$Y81-N($Z81)/$X81)</f>
        <v/>
      </c>
      <c r="AB81" s="23"/>
      <c r="AC81" s="28" t="str">
        <f aca="false">IF(OR($Y81="",$L81="",$L81=0),"",$Y81/$L81-1)</f>
        <v/>
      </c>
      <c r="AD81" s="28" t="str">
        <f aca="false">IF(OR($AA81="",$N81="",$N81=0),"",$AA81/$N81-1)</f>
        <v/>
      </c>
      <c r="AE81" s="25"/>
      <c r="AF81" s="23"/>
      <c r="AG81" s="23"/>
      <c r="AH81" s="25"/>
      <c r="AI81" s="23"/>
      <c r="AJ81" s="26"/>
      <c r="AK81" s="26"/>
      <c r="AL81" s="27" t="str">
        <f aca="false">IF(OR($AJ81="",$AI81="",$AI81=0),"",$AJ81-N($AK81)/$AI81)</f>
        <v/>
      </c>
      <c r="AM81" s="28" t="str">
        <f aca="false">IF(OR($AJ81="",$L81="",$L81=0),"",$AJ81/$L81-1)</f>
        <v/>
      </c>
      <c r="AN81" s="28" t="str">
        <f aca="false">IF(OR($AL81="",$N81="",$N81=0),"",$AL81/$N81-1)</f>
        <v/>
      </c>
      <c r="AO81" s="24"/>
    </row>
    <row r="82" customFormat="false" ht="15" hidden="false" customHeight="false" outlineLevel="0" collapsed="false">
      <c r="A82" s="5" t="s">
        <v>409</v>
      </c>
      <c r="B82" s="5" t="s">
        <v>161</v>
      </c>
      <c r="C82" s="5" t="s">
        <v>92</v>
      </c>
      <c r="D82" s="6" t="n">
        <v>1340</v>
      </c>
      <c r="E82" s="5" t="s">
        <v>410</v>
      </c>
      <c r="F82" s="5" t="s">
        <v>411</v>
      </c>
      <c r="G82" s="20" t="n">
        <v>45798</v>
      </c>
      <c r="H82" s="5" t="n">
        <v>15</v>
      </c>
      <c r="I82" s="20" t="n">
        <v>46254</v>
      </c>
      <c r="J82" s="5" t="s">
        <v>135</v>
      </c>
      <c r="K82" s="5" t="s">
        <v>86</v>
      </c>
      <c r="L82" s="16" t="n">
        <v>2160</v>
      </c>
      <c r="M82" s="16" t="n">
        <v>0</v>
      </c>
      <c r="N82" s="21" t="n">
        <f aca="false">IF(OR($L82="",$H82="",$H82=0),"",$L82-N($M82)/$H82)</f>
        <v>2160</v>
      </c>
      <c r="O82" s="5" t="s">
        <v>87</v>
      </c>
      <c r="P82" s="5" t="s">
        <v>88</v>
      </c>
      <c r="Q82" s="5" t="s">
        <v>89</v>
      </c>
      <c r="R82" s="5"/>
      <c r="S82" s="5"/>
      <c r="T82" s="5"/>
      <c r="U82" s="5" t="s">
        <v>98</v>
      </c>
      <c r="V82" s="5"/>
      <c r="W82" s="20"/>
      <c r="X82" s="5"/>
      <c r="Y82" s="16"/>
      <c r="Z82" s="16"/>
      <c r="AA82" s="21" t="str">
        <f aca="false">IF(OR($Y82="",$X82="",$X82=0),"",$Y82-N($Z82)/$X82)</f>
        <v/>
      </c>
      <c r="AB82" s="5"/>
      <c r="AC82" s="22" t="str">
        <f aca="false">IF(OR($Y82="",$L82="",$L82=0),"",$Y82/$L82-1)</f>
        <v/>
      </c>
      <c r="AD82" s="22" t="str">
        <f aca="false">IF(OR($AA82="",$N82="",$N82=0),"",$AA82/$N82-1)</f>
        <v/>
      </c>
      <c r="AE82" s="20"/>
      <c r="AF82" s="5"/>
      <c r="AG82" s="5"/>
      <c r="AH82" s="20"/>
      <c r="AI82" s="5"/>
      <c r="AJ82" s="16"/>
      <c r="AK82" s="16"/>
      <c r="AL82" s="21" t="str">
        <f aca="false">IF(OR($AJ82="",$AI82="",$AI82=0),"",$AJ82-N($AK82)/$AI82)</f>
        <v/>
      </c>
      <c r="AM82" s="22" t="str">
        <f aca="false">IF(OR($AJ82="",$L82="",$L82=0),"",$AJ82/$L82-1)</f>
        <v/>
      </c>
      <c r="AN82" s="22" t="str">
        <f aca="false">IF(OR($AL82="",$N82="",$N82=0),"",$AL82/$N82-1)</f>
        <v/>
      </c>
      <c r="AO82" s="6"/>
    </row>
    <row r="83" customFormat="false" ht="15" hidden="false" customHeight="false" outlineLevel="0" collapsed="false">
      <c r="A83" s="23" t="s">
        <v>412</v>
      </c>
      <c r="B83" s="23" t="s">
        <v>102</v>
      </c>
      <c r="C83" s="23" t="s">
        <v>103</v>
      </c>
      <c r="D83" s="24" t="n">
        <v>693</v>
      </c>
      <c r="E83" s="23" t="s">
        <v>413</v>
      </c>
      <c r="F83" s="23" t="s">
        <v>414</v>
      </c>
      <c r="G83" s="25" t="n">
        <v>45809</v>
      </c>
      <c r="H83" s="23" t="n">
        <v>18</v>
      </c>
      <c r="I83" s="25" t="n">
        <v>46356</v>
      </c>
      <c r="J83" s="23" t="s">
        <v>193</v>
      </c>
      <c r="K83" s="23" t="s">
        <v>86</v>
      </c>
      <c r="L83" s="26" t="n">
        <v>1485</v>
      </c>
      <c r="M83" s="26" t="n">
        <v>0</v>
      </c>
      <c r="N83" s="27" t="n">
        <f aca="false">IF(OR($L83="",$H83="",$H83=0),"",$L83-N($M83)/$H83)</f>
        <v>1485</v>
      </c>
      <c r="O83" s="23" t="s">
        <v>87</v>
      </c>
      <c r="P83" s="23" t="s">
        <v>88</v>
      </c>
      <c r="Q83" s="23" t="s">
        <v>89</v>
      </c>
      <c r="R83" s="23"/>
      <c r="S83" s="23"/>
      <c r="T83" s="23"/>
      <c r="U83" s="23"/>
      <c r="V83" s="23"/>
      <c r="W83" s="25"/>
      <c r="X83" s="23"/>
      <c r="Y83" s="26"/>
      <c r="Z83" s="26"/>
      <c r="AA83" s="27" t="str">
        <f aca="false">IF(OR($Y83="",$X83="",$X83=0),"",$Y83-N($Z83)/$X83)</f>
        <v/>
      </c>
      <c r="AB83" s="23"/>
      <c r="AC83" s="28" t="str">
        <f aca="false">IF(OR($Y83="",$L83="",$L83=0),"",$Y83/$L83-1)</f>
        <v/>
      </c>
      <c r="AD83" s="28" t="str">
        <f aca="false">IF(OR($AA83="",$N83="",$N83=0),"",$AA83/$N83-1)</f>
        <v/>
      </c>
      <c r="AE83" s="25"/>
      <c r="AF83" s="23"/>
      <c r="AG83" s="23"/>
      <c r="AH83" s="25"/>
      <c r="AI83" s="23"/>
      <c r="AJ83" s="26"/>
      <c r="AK83" s="26"/>
      <c r="AL83" s="27" t="str">
        <f aca="false">IF(OR($AJ83="",$AI83="",$AI83=0),"",$AJ83-N($AK83)/$AI83)</f>
        <v/>
      </c>
      <c r="AM83" s="28" t="str">
        <f aca="false">IF(OR($AJ83="",$L83="",$L83=0),"",$AJ83/$L83-1)</f>
        <v/>
      </c>
      <c r="AN83" s="28" t="str">
        <f aca="false">IF(OR($AL83="",$N83="",$N83=0),"",$AL83/$N83-1)</f>
        <v/>
      </c>
      <c r="AO83" s="24"/>
    </row>
    <row r="84" customFormat="false" ht="15" hidden="false" customHeight="false" outlineLevel="0" collapsed="false">
      <c r="A84" s="5" t="s">
        <v>415</v>
      </c>
      <c r="B84" s="5" t="s">
        <v>113</v>
      </c>
      <c r="C84" s="5" t="s">
        <v>82</v>
      </c>
      <c r="D84" s="6" t="n">
        <v>1092</v>
      </c>
      <c r="E84" s="5" t="s">
        <v>416</v>
      </c>
      <c r="F84" s="5" t="s">
        <v>417</v>
      </c>
      <c r="G84" s="20" t="n">
        <v>45798</v>
      </c>
      <c r="H84" s="5" t="n">
        <v>12</v>
      </c>
      <c r="I84" s="20" t="n">
        <v>46162</v>
      </c>
      <c r="J84" s="5" t="s">
        <v>148</v>
      </c>
      <c r="K84" s="5" t="s">
        <v>202</v>
      </c>
      <c r="L84" s="16" t="n">
        <v>1715</v>
      </c>
      <c r="M84" s="16" t="n">
        <v>0</v>
      </c>
      <c r="N84" s="21" t="n">
        <f aca="false">IF(OR($L84="",$H84="",$H84=0),"",$L84-N($M84)/$H84)</f>
        <v>1715</v>
      </c>
      <c r="O84" s="5" t="s">
        <v>87</v>
      </c>
      <c r="P84" s="5" t="s">
        <v>202</v>
      </c>
      <c r="Q84" s="5" t="s">
        <v>127</v>
      </c>
      <c r="R84" s="5" t="s">
        <v>98</v>
      </c>
      <c r="S84" s="5" t="s">
        <v>98</v>
      </c>
      <c r="T84" s="5"/>
      <c r="U84" s="5"/>
      <c r="V84" s="5"/>
      <c r="W84" s="20" t="n">
        <v>46163</v>
      </c>
      <c r="X84" s="5" t="n">
        <v>11</v>
      </c>
      <c r="Y84" s="16" t="n">
        <v>1765</v>
      </c>
      <c r="Z84" s="16" t="n">
        <v>0</v>
      </c>
      <c r="AA84" s="21" t="n">
        <f aca="false">IF(OR($Y84="",$X84="",$X84=0),"",$Y84-N($Z84)/$X84)</f>
        <v>1765</v>
      </c>
      <c r="AB84" s="5" t="s">
        <v>98</v>
      </c>
      <c r="AC84" s="22" t="n">
        <f aca="false">IF(OR($Y84="",$L84="",$L84=0),"",$Y84/$L84-1)</f>
        <v>0.0291545189504374</v>
      </c>
      <c r="AD84" s="22" t="n">
        <f aca="false">IF(OR($AA84="",$N84="",$N84=0),"",$AA84/$N84-1)</f>
        <v>0.0291545189504374</v>
      </c>
      <c r="AE84" s="20"/>
      <c r="AF84" s="5"/>
      <c r="AG84" s="5"/>
      <c r="AH84" s="20"/>
      <c r="AI84" s="5"/>
      <c r="AJ84" s="16"/>
      <c r="AK84" s="16"/>
      <c r="AL84" s="21" t="str">
        <f aca="false">IF(OR($AJ84="",$AI84="",$AI84=0),"",$AJ84-N($AK84)/$AI84)</f>
        <v/>
      </c>
      <c r="AM84" s="22" t="str">
        <f aca="false">IF(OR($AJ84="",$L84="",$L84=0),"",$AJ84/$L84-1)</f>
        <v/>
      </c>
      <c r="AN84" s="22" t="str">
        <f aca="false">IF(OR($AL84="",$N84="",$N84=0),"",$AL84/$N84-1)</f>
        <v/>
      </c>
      <c r="AO84" s="6"/>
    </row>
    <row r="85" customFormat="false" ht="15" hidden="false" customHeight="false" outlineLevel="0" collapsed="false">
      <c r="A85" s="23" t="s">
        <v>418</v>
      </c>
      <c r="B85" s="23" t="s">
        <v>102</v>
      </c>
      <c r="C85" s="23" t="s">
        <v>103</v>
      </c>
      <c r="D85" s="24" t="n">
        <v>693</v>
      </c>
      <c r="E85" s="23" t="s">
        <v>419</v>
      </c>
      <c r="F85" s="23" t="s">
        <v>420</v>
      </c>
      <c r="G85" s="25" t="n">
        <v>45822</v>
      </c>
      <c r="H85" s="23" t="n">
        <v>12</v>
      </c>
      <c r="I85" s="25" t="n">
        <v>46308</v>
      </c>
      <c r="J85" s="23" t="s">
        <v>106</v>
      </c>
      <c r="K85" s="23" t="s">
        <v>86</v>
      </c>
      <c r="L85" s="26" t="n">
        <v>1485</v>
      </c>
      <c r="M85" s="26" t="n">
        <v>2052</v>
      </c>
      <c r="N85" s="27" t="n">
        <f aca="false">IF(OR($L85="",$H85="",$H85=0),"",$L85-N($M85)/$H85)</f>
        <v>1314</v>
      </c>
      <c r="O85" s="23" t="s">
        <v>87</v>
      </c>
      <c r="P85" s="23" t="s">
        <v>96</v>
      </c>
      <c r="Q85" s="23" t="s">
        <v>97</v>
      </c>
      <c r="R85" s="23"/>
      <c r="S85" s="23"/>
      <c r="T85" s="23" t="s">
        <v>98</v>
      </c>
      <c r="U85" s="23"/>
      <c r="V85" s="23"/>
      <c r="W85" s="25"/>
      <c r="X85" s="23"/>
      <c r="Y85" s="26"/>
      <c r="Z85" s="26"/>
      <c r="AA85" s="27" t="str">
        <f aca="false">IF(OR($Y85="",$X85="",$X85=0),"",$Y85-N($Z85)/$X85)</f>
        <v/>
      </c>
      <c r="AB85" s="23"/>
      <c r="AC85" s="28" t="str">
        <f aca="false">IF(OR($Y85="",$L85="",$L85=0),"",$Y85/$L85-1)</f>
        <v/>
      </c>
      <c r="AD85" s="28" t="str">
        <f aca="false">IF(OR($AA85="",$N85="",$N85=0),"",$AA85/$N85-1)</f>
        <v/>
      </c>
      <c r="AE85" s="25" t="n">
        <v>46055</v>
      </c>
      <c r="AF85" s="23" t="s">
        <v>421</v>
      </c>
      <c r="AG85" s="23" t="s">
        <v>422</v>
      </c>
      <c r="AH85" s="25" t="n">
        <v>46112</v>
      </c>
      <c r="AI85" s="23" t="n">
        <v>9</v>
      </c>
      <c r="AJ85" s="26" t="n">
        <v>1490</v>
      </c>
      <c r="AK85" s="26" t="n">
        <v>0</v>
      </c>
      <c r="AL85" s="27" t="n">
        <f aca="false">IF(OR($AJ85="",$AI85="",$AI85=0),"",$AJ85-N($AK85)/$AI85)</f>
        <v>1490</v>
      </c>
      <c r="AM85" s="28" t="n">
        <f aca="false">IF(OR($AJ85="",$L85="",$L85=0),"",$AJ85/$L85-1)</f>
        <v>0.00336700336700346</v>
      </c>
      <c r="AN85" s="28" t="n">
        <f aca="false">IF(OR($AL85="",$N85="",$N85=0),"",$AL85/$N85-1)</f>
        <v>0.133942161339422</v>
      </c>
      <c r="AO85" s="24" t="n">
        <v>57</v>
      </c>
    </row>
    <row r="86" customFormat="false" ht="15" hidden="false" customHeight="false" outlineLevel="0" collapsed="false">
      <c r="A86" s="5" t="s">
        <v>423</v>
      </c>
      <c r="B86" s="5" t="s">
        <v>81</v>
      </c>
      <c r="C86" s="5" t="s">
        <v>82</v>
      </c>
      <c r="D86" s="6" t="n">
        <v>1141</v>
      </c>
      <c r="E86" s="5" t="s">
        <v>424</v>
      </c>
      <c r="F86" s="5" t="s">
        <v>425</v>
      </c>
      <c r="G86" s="20" t="n">
        <v>45900</v>
      </c>
      <c r="H86" s="5" t="n">
        <v>18</v>
      </c>
      <c r="I86" s="20" t="n">
        <v>46446</v>
      </c>
      <c r="J86" s="5" t="s">
        <v>251</v>
      </c>
      <c r="K86" s="5" t="s">
        <v>86</v>
      </c>
      <c r="L86" s="16" t="n">
        <v>1869</v>
      </c>
      <c r="M86" s="16" t="n">
        <v>1869</v>
      </c>
      <c r="N86" s="21" t="n">
        <f aca="false">IF(OR($L86="",$H86="",$H86=0),"",$L86-N($M86)/$H86)</f>
        <v>1765.16666666667</v>
      </c>
      <c r="O86" s="5" t="s">
        <v>87</v>
      </c>
      <c r="P86" s="5" t="s">
        <v>88</v>
      </c>
      <c r="Q86" s="5" t="s">
        <v>89</v>
      </c>
      <c r="R86" s="5"/>
      <c r="S86" s="5"/>
      <c r="T86" s="5"/>
      <c r="U86" s="5"/>
      <c r="V86" s="5"/>
      <c r="W86" s="20"/>
      <c r="X86" s="5"/>
      <c r="Y86" s="16"/>
      <c r="Z86" s="16"/>
      <c r="AA86" s="21" t="str">
        <f aca="false">IF(OR($Y86="",$X86="",$X86=0),"",$Y86-N($Z86)/$X86)</f>
        <v/>
      </c>
      <c r="AB86" s="5"/>
      <c r="AC86" s="22" t="str">
        <f aca="false">IF(OR($Y86="",$L86="",$L86=0),"",$Y86/$L86-1)</f>
        <v/>
      </c>
      <c r="AD86" s="22" t="str">
        <f aca="false">IF(OR($AA86="",$N86="",$N86=0),"",$AA86/$N86-1)</f>
        <v/>
      </c>
      <c r="AE86" s="20"/>
      <c r="AF86" s="5"/>
      <c r="AG86" s="5"/>
      <c r="AH86" s="20"/>
      <c r="AI86" s="5"/>
      <c r="AJ86" s="16"/>
      <c r="AK86" s="16"/>
      <c r="AL86" s="21" t="str">
        <f aca="false">IF(OR($AJ86="",$AI86="",$AI86=0),"",$AJ86-N($AK86)/$AI86)</f>
        <v/>
      </c>
      <c r="AM86" s="22" t="str">
        <f aca="false">IF(OR($AJ86="",$L86="",$L86=0),"",$AJ86/$L86-1)</f>
        <v/>
      </c>
      <c r="AN86" s="22" t="str">
        <f aca="false">IF(OR($AL86="",$N86="",$N86=0),"",$AL86/$N86-1)</f>
        <v/>
      </c>
      <c r="AO86" s="6"/>
    </row>
    <row r="87" customFormat="false" ht="15" hidden="false" customHeight="false" outlineLevel="0" collapsed="false">
      <c r="A87" s="23" t="s">
        <v>426</v>
      </c>
      <c r="B87" s="23" t="s">
        <v>102</v>
      </c>
      <c r="C87" s="23" t="s">
        <v>103</v>
      </c>
      <c r="D87" s="24" t="n">
        <v>693</v>
      </c>
      <c r="E87" s="23" t="s">
        <v>427</v>
      </c>
      <c r="F87" s="23" t="s">
        <v>428</v>
      </c>
      <c r="G87" s="25" t="n">
        <v>45859</v>
      </c>
      <c r="H87" s="23" t="n">
        <v>14</v>
      </c>
      <c r="I87" s="25" t="n">
        <v>46285</v>
      </c>
      <c r="J87" s="23" t="s">
        <v>186</v>
      </c>
      <c r="K87" s="23" t="s">
        <v>86</v>
      </c>
      <c r="L87" s="26" t="n">
        <v>1600</v>
      </c>
      <c r="M87" s="26" t="n">
        <v>0</v>
      </c>
      <c r="N87" s="27" t="n">
        <f aca="false">IF(OR($L87="",$H87="",$H87=0),"",$L87-N($M87)/$H87)</f>
        <v>1600</v>
      </c>
      <c r="O87" s="23" t="s">
        <v>87</v>
      </c>
      <c r="P87" s="23" t="s">
        <v>88</v>
      </c>
      <c r="Q87" s="23" t="s">
        <v>89</v>
      </c>
      <c r="R87" s="23"/>
      <c r="S87" s="23"/>
      <c r="T87" s="23"/>
      <c r="U87" s="23"/>
      <c r="V87" s="23"/>
      <c r="W87" s="25"/>
      <c r="X87" s="23"/>
      <c r="Y87" s="26"/>
      <c r="Z87" s="26"/>
      <c r="AA87" s="27" t="str">
        <f aca="false">IF(OR($Y87="",$X87="",$X87=0),"",$Y87-N($Z87)/$X87)</f>
        <v/>
      </c>
      <c r="AB87" s="23"/>
      <c r="AC87" s="28" t="str">
        <f aca="false">IF(OR($Y87="",$L87="",$L87=0),"",$Y87/$L87-1)</f>
        <v/>
      </c>
      <c r="AD87" s="28" t="str">
        <f aca="false">IF(OR($AA87="",$N87="",$N87=0),"",$AA87/$N87-1)</f>
        <v/>
      </c>
      <c r="AE87" s="25"/>
      <c r="AF87" s="23"/>
      <c r="AG87" s="23"/>
      <c r="AH87" s="25"/>
      <c r="AI87" s="23"/>
      <c r="AJ87" s="26"/>
      <c r="AK87" s="26"/>
      <c r="AL87" s="27" t="str">
        <f aca="false">IF(OR($AJ87="",$AI87="",$AI87=0),"",$AJ87-N($AK87)/$AI87)</f>
        <v/>
      </c>
      <c r="AM87" s="28" t="str">
        <f aca="false">IF(OR($AJ87="",$L87="",$L87=0),"",$AJ87/$L87-1)</f>
        <v/>
      </c>
      <c r="AN87" s="28" t="str">
        <f aca="false">IF(OR($AL87="",$N87="",$N87=0),"",$AL87/$N87-1)</f>
        <v/>
      </c>
      <c r="AO87" s="24"/>
    </row>
    <row r="88" customFormat="false" ht="15" hidden="false" customHeight="false" outlineLevel="0" collapsed="false">
      <c r="A88" s="5" t="s">
        <v>429</v>
      </c>
      <c r="B88" s="5" t="s">
        <v>102</v>
      </c>
      <c r="C88" s="5" t="s">
        <v>103</v>
      </c>
      <c r="D88" s="6" t="n">
        <v>693</v>
      </c>
      <c r="E88" s="5" t="s">
        <v>430</v>
      </c>
      <c r="F88" s="5" t="s">
        <v>431</v>
      </c>
      <c r="G88" s="20" t="n">
        <v>45846</v>
      </c>
      <c r="H88" s="5" t="n">
        <v>13</v>
      </c>
      <c r="I88" s="20" t="n">
        <v>46241</v>
      </c>
      <c r="J88" s="5" t="s">
        <v>135</v>
      </c>
      <c r="K88" s="5" t="s">
        <v>86</v>
      </c>
      <c r="L88" s="16" t="n">
        <v>1600</v>
      </c>
      <c r="M88" s="16" t="n">
        <v>0</v>
      </c>
      <c r="N88" s="21" t="n">
        <f aca="false">IF(OR($L88="",$H88="",$H88=0),"",$L88-N($M88)/$H88)</f>
        <v>1600</v>
      </c>
      <c r="O88" s="5" t="s">
        <v>87</v>
      </c>
      <c r="P88" s="5" t="s">
        <v>88</v>
      </c>
      <c r="Q88" s="5" t="s">
        <v>89</v>
      </c>
      <c r="R88" s="5"/>
      <c r="S88" s="5"/>
      <c r="T88" s="5"/>
      <c r="U88" s="5"/>
      <c r="V88" s="5"/>
      <c r="W88" s="20"/>
      <c r="X88" s="5"/>
      <c r="Y88" s="16"/>
      <c r="Z88" s="16"/>
      <c r="AA88" s="21" t="str">
        <f aca="false">IF(OR($Y88="",$X88="",$X88=0),"",$Y88-N($Z88)/$X88)</f>
        <v/>
      </c>
      <c r="AB88" s="5"/>
      <c r="AC88" s="22" t="str">
        <f aca="false">IF(OR($Y88="",$L88="",$L88=0),"",$Y88/$L88-1)</f>
        <v/>
      </c>
      <c r="AD88" s="22" t="str">
        <f aca="false">IF(OR($AA88="",$N88="",$N88=0),"",$AA88/$N88-1)</f>
        <v/>
      </c>
      <c r="AE88" s="20"/>
      <c r="AF88" s="5"/>
      <c r="AG88" s="5"/>
      <c r="AH88" s="20"/>
      <c r="AI88" s="5"/>
      <c r="AJ88" s="16"/>
      <c r="AK88" s="16"/>
      <c r="AL88" s="21" t="str">
        <f aca="false">IF(OR($AJ88="",$AI88="",$AI88=0),"",$AJ88-N($AK88)/$AI88)</f>
        <v/>
      </c>
      <c r="AM88" s="22" t="str">
        <f aca="false">IF(OR($AJ88="",$L88="",$L88=0),"",$AJ88/$L88-1)</f>
        <v/>
      </c>
      <c r="AN88" s="22" t="str">
        <f aca="false">IF(OR($AL88="",$N88="",$N88=0),"",$AL88/$N88-1)</f>
        <v/>
      </c>
      <c r="AO88" s="6"/>
    </row>
    <row r="89" customFormat="false" ht="15" hidden="false" customHeight="false" outlineLevel="0" collapsed="false">
      <c r="A89" s="23" t="s">
        <v>432</v>
      </c>
      <c r="B89" s="23" t="s">
        <v>108</v>
      </c>
      <c r="C89" s="23" t="s">
        <v>103</v>
      </c>
      <c r="D89" s="24" t="n">
        <v>746</v>
      </c>
      <c r="E89" s="23" t="s">
        <v>433</v>
      </c>
      <c r="F89" s="23" t="s">
        <v>434</v>
      </c>
      <c r="G89" s="25" t="n">
        <v>45867</v>
      </c>
      <c r="H89" s="23" t="n">
        <v>12</v>
      </c>
      <c r="I89" s="25" t="n">
        <v>46231</v>
      </c>
      <c r="J89" s="23" t="s">
        <v>116</v>
      </c>
      <c r="K89" s="23" t="s">
        <v>126</v>
      </c>
      <c r="L89" s="26" t="n">
        <v>1669</v>
      </c>
      <c r="M89" s="26" t="n">
        <v>1668</v>
      </c>
      <c r="N89" s="27" t="n">
        <f aca="false">IF(OR($L89="",$H89="",$H89=0),"",$L89-N($M89)/$H89)</f>
        <v>1530</v>
      </c>
      <c r="O89" s="23" t="s">
        <v>87</v>
      </c>
      <c r="P89" s="23" t="s">
        <v>96</v>
      </c>
      <c r="Q89" s="23" t="s">
        <v>127</v>
      </c>
      <c r="R89" s="23" t="s">
        <v>98</v>
      </c>
      <c r="S89" s="23" t="s">
        <v>98</v>
      </c>
      <c r="T89" s="23"/>
      <c r="U89" s="23"/>
      <c r="V89" s="23"/>
      <c r="W89" s="25" t="n">
        <v>46232</v>
      </c>
      <c r="X89" s="23" t="n">
        <v>12</v>
      </c>
      <c r="Y89" s="26" t="n">
        <v>1679</v>
      </c>
      <c r="Z89" s="26" t="n">
        <v>0</v>
      </c>
      <c r="AA89" s="27" t="n">
        <f aca="false">IF(OR($Y89="",$X89="",$X89=0),"",$Y89-N($Z89)/$X89)</f>
        <v>1679</v>
      </c>
      <c r="AB89" s="23"/>
      <c r="AC89" s="28" t="n">
        <f aca="false">IF(OR($Y89="",$L89="",$L89=0),"",$Y89/$L89-1)</f>
        <v>0.005991611743559</v>
      </c>
      <c r="AD89" s="28" t="n">
        <f aca="false">IF(OR($AA89="",$N89="",$N89=0),"",$AA89/$N89-1)</f>
        <v>0.0973856209150328</v>
      </c>
      <c r="AE89" s="25"/>
      <c r="AF89" s="23"/>
      <c r="AG89" s="23"/>
      <c r="AH89" s="25"/>
      <c r="AI89" s="23"/>
      <c r="AJ89" s="26"/>
      <c r="AK89" s="26"/>
      <c r="AL89" s="27" t="str">
        <f aca="false">IF(OR($AJ89="",$AI89="",$AI89=0),"",$AJ89-N($AK89)/$AI89)</f>
        <v/>
      </c>
      <c r="AM89" s="28" t="str">
        <f aca="false">IF(OR($AJ89="",$L89="",$L89=0),"",$AJ89/$L89-1)</f>
        <v/>
      </c>
      <c r="AN89" s="28" t="str">
        <f aca="false">IF(OR($AL89="",$N89="",$N89=0),"",$AL89/$N89-1)</f>
        <v/>
      </c>
      <c r="AO89" s="24"/>
    </row>
    <row r="90" customFormat="false" ht="15" hidden="false" customHeight="false" outlineLevel="0" collapsed="false">
      <c r="A90" s="5" t="s">
        <v>435</v>
      </c>
      <c r="B90" s="5" t="s">
        <v>204</v>
      </c>
      <c r="C90" s="5" t="s">
        <v>82</v>
      </c>
      <c r="D90" s="6" t="n">
        <v>1177</v>
      </c>
      <c r="E90" s="5" t="s">
        <v>436</v>
      </c>
      <c r="F90" s="5" t="s">
        <v>437</v>
      </c>
      <c r="G90" s="20" t="n">
        <v>45839</v>
      </c>
      <c r="H90" s="5" t="n">
        <v>15</v>
      </c>
      <c r="I90" s="20" t="n">
        <v>46295</v>
      </c>
      <c r="J90" s="5" t="s">
        <v>186</v>
      </c>
      <c r="K90" s="5" t="s">
        <v>86</v>
      </c>
      <c r="L90" s="16" t="n">
        <v>1885</v>
      </c>
      <c r="M90" s="16" t="n">
        <v>2827</v>
      </c>
      <c r="N90" s="21" t="n">
        <f aca="false">IF(OR($L90="",$H90="",$H90=0),"",$L90-N($M90)/$H90)</f>
        <v>1696.53333333333</v>
      </c>
      <c r="O90" s="5" t="s">
        <v>87</v>
      </c>
      <c r="P90" s="5" t="s">
        <v>88</v>
      </c>
      <c r="Q90" s="5" t="s">
        <v>89</v>
      </c>
      <c r="R90" s="5"/>
      <c r="S90" s="5"/>
      <c r="T90" s="5"/>
      <c r="U90" s="5"/>
      <c r="V90" s="5"/>
      <c r="W90" s="20"/>
      <c r="X90" s="5"/>
      <c r="Y90" s="16"/>
      <c r="Z90" s="16"/>
      <c r="AA90" s="21" t="str">
        <f aca="false">IF(OR($Y90="",$X90="",$X90=0),"",$Y90-N($Z90)/$X90)</f>
        <v/>
      </c>
      <c r="AB90" s="5"/>
      <c r="AC90" s="22" t="str">
        <f aca="false">IF(OR($Y90="",$L90="",$L90=0),"",$Y90/$L90-1)</f>
        <v/>
      </c>
      <c r="AD90" s="22" t="str">
        <f aca="false">IF(OR($AA90="",$N90="",$N90=0),"",$AA90/$N90-1)</f>
        <v/>
      </c>
      <c r="AE90" s="20"/>
      <c r="AF90" s="5"/>
      <c r="AG90" s="5"/>
      <c r="AH90" s="20"/>
      <c r="AI90" s="5"/>
      <c r="AJ90" s="16"/>
      <c r="AK90" s="16"/>
      <c r="AL90" s="21" t="str">
        <f aca="false">IF(OR($AJ90="",$AI90="",$AI90=0),"",$AJ90-N($AK90)/$AI90)</f>
        <v/>
      </c>
      <c r="AM90" s="22" t="str">
        <f aca="false">IF(OR($AJ90="",$L90="",$L90=0),"",$AJ90/$L90-1)</f>
        <v/>
      </c>
      <c r="AN90" s="22" t="str">
        <f aca="false">IF(OR($AL90="",$N90="",$N90=0),"",$AL90/$N90-1)</f>
        <v/>
      </c>
      <c r="AO90" s="6"/>
    </row>
    <row r="91" customFormat="false" ht="15" hidden="false" customHeight="false" outlineLevel="0" collapsed="false">
      <c r="A91" s="23" t="s">
        <v>438</v>
      </c>
      <c r="B91" s="23" t="s">
        <v>204</v>
      </c>
      <c r="C91" s="23" t="s">
        <v>82</v>
      </c>
      <c r="D91" s="24" t="n">
        <v>1177</v>
      </c>
      <c r="E91" s="23" t="s">
        <v>439</v>
      </c>
      <c r="F91" s="23" t="s">
        <v>440</v>
      </c>
      <c r="G91" s="25" t="n">
        <v>45836</v>
      </c>
      <c r="H91" s="23" t="n">
        <v>18</v>
      </c>
      <c r="I91" s="25" t="n">
        <v>46383</v>
      </c>
      <c r="J91" s="23" t="s">
        <v>85</v>
      </c>
      <c r="K91" s="23" t="s">
        <v>86</v>
      </c>
      <c r="L91" s="26" t="n">
        <v>1833</v>
      </c>
      <c r="M91" s="26" t="n">
        <v>0</v>
      </c>
      <c r="N91" s="27" t="n">
        <f aca="false">IF(OR($L91="",$H91="",$H91=0),"",$L91-N($M91)/$H91)</f>
        <v>1833</v>
      </c>
      <c r="O91" s="23" t="s">
        <v>87</v>
      </c>
      <c r="P91" s="23" t="s">
        <v>88</v>
      </c>
      <c r="Q91" s="23" t="s">
        <v>89</v>
      </c>
      <c r="R91" s="23"/>
      <c r="S91" s="23"/>
      <c r="T91" s="23"/>
      <c r="U91" s="23"/>
      <c r="V91" s="23"/>
      <c r="W91" s="25"/>
      <c r="X91" s="23"/>
      <c r="Y91" s="26"/>
      <c r="Z91" s="26"/>
      <c r="AA91" s="27" t="str">
        <f aca="false">IF(OR($Y91="",$X91="",$X91=0),"",$Y91-N($Z91)/$X91)</f>
        <v/>
      </c>
      <c r="AB91" s="23"/>
      <c r="AC91" s="28" t="str">
        <f aca="false">IF(OR($Y91="",$L91="",$L91=0),"",$Y91/$L91-1)</f>
        <v/>
      </c>
      <c r="AD91" s="28" t="str">
        <f aca="false">IF(OR($AA91="",$N91="",$N91=0),"",$AA91/$N91-1)</f>
        <v/>
      </c>
      <c r="AE91" s="25"/>
      <c r="AF91" s="23"/>
      <c r="AG91" s="23"/>
      <c r="AH91" s="25"/>
      <c r="AI91" s="23"/>
      <c r="AJ91" s="26"/>
      <c r="AK91" s="26"/>
      <c r="AL91" s="27" t="str">
        <f aca="false">IF(OR($AJ91="",$AI91="",$AI91=0),"",$AJ91-N($AK91)/$AI91)</f>
        <v/>
      </c>
      <c r="AM91" s="28" t="str">
        <f aca="false">IF(OR($AJ91="",$L91="",$L91=0),"",$AJ91/$L91-1)</f>
        <v/>
      </c>
      <c r="AN91" s="28" t="str">
        <f aca="false">IF(OR($AL91="",$N91="",$N91=0),"",$AL91/$N91-1)</f>
        <v/>
      </c>
      <c r="AO91" s="24"/>
    </row>
    <row r="92" customFormat="false" ht="15" hidden="false" customHeight="false" outlineLevel="0" collapsed="false">
      <c r="A92" s="5" t="s">
        <v>441</v>
      </c>
      <c r="B92" s="5" t="s">
        <v>161</v>
      </c>
      <c r="C92" s="5" t="s">
        <v>92</v>
      </c>
      <c r="D92" s="6" t="n">
        <v>1340</v>
      </c>
      <c r="E92" s="5" t="s">
        <v>442</v>
      </c>
      <c r="F92" s="5" t="s">
        <v>443</v>
      </c>
      <c r="G92" s="20" t="n">
        <v>45854</v>
      </c>
      <c r="H92" s="5" t="n">
        <v>12</v>
      </c>
      <c r="I92" s="20" t="n">
        <v>46218</v>
      </c>
      <c r="J92" s="5" t="s">
        <v>116</v>
      </c>
      <c r="K92" s="5" t="s">
        <v>86</v>
      </c>
      <c r="L92" s="16" t="n">
        <v>2380</v>
      </c>
      <c r="M92" s="16" t="n">
        <v>4760</v>
      </c>
      <c r="N92" s="21" t="n">
        <f aca="false">IF(OR($L92="",$H92="",$H92=0),"",$L92-N($M92)/$H92)</f>
        <v>1983.33333333333</v>
      </c>
      <c r="O92" s="5" t="s">
        <v>87</v>
      </c>
      <c r="P92" s="5" t="s">
        <v>88</v>
      </c>
      <c r="Q92" s="5" t="s">
        <v>173</v>
      </c>
      <c r="R92" s="5" t="s">
        <v>98</v>
      </c>
      <c r="S92" s="5" t="s">
        <v>98</v>
      </c>
      <c r="T92" s="5"/>
      <c r="U92" s="5"/>
      <c r="V92" s="5"/>
      <c r="W92" s="20"/>
      <c r="X92" s="5"/>
      <c r="Y92" s="16"/>
      <c r="Z92" s="16"/>
      <c r="AA92" s="21" t="str">
        <f aca="false">IF(OR($Y92="",$X92="",$X92=0),"",$Y92-N($Z92)/$X92)</f>
        <v/>
      </c>
      <c r="AB92" s="5"/>
      <c r="AC92" s="22" t="str">
        <f aca="false">IF(OR($Y92="",$L92="",$L92=0),"",$Y92/$L92-1)</f>
        <v/>
      </c>
      <c r="AD92" s="22" t="str">
        <f aca="false">IF(OR($AA92="",$N92="",$N92=0),"",$AA92/$N92-1)</f>
        <v/>
      </c>
      <c r="AE92" s="20"/>
      <c r="AF92" s="5"/>
      <c r="AG92" s="5"/>
      <c r="AH92" s="20"/>
      <c r="AI92" s="5"/>
      <c r="AJ92" s="16"/>
      <c r="AK92" s="16"/>
      <c r="AL92" s="21" t="str">
        <f aca="false">IF(OR($AJ92="",$AI92="",$AI92=0),"",$AJ92-N($AK92)/$AI92)</f>
        <v/>
      </c>
      <c r="AM92" s="22" t="str">
        <f aca="false">IF(OR($AJ92="",$L92="",$L92=0),"",$AJ92/$L92-1)</f>
        <v/>
      </c>
      <c r="AN92" s="22" t="str">
        <f aca="false">IF(OR($AL92="",$N92="",$N92=0),"",$AL92/$N92-1)</f>
        <v/>
      </c>
      <c r="AO92" s="6"/>
    </row>
    <row r="93" customFormat="false" ht="15" hidden="false" customHeight="false" outlineLevel="0" collapsed="false">
      <c r="A93" s="23" t="s">
        <v>444</v>
      </c>
      <c r="B93" s="23" t="s">
        <v>102</v>
      </c>
      <c r="C93" s="23" t="s">
        <v>103</v>
      </c>
      <c r="D93" s="24" t="n">
        <v>693</v>
      </c>
      <c r="E93" s="23" t="s">
        <v>445</v>
      </c>
      <c r="F93" s="23" t="s">
        <v>446</v>
      </c>
      <c r="G93" s="25" t="n">
        <v>45990</v>
      </c>
      <c r="H93" s="23" t="n">
        <v>12</v>
      </c>
      <c r="I93" s="25" t="n">
        <v>46354</v>
      </c>
      <c r="J93" s="23" t="s">
        <v>193</v>
      </c>
      <c r="K93" s="23" t="s">
        <v>86</v>
      </c>
      <c r="L93" s="26" t="n">
        <v>1349</v>
      </c>
      <c r="M93" s="26" t="n">
        <v>0</v>
      </c>
      <c r="N93" s="27" t="n">
        <f aca="false">IF(OR($L93="",$H93="",$H93=0),"",$L93-N($M93)/$H93)</f>
        <v>1349</v>
      </c>
      <c r="O93" s="23" t="s">
        <v>87</v>
      </c>
      <c r="P93" s="23" t="s">
        <v>88</v>
      </c>
      <c r="Q93" s="23" t="s">
        <v>89</v>
      </c>
      <c r="R93" s="23"/>
      <c r="S93" s="23"/>
      <c r="T93" s="23"/>
      <c r="U93" s="23"/>
      <c r="V93" s="23"/>
      <c r="W93" s="25"/>
      <c r="X93" s="23"/>
      <c r="Y93" s="26"/>
      <c r="Z93" s="26"/>
      <c r="AA93" s="27" t="str">
        <f aca="false">IF(OR($Y93="",$X93="",$X93=0),"",$Y93-N($Z93)/$X93)</f>
        <v/>
      </c>
      <c r="AB93" s="23"/>
      <c r="AC93" s="28" t="str">
        <f aca="false">IF(OR($Y93="",$L93="",$L93=0),"",$Y93/$L93-1)</f>
        <v/>
      </c>
      <c r="AD93" s="28" t="str">
        <f aca="false">IF(OR($AA93="",$N93="",$N93=0),"",$AA93/$N93-1)</f>
        <v/>
      </c>
      <c r="AE93" s="25"/>
      <c r="AF93" s="23"/>
      <c r="AG93" s="23"/>
      <c r="AH93" s="25"/>
      <c r="AI93" s="23"/>
      <c r="AJ93" s="26"/>
      <c r="AK93" s="26"/>
      <c r="AL93" s="27" t="str">
        <f aca="false">IF(OR($AJ93="",$AI93="",$AI93=0),"",$AJ93-N($AK93)/$AI93)</f>
        <v/>
      </c>
      <c r="AM93" s="28" t="str">
        <f aca="false">IF(OR($AJ93="",$L93="",$L93=0),"",$AJ93/$L93-1)</f>
        <v/>
      </c>
      <c r="AN93" s="28" t="str">
        <f aca="false">IF(OR($AL93="",$N93="",$N93=0),"",$AL93/$N93-1)</f>
        <v/>
      </c>
      <c r="AO93" s="24"/>
    </row>
    <row r="94" customFormat="false" ht="15" hidden="false" customHeight="false" outlineLevel="0" collapsed="false">
      <c r="A94" s="5" t="s">
        <v>447</v>
      </c>
      <c r="B94" s="5" t="s">
        <v>102</v>
      </c>
      <c r="C94" s="5" t="s">
        <v>103</v>
      </c>
      <c r="D94" s="6" t="n">
        <v>693</v>
      </c>
      <c r="E94" s="5" t="s">
        <v>448</v>
      </c>
      <c r="F94" s="5" t="s">
        <v>449</v>
      </c>
      <c r="G94" s="20" t="n">
        <v>45990</v>
      </c>
      <c r="H94" s="5" t="n">
        <v>12</v>
      </c>
      <c r="I94" s="20" t="n">
        <v>46354</v>
      </c>
      <c r="J94" s="5" t="s">
        <v>193</v>
      </c>
      <c r="K94" s="5" t="s">
        <v>86</v>
      </c>
      <c r="L94" s="16" t="n">
        <v>1399</v>
      </c>
      <c r="M94" s="16" t="n">
        <v>699.5</v>
      </c>
      <c r="N94" s="21" t="n">
        <f aca="false">IF(OR($L94="",$H94="",$H94=0),"",$L94-N($M94)/$H94)</f>
        <v>1340.70833333333</v>
      </c>
      <c r="O94" s="5" t="s">
        <v>87</v>
      </c>
      <c r="P94" s="5" t="s">
        <v>88</v>
      </c>
      <c r="Q94" s="5" t="s">
        <v>89</v>
      </c>
      <c r="R94" s="5"/>
      <c r="S94" s="5"/>
      <c r="T94" s="5"/>
      <c r="U94" s="5"/>
      <c r="V94" s="5"/>
      <c r="W94" s="20"/>
      <c r="X94" s="5"/>
      <c r="Y94" s="16"/>
      <c r="Z94" s="16"/>
      <c r="AA94" s="21" t="str">
        <f aca="false">IF(OR($Y94="",$X94="",$X94=0),"",$Y94-N($Z94)/$X94)</f>
        <v/>
      </c>
      <c r="AB94" s="5"/>
      <c r="AC94" s="22" t="str">
        <f aca="false">IF(OR($Y94="",$L94="",$L94=0),"",$Y94/$L94-1)</f>
        <v/>
      </c>
      <c r="AD94" s="22" t="str">
        <f aca="false">IF(OR($AA94="",$N94="",$N94=0),"",$AA94/$N94-1)</f>
        <v/>
      </c>
      <c r="AE94" s="20"/>
      <c r="AF94" s="5"/>
      <c r="AG94" s="5"/>
      <c r="AH94" s="20"/>
      <c r="AI94" s="5"/>
      <c r="AJ94" s="16"/>
      <c r="AK94" s="16"/>
      <c r="AL94" s="21" t="str">
        <f aca="false">IF(OR($AJ94="",$AI94="",$AI94=0),"",$AJ94-N($AK94)/$AI94)</f>
        <v/>
      </c>
      <c r="AM94" s="22" t="str">
        <f aca="false">IF(OR($AJ94="",$L94="",$L94=0),"",$AJ94/$L94-1)</f>
        <v/>
      </c>
      <c r="AN94" s="22" t="str">
        <f aca="false">IF(OR($AL94="",$N94="",$N94=0),"",$AL94/$N94-1)</f>
        <v/>
      </c>
      <c r="AO94" s="6"/>
    </row>
    <row r="95" customFormat="false" ht="15" hidden="false" customHeight="false" outlineLevel="0" collapsed="false">
      <c r="A95" s="23" t="s">
        <v>450</v>
      </c>
      <c r="B95" s="23" t="s">
        <v>81</v>
      </c>
      <c r="C95" s="23" t="s">
        <v>82</v>
      </c>
      <c r="D95" s="24" t="n">
        <v>1141</v>
      </c>
      <c r="E95" s="23" t="s">
        <v>451</v>
      </c>
      <c r="F95" s="23" t="s">
        <v>452</v>
      </c>
      <c r="G95" s="25" t="n">
        <v>45886</v>
      </c>
      <c r="H95" s="23" t="n">
        <v>18</v>
      </c>
      <c r="I95" s="25" t="n">
        <v>46434</v>
      </c>
      <c r="J95" s="23" t="s">
        <v>251</v>
      </c>
      <c r="K95" s="23" t="s">
        <v>86</v>
      </c>
      <c r="L95" s="26" t="n">
        <v>1929</v>
      </c>
      <c r="M95" s="26" t="n">
        <v>2893</v>
      </c>
      <c r="N95" s="27" t="n">
        <f aca="false">IF(OR($L95="",$H95="",$H95=0),"",$L95-N($M95)/$H95)</f>
        <v>1768.27777777778</v>
      </c>
      <c r="O95" s="23" t="s">
        <v>87</v>
      </c>
      <c r="P95" s="23" t="s">
        <v>88</v>
      </c>
      <c r="Q95" s="23" t="s">
        <v>89</v>
      </c>
      <c r="R95" s="23"/>
      <c r="S95" s="23"/>
      <c r="T95" s="23"/>
      <c r="U95" s="23"/>
      <c r="V95" s="23"/>
      <c r="W95" s="25"/>
      <c r="X95" s="23"/>
      <c r="Y95" s="26"/>
      <c r="Z95" s="26"/>
      <c r="AA95" s="27" t="str">
        <f aca="false">IF(OR($Y95="",$X95="",$X95=0),"",$Y95-N($Z95)/$X95)</f>
        <v/>
      </c>
      <c r="AB95" s="23"/>
      <c r="AC95" s="28" t="str">
        <f aca="false">IF(OR($Y95="",$L95="",$L95=0),"",$Y95/$L95-1)</f>
        <v/>
      </c>
      <c r="AD95" s="28" t="str">
        <f aca="false">IF(OR($AA95="",$N95="",$N95=0),"",$AA95/$N95-1)</f>
        <v/>
      </c>
      <c r="AE95" s="25"/>
      <c r="AF95" s="23"/>
      <c r="AG95" s="23"/>
      <c r="AH95" s="25"/>
      <c r="AI95" s="23"/>
      <c r="AJ95" s="26"/>
      <c r="AK95" s="26"/>
      <c r="AL95" s="27" t="str">
        <f aca="false">IF(OR($AJ95="",$AI95="",$AI95=0),"",$AJ95-N($AK95)/$AI95)</f>
        <v/>
      </c>
      <c r="AM95" s="28" t="str">
        <f aca="false">IF(OR($AJ95="",$L95="",$L95=0),"",$AJ95/$L95-1)</f>
        <v/>
      </c>
      <c r="AN95" s="28" t="str">
        <f aca="false">IF(OR($AL95="",$N95="",$N95=0),"",$AL95/$N95-1)</f>
        <v/>
      </c>
      <c r="AO95" s="24"/>
    </row>
    <row r="96" customFormat="false" ht="15" hidden="false" customHeight="false" outlineLevel="0" collapsed="false">
      <c r="A96" s="5" t="s">
        <v>453</v>
      </c>
      <c r="B96" s="5" t="s">
        <v>204</v>
      </c>
      <c r="C96" s="5" t="s">
        <v>82</v>
      </c>
      <c r="D96" s="6" t="n">
        <v>1177</v>
      </c>
      <c r="E96" s="5" t="s">
        <v>454</v>
      </c>
      <c r="F96" s="5" t="s">
        <v>455</v>
      </c>
      <c r="G96" s="20" t="n">
        <v>45839</v>
      </c>
      <c r="H96" s="5" t="n">
        <v>16</v>
      </c>
      <c r="I96" s="20" t="n">
        <v>46326</v>
      </c>
      <c r="J96" s="5" t="s">
        <v>106</v>
      </c>
      <c r="K96" s="5" t="s">
        <v>86</v>
      </c>
      <c r="L96" s="16" t="n">
        <v>2098</v>
      </c>
      <c r="M96" s="16" t="n">
        <v>3147</v>
      </c>
      <c r="N96" s="21" t="n">
        <f aca="false">IF(OR($L96="",$H96="",$H96=0),"",$L96-N($M96)/$H96)</f>
        <v>1901.3125</v>
      </c>
      <c r="O96" s="5" t="s">
        <v>87</v>
      </c>
      <c r="P96" s="5" t="s">
        <v>88</v>
      </c>
      <c r="Q96" s="5" t="s">
        <v>89</v>
      </c>
      <c r="R96" s="5"/>
      <c r="S96" s="5"/>
      <c r="T96" s="5"/>
      <c r="U96" s="5"/>
      <c r="V96" s="5"/>
      <c r="W96" s="20"/>
      <c r="X96" s="5"/>
      <c r="Y96" s="16"/>
      <c r="Z96" s="16"/>
      <c r="AA96" s="21" t="str">
        <f aca="false">IF(OR($Y96="",$X96="",$X96=0),"",$Y96-N($Z96)/$X96)</f>
        <v/>
      </c>
      <c r="AB96" s="5"/>
      <c r="AC96" s="22" t="str">
        <f aca="false">IF(OR($Y96="",$L96="",$L96=0),"",$Y96/$L96-1)</f>
        <v/>
      </c>
      <c r="AD96" s="22" t="str">
        <f aca="false">IF(OR($AA96="",$N96="",$N96=0),"",$AA96/$N96-1)</f>
        <v/>
      </c>
      <c r="AE96" s="20"/>
      <c r="AF96" s="5"/>
      <c r="AG96" s="5"/>
      <c r="AH96" s="20"/>
      <c r="AI96" s="5"/>
      <c r="AJ96" s="16"/>
      <c r="AK96" s="16"/>
      <c r="AL96" s="21" t="str">
        <f aca="false">IF(OR($AJ96="",$AI96="",$AI96=0),"",$AJ96-N($AK96)/$AI96)</f>
        <v/>
      </c>
      <c r="AM96" s="22" t="str">
        <f aca="false">IF(OR($AJ96="",$L96="",$L96=0),"",$AJ96/$L96-1)</f>
        <v/>
      </c>
      <c r="AN96" s="22" t="str">
        <f aca="false">IF(OR($AL96="",$N96="",$N96=0),"",$AL96/$N96-1)</f>
        <v/>
      </c>
      <c r="AO96" s="6"/>
    </row>
    <row r="97" customFormat="false" ht="15" hidden="false" customHeight="false" outlineLevel="0" collapsed="false">
      <c r="A97" s="23" t="s">
        <v>456</v>
      </c>
      <c r="B97" s="23" t="s">
        <v>81</v>
      </c>
      <c r="C97" s="23" t="s">
        <v>82</v>
      </c>
      <c r="D97" s="24" t="n">
        <v>1141</v>
      </c>
      <c r="E97" s="23" t="s">
        <v>457</v>
      </c>
      <c r="F97" s="23" t="s">
        <v>458</v>
      </c>
      <c r="G97" s="25" t="n">
        <v>45941</v>
      </c>
      <c r="H97" s="23" t="n">
        <v>12</v>
      </c>
      <c r="I97" s="25" t="n">
        <v>46022</v>
      </c>
      <c r="J97" s="23" t="s">
        <v>289</v>
      </c>
      <c r="K97" s="23" t="s">
        <v>86</v>
      </c>
      <c r="L97" s="26" t="n">
        <v>1894</v>
      </c>
      <c r="M97" s="26" t="n">
        <v>1896</v>
      </c>
      <c r="N97" s="27" t="n">
        <f aca="false">IF(OR($L97="",$H97="",$H97=0),"",$L97-N($M97)/$H97)</f>
        <v>1736</v>
      </c>
      <c r="O97" s="23" t="s">
        <v>87</v>
      </c>
      <c r="P97" s="23" t="s">
        <v>96</v>
      </c>
      <c r="Q97" s="23" t="s">
        <v>97</v>
      </c>
      <c r="R97" s="23" t="s">
        <v>98</v>
      </c>
      <c r="S97" s="23" t="s">
        <v>98</v>
      </c>
      <c r="T97" s="23"/>
      <c r="U97" s="23"/>
      <c r="V97" s="23"/>
      <c r="W97" s="25"/>
      <c r="X97" s="23"/>
      <c r="Y97" s="26"/>
      <c r="Z97" s="26"/>
      <c r="AA97" s="27" t="str">
        <f aca="false">IF(OR($Y97="",$X97="",$X97=0),"",$Y97-N($Z97)/$X97)</f>
        <v/>
      </c>
      <c r="AB97" s="23"/>
      <c r="AC97" s="28" t="str">
        <f aca="false">IF(OR($Y97="",$L97="",$L97=0),"",$Y97/$L97-1)</f>
        <v/>
      </c>
      <c r="AD97" s="28" t="str">
        <f aca="false">IF(OR($AA97="",$N97="",$N97=0),"",$AA97/$N97-1)</f>
        <v/>
      </c>
      <c r="AE97" s="25" t="n">
        <v>46168</v>
      </c>
      <c r="AF97" s="23" t="s">
        <v>459</v>
      </c>
      <c r="AG97" s="23" t="s">
        <v>460</v>
      </c>
      <c r="AH97" s="25" t="n">
        <v>46173</v>
      </c>
      <c r="AI97" s="23" t="n">
        <v>12</v>
      </c>
      <c r="AJ97" s="26" t="n">
        <v>2095</v>
      </c>
      <c r="AK97" s="26" t="n">
        <v>0</v>
      </c>
      <c r="AL97" s="27" t="n">
        <f aca="false">IF(OR($AJ97="",$AI97="",$AI97=0),"",$AJ97-N($AK97)/$AI97)</f>
        <v>2095</v>
      </c>
      <c r="AM97" s="28" t="n">
        <f aca="false">IF(OR($AJ97="",$L97="",$L97=0),"",$AJ97/$L97-1)</f>
        <v>0.106124604012672</v>
      </c>
      <c r="AN97" s="28" t="n">
        <f aca="false">IF(OR($AL97="",$N97="",$N97=0),"",$AL97/$N97-1)</f>
        <v>0.206797235023041</v>
      </c>
      <c r="AO97" s="24" t="n">
        <v>5</v>
      </c>
    </row>
    <row r="98" customFormat="false" ht="15" hidden="false" customHeight="false" outlineLevel="0" collapsed="false">
      <c r="A98" s="5" t="s">
        <v>461</v>
      </c>
      <c r="B98" s="5" t="s">
        <v>145</v>
      </c>
      <c r="C98" s="5" t="s">
        <v>82</v>
      </c>
      <c r="D98" s="6" t="n">
        <v>1165</v>
      </c>
      <c r="E98" s="5" t="s">
        <v>462</v>
      </c>
      <c r="F98" s="5" t="s">
        <v>463</v>
      </c>
      <c r="G98" s="20" t="n">
        <v>45897</v>
      </c>
      <c r="H98" s="5" t="n">
        <v>12</v>
      </c>
      <c r="I98" s="20" t="n">
        <v>46081</v>
      </c>
      <c r="J98" s="5" t="s">
        <v>95</v>
      </c>
      <c r="K98" s="5" t="s">
        <v>126</v>
      </c>
      <c r="L98" s="16" t="n">
        <v>1920</v>
      </c>
      <c r="M98" s="16" t="n">
        <v>1920</v>
      </c>
      <c r="N98" s="21" t="n">
        <f aca="false">IF(OR($L98="",$H98="",$H98=0),"",$L98-N($M98)/$H98)</f>
        <v>1760</v>
      </c>
      <c r="O98" s="5" t="s">
        <v>87</v>
      </c>
      <c r="P98" s="5" t="s">
        <v>96</v>
      </c>
      <c r="Q98" s="5" t="s">
        <v>127</v>
      </c>
      <c r="R98" s="5" t="s">
        <v>98</v>
      </c>
      <c r="S98" s="5" t="s">
        <v>98</v>
      </c>
      <c r="T98" s="5"/>
      <c r="U98" s="5"/>
      <c r="V98" s="5"/>
      <c r="W98" s="20" t="n">
        <v>46082</v>
      </c>
      <c r="X98" s="5" t="n">
        <v>9</v>
      </c>
      <c r="Y98" s="16" t="n">
        <v>1945</v>
      </c>
      <c r="Z98" s="16" t="n">
        <v>0</v>
      </c>
      <c r="AA98" s="21" t="n">
        <f aca="false">IF(OR($Y98="",$X98="",$X98=0),"",$Y98-N($Z98)/$X98)</f>
        <v>1945</v>
      </c>
      <c r="AB98" s="5"/>
      <c r="AC98" s="22" t="n">
        <f aca="false">IF(OR($Y98="",$L98="",$L98=0),"",$Y98/$L98-1)</f>
        <v>0.0130208333333333</v>
      </c>
      <c r="AD98" s="22" t="n">
        <f aca="false">IF(OR($AA98="",$N98="",$N98=0),"",$AA98/$N98-1)</f>
        <v>0.105113636363636</v>
      </c>
      <c r="AE98" s="20"/>
      <c r="AF98" s="5"/>
      <c r="AG98" s="5"/>
      <c r="AH98" s="20"/>
      <c r="AI98" s="5"/>
      <c r="AJ98" s="16"/>
      <c r="AK98" s="16"/>
      <c r="AL98" s="21" t="str">
        <f aca="false">IF(OR($AJ98="",$AI98="",$AI98=0),"",$AJ98-N($AK98)/$AI98)</f>
        <v/>
      </c>
      <c r="AM98" s="22" t="str">
        <f aca="false">IF(OR($AJ98="",$L98="",$L98=0),"",$AJ98/$L98-1)</f>
        <v/>
      </c>
      <c r="AN98" s="22" t="str">
        <f aca="false">IF(OR($AL98="",$N98="",$N98=0),"",$AL98/$N98-1)</f>
        <v/>
      </c>
      <c r="AO98" s="6"/>
    </row>
    <row r="99" customFormat="false" ht="15" hidden="false" customHeight="false" outlineLevel="0" collapsed="false">
      <c r="A99" s="23" t="s">
        <v>464</v>
      </c>
      <c r="B99" s="23" t="s">
        <v>102</v>
      </c>
      <c r="C99" s="23" t="s">
        <v>103</v>
      </c>
      <c r="D99" s="24" t="n">
        <v>693</v>
      </c>
      <c r="E99" s="23" t="s">
        <v>465</v>
      </c>
      <c r="F99" s="23" t="s">
        <v>466</v>
      </c>
      <c r="G99" s="25" t="n">
        <v>45825</v>
      </c>
      <c r="H99" s="23" t="n">
        <v>12</v>
      </c>
      <c r="I99" s="25" t="n">
        <v>46189</v>
      </c>
      <c r="J99" s="23" t="s">
        <v>152</v>
      </c>
      <c r="K99" s="23" t="s">
        <v>202</v>
      </c>
      <c r="L99" s="26" t="n">
        <v>1555</v>
      </c>
      <c r="M99" s="26" t="n">
        <v>1000</v>
      </c>
      <c r="N99" s="27" t="n">
        <f aca="false">IF(OR($L99="",$H99="",$H99=0),"",$L99-N($M99)/$H99)</f>
        <v>1471.66666666667</v>
      </c>
      <c r="O99" s="23" t="s">
        <v>87</v>
      </c>
      <c r="P99" s="23" t="s">
        <v>202</v>
      </c>
      <c r="Q99" s="23" t="s">
        <v>127</v>
      </c>
      <c r="R99" s="23" t="s">
        <v>98</v>
      </c>
      <c r="S99" s="23" t="s">
        <v>98</v>
      </c>
      <c r="T99" s="23"/>
      <c r="U99" s="23"/>
      <c r="V99" s="23"/>
      <c r="W99" s="25" t="n">
        <v>46190</v>
      </c>
      <c r="X99" s="23" t="n">
        <v>12</v>
      </c>
      <c r="Y99" s="26" t="n">
        <v>1555</v>
      </c>
      <c r="Z99" s="26" t="n">
        <v>0</v>
      </c>
      <c r="AA99" s="27" t="n">
        <f aca="false">IF(OR($Y99="",$X99="",$X99=0),"",$Y99-N($Z99)/$X99)</f>
        <v>1555</v>
      </c>
      <c r="AB99" s="23" t="s">
        <v>98</v>
      </c>
      <c r="AC99" s="28" t="n">
        <f aca="false">IF(OR($Y99="",$L99="",$L99=0),"",$Y99/$L99-1)</f>
        <v>0</v>
      </c>
      <c r="AD99" s="28" t="n">
        <f aca="false">IF(OR($AA99="",$N99="",$N99=0),"",$AA99/$N99-1)</f>
        <v>0.0566251415628538</v>
      </c>
      <c r="AE99" s="25"/>
      <c r="AF99" s="23"/>
      <c r="AG99" s="23"/>
      <c r="AH99" s="25"/>
      <c r="AI99" s="23"/>
      <c r="AJ99" s="26"/>
      <c r="AK99" s="26"/>
      <c r="AL99" s="27" t="str">
        <f aca="false">IF(OR($AJ99="",$AI99="",$AI99=0),"",$AJ99-N($AK99)/$AI99)</f>
        <v/>
      </c>
      <c r="AM99" s="28" t="str">
        <f aca="false">IF(OR($AJ99="",$L99="",$L99=0),"",$AJ99/$L99-1)</f>
        <v/>
      </c>
      <c r="AN99" s="28" t="str">
        <f aca="false">IF(OR($AL99="",$N99="",$N99=0),"",$AL99/$N99-1)</f>
        <v/>
      </c>
      <c r="AO99" s="24"/>
    </row>
    <row r="100" customFormat="false" ht="15" hidden="false" customHeight="false" outlineLevel="0" collapsed="false">
      <c r="A100" s="5" t="s">
        <v>467</v>
      </c>
      <c r="B100" s="5" t="s">
        <v>108</v>
      </c>
      <c r="C100" s="5" t="s">
        <v>103</v>
      </c>
      <c r="D100" s="6" t="n">
        <v>746</v>
      </c>
      <c r="E100" s="5" t="s">
        <v>468</v>
      </c>
      <c r="F100" s="5" t="s">
        <v>469</v>
      </c>
      <c r="G100" s="20" t="n">
        <v>45862</v>
      </c>
      <c r="H100" s="5" t="n">
        <v>12</v>
      </c>
      <c r="I100" s="20" t="n">
        <v>46226</v>
      </c>
      <c r="J100" s="5" t="s">
        <v>116</v>
      </c>
      <c r="K100" s="5" t="s">
        <v>86</v>
      </c>
      <c r="L100" s="16" t="n">
        <v>1749</v>
      </c>
      <c r="M100" s="16" t="n">
        <v>3498</v>
      </c>
      <c r="N100" s="21" t="n">
        <f aca="false">IF(OR($L100="",$H100="",$H100=0),"",$L100-N($M100)/$H100)</f>
        <v>1457.5</v>
      </c>
      <c r="O100" s="5" t="s">
        <v>87</v>
      </c>
      <c r="P100" s="5" t="s">
        <v>88</v>
      </c>
      <c r="Q100" s="5" t="s">
        <v>97</v>
      </c>
      <c r="R100" s="5" t="s">
        <v>98</v>
      </c>
      <c r="S100" s="5" t="s">
        <v>98</v>
      </c>
      <c r="T100" s="5"/>
      <c r="U100" s="5"/>
      <c r="V100" s="5"/>
      <c r="W100" s="20"/>
      <c r="X100" s="5"/>
      <c r="Y100" s="16"/>
      <c r="Z100" s="16"/>
      <c r="AA100" s="21" t="str">
        <f aca="false">IF(OR($Y100="",$X100="",$X100=0),"",$Y100-N($Z100)/$X100)</f>
        <v/>
      </c>
      <c r="AB100" s="5"/>
      <c r="AC100" s="22" t="str">
        <f aca="false">IF(OR($Y100="",$L100="",$L100=0),"",$Y100/$L100-1)</f>
        <v/>
      </c>
      <c r="AD100" s="22" t="str">
        <f aca="false">IF(OR($AA100="",$N100="",$N100=0),"",$AA100/$N100-1)</f>
        <v/>
      </c>
      <c r="AE100" s="20" t="n">
        <v>46226</v>
      </c>
      <c r="AF100" s="5" t="s">
        <v>470</v>
      </c>
      <c r="AG100" s="5" t="s">
        <v>471</v>
      </c>
      <c r="AH100" s="20" t="n">
        <v>46233</v>
      </c>
      <c r="AI100" s="5" t="n">
        <v>9</v>
      </c>
      <c r="AJ100" s="16" t="n">
        <v>1769</v>
      </c>
      <c r="AK100" s="16" t="n">
        <v>0</v>
      </c>
      <c r="AL100" s="21" t="n">
        <f aca="false">IF(OR($AJ100="",$AI100="",$AI100=0),"",$AJ100-N($AK100)/$AI100)</f>
        <v>1769</v>
      </c>
      <c r="AM100" s="22" t="n">
        <f aca="false">IF(OR($AJ100="",$L100="",$L100=0),"",$AJ100/$L100-1)</f>
        <v>0.0114351057747284</v>
      </c>
      <c r="AN100" s="22" t="n">
        <f aca="false">IF(OR($AL100="",$N100="",$N100=0),"",$AL100/$N100-1)</f>
        <v>0.213722126929674</v>
      </c>
      <c r="AO100" s="6" t="n">
        <v>7</v>
      </c>
    </row>
    <row r="101" customFormat="false" ht="15" hidden="false" customHeight="false" outlineLevel="0" collapsed="false">
      <c r="A101" s="23" t="s">
        <v>472</v>
      </c>
      <c r="B101" s="23" t="s">
        <v>102</v>
      </c>
      <c r="C101" s="23" t="s">
        <v>103</v>
      </c>
      <c r="D101" s="24" t="n">
        <v>693</v>
      </c>
      <c r="E101" s="23" t="s">
        <v>473</v>
      </c>
      <c r="F101" s="23" t="s">
        <v>474</v>
      </c>
      <c r="G101" s="25" t="n">
        <v>45992</v>
      </c>
      <c r="H101" s="23" t="n">
        <v>12</v>
      </c>
      <c r="I101" s="25" t="n">
        <v>46356</v>
      </c>
      <c r="J101" s="23" t="s">
        <v>193</v>
      </c>
      <c r="K101" s="23" t="s">
        <v>86</v>
      </c>
      <c r="L101" s="26" t="n">
        <v>1349</v>
      </c>
      <c r="M101" s="26" t="n">
        <v>0</v>
      </c>
      <c r="N101" s="27" t="n">
        <f aca="false">IF(OR($L101="",$H101="",$H101=0),"",$L101-N($M101)/$H101)</f>
        <v>1349</v>
      </c>
      <c r="O101" s="23" t="s">
        <v>87</v>
      </c>
      <c r="P101" s="23" t="s">
        <v>88</v>
      </c>
      <c r="Q101" s="23" t="s">
        <v>89</v>
      </c>
      <c r="R101" s="23"/>
      <c r="S101" s="23"/>
      <c r="T101" s="23"/>
      <c r="U101" s="23"/>
      <c r="V101" s="23"/>
      <c r="W101" s="25"/>
      <c r="X101" s="23"/>
      <c r="Y101" s="26"/>
      <c r="Z101" s="26"/>
      <c r="AA101" s="27" t="str">
        <f aca="false">IF(OR($Y101="",$X101="",$X101=0),"",$Y101-N($Z101)/$X101)</f>
        <v/>
      </c>
      <c r="AB101" s="23"/>
      <c r="AC101" s="28" t="str">
        <f aca="false">IF(OR($Y101="",$L101="",$L101=0),"",$Y101/$L101-1)</f>
        <v/>
      </c>
      <c r="AD101" s="28" t="str">
        <f aca="false">IF(OR($AA101="",$N101="",$N101=0),"",$AA101/$N101-1)</f>
        <v/>
      </c>
      <c r="AE101" s="25"/>
      <c r="AF101" s="23"/>
      <c r="AG101" s="23"/>
      <c r="AH101" s="25"/>
      <c r="AI101" s="23"/>
      <c r="AJ101" s="26"/>
      <c r="AK101" s="26"/>
      <c r="AL101" s="27" t="str">
        <f aca="false">IF(OR($AJ101="",$AI101="",$AI101=0),"",$AJ101-N($AK101)/$AI101)</f>
        <v/>
      </c>
      <c r="AM101" s="28" t="str">
        <f aca="false">IF(OR($AJ101="",$L101="",$L101=0),"",$AJ101/$L101-1)</f>
        <v/>
      </c>
      <c r="AN101" s="28" t="str">
        <f aca="false">IF(OR($AL101="",$N101="",$N101=0),"",$AL101/$N101-1)</f>
        <v/>
      </c>
      <c r="AO101" s="24"/>
    </row>
    <row r="102" customFormat="false" ht="15" hidden="false" customHeight="false" outlineLevel="0" collapsed="false">
      <c r="A102" s="5" t="s">
        <v>475</v>
      </c>
      <c r="B102" s="5" t="s">
        <v>81</v>
      </c>
      <c r="C102" s="5" t="s">
        <v>82</v>
      </c>
      <c r="D102" s="6" t="n">
        <v>1141</v>
      </c>
      <c r="E102" s="5" t="s">
        <v>476</v>
      </c>
      <c r="F102" s="5" t="s">
        <v>477</v>
      </c>
      <c r="G102" s="20" t="n">
        <v>45836</v>
      </c>
      <c r="H102" s="5" t="n">
        <v>12</v>
      </c>
      <c r="I102" s="20" t="n">
        <v>46200</v>
      </c>
      <c r="J102" s="5" t="s">
        <v>152</v>
      </c>
      <c r="K102" s="5" t="s">
        <v>86</v>
      </c>
      <c r="L102" s="16" t="n">
        <v>1894</v>
      </c>
      <c r="M102" s="16" t="n">
        <v>1896</v>
      </c>
      <c r="N102" s="21" t="n">
        <f aca="false">IF(OR($L102="",$H102="",$H102=0),"",$L102-N($M102)/$H102)</f>
        <v>1736</v>
      </c>
      <c r="O102" s="5" t="s">
        <v>87</v>
      </c>
      <c r="P102" s="5" t="s">
        <v>96</v>
      </c>
      <c r="Q102" s="5" t="s">
        <v>97</v>
      </c>
      <c r="R102" s="5" t="s">
        <v>98</v>
      </c>
      <c r="S102" s="5" t="s">
        <v>98</v>
      </c>
      <c r="T102" s="5" t="s">
        <v>98</v>
      </c>
      <c r="U102" s="5"/>
      <c r="V102" s="5"/>
      <c r="W102" s="20"/>
      <c r="X102" s="5"/>
      <c r="Y102" s="16"/>
      <c r="Z102" s="16"/>
      <c r="AA102" s="21" t="str">
        <f aca="false">IF(OR($Y102="",$X102="",$X102=0),"",$Y102-N($Z102)/$X102)</f>
        <v/>
      </c>
      <c r="AB102" s="5"/>
      <c r="AC102" s="22" t="str">
        <f aca="false">IF(OR($Y102="",$L102="",$L102=0),"",$Y102/$L102-1)</f>
        <v/>
      </c>
      <c r="AD102" s="22" t="str">
        <f aca="false">IF(OR($AA102="",$N102="",$N102=0),"",$AA102/$N102-1)</f>
        <v/>
      </c>
      <c r="AE102" s="20" t="n">
        <v>46173</v>
      </c>
      <c r="AF102" s="5" t="s">
        <v>478</v>
      </c>
      <c r="AG102" s="5" t="s">
        <v>479</v>
      </c>
      <c r="AH102" s="20" t="n">
        <v>46219</v>
      </c>
      <c r="AI102" s="5" t="n">
        <v>12</v>
      </c>
      <c r="AJ102" s="16" t="n">
        <v>2055</v>
      </c>
      <c r="AK102" s="16" t="n">
        <v>0</v>
      </c>
      <c r="AL102" s="21" t="n">
        <f aca="false">IF(OR($AJ102="",$AI102="",$AI102=0),"",$AJ102-N($AK102)/$AI102)</f>
        <v>2055</v>
      </c>
      <c r="AM102" s="22" t="n">
        <f aca="false">IF(OR($AJ102="",$L102="",$L102=0),"",$AJ102/$L102-1)</f>
        <v>0.0850052798310454</v>
      </c>
      <c r="AN102" s="22" t="n">
        <f aca="false">IF(OR($AL102="",$N102="",$N102=0),"",$AL102/$N102-1)</f>
        <v>0.183755760368664</v>
      </c>
      <c r="AO102" s="6" t="n">
        <v>46</v>
      </c>
    </row>
    <row r="103" customFormat="false" ht="15" hidden="false" customHeight="false" outlineLevel="0" collapsed="false">
      <c r="A103" s="23" t="s">
        <v>480</v>
      </c>
      <c r="B103" s="23" t="s">
        <v>102</v>
      </c>
      <c r="C103" s="23" t="s">
        <v>103</v>
      </c>
      <c r="D103" s="24" t="n">
        <v>693</v>
      </c>
      <c r="E103" s="23" t="s">
        <v>481</v>
      </c>
      <c r="F103" s="23" t="s">
        <v>482</v>
      </c>
      <c r="G103" s="25" t="n">
        <v>46003</v>
      </c>
      <c r="H103" s="23" t="n">
        <v>9</v>
      </c>
      <c r="I103" s="25" t="n">
        <v>46276</v>
      </c>
      <c r="J103" s="23" t="s">
        <v>186</v>
      </c>
      <c r="K103" s="23" t="s">
        <v>86</v>
      </c>
      <c r="L103" s="26" t="n">
        <v>1349</v>
      </c>
      <c r="M103" s="26" t="n">
        <v>0</v>
      </c>
      <c r="N103" s="27" t="n">
        <f aca="false">IF(OR($L103="",$H103="",$H103=0),"",$L103-N($M103)/$H103)</f>
        <v>1349</v>
      </c>
      <c r="O103" s="23" t="s">
        <v>87</v>
      </c>
      <c r="P103" s="23" t="s">
        <v>88</v>
      </c>
      <c r="Q103" s="23" t="s">
        <v>89</v>
      </c>
      <c r="R103" s="23"/>
      <c r="S103" s="23"/>
      <c r="T103" s="23"/>
      <c r="U103" s="23"/>
      <c r="V103" s="23"/>
      <c r="W103" s="25"/>
      <c r="X103" s="23"/>
      <c r="Y103" s="26"/>
      <c r="Z103" s="26"/>
      <c r="AA103" s="27" t="str">
        <f aca="false">IF(OR($Y103="",$X103="",$X103=0),"",$Y103-N($Z103)/$X103)</f>
        <v/>
      </c>
      <c r="AB103" s="23"/>
      <c r="AC103" s="28" t="str">
        <f aca="false">IF(OR($Y103="",$L103="",$L103=0),"",$Y103/$L103-1)</f>
        <v/>
      </c>
      <c r="AD103" s="28" t="str">
        <f aca="false">IF(OR($AA103="",$N103="",$N103=0),"",$AA103/$N103-1)</f>
        <v/>
      </c>
      <c r="AE103" s="25"/>
      <c r="AF103" s="23"/>
      <c r="AG103" s="23"/>
      <c r="AH103" s="25"/>
      <c r="AI103" s="23"/>
      <c r="AJ103" s="26"/>
      <c r="AK103" s="26"/>
      <c r="AL103" s="27" t="str">
        <f aca="false">IF(OR($AJ103="",$AI103="",$AI103=0),"",$AJ103-N($AK103)/$AI103)</f>
        <v/>
      </c>
      <c r="AM103" s="28" t="str">
        <f aca="false">IF(OR($AJ103="",$L103="",$L103=0),"",$AJ103/$L103-1)</f>
        <v/>
      </c>
      <c r="AN103" s="28" t="str">
        <f aca="false">IF(OR($AL103="",$N103="",$N103=0),"",$AL103/$N103-1)</f>
        <v/>
      </c>
      <c r="AO103" s="24"/>
    </row>
    <row r="104" customFormat="false" ht="15" hidden="false" customHeight="false" outlineLevel="0" collapsed="false">
      <c r="A104" s="5" t="s">
        <v>483</v>
      </c>
      <c r="B104" s="5" t="s">
        <v>113</v>
      </c>
      <c r="C104" s="5" t="s">
        <v>82</v>
      </c>
      <c r="D104" s="6" t="n">
        <v>1092</v>
      </c>
      <c r="E104" s="5" t="s">
        <v>484</v>
      </c>
      <c r="F104" s="5" t="s">
        <v>485</v>
      </c>
      <c r="G104" s="20" t="n">
        <v>45976</v>
      </c>
      <c r="H104" s="5" t="n">
        <v>18</v>
      </c>
      <c r="I104" s="20" t="n">
        <v>46521</v>
      </c>
      <c r="J104" s="5" t="s">
        <v>111</v>
      </c>
      <c r="K104" s="5" t="s">
        <v>86</v>
      </c>
      <c r="L104" s="16" t="n">
        <v>1695</v>
      </c>
      <c r="M104" s="16" t="n">
        <v>0</v>
      </c>
      <c r="N104" s="21" t="n">
        <f aca="false">IF(OR($L104="",$H104="",$H104=0),"",$L104-N($M104)/$H104)</f>
        <v>1695</v>
      </c>
      <c r="O104" s="5" t="s">
        <v>87</v>
      </c>
      <c r="P104" s="5" t="s">
        <v>88</v>
      </c>
      <c r="Q104" s="5" t="s">
        <v>89</v>
      </c>
      <c r="R104" s="5"/>
      <c r="S104" s="5"/>
      <c r="T104" s="5"/>
      <c r="U104" s="5"/>
      <c r="V104" s="5"/>
      <c r="W104" s="20"/>
      <c r="X104" s="5"/>
      <c r="Y104" s="16"/>
      <c r="Z104" s="16"/>
      <c r="AA104" s="21" t="str">
        <f aca="false">IF(OR($Y104="",$X104="",$X104=0),"",$Y104-N($Z104)/$X104)</f>
        <v/>
      </c>
      <c r="AB104" s="5"/>
      <c r="AC104" s="22" t="str">
        <f aca="false">IF(OR($Y104="",$L104="",$L104=0),"",$Y104/$L104-1)</f>
        <v/>
      </c>
      <c r="AD104" s="22" t="str">
        <f aca="false">IF(OR($AA104="",$N104="",$N104=0),"",$AA104/$N104-1)</f>
        <v/>
      </c>
      <c r="AE104" s="20"/>
      <c r="AF104" s="5"/>
      <c r="AG104" s="5"/>
      <c r="AH104" s="20"/>
      <c r="AI104" s="5"/>
      <c r="AJ104" s="16"/>
      <c r="AK104" s="16"/>
      <c r="AL104" s="21" t="str">
        <f aca="false">IF(OR($AJ104="",$AI104="",$AI104=0),"",$AJ104-N($AK104)/$AI104)</f>
        <v/>
      </c>
      <c r="AM104" s="22" t="str">
        <f aca="false">IF(OR($AJ104="",$L104="",$L104=0),"",$AJ104/$L104-1)</f>
        <v/>
      </c>
      <c r="AN104" s="22" t="str">
        <f aca="false">IF(OR($AL104="",$N104="",$N104=0),"",$AL104/$N104-1)</f>
        <v/>
      </c>
      <c r="AO104" s="6"/>
    </row>
    <row r="105" customFormat="false" ht="15" hidden="false" customHeight="false" outlineLevel="0" collapsed="false">
      <c r="A105" s="23" t="s">
        <v>486</v>
      </c>
      <c r="B105" s="23" t="s">
        <v>275</v>
      </c>
      <c r="C105" s="23" t="s">
        <v>276</v>
      </c>
      <c r="D105" s="24" t="n">
        <v>517</v>
      </c>
      <c r="E105" s="23" t="s">
        <v>487</v>
      </c>
      <c r="F105" s="23" t="s">
        <v>488</v>
      </c>
      <c r="G105" s="25" t="n">
        <v>45801</v>
      </c>
      <c r="H105" s="23" t="n">
        <v>22</v>
      </c>
      <c r="I105" s="25" t="n">
        <v>46469</v>
      </c>
      <c r="J105" s="23" t="s">
        <v>131</v>
      </c>
      <c r="K105" s="23" t="s">
        <v>86</v>
      </c>
      <c r="L105" s="26" t="n">
        <v>1445</v>
      </c>
      <c r="M105" s="26" t="n">
        <v>0</v>
      </c>
      <c r="N105" s="27" t="n">
        <f aca="false">IF(OR($L105="",$H105="",$H105=0),"",$L105-N($M105)/$H105)</f>
        <v>1445</v>
      </c>
      <c r="O105" s="23" t="s">
        <v>87</v>
      </c>
      <c r="P105" s="23" t="s">
        <v>88</v>
      </c>
      <c r="Q105" s="23" t="s">
        <v>89</v>
      </c>
      <c r="R105" s="23"/>
      <c r="S105" s="23"/>
      <c r="T105" s="23"/>
      <c r="U105" s="23"/>
      <c r="V105" s="23"/>
      <c r="W105" s="25"/>
      <c r="X105" s="23"/>
      <c r="Y105" s="26"/>
      <c r="Z105" s="26"/>
      <c r="AA105" s="27" t="str">
        <f aca="false">IF(OR($Y105="",$X105="",$X105=0),"",$Y105-N($Z105)/$X105)</f>
        <v/>
      </c>
      <c r="AB105" s="23"/>
      <c r="AC105" s="28" t="str">
        <f aca="false">IF(OR($Y105="",$L105="",$L105=0),"",$Y105/$L105-1)</f>
        <v/>
      </c>
      <c r="AD105" s="28" t="str">
        <f aca="false">IF(OR($AA105="",$N105="",$N105=0),"",$AA105/$N105-1)</f>
        <v/>
      </c>
      <c r="AE105" s="25"/>
      <c r="AF105" s="23"/>
      <c r="AG105" s="23"/>
      <c r="AH105" s="25"/>
      <c r="AI105" s="23"/>
      <c r="AJ105" s="26"/>
      <c r="AK105" s="26"/>
      <c r="AL105" s="27" t="str">
        <f aca="false">IF(OR($AJ105="",$AI105="",$AI105=0),"",$AJ105-N($AK105)/$AI105)</f>
        <v/>
      </c>
      <c r="AM105" s="28" t="str">
        <f aca="false">IF(OR($AJ105="",$L105="",$L105=0),"",$AJ105/$L105-1)</f>
        <v/>
      </c>
      <c r="AN105" s="28" t="str">
        <f aca="false">IF(OR($AL105="",$N105="",$N105=0),"",$AL105/$N105-1)</f>
        <v/>
      </c>
      <c r="AO105" s="24"/>
    </row>
    <row r="106" customFormat="false" ht="15" hidden="false" customHeight="false" outlineLevel="0" collapsed="false">
      <c r="A106" s="5" t="s">
        <v>489</v>
      </c>
      <c r="B106" s="5" t="s">
        <v>91</v>
      </c>
      <c r="C106" s="5" t="s">
        <v>92</v>
      </c>
      <c r="D106" s="6" t="n">
        <v>1328</v>
      </c>
      <c r="E106" s="5" t="s">
        <v>490</v>
      </c>
      <c r="F106" s="5" t="s">
        <v>491</v>
      </c>
      <c r="G106" s="20" t="n">
        <v>45826</v>
      </c>
      <c r="H106" s="5" t="n">
        <v>12</v>
      </c>
      <c r="I106" s="20" t="n">
        <v>46282</v>
      </c>
      <c r="J106" s="5" t="s">
        <v>186</v>
      </c>
      <c r="K106" s="5" t="s">
        <v>86</v>
      </c>
      <c r="L106" s="16" t="n">
        <v>2160</v>
      </c>
      <c r="M106" s="16" t="n">
        <v>2988</v>
      </c>
      <c r="N106" s="21" t="n">
        <f aca="false">IF(OR($L106="",$H106="",$H106=0),"",$L106-N($M106)/$H106)</f>
        <v>1911</v>
      </c>
      <c r="O106" s="5" t="s">
        <v>87</v>
      </c>
      <c r="P106" s="5" t="s">
        <v>96</v>
      </c>
      <c r="Q106" s="5" t="s">
        <v>97</v>
      </c>
      <c r="R106" s="5"/>
      <c r="S106" s="5"/>
      <c r="T106" s="5" t="s">
        <v>98</v>
      </c>
      <c r="U106" s="5"/>
      <c r="V106" s="5"/>
      <c r="W106" s="20"/>
      <c r="X106" s="5"/>
      <c r="Y106" s="16"/>
      <c r="Z106" s="16"/>
      <c r="AA106" s="21" t="str">
        <f aca="false">IF(OR($Y106="",$X106="",$X106=0),"",$Y106-N($Z106)/$X106)</f>
        <v/>
      </c>
      <c r="AB106" s="5"/>
      <c r="AC106" s="22" t="str">
        <f aca="false">IF(OR($Y106="",$L106="",$L106=0),"",$Y106/$L106-1)</f>
        <v/>
      </c>
      <c r="AD106" s="22" t="str">
        <f aca="false">IF(OR($AA106="",$N106="",$N106=0),"",$AA106/$N106-1)</f>
        <v/>
      </c>
      <c r="AE106" s="20" t="n">
        <v>46111</v>
      </c>
      <c r="AF106" s="5" t="s">
        <v>492</v>
      </c>
      <c r="AG106" s="5" t="s">
        <v>493</v>
      </c>
      <c r="AH106" s="20" t="n">
        <v>46122</v>
      </c>
      <c r="AI106" s="5" t="n">
        <v>12</v>
      </c>
      <c r="AJ106" s="16" t="n">
        <v>2340</v>
      </c>
      <c r="AK106" s="16" t="n">
        <v>2340</v>
      </c>
      <c r="AL106" s="21" t="n">
        <f aca="false">IF(OR($AJ106="",$AI106="",$AI106=0),"",$AJ106-N($AK106)/$AI106)</f>
        <v>2145</v>
      </c>
      <c r="AM106" s="22" t="n">
        <f aca="false">IF(OR($AJ106="",$L106="",$L106=0),"",$AJ106/$L106-1)</f>
        <v>0.0833333333333333</v>
      </c>
      <c r="AN106" s="22" t="n">
        <f aca="false">IF(OR($AL106="",$N106="",$N106=0),"",$AL106/$N106-1)</f>
        <v>0.122448979591837</v>
      </c>
      <c r="AO106" s="6" t="n">
        <v>11</v>
      </c>
    </row>
    <row r="107" customFormat="false" ht="15" hidden="false" customHeight="false" outlineLevel="0" collapsed="false">
      <c r="A107" s="23" t="s">
        <v>494</v>
      </c>
      <c r="B107" s="23" t="s">
        <v>81</v>
      </c>
      <c r="C107" s="23" t="s">
        <v>82</v>
      </c>
      <c r="D107" s="24" t="n">
        <v>1141</v>
      </c>
      <c r="E107" s="23" t="s">
        <v>495</v>
      </c>
      <c r="F107" s="23" t="s">
        <v>496</v>
      </c>
      <c r="G107" s="25" t="n">
        <v>45839</v>
      </c>
      <c r="H107" s="23" t="n">
        <v>12</v>
      </c>
      <c r="I107" s="25" t="n">
        <v>46203</v>
      </c>
      <c r="J107" s="23" t="s">
        <v>152</v>
      </c>
      <c r="K107" s="23" t="s">
        <v>86</v>
      </c>
      <c r="L107" s="26" t="n">
        <v>2045</v>
      </c>
      <c r="M107" s="26" t="n">
        <v>0</v>
      </c>
      <c r="N107" s="27" t="n">
        <f aca="false">IF(OR($L107="",$H107="",$H107=0),"",$L107-N($M107)/$H107)</f>
        <v>2045</v>
      </c>
      <c r="O107" s="23" t="s">
        <v>87</v>
      </c>
      <c r="P107" s="23" t="s">
        <v>88</v>
      </c>
      <c r="Q107" s="23" t="s">
        <v>97</v>
      </c>
      <c r="R107" s="23" t="s">
        <v>98</v>
      </c>
      <c r="S107" s="23" t="s">
        <v>98</v>
      </c>
      <c r="T107" s="23"/>
      <c r="U107" s="23"/>
      <c r="V107" s="23"/>
      <c r="W107" s="25"/>
      <c r="X107" s="23"/>
      <c r="Y107" s="26"/>
      <c r="Z107" s="26"/>
      <c r="AA107" s="27" t="str">
        <f aca="false">IF(OR($Y107="",$X107="",$X107=0),"",$Y107-N($Z107)/$X107)</f>
        <v/>
      </c>
      <c r="AB107" s="23"/>
      <c r="AC107" s="28" t="str">
        <f aca="false">IF(OR($Y107="",$L107="",$L107=0),"",$Y107/$L107-1)</f>
        <v/>
      </c>
      <c r="AD107" s="28" t="str">
        <f aca="false">IF(OR($AA107="",$N107="",$N107=0),"",$AA107/$N107-1)</f>
        <v/>
      </c>
      <c r="AE107" s="25" t="n">
        <v>46203</v>
      </c>
      <c r="AF107" s="23" t="s">
        <v>497</v>
      </c>
      <c r="AG107" s="23" t="s">
        <v>498</v>
      </c>
      <c r="AH107" s="25" t="n">
        <v>46235</v>
      </c>
      <c r="AI107" s="23"/>
      <c r="AJ107" s="26" t="n">
        <v>2060</v>
      </c>
      <c r="AK107" s="26"/>
      <c r="AL107" s="27" t="str">
        <f aca="false">IF(OR($AJ107="",$AI107="",$AI107=0),"",$AJ107-N($AK107)/$AI107)</f>
        <v/>
      </c>
      <c r="AM107" s="28" t="n">
        <f aca="false">IF(OR($AJ107="",$L107="",$L107=0),"",$AJ107/$L107-1)</f>
        <v>0.00733496332518335</v>
      </c>
      <c r="AN107" s="28" t="str">
        <f aca="false">IF(OR($AL107="",$N107="",$N107=0),"",$AL107/$N107-1)</f>
        <v/>
      </c>
      <c r="AO107" s="24" t="n">
        <v>32</v>
      </c>
    </row>
    <row r="108" customFormat="false" ht="15" hidden="false" customHeight="false" outlineLevel="0" collapsed="false">
      <c r="A108" s="5" t="s">
        <v>499</v>
      </c>
      <c r="B108" s="5" t="s">
        <v>81</v>
      </c>
      <c r="C108" s="5" t="s">
        <v>82</v>
      </c>
      <c r="D108" s="6" t="n">
        <v>1141</v>
      </c>
      <c r="E108" s="5" t="s">
        <v>500</v>
      </c>
      <c r="F108" s="5" t="s">
        <v>501</v>
      </c>
      <c r="G108" s="20" t="n">
        <v>45950</v>
      </c>
      <c r="H108" s="5" t="n">
        <v>12</v>
      </c>
      <c r="I108" s="20" t="n">
        <v>46314</v>
      </c>
      <c r="J108" s="5" t="s">
        <v>106</v>
      </c>
      <c r="K108" s="5" t="s">
        <v>86</v>
      </c>
      <c r="L108" s="16" t="n">
        <v>1919</v>
      </c>
      <c r="M108" s="16" t="n">
        <v>1919</v>
      </c>
      <c r="N108" s="21" t="n">
        <f aca="false">IF(OR($L108="",$H108="",$H108=0),"",$L108-N($M108)/$H108)</f>
        <v>1759.08333333333</v>
      </c>
      <c r="O108" s="5" t="s">
        <v>87</v>
      </c>
      <c r="P108" s="5" t="s">
        <v>88</v>
      </c>
      <c r="Q108" s="5" t="s">
        <v>89</v>
      </c>
      <c r="R108" s="5"/>
      <c r="S108" s="5"/>
      <c r="T108" s="5"/>
      <c r="U108" s="5"/>
      <c r="V108" s="5"/>
      <c r="W108" s="20"/>
      <c r="X108" s="5"/>
      <c r="Y108" s="16"/>
      <c r="Z108" s="16"/>
      <c r="AA108" s="21" t="str">
        <f aca="false">IF(OR($Y108="",$X108="",$X108=0),"",$Y108-N($Z108)/$X108)</f>
        <v/>
      </c>
      <c r="AB108" s="5"/>
      <c r="AC108" s="22" t="str">
        <f aca="false">IF(OR($Y108="",$L108="",$L108=0),"",$Y108/$L108-1)</f>
        <v/>
      </c>
      <c r="AD108" s="22" t="str">
        <f aca="false">IF(OR($AA108="",$N108="",$N108=0),"",$AA108/$N108-1)</f>
        <v/>
      </c>
      <c r="AE108" s="20"/>
      <c r="AF108" s="5"/>
      <c r="AG108" s="5"/>
      <c r="AH108" s="20"/>
      <c r="AI108" s="5"/>
      <c r="AJ108" s="16"/>
      <c r="AK108" s="16"/>
      <c r="AL108" s="21" t="str">
        <f aca="false">IF(OR($AJ108="",$AI108="",$AI108=0),"",$AJ108-N($AK108)/$AI108)</f>
        <v/>
      </c>
      <c r="AM108" s="22" t="str">
        <f aca="false">IF(OR($AJ108="",$L108="",$L108=0),"",$AJ108/$L108-1)</f>
        <v/>
      </c>
      <c r="AN108" s="22" t="str">
        <f aca="false">IF(OR($AL108="",$N108="",$N108=0),"",$AL108/$N108-1)</f>
        <v/>
      </c>
      <c r="AO108" s="6"/>
    </row>
    <row r="109" customFormat="false" ht="15" hidden="false" customHeight="false" outlineLevel="0" collapsed="false">
      <c r="A109" s="23" t="s">
        <v>502</v>
      </c>
      <c r="B109" s="23" t="s">
        <v>204</v>
      </c>
      <c r="C109" s="23" t="s">
        <v>82</v>
      </c>
      <c r="D109" s="24" t="n">
        <v>1177</v>
      </c>
      <c r="E109" s="23" t="s">
        <v>503</v>
      </c>
      <c r="F109" s="23" t="s">
        <v>504</v>
      </c>
      <c r="G109" s="25" t="n">
        <v>45810</v>
      </c>
      <c r="H109" s="23" t="n">
        <v>18</v>
      </c>
      <c r="I109" s="25" t="n">
        <v>46357</v>
      </c>
      <c r="J109" s="23" t="s">
        <v>85</v>
      </c>
      <c r="K109" s="23" t="s">
        <v>86</v>
      </c>
      <c r="L109" s="26" t="n">
        <v>1798</v>
      </c>
      <c r="M109" s="26"/>
      <c r="N109" s="27" t="n">
        <f aca="false">IF(OR($L109="",$H109="",$H109=0),"",$L109-N($M109)/$H109)</f>
        <v>1798</v>
      </c>
      <c r="O109" s="23" t="s">
        <v>87</v>
      </c>
      <c r="P109" s="23" t="s">
        <v>505</v>
      </c>
      <c r="Q109" s="23" t="s">
        <v>97</v>
      </c>
      <c r="R109" s="23"/>
      <c r="S109" s="23"/>
      <c r="T109" s="23" t="s">
        <v>98</v>
      </c>
      <c r="U109" s="23"/>
      <c r="V109" s="23"/>
      <c r="W109" s="25"/>
      <c r="X109" s="23"/>
      <c r="Y109" s="26"/>
      <c r="Z109" s="26"/>
      <c r="AA109" s="27" t="str">
        <f aca="false">IF(OR($Y109="",$X109="",$X109=0),"",$Y109-N($Z109)/$X109)</f>
        <v/>
      </c>
      <c r="AB109" s="23"/>
      <c r="AC109" s="28" t="str">
        <f aca="false">IF(OR($Y109="",$L109="",$L109=0),"",$Y109/$L109-1)</f>
        <v/>
      </c>
      <c r="AD109" s="28" t="str">
        <f aca="false">IF(OR($AA109="",$N109="",$N109=0),"",$AA109/$N109-1)</f>
        <v/>
      </c>
      <c r="AE109" s="25" t="n">
        <v>46180</v>
      </c>
      <c r="AF109" s="23" t="s">
        <v>506</v>
      </c>
      <c r="AG109" s="23" t="s">
        <v>507</v>
      </c>
      <c r="AH109" s="25" t="n">
        <v>46223</v>
      </c>
      <c r="AI109" s="23" t="n">
        <v>12</v>
      </c>
      <c r="AJ109" s="26" t="n">
        <v>1995</v>
      </c>
      <c r="AK109" s="26" t="n">
        <v>0</v>
      </c>
      <c r="AL109" s="27" t="n">
        <f aca="false">IF(OR($AJ109="",$AI109="",$AI109=0),"",$AJ109-N($AK109)/$AI109)</f>
        <v>1995</v>
      </c>
      <c r="AM109" s="28" t="n">
        <f aca="false">IF(OR($AJ109="",$L109="",$L109=0),"",$AJ109/$L109-1)</f>
        <v>0.109566184649611</v>
      </c>
      <c r="AN109" s="28" t="n">
        <f aca="false">IF(OR($AL109="",$N109="",$N109=0),"",$AL109/$N109-1)</f>
        <v>0.109566184649611</v>
      </c>
      <c r="AO109" s="24" t="n">
        <v>43</v>
      </c>
    </row>
    <row r="110" customFormat="false" ht="15" hidden="false" customHeight="false" outlineLevel="0" collapsed="false">
      <c r="A110" s="5" t="s">
        <v>508</v>
      </c>
      <c r="B110" s="5" t="s">
        <v>102</v>
      </c>
      <c r="C110" s="5" t="s">
        <v>103</v>
      </c>
      <c r="D110" s="6" t="n">
        <v>693</v>
      </c>
      <c r="E110" s="5" t="s">
        <v>509</v>
      </c>
      <c r="F110" s="5" t="s">
        <v>510</v>
      </c>
      <c r="G110" s="20" t="n">
        <v>46008</v>
      </c>
      <c r="H110" s="5" t="n">
        <v>12</v>
      </c>
      <c r="I110" s="20" t="n">
        <v>46372</v>
      </c>
      <c r="J110" s="5" t="s">
        <v>85</v>
      </c>
      <c r="K110" s="5" t="s">
        <v>86</v>
      </c>
      <c r="L110" s="16" t="n">
        <v>1399</v>
      </c>
      <c r="M110" s="16" t="n">
        <v>0</v>
      </c>
      <c r="N110" s="21" t="n">
        <f aca="false">IF(OR($L110="",$H110="",$H110=0),"",$L110-N($M110)/$H110)</f>
        <v>1399</v>
      </c>
      <c r="O110" s="5" t="s">
        <v>87</v>
      </c>
      <c r="P110" s="5" t="s">
        <v>88</v>
      </c>
      <c r="Q110" s="5" t="s">
        <v>89</v>
      </c>
      <c r="R110" s="5"/>
      <c r="S110" s="5"/>
      <c r="T110" s="5"/>
      <c r="U110" s="5"/>
      <c r="V110" s="5"/>
      <c r="W110" s="20"/>
      <c r="X110" s="5"/>
      <c r="Y110" s="16"/>
      <c r="Z110" s="16"/>
      <c r="AA110" s="21" t="str">
        <f aca="false">IF(OR($Y110="",$X110="",$X110=0),"",$Y110-N($Z110)/$X110)</f>
        <v/>
      </c>
      <c r="AB110" s="5"/>
      <c r="AC110" s="22" t="str">
        <f aca="false">IF(OR($Y110="",$L110="",$L110=0),"",$Y110/$L110-1)</f>
        <v/>
      </c>
      <c r="AD110" s="22" t="str">
        <f aca="false">IF(OR($AA110="",$N110="",$N110=0),"",$AA110/$N110-1)</f>
        <v/>
      </c>
      <c r="AE110" s="20"/>
      <c r="AF110" s="5"/>
      <c r="AG110" s="5"/>
      <c r="AH110" s="20"/>
      <c r="AI110" s="5"/>
      <c r="AJ110" s="16"/>
      <c r="AK110" s="16"/>
      <c r="AL110" s="21" t="str">
        <f aca="false">IF(OR($AJ110="",$AI110="",$AI110=0),"",$AJ110-N($AK110)/$AI110)</f>
        <v/>
      </c>
      <c r="AM110" s="22" t="str">
        <f aca="false">IF(OR($AJ110="",$L110="",$L110=0),"",$AJ110/$L110-1)</f>
        <v/>
      </c>
      <c r="AN110" s="22" t="str">
        <f aca="false">IF(OR($AL110="",$N110="",$N110=0),"",$AL110/$N110-1)</f>
        <v/>
      </c>
      <c r="AO110" s="6"/>
    </row>
    <row r="111" customFormat="false" ht="15" hidden="false" customHeight="false" outlineLevel="0" collapsed="false">
      <c r="A111" s="23" t="s">
        <v>511</v>
      </c>
      <c r="B111" s="23" t="s">
        <v>81</v>
      </c>
      <c r="C111" s="23" t="s">
        <v>82</v>
      </c>
      <c r="D111" s="24" t="n">
        <v>1141</v>
      </c>
      <c r="E111" s="23" t="s">
        <v>512</v>
      </c>
      <c r="F111" s="23" t="s">
        <v>513</v>
      </c>
      <c r="G111" s="25" t="n">
        <v>45843</v>
      </c>
      <c r="H111" s="23" t="n">
        <v>12</v>
      </c>
      <c r="I111" s="25" t="n">
        <v>46207</v>
      </c>
      <c r="J111" s="23" t="s">
        <v>116</v>
      </c>
      <c r="K111" s="23" t="s">
        <v>86</v>
      </c>
      <c r="L111" s="26" t="n">
        <v>1904</v>
      </c>
      <c r="M111" s="26" t="n">
        <v>0</v>
      </c>
      <c r="N111" s="27" t="n">
        <f aca="false">IF(OR($L111="",$H111="",$H111=0),"",$L111-N($M111)/$H111)</f>
        <v>1904</v>
      </c>
      <c r="O111" s="23" t="s">
        <v>87</v>
      </c>
      <c r="P111" s="23" t="s">
        <v>88</v>
      </c>
      <c r="Q111" s="23" t="s">
        <v>97</v>
      </c>
      <c r="R111" s="23" t="s">
        <v>98</v>
      </c>
      <c r="S111" s="23" t="s">
        <v>98</v>
      </c>
      <c r="T111" s="23"/>
      <c r="U111" s="23"/>
      <c r="V111" s="23"/>
      <c r="W111" s="25"/>
      <c r="X111" s="23"/>
      <c r="Y111" s="26"/>
      <c r="Z111" s="26"/>
      <c r="AA111" s="27" t="str">
        <f aca="false">IF(OR($Y111="",$X111="",$X111=0),"",$Y111-N($Z111)/$X111)</f>
        <v/>
      </c>
      <c r="AB111" s="23"/>
      <c r="AC111" s="28" t="str">
        <f aca="false">IF(OR($Y111="",$L111="",$L111=0),"",$Y111/$L111-1)</f>
        <v/>
      </c>
      <c r="AD111" s="28" t="str">
        <f aca="false">IF(OR($AA111="",$N111="",$N111=0),"",$AA111/$N111-1)</f>
        <v/>
      </c>
      <c r="AE111" s="25" t="n">
        <v>46221</v>
      </c>
      <c r="AF111" s="23" t="s">
        <v>514</v>
      </c>
      <c r="AG111" s="23" t="s">
        <v>105</v>
      </c>
      <c r="AH111" s="25" t="n">
        <v>46228</v>
      </c>
      <c r="AI111" s="23" t="n">
        <v>12</v>
      </c>
      <c r="AJ111" s="26" t="n">
        <v>2065</v>
      </c>
      <c r="AK111" s="26" t="n">
        <v>0</v>
      </c>
      <c r="AL111" s="27" t="n">
        <f aca="false">IF(OR($AJ111="",$AI111="",$AI111=0),"",$AJ111-N($AK111)/$AI111)</f>
        <v>2065</v>
      </c>
      <c r="AM111" s="28" t="n">
        <f aca="false">IF(OR($AJ111="",$L111="",$L111=0),"",$AJ111/$L111-1)</f>
        <v>0.0845588235294117</v>
      </c>
      <c r="AN111" s="28" t="n">
        <f aca="false">IF(OR($AL111="",$N111="",$N111=0),"",$AL111/$N111-1)</f>
        <v>0.0845588235294117</v>
      </c>
      <c r="AO111" s="24" t="n">
        <v>7</v>
      </c>
    </row>
    <row r="112" customFormat="false" ht="15" hidden="false" customHeight="false" outlineLevel="0" collapsed="false">
      <c r="A112" s="5" t="s">
        <v>515</v>
      </c>
      <c r="B112" s="5" t="s">
        <v>275</v>
      </c>
      <c r="C112" s="5" t="s">
        <v>276</v>
      </c>
      <c r="D112" s="6" t="n">
        <v>517</v>
      </c>
      <c r="E112" s="5" t="s">
        <v>516</v>
      </c>
      <c r="F112" s="5" t="s">
        <v>517</v>
      </c>
      <c r="G112" s="20" t="n">
        <v>45801</v>
      </c>
      <c r="H112" s="5" t="n">
        <v>9</v>
      </c>
      <c r="I112" s="20" t="n">
        <v>46076</v>
      </c>
      <c r="J112" s="5" t="s">
        <v>95</v>
      </c>
      <c r="K112" s="5" t="s">
        <v>86</v>
      </c>
      <c r="L112" s="16" t="n">
        <v>1245</v>
      </c>
      <c r="M112" s="16"/>
      <c r="N112" s="21" t="n">
        <f aca="false">IF(OR($L112="",$H112="",$H112=0),"",$L112-N($M112)/$H112)</f>
        <v>1245</v>
      </c>
      <c r="O112" s="5" t="s">
        <v>87</v>
      </c>
      <c r="P112" s="5" t="s">
        <v>505</v>
      </c>
      <c r="Q112" s="5" t="s">
        <v>97</v>
      </c>
      <c r="R112" s="5" t="s">
        <v>98</v>
      </c>
      <c r="S112" s="5" t="s">
        <v>98</v>
      </c>
      <c r="T112" s="5"/>
      <c r="U112" s="5"/>
      <c r="V112" s="5"/>
      <c r="W112" s="20"/>
      <c r="X112" s="5"/>
      <c r="Y112" s="16"/>
      <c r="Z112" s="16"/>
      <c r="AA112" s="21" t="str">
        <f aca="false">IF(OR($Y112="",$X112="",$X112=0),"",$Y112-N($Z112)/$X112)</f>
        <v/>
      </c>
      <c r="AB112" s="5"/>
      <c r="AC112" s="22" t="str">
        <f aca="false">IF(OR($Y112="",$L112="",$L112=0),"",$Y112/$L112-1)</f>
        <v/>
      </c>
      <c r="AD112" s="22" t="str">
        <f aca="false">IF(OR($AA112="",$N112="",$N112=0),"",$AA112/$N112-1)</f>
        <v/>
      </c>
      <c r="AE112" s="20" t="n">
        <v>46076</v>
      </c>
      <c r="AF112" s="5" t="s">
        <v>518</v>
      </c>
      <c r="AG112" s="5" t="s">
        <v>519</v>
      </c>
      <c r="AH112" s="20" t="n">
        <v>46231</v>
      </c>
      <c r="AI112" s="5" t="n">
        <v>12</v>
      </c>
      <c r="AJ112" s="16" t="n">
        <v>1572</v>
      </c>
      <c r="AK112" s="16" t="n">
        <v>0</v>
      </c>
      <c r="AL112" s="21" t="n">
        <f aca="false">IF(OR($AJ112="",$AI112="",$AI112=0),"",$AJ112-N($AK112)/$AI112)</f>
        <v>1572</v>
      </c>
      <c r="AM112" s="22" t="n">
        <f aca="false">IF(OR($AJ112="",$L112="",$L112=0),"",$AJ112/$L112-1)</f>
        <v>0.262650602409638</v>
      </c>
      <c r="AN112" s="22" t="n">
        <f aca="false">IF(OR($AL112="",$N112="",$N112=0),"",$AL112/$N112-1)</f>
        <v>0.262650602409638</v>
      </c>
      <c r="AO112" s="6" t="n">
        <v>155</v>
      </c>
    </row>
    <row r="113" customFormat="false" ht="15" hidden="false" customHeight="false" outlineLevel="0" collapsed="false">
      <c r="A113" s="23" t="s">
        <v>520</v>
      </c>
      <c r="B113" s="23" t="s">
        <v>81</v>
      </c>
      <c r="C113" s="23" t="s">
        <v>82</v>
      </c>
      <c r="D113" s="24" t="n">
        <v>1141</v>
      </c>
      <c r="E113" s="23" t="s">
        <v>521</v>
      </c>
      <c r="F113" s="23" t="s">
        <v>522</v>
      </c>
      <c r="G113" s="25" t="n">
        <v>45840</v>
      </c>
      <c r="H113" s="23" t="n">
        <v>18</v>
      </c>
      <c r="I113" s="25" t="n">
        <v>46388</v>
      </c>
      <c r="J113" s="23" t="s">
        <v>265</v>
      </c>
      <c r="K113" s="23" t="s">
        <v>86</v>
      </c>
      <c r="L113" s="26" t="n">
        <v>1969</v>
      </c>
      <c r="M113" s="26" t="n">
        <v>1969</v>
      </c>
      <c r="N113" s="27" t="n">
        <f aca="false">IF(OR($L113="",$H113="",$H113=0),"",$L113-N($M113)/$H113)</f>
        <v>1859.61111111111</v>
      </c>
      <c r="O113" s="23" t="s">
        <v>87</v>
      </c>
      <c r="P113" s="23" t="s">
        <v>88</v>
      </c>
      <c r="Q113" s="23" t="s">
        <v>89</v>
      </c>
      <c r="R113" s="23"/>
      <c r="S113" s="23"/>
      <c r="T113" s="23"/>
      <c r="U113" s="23"/>
      <c r="V113" s="23"/>
      <c r="W113" s="25"/>
      <c r="X113" s="23"/>
      <c r="Y113" s="26"/>
      <c r="Z113" s="26"/>
      <c r="AA113" s="27" t="str">
        <f aca="false">IF(OR($Y113="",$X113="",$X113=0),"",$Y113-N($Z113)/$X113)</f>
        <v/>
      </c>
      <c r="AB113" s="23"/>
      <c r="AC113" s="28" t="str">
        <f aca="false">IF(OR($Y113="",$L113="",$L113=0),"",$Y113/$L113-1)</f>
        <v/>
      </c>
      <c r="AD113" s="28" t="str">
        <f aca="false">IF(OR($AA113="",$N113="",$N113=0),"",$AA113/$N113-1)</f>
        <v/>
      </c>
      <c r="AE113" s="25"/>
      <c r="AF113" s="23"/>
      <c r="AG113" s="23"/>
      <c r="AH113" s="25"/>
      <c r="AI113" s="23"/>
      <c r="AJ113" s="26"/>
      <c r="AK113" s="26"/>
      <c r="AL113" s="27" t="str">
        <f aca="false">IF(OR($AJ113="",$AI113="",$AI113=0),"",$AJ113-N($AK113)/$AI113)</f>
        <v/>
      </c>
      <c r="AM113" s="28" t="str">
        <f aca="false">IF(OR($AJ113="",$L113="",$L113=0),"",$AJ113/$L113-1)</f>
        <v/>
      </c>
      <c r="AN113" s="28" t="str">
        <f aca="false">IF(OR($AL113="",$N113="",$N113=0),"",$AL113/$N113-1)</f>
        <v/>
      </c>
      <c r="AO113" s="24"/>
    </row>
    <row r="114" customFormat="false" ht="15" hidden="false" customHeight="false" outlineLevel="0" collapsed="false">
      <c r="A114" s="5" t="s">
        <v>523</v>
      </c>
      <c r="B114" s="5" t="s">
        <v>81</v>
      </c>
      <c r="C114" s="5" t="s">
        <v>82</v>
      </c>
      <c r="D114" s="6" t="n">
        <v>1141</v>
      </c>
      <c r="E114" s="5" t="s">
        <v>524</v>
      </c>
      <c r="F114" s="5" t="s">
        <v>525</v>
      </c>
      <c r="G114" s="20" t="n">
        <v>45832</v>
      </c>
      <c r="H114" s="5" t="n">
        <v>18</v>
      </c>
      <c r="I114" s="20" t="n">
        <v>46379</v>
      </c>
      <c r="J114" s="5" t="s">
        <v>85</v>
      </c>
      <c r="K114" s="5" t="s">
        <v>86</v>
      </c>
      <c r="L114" s="16" t="n">
        <v>1995</v>
      </c>
      <c r="M114" s="16" t="n">
        <v>0</v>
      </c>
      <c r="N114" s="21" t="n">
        <f aca="false">IF(OR($L114="",$H114="",$H114=0),"",$L114-N($M114)/$H114)</f>
        <v>1995</v>
      </c>
      <c r="O114" s="5" t="s">
        <v>87</v>
      </c>
      <c r="P114" s="5" t="s">
        <v>88</v>
      </c>
      <c r="Q114" s="5" t="s">
        <v>89</v>
      </c>
      <c r="R114" s="5"/>
      <c r="S114" s="5"/>
      <c r="T114" s="5"/>
      <c r="U114" s="5"/>
      <c r="V114" s="5"/>
      <c r="W114" s="20"/>
      <c r="X114" s="5"/>
      <c r="Y114" s="16"/>
      <c r="Z114" s="16"/>
      <c r="AA114" s="21" t="str">
        <f aca="false">IF(OR($Y114="",$X114="",$X114=0),"",$Y114-N($Z114)/$X114)</f>
        <v/>
      </c>
      <c r="AB114" s="5"/>
      <c r="AC114" s="22" t="str">
        <f aca="false">IF(OR($Y114="",$L114="",$L114=0),"",$Y114/$L114-1)</f>
        <v/>
      </c>
      <c r="AD114" s="22" t="str">
        <f aca="false">IF(OR($AA114="",$N114="",$N114=0),"",$AA114/$N114-1)</f>
        <v/>
      </c>
      <c r="AE114" s="20"/>
      <c r="AF114" s="5"/>
      <c r="AG114" s="5"/>
      <c r="AH114" s="20"/>
      <c r="AI114" s="5"/>
      <c r="AJ114" s="16"/>
      <c r="AK114" s="16"/>
      <c r="AL114" s="21" t="str">
        <f aca="false">IF(OR($AJ114="",$AI114="",$AI114=0),"",$AJ114-N($AK114)/$AI114)</f>
        <v/>
      </c>
      <c r="AM114" s="22" t="str">
        <f aca="false">IF(OR($AJ114="",$L114="",$L114=0),"",$AJ114/$L114-1)</f>
        <v/>
      </c>
      <c r="AN114" s="22" t="str">
        <f aca="false">IF(OR($AL114="",$N114="",$N114=0),"",$AL114/$N114-1)</f>
        <v/>
      </c>
      <c r="AO114" s="6"/>
    </row>
    <row r="115" customFormat="false" ht="15" hidden="false" customHeight="false" outlineLevel="0" collapsed="false">
      <c r="A115" s="23" t="s">
        <v>526</v>
      </c>
      <c r="B115" s="23" t="s">
        <v>108</v>
      </c>
      <c r="C115" s="23" t="s">
        <v>103</v>
      </c>
      <c r="D115" s="24" t="n">
        <v>746</v>
      </c>
      <c r="E115" s="23" t="s">
        <v>527</v>
      </c>
      <c r="F115" s="23" t="s">
        <v>528</v>
      </c>
      <c r="G115" s="25" t="n">
        <v>45961</v>
      </c>
      <c r="H115" s="23" t="n">
        <v>12</v>
      </c>
      <c r="I115" s="25" t="n">
        <v>46325</v>
      </c>
      <c r="J115" s="23" t="s">
        <v>106</v>
      </c>
      <c r="K115" s="23" t="s">
        <v>86</v>
      </c>
      <c r="L115" s="26" t="n">
        <v>1714</v>
      </c>
      <c r="M115" s="26" t="n">
        <v>3428</v>
      </c>
      <c r="N115" s="27" t="n">
        <f aca="false">IF(OR($L115="",$H115="",$H115=0),"",$L115-N($M115)/$H115)</f>
        <v>1428.33333333333</v>
      </c>
      <c r="O115" s="23" t="s">
        <v>87</v>
      </c>
      <c r="P115" s="23" t="s">
        <v>88</v>
      </c>
      <c r="Q115" s="23" t="s">
        <v>89</v>
      </c>
      <c r="R115" s="23"/>
      <c r="S115" s="23"/>
      <c r="T115" s="23"/>
      <c r="U115" s="23"/>
      <c r="V115" s="23"/>
      <c r="W115" s="25"/>
      <c r="X115" s="23"/>
      <c r="Y115" s="26"/>
      <c r="Z115" s="26"/>
      <c r="AA115" s="27" t="str">
        <f aca="false">IF(OR($Y115="",$X115="",$X115=0),"",$Y115-N($Z115)/$X115)</f>
        <v/>
      </c>
      <c r="AB115" s="23"/>
      <c r="AC115" s="28" t="str">
        <f aca="false">IF(OR($Y115="",$L115="",$L115=0),"",$Y115/$L115-1)</f>
        <v/>
      </c>
      <c r="AD115" s="28" t="str">
        <f aca="false">IF(OR($AA115="",$N115="",$N115=0),"",$AA115/$N115-1)</f>
        <v/>
      </c>
      <c r="AE115" s="25"/>
      <c r="AF115" s="23"/>
      <c r="AG115" s="23"/>
      <c r="AH115" s="25"/>
      <c r="AI115" s="23"/>
      <c r="AJ115" s="26"/>
      <c r="AK115" s="26"/>
      <c r="AL115" s="27" t="str">
        <f aca="false">IF(OR($AJ115="",$AI115="",$AI115=0),"",$AJ115-N($AK115)/$AI115)</f>
        <v/>
      </c>
      <c r="AM115" s="28" t="str">
        <f aca="false">IF(OR($AJ115="",$L115="",$L115=0),"",$AJ115/$L115-1)</f>
        <v/>
      </c>
      <c r="AN115" s="28" t="str">
        <f aca="false">IF(OR($AL115="",$N115="",$N115=0),"",$AL115/$N115-1)</f>
        <v/>
      </c>
      <c r="AO115" s="24"/>
    </row>
    <row r="116" customFormat="false" ht="15" hidden="false" customHeight="false" outlineLevel="0" collapsed="false">
      <c r="A116" s="5" t="s">
        <v>529</v>
      </c>
      <c r="B116" s="5" t="s">
        <v>81</v>
      </c>
      <c r="C116" s="5" t="s">
        <v>82</v>
      </c>
      <c r="D116" s="6" t="n">
        <v>1141</v>
      </c>
      <c r="E116" s="5" t="s">
        <v>530</v>
      </c>
      <c r="F116" s="5" t="s">
        <v>531</v>
      </c>
      <c r="G116" s="20" t="n">
        <v>45859</v>
      </c>
      <c r="H116" s="5" t="n">
        <v>12</v>
      </c>
      <c r="I116" s="20" t="n">
        <v>45993</v>
      </c>
      <c r="J116" s="5" t="s">
        <v>289</v>
      </c>
      <c r="K116" s="5" t="s">
        <v>126</v>
      </c>
      <c r="L116" s="16" t="n">
        <v>2504</v>
      </c>
      <c r="M116" s="16" t="n">
        <v>2508</v>
      </c>
      <c r="N116" s="21" t="n">
        <f aca="false">IF(OR($L116="",$H116="",$H116=0),"",$L116-N($M116)/$H116)</f>
        <v>2295</v>
      </c>
      <c r="O116" s="5" t="s">
        <v>532</v>
      </c>
      <c r="P116" s="5" t="s">
        <v>96</v>
      </c>
      <c r="Q116" s="5" t="s">
        <v>127</v>
      </c>
      <c r="R116" s="5" t="s">
        <v>98</v>
      </c>
      <c r="S116" s="5" t="s">
        <v>98</v>
      </c>
      <c r="T116" s="5"/>
      <c r="U116" s="5"/>
      <c r="V116" s="5"/>
      <c r="W116" s="20" t="n">
        <v>45994</v>
      </c>
      <c r="X116" s="5" t="n">
        <v>12</v>
      </c>
      <c r="Y116" s="16" t="n">
        <v>2504</v>
      </c>
      <c r="Z116" s="16" t="n">
        <v>0</v>
      </c>
      <c r="AA116" s="21" t="n">
        <f aca="false">IF(OR($Y116="",$X116="",$X116=0),"",$Y116-N($Z116)/$X116)</f>
        <v>2504</v>
      </c>
      <c r="AB116" s="5"/>
      <c r="AC116" s="22" t="n">
        <f aca="false">IF(OR($Y116="",$L116="",$L116=0),"",$Y116/$L116-1)</f>
        <v>0</v>
      </c>
      <c r="AD116" s="22" t="n">
        <f aca="false">IF(OR($AA116="",$N116="",$N116=0),"",$AA116/$N116-1)</f>
        <v>0.0910675381263617</v>
      </c>
      <c r="AE116" s="20"/>
      <c r="AF116" s="5"/>
      <c r="AG116" s="5"/>
      <c r="AH116" s="20"/>
      <c r="AI116" s="5"/>
      <c r="AJ116" s="16"/>
      <c r="AK116" s="16"/>
      <c r="AL116" s="21" t="str">
        <f aca="false">IF(OR($AJ116="",$AI116="",$AI116=0),"",$AJ116-N($AK116)/$AI116)</f>
        <v/>
      </c>
      <c r="AM116" s="22" t="str">
        <f aca="false">IF(OR($AJ116="",$L116="",$L116=0),"",$AJ116/$L116-1)</f>
        <v/>
      </c>
      <c r="AN116" s="22" t="str">
        <f aca="false">IF(OR($AL116="",$N116="",$N116=0),"",$AL116/$N116-1)</f>
        <v/>
      </c>
      <c r="AO116" s="6"/>
    </row>
    <row r="117" customFormat="false" ht="15" hidden="false" customHeight="false" outlineLevel="0" collapsed="false">
      <c r="A117" s="23" t="s">
        <v>533</v>
      </c>
      <c r="B117" s="23" t="s">
        <v>102</v>
      </c>
      <c r="C117" s="23" t="s">
        <v>103</v>
      </c>
      <c r="D117" s="24" t="n">
        <v>693</v>
      </c>
      <c r="E117" s="23" t="s">
        <v>534</v>
      </c>
      <c r="F117" s="23" t="s">
        <v>535</v>
      </c>
      <c r="G117" s="25" t="n">
        <v>45999</v>
      </c>
      <c r="H117" s="23" t="n">
        <v>12</v>
      </c>
      <c r="I117" s="25" t="n">
        <v>46363</v>
      </c>
      <c r="J117" s="23" t="s">
        <v>85</v>
      </c>
      <c r="K117" s="23" t="s">
        <v>86</v>
      </c>
      <c r="L117" s="26" t="n">
        <v>1399</v>
      </c>
      <c r="M117" s="26" t="n">
        <v>0</v>
      </c>
      <c r="N117" s="27" t="n">
        <f aca="false">IF(OR($L117="",$H117="",$H117=0),"",$L117-N($M117)/$H117)</f>
        <v>1399</v>
      </c>
      <c r="O117" s="23" t="s">
        <v>87</v>
      </c>
      <c r="P117" s="23" t="s">
        <v>88</v>
      </c>
      <c r="Q117" s="23" t="s">
        <v>89</v>
      </c>
      <c r="R117" s="23"/>
      <c r="S117" s="23"/>
      <c r="T117" s="23"/>
      <c r="U117" s="23"/>
      <c r="V117" s="23"/>
      <c r="W117" s="25"/>
      <c r="X117" s="23"/>
      <c r="Y117" s="26"/>
      <c r="Z117" s="26"/>
      <c r="AA117" s="27" t="str">
        <f aca="false">IF(OR($Y117="",$X117="",$X117=0),"",$Y117-N($Z117)/$X117)</f>
        <v/>
      </c>
      <c r="AB117" s="23"/>
      <c r="AC117" s="28" t="str">
        <f aca="false">IF(OR($Y117="",$L117="",$L117=0),"",$Y117/$L117-1)</f>
        <v/>
      </c>
      <c r="AD117" s="28" t="str">
        <f aca="false">IF(OR($AA117="",$N117="",$N117=0),"",$AA117/$N117-1)</f>
        <v/>
      </c>
      <c r="AE117" s="25"/>
      <c r="AF117" s="23"/>
      <c r="AG117" s="23"/>
      <c r="AH117" s="25"/>
      <c r="AI117" s="23"/>
      <c r="AJ117" s="26"/>
      <c r="AK117" s="26"/>
      <c r="AL117" s="27" t="str">
        <f aca="false">IF(OR($AJ117="",$AI117="",$AI117=0),"",$AJ117-N($AK117)/$AI117)</f>
        <v/>
      </c>
      <c r="AM117" s="28" t="str">
        <f aca="false">IF(OR($AJ117="",$L117="",$L117=0),"",$AJ117/$L117-1)</f>
        <v/>
      </c>
      <c r="AN117" s="28" t="str">
        <f aca="false">IF(OR($AL117="",$N117="",$N117=0),"",$AL117/$N117-1)</f>
        <v/>
      </c>
      <c r="AO117" s="24"/>
    </row>
    <row r="118" customFormat="false" ht="15" hidden="false" customHeight="false" outlineLevel="0" collapsed="false">
      <c r="A118" s="5" t="s">
        <v>536</v>
      </c>
      <c r="B118" s="5" t="s">
        <v>275</v>
      </c>
      <c r="C118" s="5" t="s">
        <v>276</v>
      </c>
      <c r="D118" s="6" t="n">
        <v>517</v>
      </c>
      <c r="E118" s="5" t="s">
        <v>537</v>
      </c>
      <c r="F118" s="5" t="s">
        <v>538</v>
      </c>
      <c r="G118" s="20" t="n">
        <v>45838</v>
      </c>
      <c r="H118" s="5" t="n">
        <v>12</v>
      </c>
      <c r="I118" s="20" t="n">
        <v>46202</v>
      </c>
      <c r="J118" s="5" t="s">
        <v>152</v>
      </c>
      <c r="K118" s="5" t="s">
        <v>86</v>
      </c>
      <c r="L118" s="16" t="n">
        <v>1530</v>
      </c>
      <c r="M118" s="16" t="n">
        <v>2295</v>
      </c>
      <c r="N118" s="21" t="n">
        <f aca="false">IF(OR($L118="",$H118="",$H118=0),"",$L118-N($M118)/$H118)</f>
        <v>1338.75</v>
      </c>
      <c r="O118" s="5" t="s">
        <v>87</v>
      </c>
      <c r="P118" s="5" t="s">
        <v>88</v>
      </c>
      <c r="Q118" s="5" t="s">
        <v>97</v>
      </c>
      <c r="R118" s="5" t="s">
        <v>98</v>
      </c>
      <c r="S118" s="5" t="s">
        <v>98</v>
      </c>
      <c r="T118" s="5"/>
      <c r="U118" s="5"/>
      <c r="V118" s="5"/>
      <c r="W118" s="20"/>
      <c r="X118" s="5"/>
      <c r="Y118" s="16"/>
      <c r="Z118" s="16"/>
      <c r="AA118" s="21" t="str">
        <f aca="false">IF(OR($Y118="",$X118="",$X118=0),"",$Y118-N($Z118)/$X118)</f>
        <v/>
      </c>
      <c r="AB118" s="5"/>
      <c r="AC118" s="22" t="str">
        <f aca="false">IF(OR($Y118="",$L118="",$L118=0),"",$Y118/$L118-1)</f>
        <v/>
      </c>
      <c r="AD118" s="22" t="str">
        <f aca="false">IF(OR($AA118="",$N118="",$N118=0),"",$AA118/$N118-1)</f>
        <v/>
      </c>
      <c r="AE118" s="20" t="n">
        <v>46234</v>
      </c>
      <c r="AF118" s="5"/>
      <c r="AG118" s="5"/>
      <c r="AH118" s="20"/>
      <c r="AI118" s="5"/>
      <c r="AJ118" s="16"/>
      <c r="AK118" s="16"/>
      <c r="AL118" s="21" t="str">
        <f aca="false">IF(OR($AJ118="",$AI118="",$AI118=0),"",$AJ118-N($AK118)/$AI118)</f>
        <v/>
      </c>
      <c r="AM118" s="22" t="str">
        <f aca="false">IF(OR($AJ118="",$L118="",$L118=0),"",$AJ118/$L118-1)</f>
        <v/>
      </c>
      <c r="AN118" s="22" t="str">
        <f aca="false">IF(OR($AL118="",$N118="",$N118=0),"",$AL118/$N118-1)</f>
        <v/>
      </c>
      <c r="AO118" s="6"/>
    </row>
    <row r="119" customFormat="false" ht="15" hidden="false" customHeight="false" outlineLevel="0" collapsed="false">
      <c r="A119" s="23" t="s">
        <v>539</v>
      </c>
      <c r="B119" s="23" t="s">
        <v>102</v>
      </c>
      <c r="C119" s="23" t="s">
        <v>103</v>
      </c>
      <c r="D119" s="24" t="n">
        <v>693</v>
      </c>
      <c r="E119" s="23" t="s">
        <v>540</v>
      </c>
      <c r="F119" s="23" t="s">
        <v>541</v>
      </c>
      <c r="G119" s="25" t="n">
        <v>45848</v>
      </c>
      <c r="H119" s="23" t="n">
        <v>12</v>
      </c>
      <c r="I119" s="25" t="n">
        <v>46212</v>
      </c>
      <c r="J119" s="23" t="s">
        <v>116</v>
      </c>
      <c r="K119" s="23" t="s">
        <v>86</v>
      </c>
      <c r="L119" s="26" t="n">
        <v>1685</v>
      </c>
      <c r="M119" s="26" t="n">
        <v>2527</v>
      </c>
      <c r="N119" s="27" t="n">
        <f aca="false">IF(OR($L119="",$H119="",$H119=0),"",$L119-N($M119)/$H119)</f>
        <v>1474.41666666667</v>
      </c>
      <c r="O119" s="23" t="s">
        <v>87</v>
      </c>
      <c r="P119" s="23" t="s">
        <v>88</v>
      </c>
      <c r="Q119" s="23" t="s">
        <v>97</v>
      </c>
      <c r="R119" s="23" t="s">
        <v>98</v>
      </c>
      <c r="S119" s="23" t="s">
        <v>98</v>
      </c>
      <c r="T119" s="23" t="s">
        <v>98</v>
      </c>
      <c r="U119" s="23"/>
      <c r="V119" s="23"/>
      <c r="W119" s="25"/>
      <c r="X119" s="23"/>
      <c r="Y119" s="26"/>
      <c r="Z119" s="26"/>
      <c r="AA119" s="27" t="str">
        <f aca="false">IF(OR($Y119="",$X119="",$X119=0),"",$Y119-N($Z119)/$X119)</f>
        <v/>
      </c>
      <c r="AB119" s="23"/>
      <c r="AC119" s="28" t="str">
        <f aca="false">IF(OR($Y119="",$L119="",$L119=0),"",$Y119/$L119-1)</f>
        <v/>
      </c>
      <c r="AD119" s="28" t="str">
        <f aca="false">IF(OR($AA119="",$N119="",$N119=0),"",$AA119/$N119-1)</f>
        <v/>
      </c>
      <c r="AE119" s="25" t="n">
        <v>46200</v>
      </c>
      <c r="AF119" s="23" t="s">
        <v>542</v>
      </c>
      <c r="AG119" s="23" t="s">
        <v>256</v>
      </c>
      <c r="AH119" s="25" t="n">
        <v>46209</v>
      </c>
      <c r="AI119" s="23" t="n">
        <v>6</v>
      </c>
      <c r="AJ119" s="26" t="n">
        <v>1738</v>
      </c>
      <c r="AK119" s="26" t="n">
        <v>0</v>
      </c>
      <c r="AL119" s="27" t="n">
        <f aca="false">IF(OR($AJ119="",$AI119="",$AI119=0),"",$AJ119-N($AK119)/$AI119)</f>
        <v>1738</v>
      </c>
      <c r="AM119" s="28" t="n">
        <f aca="false">IF(OR($AJ119="",$L119="",$L119=0),"",$AJ119/$L119-1)</f>
        <v>0.0314540059347181</v>
      </c>
      <c r="AN119" s="28" t="n">
        <f aca="false">IF(OR($AL119="",$N119="",$N119=0),"",$AL119/$N119-1)</f>
        <v>0.178771265472221</v>
      </c>
      <c r="AO119" s="24" t="n">
        <v>9</v>
      </c>
    </row>
    <row r="120" customFormat="false" ht="15" hidden="false" customHeight="false" outlineLevel="0" collapsed="false">
      <c r="A120" s="5" t="s">
        <v>543</v>
      </c>
      <c r="B120" s="5" t="s">
        <v>161</v>
      </c>
      <c r="C120" s="5" t="s">
        <v>92</v>
      </c>
      <c r="D120" s="6" t="n">
        <v>1340</v>
      </c>
      <c r="E120" s="5" t="s">
        <v>544</v>
      </c>
      <c r="F120" s="5" t="s">
        <v>545</v>
      </c>
      <c r="G120" s="20" t="n">
        <v>45898</v>
      </c>
      <c r="H120" s="5" t="n">
        <v>12</v>
      </c>
      <c r="I120" s="20" t="n">
        <v>46262</v>
      </c>
      <c r="J120" s="5" t="s">
        <v>135</v>
      </c>
      <c r="K120" s="5" t="s">
        <v>86</v>
      </c>
      <c r="L120" s="16" t="n">
        <v>2530</v>
      </c>
      <c r="M120" s="16" t="n">
        <v>5060</v>
      </c>
      <c r="N120" s="21" t="n">
        <f aca="false">IF(OR($L120="",$H120="",$H120=0),"",$L120-N($M120)/$H120)</f>
        <v>2108.33333333333</v>
      </c>
      <c r="O120" s="5" t="s">
        <v>87</v>
      </c>
      <c r="P120" s="5" t="s">
        <v>88</v>
      </c>
      <c r="Q120" s="5" t="s">
        <v>89</v>
      </c>
      <c r="R120" s="5"/>
      <c r="S120" s="5"/>
      <c r="T120" s="5"/>
      <c r="U120" s="5"/>
      <c r="V120" s="5"/>
      <c r="W120" s="20"/>
      <c r="X120" s="5"/>
      <c r="Y120" s="16"/>
      <c r="Z120" s="16"/>
      <c r="AA120" s="21" t="str">
        <f aca="false">IF(OR($Y120="",$X120="",$X120=0),"",$Y120-N($Z120)/$X120)</f>
        <v/>
      </c>
      <c r="AB120" s="5"/>
      <c r="AC120" s="22" t="str">
        <f aca="false">IF(OR($Y120="",$L120="",$L120=0),"",$Y120/$L120-1)</f>
        <v/>
      </c>
      <c r="AD120" s="22" t="str">
        <f aca="false">IF(OR($AA120="",$N120="",$N120=0),"",$AA120/$N120-1)</f>
        <v/>
      </c>
      <c r="AE120" s="20"/>
      <c r="AF120" s="5"/>
      <c r="AG120" s="5"/>
      <c r="AH120" s="20"/>
      <c r="AI120" s="5"/>
      <c r="AJ120" s="16"/>
      <c r="AK120" s="16"/>
      <c r="AL120" s="21" t="str">
        <f aca="false">IF(OR($AJ120="",$AI120="",$AI120=0),"",$AJ120-N($AK120)/$AI120)</f>
        <v/>
      </c>
      <c r="AM120" s="22" t="str">
        <f aca="false">IF(OR($AJ120="",$L120="",$L120=0),"",$AJ120/$L120-1)</f>
        <v/>
      </c>
      <c r="AN120" s="22" t="str">
        <f aca="false">IF(OR($AL120="",$N120="",$N120=0),"",$AL120/$N120-1)</f>
        <v/>
      </c>
      <c r="AO120" s="6"/>
    </row>
    <row r="121" customFormat="false" ht="15" hidden="false" customHeight="false" outlineLevel="0" collapsed="false">
      <c r="A121" s="23" t="s">
        <v>546</v>
      </c>
      <c r="B121" s="23" t="s">
        <v>81</v>
      </c>
      <c r="C121" s="23" t="s">
        <v>82</v>
      </c>
      <c r="D121" s="24" t="n">
        <v>1141</v>
      </c>
      <c r="E121" s="23" t="s">
        <v>547</v>
      </c>
      <c r="F121" s="23" t="s">
        <v>548</v>
      </c>
      <c r="G121" s="25" t="n">
        <v>45856</v>
      </c>
      <c r="H121" s="23" t="n">
        <v>12</v>
      </c>
      <c r="I121" s="25" t="n">
        <v>46220</v>
      </c>
      <c r="J121" s="23" t="s">
        <v>116</v>
      </c>
      <c r="K121" s="23" t="s">
        <v>86</v>
      </c>
      <c r="L121" s="26" t="n">
        <v>1969</v>
      </c>
      <c r="M121" s="26" t="n">
        <v>1969</v>
      </c>
      <c r="N121" s="27" t="n">
        <f aca="false">IF(OR($L121="",$H121="",$H121=0),"",$L121-N($M121)/$H121)</f>
        <v>1804.91666666667</v>
      </c>
      <c r="O121" s="23" t="s">
        <v>87</v>
      </c>
      <c r="P121" s="23" t="s">
        <v>88</v>
      </c>
      <c r="Q121" s="23" t="s">
        <v>97</v>
      </c>
      <c r="R121" s="23" t="s">
        <v>98</v>
      </c>
      <c r="S121" s="23" t="s">
        <v>98</v>
      </c>
      <c r="T121" s="23" t="s">
        <v>98</v>
      </c>
      <c r="U121" s="23"/>
      <c r="V121" s="23"/>
      <c r="W121" s="25"/>
      <c r="X121" s="23"/>
      <c r="Y121" s="26"/>
      <c r="Z121" s="26"/>
      <c r="AA121" s="27" t="str">
        <f aca="false">IF(OR($Y121="",$X121="",$X121=0),"",$Y121-N($Z121)/$X121)</f>
        <v/>
      </c>
      <c r="AB121" s="23"/>
      <c r="AC121" s="28" t="str">
        <f aca="false">IF(OR($Y121="",$L121="",$L121=0),"",$Y121/$L121-1)</f>
        <v/>
      </c>
      <c r="AD121" s="28" t="str">
        <f aca="false">IF(OR($AA121="",$N121="",$N121=0),"",$AA121/$N121-1)</f>
        <v/>
      </c>
      <c r="AE121" s="25" t="n">
        <v>46203</v>
      </c>
      <c r="AF121" s="23" t="s">
        <v>549</v>
      </c>
      <c r="AG121" s="23" t="s">
        <v>550</v>
      </c>
      <c r="AH121" s="25" t="n">
        <v>46206</v>
      </c>
      <c r="AI121" s="23" t="n">
        <v>9</v>
      </c>
      <c r="AJ121" s="26" t="n">
        <v>2180</v>
      </c>
      <c r="AK121" s="26" t="n">
        <v>0</v>
      </c>
      <c r="AL121" s="27" t="n">
        <f aca="false">IF(OR($AJ121="",$AI121="",$AI121=0),"",$AJ121-N($AK121)/$AI121)</f>
        <v>2180</v>
      </c>
      <c r="AM121" s="28" t="n">
        <f aca="false">IF(OR($AJ121="",$L121="",$L121=0),"",$AJ121/$L121-1)</f>
        <v>0.107160995429152</v>
      </c>
      <c r="AN121" s="28" t="n">
        <f aca="false">IF(OR($AL121="",$N121="",$N121=0),"",$AL121/$N121-1)</f>
        <v>0.20781199501362</v>
      </c>
      <c r="AO121" s="24" t="n">
        <v>3</v>
      </c>
    </row>
    <row r="122" customFormat="false" ht="15" hidden="false" customHeight="false" outlineLevel="0" collapsed="false">
      <c r="A122" s="5" t="s">
        <v>551</v>
      </c>
      <c r="B122" s="5" t="s">
        <v>81</v>
      </c>
      <c r="C122" s="5" t="s">
        <v>82</v>
      </c>
      <c r="D122" s="6" t="n">
        <v>1141</v>
      </c>
      <c r="E122" s="5" t="s">
        <v>552</v>
      </c>
      <c r="F122" s="5" t="s">
        <v>553</v>
      </c>
      <c r="G122" s="20" t="n">
        <v>45898</v>
      </c>
      <c r="H122" s="5" t="n">
        <v>12</v>
      </c>
      <c r="I122" s="20" t="n">
        <v>46262</v>
      </c>
      <c r="J122" s="5" t="s">
        <v>135</v>
      </c>
      <c r="K122" s="5" t="s">
        <v>86</v>
      </c>
      <c r="L122" s="16" t="n">
        <v>1894</v>
      </c>
      <c r="M122" s="16" t="n">
        <v>1894</v>
      </c>
      <c r="N122" s="21" t="n">
        <f aca="false">IF(OR($L122="",$H122="",$H122=0),"",$L122-N($M122)/$H122)</f>
        <v>1736.16666666667</v>
      </c>
      <c r="O122" s="5" t="s">
        <v>87</v>
      </c>
      <c r="P122" s="5" t="s">
        <v>88</v>
      </c>
      <c r="Q122" s="5" t="s">
        <v>89</v>
      </c>
      <c r="R122" s="5"/>
      <c r="S122" s="5"/>
      <c r="T122" s="5"/>
      <c r="U122" s="5" t="s">
        <v>98</v>
      </c>
      <c r="V122" s="5"/>
      <c r="W122" s="20"/>
      <c r="X122" s="5"/>
      <c r="Y122" s="16"/>
      <c r="Z122" s="16"/>
      <c r="AA122" s="21" t="str">
        <f aca="false">IF(OR($Y122="",$X122="",$X122=0),"",$Y122-N($Z122)/$X122)</f>
        <v/>
      </c>
      <c r="AB122" s="5"/>
      <c r="AC122" s="22" t="str">
        <f aca="false">IF(OR($Y122="",$L122="",$L122=0),"",$Y122/$L122-1)</f>
        <v/>
      </c>
      <c r="AD122" s="22" t="str">
        <f aca="false">IF(OR($AA122="",$N122="",$N122=0),"",$AA122/$N122-1)</f>
        <v/>
      </c>
      <c r="AE122" s="20"/>
      <c r="AF122" s="5"/>
      <c r="AG122" s="5"/>
      <c r="AH122" s="20"/>
      <c r="AI122" s="5"/>
      <c r="AJ122" s="16"/>
      <c r="AK122" s="16"/>
      <c r="AL122" s="21" t="str">
        <f aca="false">IF(OR($AJ122="",$AI122="",$AI122=0),"",$AJ122-N($AK122)/$AI122)</f>
        <v/>
      </c>
      <c r="AM122" s="22" t="str">
        <f aca="false">IF(OR($AJ122="",$L122="",$L122=0),"",$AJ122/$L122-1)</f>
        <v/>
      </c>
      <c r="AN122" s="22" t="str">
        <f aca="false">IF(OR($AL122="",$N122="",$N122=0),"",$AL122/$N122-1)</f>
        <v/>
      </c>
      <c r="AO122" s="6"/>
    </row>
    <row r="123" customFormat="false" ht="15" hidden="false" customHeight="false" outlineLevel="0" collapsed="false">
      <c r="A123" s="23" t="s">
        <v>554</v>
      </c>
      <c r="B123" s="23" t="s">
        <v>145</v>
      </c>
      <c r="C123" s="23" t="s">
        <v>82</v>
      </c>
      <c r="D123" s="24" t="n">
        <v>1165</v>
      </c>
      <c r="E123" s="23" t="s">
        <v>555</v>
      </c>
      <c r="F123" s="23" t="s">
        <v>556</v>
      </c>
      <c r="G123" s="25" t="n">
        <v>45879</v>
      </c>
      <c r="H123" s="23" t="n">
        <v>12</v>
      </c>
      <c r="I123" s="25" t="n">
        <v>46243</v>
      </c>
      <c r="J123" s="23" t="s">
        <v>135</v>
      </c>
      <c r="K123" s="23" t="s">
        <v>86</v>
      </c>
      <c r="L123" s="26" t="n">
        <v>1920</v>
      </c>
      <c r="M123" s="26" t="n">
        <v>2880</v>
      </c>
      <c r="N123" s="27" t="n">
        <f aca="false">IF(OR($L123="",$H123="",$H123=0),"",$L123-N($M123)/$H123)</f>
        <v>1680</v>
      </c>
      <c r="O123" s="23" t="s">
        <v>87</v>
      </c>
      <c r="P123" s="23" t="s">
        <v>88</v>
      </c>
      <c r="Q123" s="23" t="s">
        <v>89</v>
      </c>
      <c r="R123" s="23"/>
      <c r="S123" s="23"/>
      <c r="T123" s="23"/>
      <c r="U123" s="23" t="s">
        <v>98</v>
      </c>
      <c r="V123" s="23"/>
      <c r="W123" s="25"/>
      <c r="X123" s="23"/>
      <c r="Y123" s="26"/>
      <c r="Z123" s="26"/>
      <c r="AA123" s="27" t="str">
        <f aca="false">IF(OR($Y123="",$X123="",$X123=0),"",$Y123-N($Z123)/$X123)</f>
        <v/>
      </c>
      <c r="AB123" s="23"/>
      <c r="AC123" s="28" t="str">
        <f aca="false">IF(OR($Y123="",$L123="",$L123=0),"",$Y123/$L123-1)</f>
        <v/>
      </c>
      <c r="AD123" s="28" t="str">
        <f aca="false">IF(OR($AA123="",$N123="",$N123=0),"",$AA123/$N123-1)</f>
        <v/>
      </c>
      <c r="AE123" s="25"/>
      <c r="AF123" s="23"/>
      <c r="AG123" s="23"/>
      <c r="AH123" s="25"/>
      <c r="AI123" s="23"/>
      <c r="AJ123" s="26"/>
      <c r="AK123" s="26"/>
      <c r="AL123" s="27" t="str">
        <f aca="false">IF(OR($AJ123="",$AI123="",$AI123=0),"",$AJ123-N($AK123)/$AI123)</f>
        <v/>
      </c>
      <c r="AM123" s="28" t="str">
        <f aca="false">IF(OR($AJ123="",$L123="",$L123=0),"",$AJ123/$L123-1)</f>
        <v/>
      </c>
      <c r="AN123" s="28" t="str">
        <f aca="false">IF(OR($AL123="",$N123="",$N123=0),"",$AL123/$N123-1)</f>
        <v/>
      </c>
      <c r="AO123" s="24"/>
    </row>
    <row r="124" customFormat="false" ht="15" hidden="false" customHeight="false" outlineLevel="0" collapsed="false">
      <c r="A124" s="5" t="s">
        <v>557</v>
      </c>
      <c r="B124" s="5" t="s">
        <v>102</v>
      </c>
      <c r="C124" s="5" t="s">
        <v>103</v>
      </c>
      <c r="D124" s="6" t="n">
        <v>693</v>
      </c>
      <c r="E124" s="5" t="s">
        <v>558</v>
      </c>
      <c r="F124" s="5" t="s">
        <v>559</v>
      </c>
      <c r="G124" s="20" t="n">
        <v>45982</v>
      </c>
      <c r="H124" s="5" t="n">
        <v>12</v>
      </c>
      <c r="I124" s="20" t="n">
        <v>46346</v>
      </c>
      <c r="J124" s="5" t="s">
        <v>193</v>
      </c>
      <c r="K124" s="5" t="s">
        <v>86</v>
      </c>
      <c r="L124" s="16" t="n">
        <v>1349</v>
      </c>
      <c r="M124" s="16" t="n">
        <v>0</v>
      </c>
      <c r="N124" s="21" t="n">
        <f aca="false">IF(OR($L124="",$H124="",$H124=0),"",$L124-N($M124)/$H124)</f>
        <v>1349</v>
      </c>
      <c r="O124" s="5" t="s">
        <v>87</v>
      </c>
      <c r="P124" s="5" t="s">
        <v>88</v>
      </c>
      <c r="Q124" s="5" t="s">
        <v>89</v>
      </c>
      <c r="R124" s="5"/>
      <c r="S124" s="5"/>
      <c r="T124" s="5"/>
      <c r="U124" s="5"/>
      <c r="V124" s="5"/>
      <c r="W124" s="20"/>
      <c r="X124" s="5"/>
      <c r="Y124" s="16"/>
      <c r="Z124" s="16"/>
      <c r="AA124" s="21" t="str">
        <f aca="false">IF(OR($Y124="",$X124="",$X124=0),"",$Y124-N($Z124)/$X124)</f>
        <v/>
      </c>
      <c r="AB124" s="5"/>
      <c r="AC124" s="22" t="str">
        <f aca="false">IF(OR($Y124="",$L124="",$L124=0),"",$Y124/$L124-1)</f>
        <v/>
      </c>
      <c r="AD124" s="22" t="str">
        <f aca="false">IF(OR($AA124="",$N124="",$N124=0),"",$AA124/$N124-1)</f>
        <v/>
      </c>
      <c r="AE124" s="20"/>
      <c r="AF124" s="5"/>
      <c r="AG124" s="5"/>
      <c r="AH124" s="20"/>
      <c r="AI124" s="5"/>
      <c r="AJ124" s="16"/>
      <c r="AK124" s="16"/>
      <c r="AL124" s="21" t="str">
        <f aca="false">IF(OR($AJ124="",$AI124="",$AI124=0),"",$AJ124-N($AK124)/$AI124)</f>
        <v/>
      </c>
      <c r="AM124" s="22" t="str">
        <f aca="false">IF(OR($AJ124="",$L124="",$L124=0),"",$AJ124/$L124-1)</f>
        <v/>
      </c>
      <c r="AN124" s="22" t="str">
        <f aca="false">IF(OR($AL124="",$N124="",$N124=0),"",$AL124/$N124-1)</f>
        <v/>
      </c>
      <c r="AO124" s="6"/>
    </row>
    <row r="125" customFormat="false" ht="15" hidden="false" customHeight="false" outlineLevel="0" collapsed="false">
      <c r="A125" s="23" t="s">
        <v>560</v>
      </c>
      <c r="B125" s="23" t="s">
        <v>108</v>
      </c>
      <c r="C125" s="23" t="s">
        <v>103</v>
      </c>
      <c r="D125" s="24" t="n">
        <v>746</v>
      </c>
      <c r="E125" s="23" t="s">
        <v>561</v>
      </c>
      <c r="F125" s="23" t="s">
        <v>562</v>
      </c>
      <c r="G125" s="25" t="n">
        <v>45974</v>
      </c>
      <c r="H125" s="23" t="n">
        <v>18</v>
      </c>
      <c r="I125" s="25" t="n">
        <v>46519</v>
      </c>
      <c r="J125" s="23" t="s">
        <v>111</v>
      </c>
      <c r="K125" s="23" t="s">
        <v>86</v>
      </c>
      <c r="L125" s="26" t="n">
        <v>1689</v>
      </c>
      <c r="M125" s="26" t="n">
        <v>3378</v>
      </c>
      <c r="N125" s="27" t="n">
        <f aca="false">IF(OR($L125="",$H125="",$H125=0),"",$L125-N($M125)/$H125)</f>
        <v>1501.33333333333</v>
      </c>
      <c r="O125" s="23" t="s">
        <v>87</v>
      </c>
      <c r="P125" s="23" t="s">
        <v>88</v>
      </c>
      <c r="Q125" s="23" t="s">
        <v>89</v>
      </c>
      <c r="R125" s="23"/>
      <c r="S125" s="23"/>
      <c r="T125" s="23"/>
      <c r="U125" s="23"/>
      <c r="V125" s="23"/>
      <c r="W125" s="25"/>
      <c r="X125" s="23"/>
      <c r="Y125" s="26"/>
      <c r="Z125" s="26"/>
      <c r="AA125" s="27" t="str">
        <f aca="false">IF(OR($Y125="",$X125="",$X125=0),"",$Y125-N($Z125)/$X125)</f>
        <v/>
      </c>
      <c r="AB125" s="23"/>
      <c r="AC125" s="28" t="str">
        <f aca="false">IF(OR($Y125="",$L125="",$L125=0),"",$Y125/$L125-1)</f>
        <v/>
      </c>
      <c r="AD125" s="28" t="str">
        <f aca="false">IF(OR($AA125="",$N125="",$N125=0),"",$AA125/$N125-1)</f>
        <v/>
      </c>
      <c r="AE125" s="25"/>
      <c r="AF125" s="23"/>
      <c r="AG125" s="23"/>
      <c r="AH125" s="25"/>
      <c r="AI125" s="23"/>
      <c r="AJ125" s="26"/>
      <c r="AK125" s="26"/>
      <c r="AL125" s="27" t="str">
        <f aca="false">IF(OR($AJ125="",$AI125="",$AI125=0),"",$AJ125-N($AK125)/$AI125)</f>
        <v/>
      </c>
      <c r="AM125" s="28" t="str">
        <f aca="false">IF(OR($AJ125="",$L125="",$L125=0),"",$AJ125/$L125-1)</f>
        <v/>
      </c>
      <c r="AN125" s="28" t="str">
        <f aca="false">IF(OR($AL125="",$N125="",$N125=0),"",$AL125/$N125-1)</f>
        <v/>
      </c>
      <c r="AO125" s="24"/>
    </row>
    <row r="126" customFormat="false" ht="15" hidden="false" customHeight="false" outlineLevel="0" collapsed="false">
      <c r="A126" s="5" t="s">
        <v>563</v>
      </c>
      <c r="B126" s="5" t="s">
        <v>102</v>
      </c>
      <c r="C126" s="5" t="s">
        <v>103</v>
      </c>
      <c r="D126" s="6" t="n">
        <v>693</v>
      </c>
      <c r="E126" s="5" t="s">
        <v>564</v>
      </c>
      <c r="F126" s="5" t="s">
        <v>565</v>
      </c>
      <c r="G126" s="20" t="n">
        <v>45961</v>
      </c>
      <c r="H126" s="5" t="n">
        <v>12</v>
      </c>
      <c r="I126" s="20" t="n">
        <v>46325</v>
      </c>
      <c r="J126" s="5" t="s">
        <v>106</v>
      </c>
      <c r="K126" s="5" t="s">
        <v>86</v>
      </c>
      <c r="L126" s="16" t="n">
        <v>1399</v>
      </c>
      <c r="M126" s="16" t="n">
        <v>699.5</v>
      </c>
      <c r="N126" s="21" t="n">
        <f aca="false">IF(OR($L126="",$H126="",$H126=0),"",$L126-N($M126)/$H126)</f>
        <v>1340.70833333333</v>
      </c>
      <c r="O126" s="5" t="s">
        <v>87</v>
      </c>
      <c r="P126" s="5" t="s">
        <v>88</v>
      </c>
      <c r="Q126" s="5" t="s">
        <v>89</v>
      </c>
      <c r="R126" s="5"/>
      <c r="S126" s="5"/>
      <c r="T126" s="5"/>
      <c r="U126" s="5"/>
      <c r="V126" s="5"/>
      <c r="W126" s="20"/>
      <c r="X126" s="5"/>
      <c r="Y126" s="16"/>
      <c r="Z126" s="16"/>
      <c r="AA126" s="21" t="str">
        <f aca="false">IF(OR($Y126="",$X126="",$X126=0),"",$Y126-N($Z126)/$X126)</f>
        <v/>
      </c>
      <c r="AB126" s="5"/>
      <c r="AC126" s="22" t="str">
        <f aca="false">IF(OR($Y126="",$L126="",$L126=0),"",$Y126/$L126-1)</f>
        <v/>
      </c>
      <c r="AD126" s="22" t="str">
        <f aca="false">IF(OR($AA126="",$N126="",$N126=0),"",$AA126/$N126-1)</f>
        <v/>
      </c>
      <c r="AE126" s="20"/>
      <c r="AF126" s="5"/>
      <c r="AG126" s="5"/>
      <c r="AH126" s="20"/>
      <c r="AI126" s="5"/>
      <c r="AJ126" s="16"/>
      <c r="AK126" s="16"/>
      <c r="AL126" s="21" t="str">
        <f aca="false">IF(OR($AJ126="",$AI126="",$AI126=0),"",$AJ126-N($AK126)/$AI126)</f>
        <v/>
      </c>
      <c r="AM126" s="22" t="str">
        <f aca="false">IF(OR($AJ126="",$L126="",$L126=0),"",$AJ126/$L126-1)</f>
        <v/>
      </c>
      <c r="AN126" s="22" t="str">
        <f aca="false">IF(OR($AL126="",$N126="",$N126=0),"",$AL126/$N126-1)</f>
        <v/>
      </c>
      <c r="AO126" s="6"/>
    </row>
    <row r="127" customFormat="false" ht="15" hidden="false" customHeight="false" outlineLevel="0" collapsed="false">
      <c r="A127" s="23" t="s">
        <v>566</v>
      </c>
      <c r="B127" s="23" t="s">
        <v>102</v>
      </c>
      <c r="C127" s="23" t="s">
        <v>103</v>
      </c>
      <c r="D127" s="24" t="n">
        <v>693</v>
      </c>
      <c r="E127" s="23" t="s">
        <v>567</v>
      </c>
      <c r="F127" s="23" t="s">
        <v>568</v>
      </c>
      <c r="G127" s="25" t="n">
        <v>45857</v>
      </c>
      <c r="H127" s="23" t="n">
        <v>12</v>
      </c>
      <c r="I127" s="25" t="n">
        <v>46221</v>
      </c>
      <c r="J127" s="23" t="s">
        <v>116</v>
      </c>
      <c r="K127" s="23" t="s">
        <v>86</v>
      </c>
      <c r="L127" s="26" t="n">
        <v>1600</v>
      </c>
      <c r="M127" s="26" t="n">
        <v>1600</v>
      </c>
      <c r="N127" s="27" t="n">
        <f aca="false">IF(OR($L127="",$H127="",$H127=0),"",$L127-N($M127)/$H127)</f>
        <v>1466.66666666667</v>
      </c>
      <c r="O127" s="23" t="s">
        <v>87</v>
      </c>
      <c r="P127" s="23" t="s">
        <v>88</v>
      </c>
      <c r="Q127" s="23" t="s">
        <v>97</v>
      </c>
      <c r="R127" s="23" t="s">
        <v>98</v>
      </c>
      <c r="S127" s="23" t="s">
        <v>98</v>
      </c>
      <c r="T127" s="23"/>
      <c r="U127" s="23"/>
      <c r="V127" s="23"/>
      <c r="W127" s="25"/>
      <c r="X127" s="23"/>
      <c r="Y127" s="26"/>
      <c r="Z127" s="26"/>
      <c r="AA127" s="27" t="str">
        <f aca="false">IF(OR($Y127="",$X127="",$X127=0),"",$Y127-N($Z127)/$X127)</f>
        <v/>
      </c>
      <c r="AB127" s="23"/>
      <c r="AC127" s="28" t="str">
        <f aca="false">IF(OR($Y127="",$L127="",$L127=0),"",$Y127/$L127-1)</f>
        <v/>
      </c>
      <c r="AD127" s="28" t="str">
        <f aca="false">IF(OR($AA127="",$N127="",$N127=0),"",$AA127/$N127-1)</f>
        <v/>
      </c>
      <c r="AE127" s="25" t="n">
        <v>46221</v>
      </c>
      <c r="AF127" s="23" t="s">
        <v>569</v>
      </c>
      <c r="AG127" s="23" t="s">
        <v>256</v>
      </c>
      <c r="AH127" s="25" t="n">
        <v>46230</v>
      </c>
      <c r="AI127" s="23" t="n">
        <v>8</v>
      </c>
      <c r="AJ127" s="26" t="n">
        <v>1678</v>
      </c>
      <c r="AK127" s="26" t="n">
        <v>0</v>
      </c>
      <c r="AL127" s="27" t="n">
        <f aca="false">IF(OR($AJ127="",$AI127="",$AI127=0),"",$AJ127-N($AK127)/$AI127)</f>
        <v>1678</v>
      </c>
      <c r="AM127" s="28" t="n">
        <f aca="false">IF(OR($AJ127="",$L127="",$L127=0),"",$AJ127/$L127-1)</f>
        <v>0.0487500000000001</v>
      </c>
      <c r="AN127" s="28" t="n">
        <f aca="false">IF(OR($AL127="",$N127="",$N127=0),"",$AL127/$N127-1)</f>
        <v>0.144090909090909</v>
      </c>
      <c r="AO127" s="24" t="n">
        <v>9</v>
      </c>
    </row>
    <row r="128" customFormat="false" ht="15" hidden="false" customHeight="false" outlineLevel="0" collapsed="false">
      <c r="A128" s="5" t="s">
        <v>570</v>
      </c>
      <c r="B128" s="5" t="s">
        <v>81</v>
      </c>
      <c r="C128" s="5" t="s">
        <v>82</v>
      </c>
      <c r="D128" s="6" t="n">
        <v>1141</v>
      </c>
      <c r="E128" s="5" t="s">
        <v>571</v>
      </c>
      <c r="F128" s="5" t="s">
        <v>572</v>
      </c>
      <c r="G128" s="20" t="n">
        <v>45870</v>
      </c>
      <c r="H128" s="5" t="n">
        <v>12</v>
      </c>
      <c r="I128" s="20" t="n">
        <v>46599</v>
      </c>
      <c r="J128" s="5" t="s">
        <v>573</v>
      </c>
      <c r="K128" s="5" t="s">
        <v>86</v>
      </c>
      <c r="L128" s="16" t="n">
        <v>1879</v>
      </c>
      <c r="M128" s="16" t="n">
        <v>0</v>
      </c>
      <c r="N128" s="21" t="n">
        <f aca="false">IF(OR($L128="",$H128="",$H128=0),"",$L128-N($M128)/$H128)</f>
        <v>1879</v>
      </c>
      <c r="O128" s="5" t="s">
        <v>87</v>
      </c>
      <c r="P128" s="5" t="s">
        <v>88</v>
      </c>
      <c r="Q128" s="5" t="s">
        <v>89</v>
      </c>
      <c r="R128" s="5"/>
      <c r="S128" s="5"/>
      <c r="T128" s="5"/>
      <c r="U128" s="5"/>
      <c r="V128" s="5"/>
      <c r="W128" s="20"/>
      <c r="X128" s="5"/>
      <c r="Y128" s="16"/>
      <c r="Z128" s="16"/>
      <c r="AA128" s="21" t="str">
        <f aca="false">IF(OR($Y128="",$X128="",$X128=0),"",$Y128-N($Z128)/$X128)</f>
        <v/>
      </c>
      <c r="AB128" s="5"/>
      <c r="AC128" s="22" t="str">
        <f aca="false">IF(OR($Y128="",$L128="",$L128=0),"",$Y128/$L128-1)</f>
        <v/>
      </c>
      <c r="AD128" s="22" t="str">
        <f aca="false">IF(OR($AA128="",$N128="",$N128=0),"",$AA128/$N128-1)</f>
        <v/>
      </c>
      <c r="AE128" s="20"/>
      <c r="AF128" s="5"/>
      <c r="AG128" s="5"/>
      <c r="AH128" s="20"/>
      <c r="AI128" s="5"/>
      <c r="AJ128" s="16"/>
      <c r="AK128" s="16"/>
      <c r="AL128" s="21" t="str">
        <f aca="false">IF(OR($AJ128="",$AI128="",$AI128=0),"",$AJ128-N($AK128)/$AI128)</f>
        <v/>
      </c>
      <c r="AM128" s="22" t="str">
        <f aca="false">IF(OR($AJ128="",$L128="",$L128=0),"",$AJ128/$L128-1)</f>
        <v/>
      </c>
      <c r="AN128" s="22" t="str">
        <f aca="false">IF(OR($AL128="",$N128="",$N128=0),"",$AL128/$N128-1)</f>
        <v/>
      </c>
      <c r="AO128" s="6"/>
    </row>
    <row r="129" customFormat="false" ht="15" hidden="false" customHeight="false" outlineLevel="0" collapsed="false">
      <c r="A129" s="23" t="s">
        <v>574</v>
      </c>
      <c r="B129" s="23" t="s">
        <v>275</v>
      </c>
      <c r="C129" s="23" t="s">
        <v>276</v>
      </c>
      <c r="D129" s="24" t="n">
        <v>517</v>
      </c>
      <c r="E129" s="23" t="s">
        <v>575</v>
      </c>
      <c r="F129" s="23" t="s">
        <v>576</v>
      </c>
      <c r="G129" s="25" t="n">
        <v>45979</v>
      </c>
      <c r="H129" s="23" t="n">
        <v>9</v>
      </c>
      <c r="I129" s="25" t="n">
        <v>46251</v>
      </c>
      <c r="J129" s="23" t="s">
        <v>135</v>
      </c>
      <c r="K129" s="23" t="s">
        <v>86</v>
      </c>
      <c r="L129" s="26" t="n">
        <v>1325</v>
      </c>
      <c r="M129" s="26" t="n">
        <v>0</v>
      </c>
      <c r="N129" s="27" t="n">
        <f aca="false">IF(OR($L129="",$H129="",$H129=0),"",$L129-N($M129)/$H129)</f>
        <v>1325</v>
      </c>
      <c r="O129" s="23" t="s">
        <v>87</v>
      </c>
      <c r="P129" s="23" t="s">
        <v>88</v>
      </c>
      <c r="Q129" s="23" t="s">
        <v>89</v>
      </c>
      <c r="R129" s="23"/>
      <c r="S129" s="23"/>
      <c r="T129" s="23"/>
      <c r="U129" s="23" t="s">
        <v>98</v>
      </c>
      <c r="V129" s="23"/>
      <c r="W129" s="25"/>
      <c r="X129" s="23"/>
      <c r="Y129" s="26"/>
      <c r="Z129" s="26"/>
      <c r="AA129" s="27" t="str">
        <f aca="false">IF(OR($Y129="",$X129="",$X129=0),"",$Y129-N($Z129)/$X129)</f>
        <v/>
      </c>
      <c r="AB129" s="23"/>
      <c r="AC129" s="28" t="str">
        <f aca="false">IF(OR($Y129="",$L129="",$L129=0),"",$Y129/$L129-1)</f>
        <v/>
      </c>
      <c r="AD129" s="28" t="str">
        <f aca="false">IF(OR($AA129="",$N129="",$N129=0),"",$AA129/$N129-1)</f>
        <v/>
      </c>
      <c r="AE129" s="25"/>
      <c r="AF129" s="23"/>
      <c r="AG129" s="23"/>
      <c r="AH129" s="25"/>
      <c r="AI129" s="23"/>
      <c r="AJ129" s="26"/>
      <c r="AK129" s="26"/>
      <c r="AL129" s="27" t="str">
        <f aca="false">IF(OR($AJ129="",$AI129="",$AI129=0),"",$AJ129-N($AK129)/$AI129)</f>
        <v/>
      </c>
      <c r="AM129" s="28" t="str">
        <f aca="false">IF(OR($AJ129="",$L129="",$L129=0),"",$AJ129/$L129-1)</f>
        <v/>
      </c>
      <c r="AN129" s="28" t="str">
        <f aca="false">IF(OR($AL129="",$N129="",$N129=0),"",$AL129/$N129-1)</f>
        <v/>
      </c>
      <c r="AO129" s="24"/>
    </row>
    <row r="130" customFormat="false" ht="15" hidden="false" customHeight="false" outlineLevel="0" collapsed="false">
      <c r="A130" s="5" t="s">
        <v>577</v>
      </c>
      <c r="B130" s="5" t="s">
        <v>102</v>
      </c>
      <c r="C130" s="5" t="s">
        <v>103</v>
      </c>
      <c r="D130" s="6" t="n">
        <v>693</v>
      </c>
      <c r="E130" s="5" t="s">
        <v>578</v>
      </c>
      <c r="F130" s="5" t="s">
        <v>579</v>
      </c>
      <c r="G130" s="20" t="n">
        <v>45789</v>
      </c>
      <c r="H130" s="5" t="n">
        <v>14</v>
      </c>
      <c r="I130" s="20" t="n">
        <v>46214</v>
      </c>
      <c r="J130" s="5" t="s">
        <v>116</v>
      </c>
      <c r="K130" s="5" t="s">
        <v>86</v>
      </c>
      <c r="L130" s="16" t="n">
        <v>1590</v>
      </c>
      <c r="M130" s="16" t="n">
        <v>0</v>
      </c>
      <c r="N130" s="21" t="n">
        <f aca="false">IF(OR($L130="",$H130="",$H130=0),"",$L130-N($M130)/$H130)</f>
        <v>1590</v>
      </c>
      <c r="O130" s="5" t="s">
        <v>87</v>
      </c>
      <c r="P130" s="5" t="s">
        <v>88</v>
      </c>
      <c r="Q130" s="5" t="s">
        <v>97</v>
      </c>
      <c r="R130" s="5" t="s">
        <v>98</v>
      </c>
      <c r="S130" s="5" t="s">
        <v>98</v>
      </c>
      <c r="T130" s="5"/>
      <c r="U130" s="5"/>
      <c r="V130" s="5"/>
      <c r="W130" s="20"/>
      <c r="X130" s="5"/>
      <c r="Y130" s="16"/>
      <c r="Z130" s="16"/>
      <c r="AA130" s="21" t="str">
        <f aca="false">IF(OR($Y130="",$X130="",$X130=0),"",$Y130-N($Z130)/$X130)</f>
        <v/>
      </c>
      <c r="AB130" s="5"/>
      <c r="AC130" s="22" t="str">
        <f aca="false">IF(OR($Y130="",$L130="",$L130=0),"",$Y130/$L130-1)</f>
        <v/>
      </c>
      <c r="AD130" s="22" t="str">
        <f aca="false">IF(OR($AA130="",$N130="",$N130=0),"",$AA130/$N130-1)</f>
        <v/>
      </c>
      <c r="AE130" s="20" t="n">
        <v>46214</v>
      </c>
      <c r="AF130" s="5" t="s">
        <v>580</v>
      </c>
      <c r="AG130" s="5" t="s">
        <v>256</v>
      </c>
      <c r="AH130" s="20" t="n">
        <v>46223</v>
      </c>
      <c r="AI130" s="5" t="n">
        <v>7</v>
      </c>
      <c r="AJ130" s="16" t="n">
        <v>1713</v>
      </c>
      <c r="AK130" s="16" t="n">
        <v>0</v>
      </c>
      <c r="AL130" s="21" t="n">
        <f aca="false">IF(OR($AJ130="",$AI130="",$AI130=0),"",$AJ130-N($AK130)/$AI130)</f>
        <v>1713</v>
      </c>
      <c r="AM130" s="22" t="n">
        <f aca="false">IF(OR($AJ130="",$L130="",$L130=0),"",$AJ130/$L130-1)</f>
        <v>0.0773584905660378</v>
      </c>
      <c r="AN130" s="22" t="n">
        <f aca="false">IF(OR($AL130="",$N130="",$N130=0),"",$AL130/$N130-1)</f>
        <v>0.0773584905660378</v>
      </c>
      <c r="AO130" s="6" t="n">
        <v>9</v>
      </c>
    </row>
    <row r="131" customFormat="false" ht="15" hidden="false" customHeight="false" outlineLevel="0" collapsed="false">
      <c r="A131" s="23" t="s">
        <v>581</v>
      </c>
      <c r="B131" s="23" t="s">
        <v>91</v>
      </c>
      <c r="C131" s="23" t="s">
        <v>92</v>
      </c>
      <c r="D131" s="24" t="n">
        <v>1328</v>
      </c>
      <c r="E131" s="23" t="s">
        <v>582</v>
      </c>
      <c r="F131" s="23" t="s">
        <v>583</v>
      </c>
      <c r="G131" s="25" t="n">
        <v>45774</v>
      </c>
      <c r="H131" s="23" t="n">
        <v>14</v>
      </c>
      <c r="I131" s="25" t="n">
        <v>46199</v>
      </c>
      <c r="J131" s="23" t="s">
        <v>152</v>
      </c>
      <c r="K131" s="23" t="s">
        <v>202</v>
      </c>
      <c r="L131" s="26" t="n">
        <v>2235</v>
      </c>
      <c r="M131" s="26" t="n">
        <v>2235</v>
      </c>
      <c r="N131" s="27" t="n">
        <f aca="false">IF(OR($L131="",$H131="",$H131=0),"",$L131-N($M131)/$H131)</f>
        <v>2075.35714285714</v>
      </c>
      <c r="O131" s="23" t="s">
        <v>87</v>
      </c>
      <c r="P131" s="23" t="s">
        <v>202</v>
      </c>
      <c r="Q131" s="23" t="s">
        <v>127</v>
      </c>
      <c r="R131" s="23" t="s">
        <v>98</v>
      </c>
      <c r="S131" s="23" t="s">
        <v>98</v>
      </c>
      <c r="T131" s="23"/>
      <c r="U131" s="23"/>
      <c r="V131" s="23"/>
      <c r="W131" s="25" t="n">
        <v>46200</v>
      </c>
      <c r="X131" s="23" t="n">
        <v>15</v>
      </c>
      <c r="Y131" s="26" t="n">
        <v>2285</v>
      </c>
      <c r="Z131" s="26" t="n">
        <v>0</v>
      </c>
      <c r="AA131" s="27" t="n">
        <f aca="false">IF(OR($Y131="",$X131="",$X131=0),"",$Y131-N($Z131)/$X131)</f>
        <v>2285</v>
      </c>
      <c r="AB131" s="23" t="s">
        <v>98</v>
      </c>
      <c r="AC131" s="28" t="n">
        <f aca="false">IF(OR($Y131="",$L131="",$L131=0),"",$Y131/$L131-1)</f>
        <v>0.0223713646532437</v>
      </c>
      <c r="AD131" s="28" t="n">
        <f aca="false">IF(OR($AA131="",$N131="",$N131=0),"",$AA131/$N131-1)</f>
        <v>0.101015315780417</v>
      </c>
      <c r="AE131" s="25"/>
      <c r="AF131" s="23"/>
      <c r="AG131" s="23"/>
      <c r="AH131" s="25"/>
      <c r="AI131" s="23"/>
      <c r="AJ131" s="26"/>
      <c r="AK131" s="26"/>
      <c r="AL131" s="27" t="str">
        <f aca="false">IF(OR($AJ131="",$AI131="",$AI131=0),"",$AJ131-N($AK131)/$AI131)</f>
        <v/>
      </c>
      <c r="AM131" s="28" t="str">
        <f aca="false">IF(OR($AJ131="",$L131="",$L131=0),"",$AJ131/$L131-1)</f>
        <v/>
      </c>
      <c r="AN131" s="28" t="str">
        <f aca="false">IF(OR($AL131="",$N131="",$N131=0),"",$AL131/$N131-1)</f>
        <v/>
      </c>
      <c r="AO131" s="24"/>
    </row>
    <row r="132" customFormat="false" ht="15" hidden="false" customHeight="false" outlineLevel="0" collapsed="false">
      <c r="A132" s="5" t="s">
        <v>584</v>
      </c>
      <c r="B132" s="5" t="s">
        <v>81</v>
      </c>
      <c r="C132" s="5" t="s">
        <v>82</v>
      </c>
      <c r="D132" s="6" t="n">
        <v>1141</v>
      </c>
      <c r="E132" s="5" t="s">
        <v>585</v>
      </c>
      <c r="F132" s="5" t="s">
        <v>586</v>
      </c>
      <c r="G132" s="20" t="n">
        <v>45757</v>
      </c>
      <c r="H132" s="5" t="n">
        <v>12</v>
      </c>
      <c r="I132" s="20" t="n">
        <v>46182</v>
      </c>
      <c r="J132" s="5" t="s">
        <v>152</v>
      </c>
      <c r="K132" s="5" t="s">
        <v>86</v>
      </c>
      <c r="L132" s="16" t="n">
        <v>2080</v>
      </c>
      <c r="M132" s="16" t="n">
        <v>2880</v>
      </c>
      <c r="N132" s="21" t="n">
        <f aca="false">IF(OR($L132="",$H132="",$H132=0),"",$L132-N($M132)/$H132)</f>
        <v>1840</v>
      </c>
      <c r="O132" s="5" t="s">
        <v>87</v>
      </c>
      <c r="P132" s="5" t="s">
        <v>96</v>
      </c>
      <c r="Q132" s="5" t="s">
        <v>97</v>
      </c>
      <c r="R132" s="5" t="s">
        <v>98</v>
      </c>
      <c r="S132" s="5" t="s">
        <v>98</v>
      </c>
      <c r="T132" s="5"/>
      <c r="U132" s="5"/>
      <c r="V132" s="5"/>
      <c r="W132" s="20"/>
      <c r="X132" s="5"/>
      <c r="Y132" s="16"/>
      <c r="Z132" s="16"/>
      <c r="AA132" s="21" t="str">
        <f aca="false">IF(OR($Y132="",$X132="",$X132=0),"",$Y132-N($Z132)/$X132)</f>
        <v/>
      </c>
      <c r="AB132" s="5"/>
      <c r="AC132" s="22" t="str">
        <f aca="false">IF(OR($Y132="",$L132="",$L132=0),"",$Y132/$L132-1)</f>
        <v/>
      </c>
      <c r="AD132" s="22" t="str">
        <f aca="false">IF(OR($AA132="",$N132="",$N132=0),"",$AA132/$N132-1)</f>
        <v/>
      </c>
      <c r="AE132" s="20" t="n">
        <v>46182</v>
      </c>
      <c r="AF132" s="5" t="s">
        <v>587</v>
      </c>
      <c r="AG132" s="5" t="s">
        <v>588</v>
      </c>
      <c r="AH132" s="20" t="n">
        <v>46189</v>
      </c>
      <c r="AI132" s="5" t="n">
        <v>18</v>
      </c>
      <c r="AJ132" s="16" t="n">
        <v>2045</v>
      </c>
      <c r="AK132" s="16" t="n">
        <v>2045</v>
      </c>
      <c r="AL132" s="21" t="n">
        <f aca="false">IF(OR($AJ132="",$AI132="",$AI132=0),"",$AJ132-N($AK132)/$AI132)</f>
        <v>1931.38888888889</v>
      </c>
      <c r="AM132" s="22" t="n">
        <f aca="false">IF(OR($AJ132="",$L132="",$L132=0),"",$AJ132/$L132-1)</f>
        <v>-0.0168269230769231</v>
      </c>
      <c r="AN132" s="22" t="n">
        <f aca="false">IF(OR($AL132="",$N132="",$N132=0),"",$AL132/$N132-1)</f>
        <v>0.0496678743961352</v>
      </c>
      <c r="AO132" s="6" t="n">
        <v>7</v>
      </c>
    </row>
    <row r="133" customFormat="false" ht="15" hidden="false" customHeight="false" outlineLevel="0" collapsed="false">
      <c r="A133" s="23" t="s">
        <v>589</v>
      </c>
      <c r="B133" s="23" t="s">
        <v>81</v>
      </c>
      <c r="C133" s="23" t="s">
        <v>82</v>
      </c>
      <c r="D133" s="24" t="n">
        <v>1141</v>
      </c>
      <c r="E133" s="23" t="s">
        <v>590</v>
      </c>
      <c r="F133" s="23" t="s">
        <v>591</v>
      </c>
      <c r="G133" s="25" t="n">
        <v>45843</v>
      </c>
      <c r="H133" s="23" t="n">
        <v>12</v>
      </c>
      <c r="I133" s="25" t="n">
        <v>46207</v>
      </c>
      <c r="J133" s="23" t="s">
        <v>116</v>
      </c>
      <c r="K133" s="23" t="s">
        <v>202</v>
      </c>
      <c r="L133" s="26" t="n">
        <v>1919</v>
      </c>
      <c r="M133" s="26" t="n">
        <v>1000</v>
      </c>
      <c r="N133" s="27" t="n">
        <f aca="false">IF(OR($L133="",$H133="",$H133=0),"",$L133-N($M133)/$H133)</f>
        <v>1835.66666666667</v>
      </c>
      <c r="O133" s="23" t="s">
        <v>87</v>
      </c>
      <c r="P133" s="23" t="s">
        <v>202</v>
      </c>
      <c r="Q133" s="23" t="s">
        <v>127</v>
      </c>
      <c r="R133" s="23" t="s">
        <v>98</v>
      </c>
      <c r="S133" s="23" t="s">
        <v>98</v>
      </c>
      <c r="T133" s="23"/>
      <c r="U133" s="23"/>
      <c r="V133" s="23"/>
      <c r="W133" s="25" t="n">
        <v>46208</v>
      </c>
      <c r="X133" s="23" t="n">
        <v>13</v>
      </c>
      <c r="Y133" s="26" t="n">
        <v>1919</v>
      </c>
      <c r="Z133" s="26" t="n">
        <v>0</v>
      </c>
      <c r="AA133" s="27" t="n">
        <f aca="false">IF(OR($Y133="",$X133="",$X133=0),"",$Y133-N($Z133)/$X133)</f>
        <v>1919</v>
      </c>
      <c r="AB133" s="23" t="s">
        <v>98</v>
      </c>
      <c r="AC133" s="28" t="n">
        <f aca="false">IF(OR($Y133="",$L133="",$L133=0),"",$Y133/$L133-1)</f>
        <v>0</v>
      </c>
      <c r="AD133" s="28" t="n">
        <f aca="false">IF(OR($AA133="",$N133="",$N133=0),"",$AA133/$N133-1)</f>
        <v>0.0453967677501361</v>
      </c>
      <c r="AE133" s="25"/>
      <c r="AF133" s="23"/>
      <c r="AG133" s="23"/>
      <c r="AH133" s="25"/>
      <c r="AI133" s="23"/>
      <c r="AJ133" s="26"/>
      <c r="AK133" s="26"/>
      <c r="AL133" s="27" t="str">
        <f aca="false">IF(OR($AJ133="",$AI133="",$AI133=0),"",$AJ133-N($AK133)/$AI133)</f>
        <v/>
      </c>
      <c r="AM133" s="28" t="str">
        <f aca="false">IF(OR($AJ133="",$L133="",$L133=0),"",$AJ133/$L133-1)</f>
        <v/>
      </c>
      <c r="AN133" s="28" t="str">
        <f aca="false">IF(OR($AL133="",$N133="",$N133=0),"",$AL133/$N133-1)</f>
        <v/>
      </c>
      <c r="AO133" s="24"/>
    </row>
    <row r="134" customFormat="false" ht="15" hidden="false" customHeight="false" outlineLevel="0" collapsed="false">
      <c r="A134" s="5" t="s">
        <v>592</v>
      </c>
      <c r="B134" s="5" t="s">
        <v>204</v>
      </c>
      <c r="C134" s="5" t="s">
        <v>82</v>
      </c>
      <c r="D134" s="6" t="n">
        <v>1177</v>
      </c>
      <c r="E134" s="5" t="s">
        <v>593</v>
      </c>
      <c r="F134" s="5" t="s">
        <v>594</v>
      </c>
      <c r="G134" s="20" t="n">
        <v>45747</v>
      </c>
      <c r="H134" s="5" t="n">
        <v>15</v>
      </c>
      <c r="I134" s="20" t="n">
        <v>46202</v>
      </c>
      <c r="J134" s="5" t="s">
        <v>152</v>
      </c>
      <c r="K134" s="5" t="s">
        <v>202</v>
      </c>
      <c r="L134" s="16" t="n">
        <v>1795</v>
      </c>
      <c r="M134" s="16" t="n">
        <v>2767.5</v>
      </c>
      <c r="N134" s="21" t="n">
        <f aca="false">IF(OR($L134="",$H134="",$H134=0),"",$L134-N($M134)/$H134)</f>
        <v>1610.5</v>
      </c>
      <c r="O134" s="5" t="s">
        <v>87</v>
      </c>
      <c r="P134" s="5" t="s">
        <v>202</v>
      </c>
      <c r="Q134" s="5" t="s">
        <v>127</v>
      </c>
      <c r="R134" s="5" t="s">
        <v>98</v>
      </c>
      <c r="S134" s="5" t="s">
        <v>98</v>
      </c>
      <c r="T134" s="5"/>
      <c r="U134" s="5"/>
      <c r="V134" s="5"/>
      <c r="W134" s="20" t="n">
        <v>46203</v>
      </c>
      <c r="X134" s="5" t="n">
        <v>6</v>
      </c>
      <c r="Y134" s="16" t="n">
        <v>1845</v>
      </c>
      <c r="Z134" s="16" t="n">
        <v>0</v>
      </c>
      <c r="AA134" s="21" t="n">
        <f aca="false">IF(OR($Y134="",$X134="",$X134=0),"",$Y134-N($Z134)/$X134)</f>
        <v>1845</v>
      </c>
      <c r="AB134" s="5" t="s">
        <v>98</v>
      </c>
      <c r="AC134" s="22" t="n">
        <f aca="false">IF(OR($Y134="",$L134="",$L134=0),"",$Y134/$L134-1)</f>
        <v>0.0278551532033426</v>
      </c>
      <c r="AD134" s="22" t="n">
        <f aca="false">IF(OR($AA134="",$N134="",$N134=0),"",$AA134/$N134-1)</f>
        <v>0.145606954361999</v>
      </c>
      <c r="AE134" s="20"/>
      <c r="AF134" s="5"/>
      <c r="AG134" s="5"/>
      <c r="AH134" s="20"/>
      <c r="AI134" s="5"/>
      <c r="AJ134" s="16"/>
      <c r="AK134" s="16"/>
      <c r="AL134" s="21" t="str">
        <f aca="false">IF(OR($AJ134="",$AI134="",$AI134=0),"",$AJ134-N($AK134)/$AI134)</f>
        <v/>
      </c>
      <c r="AM134" s="22" t="str">
        <f aca="false">IF(OR($AJ134="",$L134="",$L134=0),"",$AJ134/$L134-1)</f>
        <v/>
      </c>
      <c r="AN134" s="22" t="str">
        <f aca="false">IF(OR($AL134="",$N134="",$N134=0),"",$AL134/$N134-1)</f>
        <v/>
      </c>
      <c r="AO134" s="6"/>
    </row>
    <row r="135" customFormat="false" ht="15" hidden="false" customHeight="false" outlineLevel="0" collapsed="false">
      <c r="A135" s="23" t="s">
        <v>595</v>
      </c>
      <c r="B135" s="23" t="s">
        <v>102</v>
      </c>
      <c r="C135" s="23" t="s">
        <v>103</v>
      </c>
      <c r="D135" s="24" t="n">
        <v>693</v>
      </c>
      <c r="E135" s="23" t="s">
        <v>596</v>
      </c>
      <c r="F135" s="23" t="s">
        <v>597</v>
      </c>
      <c r="G135" s="25" t="n">
        <v>45795</v>
      </c>
      <c r="H135" s="23" t="n">
        <v>12</v>
      </c>
      <c r="I135" s="25" t="n">
        <v>46190</v>
      </c>
      <c r="J135" s="23" t="s">
        <v>152</v>
      </c>
      <c r="K135" s="23" t="s">
        <v>86</v>
      </c>
      <c r="L135" s="26" t="n">
        <v>1520</v>
      </c>
      <c r="M135" s="26" t="n">
        <v>2112</v>
      </c>
      <c r="N135" s="27" t="n">
        <f aca="false">IF(OR($L135="",$H135="",$H135=0),"",$L135-N($M135)/$H135)</f>
        <v>1344</v>
      </c>
      <c r="O135" s="23" t="s">
        <v>87</v>
      </c>
      <c r="P135" s="23" t="s">
        <v>96</v>
      </c>
      <c r="Q135" s="23" t="s">
        <v>97</v>
      </c>
      <c r="R135" s="23" t="s">
        <v>98</v>
      </c>
      <c r="S135" s="23" t="s">
        <v>98</v>
      </c>
      <c r="T135" s="23"/>
      <c r="U135" s="23"/>
      <c r="V135" s="23"/>
      <c r="W135" s="25"/>
      <c r="X135" s="23"/>
      <c r="Y135" s="26"/>
      <c r="Z135" s="26"/>
      <c r="AA135" s="27" t="str">
        <f aca="false">IF(OR($Y135="",$X135="",$X135=0),"",$Y135-N($Z135)/$X135)</f>
        <v/>
      </c>
      <c r="AB135" s="23"/>
      <c r="AC135" s="28" t="str">
        <f aca="false">IF(OR($Y135="",$L135="",$L135=0),"",$Y135/$L135-1)</f>
        <v/>
      </c>
      <c r="AD135" s="28" t="str">
        <f aca="false">IF(OR($AA135="",$N135="",$N135=0),"",$AA135/$N135-1)</f>
        <v/>
      </c>
      <c r="AE135" s="25" t="n">
        <v>46190</v>
      </c>
      <c r="AF135" s="23" t="s">
        <v>598</v>
      </c>
      <c r="AG135" s="23" t="s">
        <v>599</v>
      </c>
      <c r="AH135" s="25" t="n">
        <v>46200</v>
      </c>
      <c r="AI135" s="23" t="n">
        <v>12</v>
      </c>
      <c r="AJ135" s="26" t="n">
        <v>1650</v>
      </c>
      <c r="AK135" s="26" t="n">
        <v>0</v>
      </c>
      <c r="AL135" s="27" t="n">
        <f aca="false">IF(OR($AJ135="",$AI135="",$AI135=0),"",$AJ135-N($AK135)/$AI135)</f>
        <v>1650</v>
      </c>
      <c r="AM135" s="28" t="n">
        <f aca="false">IF(OR($AJ135="",$L135="",$L135=0),"",$AJ135/$L135-1)</f>
        <v>0.0855263157894737</v>
      </c>
      <c r="AN135" s="28" t="n">
        <f aca="false">IF(OR($AL135="",$N135="",$N135=0),"",$AL135/$N135-1)</f>
        <v>0.227678571428571</v>
      </c>
      <c r="AO135" s="24" t="n">
        <v>10</v>
      </c>
    </row>
    <row r="136" customFormat="false" ht="15" hidden="false" customHeight="false" outlineLevel="0" collapsed="false">
      <c r="A136" s="5" t="s">
        <v>600</v>
      </c>
      <c r="B136" s="5" t="s">
        <v>108</v>
      </c>
      <c r="C136" s="5" t="s">
        <v>103</v>
      </c>
      <c r="D136" s="6" t="n">
        <v>746</v>
      </c>
      <c r="E136" s="5" t="s">
        <v>601</v>
      </c>
      <c r="F136" s="5" t="s">
        <v>602</v>
      </c>
      <c r="G136" s="20" t="n">
        <v>45765</v>
      </c>
      <c r="H136" s="5" t="n">
        <v>16</v>
      </c>
      <c r="I136" s="20" t="n">
        <v>46251</v>
      </c>
      <c r="J136" s="5" t="s">
        <v>135</v>
      </c>
      <c r="K136" s="5" t="s">
        <v>86</v>
      </c>
      <c r="L136" s="16" t="n">
        <v>1764</v>
      </c>
      <c r="M136" s="16" t="n">
        <v>1764</v>
      </c>
      <c r="N136" s="21" t="n">
        <f aca="false">IF(OR($L136="",$H136="",$H136=0),"",$L136-N($M136)/$H136)</f>
        <v>1653.75</v>
      </c>
      <c r="O136" s="5" t="s">
        <v>87</v>
      </c>
      <c r="P136" s="5" t="s">
        <v>88</v>
      </c>
      <c r="Q136" s="5" t="s">
        <v>89</v>
      </c>
      <c r="R136" s="5"/>
      <c r="S136" s="5"/>
      <c r="T136" s="5"/>
      <c r="U136" s="5"/>
      <c r="V136" s="5"/>
      <c r="W136" s="20"/>
      <c r="X136" s="5"/>
      <c r="Y136" s="16"/>
      <c r="Z136" s="16"/>
      <c r="AA136" s="21" t="str">
        <f aca="false">IF(OR($Y136="",$X136="",$X136=0),"",$Y136-N($Z136)/$X136)</f>
        <v/>
      </c>
      <c r="AB136" s="5"/>
      <c r="AC136" s="22" t="str">
        <f aca="false">IF(OR($Y136="",$L136="",$L136=0),"",$Y136/$L136-1)</f>
        <v/>
      </c>
      <c r="AD136" s="22" t="str">
        <f aca="false">IF(OR($AA136="",$N136="",$N136=0),"",$AA136/$N136-1)</f>
        <v/>
      </c>
      <c r="AE136" s="20"/>
      <c r="AF136" s="5"/>
      <c r="AG136" s="5"/>
      <c r="AH136" s="20"/>
      <c r="AI136" s="5"/>
      <c r="AJ136" s="16"/>
      <c r="AK136" s="16"/>
      <c r="AL136" s="21" t="str">
        <f aca="false">IF(OR($AJ136="",$AI136="",$AI136=0),"",$AJ136-N($AK136)/$AI136)</f>
        <v/>
      </c>
      <c r="AM136" s="22" t="str">
        <f aca="false">IF(OR($AJ136="",$L136="",$L136=0),"",$AJ136/$L136-1)</f>
        <v/>
      </c>
      <c r="AN136" s="22" t="str">
        <f aca="false">IF(OR($AL136="",$N136="",$N136=0),"",$AL136/$N136-1)</f>
        <v/>
      </c>
      <c r="AO136" s="6"/>
    </row>
    <row r="137" customFormat="false" ht="15" hidden="false" customHeight="false" outlineLevel="0" collapsed="false">
      <c r="A137" s="23" t="s">
        <v>603</v>
      </c>
      <c r="B137" s="23" t="s">
        <v>102</v>
      </c>
      <c r="C137" s="23" t="s">
        <v>103</v>
      </c>
      <c r="D137" s="24" t="n">
        <v>693</v>
      </c>
      <c r="E137" s="23" t="s">
        <v>604</v>
      </c>
      <c r="F137" s="23" t="s">
        <v>605</v>
      </c>
      <c r="G137" s="25" t="n">
        <v>45829</v>
      </c>
      <c r="H137" s="23" t="n">
        <v>12</v>
      </c>
      <c r="I137" s="25" t="n">
        <v>46193</v>
      </c>
      <c r="J137" s="23" t="s">
        <v>152</v>
      </c>
      <c r="K137" s="23" t="s">
        <v>202</v>
      </c>
      <c r="L137" s="26" t="n">
        <v>1600</v>
      </c>
      <c r="M137" s="26" t="n">
        <v>3300</v>
      </c>
      <c r="N137" s="27" t="n">
        <f aca="false">IF(OR($L137="",$H137="",$H137=0),"",$L137-N($M137)/$H137)</f>
        <v>1325</v>
      </c>
      <c r="O137" s="23" t="s">
        <v>87</v>
      </c>
      <c r="P137" s="23" t="s">
        <v>202</v>
      </c>
      <c r="Q137" s="23" t="s">
        <v>127</v>
      </c>
      <c r="R137" s="23" t="s">
        <v>98</v>
      </c>
      <c r="S137" s="23" t="s">
        <v>98</v>
      </c>
      <c r="T137" s="23"/>
      <c r="U137" s="23"/>
      <c r="V137" s="23"/>
      <c r="W137" s="25" t="n">
        <v>46194</v>
      </c>
      <c r="X137" s="23" t="n">
        <v>12</v>
      </c>
      <c r="Y137" s="26" t="n">
        <v>1610</v>
      </c>
      <c r="Z137" s="26" t="n">
        <v>0</v>
      </c>
      <c r="AA137" s="27" t="n">
        <f aca="false">IF(OR($Y137="",$X137="",$X137=0),"",$Y137-N($Z137)/$X137)</f>
        <v>1610</v>
      </c>
      <c r="AB137" s="23" t="s">
        <v>98</v>
      </c>
      <c r="AC137" s="28" t="n">
        <f aca="false">IF(OR($Y137="",$L137="",$L137=0),"",$Y137/$L137-1)</f>
        <v>0.00625000000000009</v>
      </c>
      <c r="AD137" s="28" t="n">
        <f aca="false">IF(OR($AA137="",$N137="",$N137=0),"",$AA137/$N137-1)</f>
        <v>0.215094339622641</v>
      </c>
      <c r="AE137" s="25"/>
      <c r="AF137" s="23"/>
      <c r="AG137" s="23"/>
      <c r="AH137" s="25"/>
      <c r="AI137" s="23"/>
      <c r="AJ137" s="26"/>
      <c r="AK137" s="26"/>
      <c r="AL137" s="27" t="str">
        <f aca="false">IF(OR($AJ137="",$AI137="",$AI137=0),"",$AJ137-N($AK137)/$AI137)</f>
        <v/>
      </c>
      <c r="AM137" s="28" t="str">
        <f aca="false">IF(OR($AJ137="",$L137="",$L137=0),"",$AJ137/$L137-1)</f>
        <v/>
      </c>
      <c r="AN137" s="28" t="str">
        <f aca="false">IF(OR($AL137="",$N137="",$N137=0),"",$AL137/$N137-1)</f>
        <v/>
      </c>
      <c r="AO137" s="24"/>
    </row>
    <row r="138" customFormat="false" ht="15" hidden="false" customHeight="false" outlineLevel="0" collapsed="false">
      <c r="A138" s="5" t="s">
        <v>606</v>
      </c>
      <c r="B138" s="5" t="s">
        <v>102</v>
      </c>
      <c r="C138" s="5" t="s">
        <v>103</v>
      </c>
      <c r="D138" s="6" t="n">
        <v>693</v>
      </c>
      <c r="E138" s="5" t="s">
        <v>607</v>
      </c>
      <c r="F138" s="5" t="s">
        <v>608</v>
      </c>
      <c r="G138" s="20" t="n">
        <v>45752</v>
      </c>
      <c r="H138" s="5" t="n">
        <v>18</v>
      </c>
      <c r="I138" s="20" t="n">
        <v>46299</v>
      </c>
      <c r="J138" s="5" t="s">
        <v>106</v>
      </c>
      <c r="K138" s="5" t="s">
        <v>86</v>
      </c>
      <c r="L138" s="16" t="n">
        <v>1400</v>
      </c>
      <c r="M138" s="16" t="n">
        <v>0</v>
      </c>
      <c r="N138" s="21" t="n">
        <f aca="false">IF(OR($L138="",$H138="",$H138=0),"",$L138-N($M138)/$H138)</f>
        <v>1400</v>
      </c>
      <c r="O138" s="5" t="s">
        <v>87</v>
      </c>
      <c r="P138" s="5" t="s">
        <v>88</v>
      </c>
      <c r="Q138" s="5" t="s">
        <v>89</v>
      </c>
      <c r="R138" s="5"/>
      <c r="S138" s="5"/>
      <c r="T138" s="5"/>
      <c r="U138" s="5"/>
      <c r="V138" s="5"/>
      <c r="W138" s="20"/>
      <c r="X138" s="5"/>
      <c r="Y138" s="16"/>
      <c r="Z138" s="16"/>
      <c r="AA138" s="21" t="str">
        <f aca="false">IF(OR($Y138="",$X138="",$X138=0),"",$Y138-N($Z138)/$X138)</f>
        <v/>
      </c>
      <c r="AB138" s="5"/>
      <c r="AC138" s="22" t="str">
        <f aca="false">IF(OR($Y138="",$L138="",$L138=0),"",$Y138/$L138-1)</f>
        <v/>
      </c>
      <c r="AD138" s="22" t="str">
        <f aca="false">IF(OR($AA138="",$N138="",$N138=0),"",$AA138/$N138-1)</f>
        <v/>
      </c>
      <c r="AE138" s="20"/>
      <c r="AF138" s="5"/>
      <c r="AG138" s="5"/>
      <c r="AH138" s="20"/>
      <c r="AI138" s="5"/>
      <c r="AJ138" s="16"/>
      <c r="AK138" s="16"/>
      <c r="AL138" s="21" t="str">
        <f aca="false">IF(OR($AJ138="",$AI138="",$AI138=0),"",$AJ138-N($AK138)/$AI138)</f>
        <v/>
      </c>
      <c r="AM138" s="22" t="str">
        <f aca="false">IF(OR($AJ138="",$L138="",$L138=0),"",$AJ138/$L138-1)</f>
        <v/>
      </c>
      <c r="AN138" s="22" t="str">
        <f aca="false">IF(OR($AL138="",$N138="",$N138=0),"",$AL138/$N138-1)</f>
        <v/>
      </c>
      <c r="AO138" s="6"/>
    </row>
    <row r="139" customFormat="false" ht="15" hidden="false" customHeight="false" outlineLevel="0" collapsed="false">
      <c r="A139" s="23" t="s">
        <v>609</v>
      </c>
      <c r="B139" s="23" t="s">
        <v>81</v>
      </c>
      <c r="C139" s="23" t="s">
        <v>82</v>
      </c>
      <c r="D139" s="24" t="n">
        <v>1141</v>
      </c>
      <c r="E139" s="23" t="s">
        <v>610</v>
      </c>
      <c r="F139" s="23" t="s">
        <v>611</v>
      </c>
      <c r="G139" s="25" t="n">
        <v>45840</v>
      </c>
      <c r="H139" s="23" t="n">
        <v>20</v>
      </c>
      <c r="I139" s="25" t="n">
        <v>46447</v>
      </c>
      <c r="J139" s="23" t="s">
        <v>131</v>
      </c>
      <c r="K139" s="23" t="s">
        <v>86</v>
      </c>
      <c r="L139" s="26" t="n">
        <v>2103</v>
      </c>
      <c r="M139" s="26" t="n">
        <v>0</v>
      </c>
      <c r="N139" s="27" t="n">
        <f aca="false">IF(OR($L139="",$H139="",$H139=0),"",$L139-N($M139)/$H139)</f>
        <v>2103</v>
      </c>
      <c r="O139" s="23" t="s">
        <v>87</v>
      </c>
      <c r="P139" s="23" t="s">
        <v>88</v>
      </c>
      <c r="Q139" s="23" t="s">
        <v>89</v>
      </c>
      <c r="R139" s="23"/>
      <c r="S139" s="23"/>
      <c r="T139" s="23"/>
      <c r="U139" s="23"/>
      <c r="V139" s="23"/>
      <c r="W139" s="25"/>
      <c r="X139" s="23"/>
      <c r="Y139" s="26"/>
      <c r="Z139" s="26"/>
      <c r="AA139" s="27" t="str">
        <f aca="false">IF(OR($Y139="",$X139="",$X139=0),"",$Y139-N($Z139)/$X139)</f>
        <v/>
      </c>
      <c r="AB139" s="23"/>
      <c r="AC139" s="28" t="str">
        <f aca="false">IF(OR($Y139="",$L139="",$L139=0),"",$Y139/$L139-1)</f>
        <v/>
      </c>
      <c r="AD139" s="28" t="str">
        <f aca="false">IF(OR($AA139="",$N139="",$N139=0),"",$AA139/$N139-1)</f>
        <v/>
      </c>
      <c r="AE139" s="25"/>
      <c r="AF139" s="23"/>
      <c r="AG139" s="23"/>
      <c r="AH139" s="25"/>
      <c r="AI139" s="23"/>
      <c r="AJ139" s="26"/>
      <c r="AK139" s="26"/>
      <c r="AL139" s="27" t="str">
        <f aca="false">IF(OR($AJ139="",$AI139="",$AI139=0),"",$AJ139-N($AK139)/$AI139)</f>
        <v/>
      </c>
      <c r="AM139" s="28" t="str">
        <f aca="false">IF(OR($AJ139="",$L139="",$L139=0),"",$AJ139/$L139-1)</f>
        <v/>
      </c>
      <c r="AN139" s="28" t="str">
        <f aca="false">IF(OR($AL139="",$N139="",$N139=0),"",$AL139/$N139-1)</f>
        <v/>
      </c>
      <c r="AO139" s="24"/>
    </row>
    <row r="140" customFormat="false" ht="15" hidden="false" customHeight="false" outlineLevel="0" collapsed="false">
      <c r="A140" s="5" t="s">
        <v>612</v>
      </c>
      <c r="B140" s="5" t="s">
        <v>102</v>
      </c>
      <c r="C140" s="5" t="s">
        <v>103</v>
      </c>
      <c r="D140" s="6" t="n">
        <v>693</v>
      </c>
      <c r="E140" s="5" t="s">
        <v>613</v>
      </c>
      <c r="F140" s="5" t="s">
        <v>614</v>
      </c>
      <c r="G140" s="20" t="n">
        <v>45995</v>
      </c>
      <c r="H140" s="5" t="n">
        <v>12</v>
      </c>
      <c r="I140" s="20" t="n">
        <v>46359</v>
      </c>
      <c r="J140" s="5" t="s">
        <v>85</v>
      </c>
      <c r="K140" s="5" t="s">
        <v>86</v>
      </c>
      <c r="L140" s="16" t="n">
        <v>1349</v>
      </c>
      <c r="M140" s="16"/>
      <c r="N140" s="21" t="n">
        <f aca="false">IF(OR($L140="",$H140="",$H140=0),"",$L140-N($M140)/$H140)</f>
        <v>1349</v>
      </c>
      <c r="O140" s="5" t="s">
        <v>87</v>
      </c>
      <c r="P140" s="5" t="s">
        <v>505</v>
      </c>
      <c r="Q140" s="5" t="s">
        <v>97</v>
      </c>
      <c r="R140" s="5"/>
      <c r="S140" s="5"/>
      <c r="T140" s="5" t="s">
        <v>98</v>
      </c>
      <c r="U140" s="5"/>
      <c r="V140" s="5"/>
      <c r="W140" s="20"/>
      <c r="X140" s="5"/>
      <c r="Y140" s="16"/>
      <c r="Z140" s="16"/>
      <c r="AA140" s="21" t="str">
        <f aca="false">IF(OR($Y140="",$X140="",$X140=0),"",$Y140-N($Z140)/$X140)</f>
        <v/>
      </c>
      <c r="AB140" s="5"/>
      <c r="AC140" s="22" t="str">
        <f aca="false">IF(OR($Y140="",$L140="",$L140=0),"",$Y140/$L140-1)</f>
        <v/>
      </c>
      <c r="AD140" s="22" t="str">
        <f aca="false">IF(OR($AA140="",$N140="",$N140=0),"",$AA140/$N140-1)</f>
        <v/>
      </c>
      <c r="AE140" s="20" t="n">
        <v>46142</v>
      </c>
      <c r="AF140" s="5" t="s">
        <v>615</v>
      </c>
      <c r="AG140" s="5" t="s">
        <v>616</v>
      </c>
      <c r="AH140" s="20" t="n">
        <v>46149</v>
      </c>
      <c r="AI140" s="5" t="n">
        <v>12</v>
      </c>
      <c r="AJ140" s="16" t="n">
        <v>1549</v>
      </c>
      <c r="AK140" s="16" t="n">
        <v>0</v>
      </c>
      <c r="AL140" s="21" t="n">
        <f aca="false">IF(OR($AJ140="",$AI140="",$AI140=0),"",$AJ140-N($AK140)/$AI140)</f>
        <v>1549</v>
      </c>
      <c r="AM140" s="22" t="n">
        <f aca="false">IF(OR($AJ140="",$L140="",$L140=0),"",$AJ140/$L140-1)</f>
        <v>0.148257968865827</v>
      </c>
      <c r="AN140" s="22" t="n">
        <f aca="false">IF(OR($AL140="",$N140="",$N140=0),"",$AL140/$N140-1)</f>
        <v>0.148257968865827</v>
      </c>
      <c r="AO140" s="6" t="n">
        <v>7</v>
      </c>
    </row>
    <row r="141" customFormat="false" ht="15" hidden="false" customHeight="false" outlineLevel="0" collapsed="false">
      <c r="A141" s="23" t="s">
        <v>617</v>
      </c>
      <c r="B141" s="23" t="s">
        <v>275</v>
      </c>
      <c r="C141" s="23" t="s">
        <v>276</v>
      </c>
      <c r="D141" s="24" t="n">
        <v>517</v>
      </c>
      <c r="E141" s="23" t="s">
        <v>618</v>
      </c>
      <c r="F141" s="23" t="s">
        <v>619</v>
      </c>
      <c r="G141" s="25" t="n">
        <v>45772</v>
      </c>
      <c r="H141" s="23" t="n">
        <v>12</v>
      </c>
      <c r="I141" s="25" t="n">
        <v>46166</v>
      </c>
      <c r="J141" s="23" t="s">
        <v>148</v>
      </c>
      <c r="K141" s="23" t="s">
        <v>86</v>
      </c>
      <c r="L141" s="26" t="n">
        <v>1420</v>
      </c>
      <c r="M141" s="26" t="n">
        <v>1968</v>
      </c>
      <c r="N141" s="27" t="n">
        <f aca="false">IF(OR($L141="",$H141="",$H141=0),"",$L141-N($M141)/$H141)</f>
        <v>1256</v>
      </c>
      <c r="O141" s="23" t="s">
        <v>87</v>
      </c>
      <c r="P141" s="23" t="s">
        <v>96</v>
      </c>
      <c r="Q141" s="23" t="s">
        <v>97</v>
      </c>
      <c r="R141" s="23" t="s">
        <v>98</v>
      </c>
      <c r="S141" s="23" t="s">
        <v>98</v>
      </c>
      <c r="T141" s="23"/>
      <c r="U141" s="23"/>
      <c r="V141" s="23"/>
      <c r="W141" s="25"/>
      <c r="X141" s="23"/>
      <c r="Y141" s="26"/>
      <c r="Z141" s="26"/>
      <c r="AA141" s="27" t="str">
        <f aca="false">IF(OR($Y141="",$X141="",$X141=0),"",$Y141-N($Z141)/$X141)</f>
        <v/>
      </c>
      <c r="AB141" s="23"/>
      <c r="AC141" s="28" t="str">
        <f aca="false">IF(OR($Y141="",$L141="",$L141=0),"",$Y141/$L141-1)</f>
        <v/>
      </c>
      <c r="AD141" s="28" t="str">
        <f aca="false">IF(OR($AA141="",$N141="",$N141=0),"",$AA141/$N141-1)</f>
        <v/>
      </c>
      <c r="AE141" s="25" t="n">
        <v>46188</v>
      </c>
      <c r="AF141" s="23" t="s">
        <v>620</v>
      </c>
      <c r="AG141" s="23" t="s">
        <v>621</v>
      </c>
      <c r="AH141" s="25" t="n">
        <v>46221</v>
      </c>
      <c r="AI141" s="23" t="n">
        <v>12</v>
      </c>
      <c r="AJ141" s="26" t="n">
        <v>1572</v>
      </c>
      <c r="AK141" s="26" t="n">
        <v>0</v>
      </c>
      <c r="AL141" s="27" t="n">
        <f aca="false">IF(OR($AJ141="",$AI141="",$AI141=0),"",$AJ141-N($AK141)/$AI141)</f>
        <v>1572</v>
      </c>
      <c r="AM141" s="28" t="n">
        <f aca="false">IF(OR($AJ141="",$L141="",$L141=0),"",$AJ141/$L141-1)</f>
        <v>0.107042253521127</v>
      </c>
      <c r="AN141" s="28" t="n">
        <f aca="false">IF(OR($AL141="",$N141="",$N141=0),"",$AL141/$N141-1)</f>
        <v>0.251592356687898</v>
      </c>
      <c r="AO141" s="24" t="n">
        <v>33</v>
      </c>
    </row>
    <row r="142" customFormat="false" ht="15" hidden="false" customHeight="false" outlineLevel="0" collapsed="false">
      <c r="A142" s="5" t="s">
        <v>622</v>
      </c>
      <c r="B142" s="5" t="s">
        <v>102</v>
      </c>
      <c r="C142" s="5" t="s">
        <v>103</v>
      </c>
      <c r="D142" s="6" t="n">
        <v>693</v>
      </c>
      <c r="E142" s="5" t="s">
        <v>623</v>
      </c>
      <c r="F142" s="5" t="s">
        <v>624</v>
      </c>
      <c r="G142" s="20" t="n">
        <v>45960</v>
      </c>
      <c r="H142" s="5" t="n">
        <v>16</v>
      </c>
      <c r="I142" s="20" t="n">
        <v>46446</v>
      </c>
      <c r="J142" s="5" t="s">
        <v>251</v>
      </c>
      <c r="K142" s="5" t="s">
        <v>86</v>
      </c>
      <c r="L142" s="16" t="n">
        <v>1575</v>
      </c>
      <c r="M142" s="16" t="n">
        <v>3150</v>
      </c>
      <c r="N142" s="21" t="n">
        <f aca="false">IF(OR($L142="",$H142="",$H142=0),"",$L142-N($M142)/$H142)</f>
        <v>1378.125</v>
      </c>
      <c r="O142" s="5" t="s">
        <v>87</v>
      </c>
      <c r="P142" s="5" t="s">
        <v>88</v>
      </c>
      <c r="Q142" s="5" t="s">
        <v>89</v>
      </c>
      <c r="R142" s="5"/>
      <c r="S142" s="5"/>
      <c r="T142" s="5"/>
      <c r="U142" s="5"/>
      <c r="V142" s="5"/>
      <c r="W142" s="20"/>
      <c r="X142" s="5"/>
      <c r="Y142" s="16"/>
      <c r="Z142" s="16"/>
      <c r="AA142" s="21" t="str">
        <f aca="false">IF(OR($Y142="",$X142="",$X142=0),"",$Y142-N($Z142)/$X142)</f>
        <v/>
      </c>
      <c r="AB142" s="5"/>
      <c r="AC142" s="22" t="str">
        <f aca="false">IF(OR($Y142="",$L142="",$L142=0),"",$Y142/$L142-1)</f>
        <v/>
      </c>
      <c r="AD142" s="22" t="str">
        <f aca="false">IF(OR($AA142="",$N142="",$N142=0),"",$AA142/$N142-1)</f>
        <v/>
      </c>
      <c r="AE142" s="20"/>
      <c r="AF142" s="5"/>
      <c r="AG142" s="5"/>
      <c r="AH142" s="20"/>
      <c r="AI142" s="5"/>
      <c r="AJ142" s="16"/>
      <c r="AK142" s="16"/>
      <c r="AL142" s="21" t="str">
        <f aca="false">IF(OR($AJ142="",$AI142="",$AI142=0),"",$AJ142-N($AK142)/$AI142)</f>
        <v/>
      </c>
      <c r="AM142" s="22" t="str">
        <f aca="false">IF(OR($AJ142="",$L142="",$L142=0),"",$AJ142/$L142-1)</f>
        <v/>
      </c>
      <c r="AN142" s="22" t="str">
        <f aca="false">IF(OR($AL142="",$N142="",$N142=0),"",$AL142/$N142-1)</f>
        <v/>
      </c>
      <c r="AO142" s="6"/>
    </row>
    <row r="143" customFormat="false" ht="15" hidden="false" customHeight="false" outlineLevel="0" collapsed="false">
      <c r="A143" s="23" t="s">
        <v>625</v>
      </c>
      <c r="B143" s="23" t="s">
        <v>81</v>
      </c>
      <c r="C143" s="23" t="s">
        <v>82</v>
      </c>
      <c r="D143" s="24" t="n">
        <v>1141</v>
      </c>
      <c r="E143" s="23" t="s">
        <v>626</v>
      </c>
      <c r="F143" s="23" t="s">
        <v>422</v>
      </c>
      <c r="G143" s="25" t="n">
        <v>45744</v>
      </c>
      <c r="H143" s="23" t="n">
        <v>12</v>
      </c>
      <c r="I143" s="25" t="n">
        <v>46169</v>
      </c>
      <c r="J143" s="23" t="s">
        <v>148</v>
      </c>
      <c r="K143" s="23" t="s">
        <v>86</v>
      </c>
      <c r="L143" s="26" t="n">
        <v>2070</v>
      </c>
      <c r="M143" s="26" t="n">
        <v>2832</v>
      </c>
      <c r="N143" s="27" t="n">
        <f aca="false">IF(OR($L143="",$H143="",$H143=0),"",$L143-N($M143)/$H143)</f>
        <v>1834</v>
      </c>
      <c r="O143" s="23" t="s">
        <v>87</v>
      </c>
      <c r="P143" s="23" t="s">
        <v>96</v>
      </c>
      <c r="Q143" s="23" t="s">
        <v>97</v>
      </c>
      <c r="R143" s="23" t="s">
        <v>98</v>
      </c>
      <c r="S143" s="23" t="s">
        <v>98</v>
      </c>
      <c r="T143" s="23" t="s">
        <v>98</v>
      </c>
      <c r="U143" s="23"/>
      <c r="V143" s="23"/>
      <c r="W143" s="25"/>
      <c r="X143" s="23"/>
      <c r="Y143" s="26"/>
      <c r="Z143" s="26"/>
      <c r="AA143" s="27" t="str">
        <f aca="false">IF(OR($Y143="",$X143="",$X143=0),"",$Y143-N($Z143)/$X143)</f>
        <v/>
      </c>
      <c r="AB143" s="23"/>
      <c r="AC143" s="28" t="str">
        <f aca="false">IF(OR($Y143="",$L143="",$L143=0),"",$Y143/$L143-1)</f>
        <v/>
      </c>
      <c r="AD143" s="28" t="str">
        <f aca="false">IF(OR($AA143="",$N143="",$N143=0),"",$AA143/$N143-1)</f>
        <v/>
      </c>
      <c r="AE143" s="25" t="n">
        <v>46117</v>
      </c>
      <c r="AF143" s="23" t="s">
        <v>627</v>
      </c>
      <c r="AG143" s="23" t="s">
        <v>628</v>
      </c>
      <c r="AH143" s="25" t="n">
        <v>46135</v>
      </c>
      <c r="AI143" s="23" t="n">
        <v>18</v>
      </c>
      <c r="AJ143" s="26" t="n">
        <v>2070</v>
      </c>
      <c r="AK143" s="26" t="n">
        <v>2070</v>
      </c>
      <c r="AL143" s="27" t="n">
        <f aca="false">IF(OR($AJ143="",$AI143="",$AI143=0),"",$AJ143-N($AK143)/$AI143)</f>
        <v>1955</v>
      </c>
      <c r="AM143" s="28" t="n">
        <f aca="false">IF(OR($AJ143="",$L143="",$L143=0),"",$AJ143/$L143-1)</f>
        <v>0</v>
      </c>
      <c r="AN143" s="28" t="n">
        <f aca="false">IF(OR($AL143="",$N143="",$N143=0),"",$AL143/$N143-1)</f>
        <v>0.0659760087241004</v>
      </c>
      <c r="AO143" s="24" t="n">
        <v>18</v>
      </c>
    </row>
    <row r="144" customFormat="false" ht="15" hidden="false" customHeight="false" outlineLevel="0" collapsed="false">
      <c r="A144" s="5" t="s">
        <v>629</v>
      </c>
      <c r="B144" s="5" t="s">
        <v>204</v>
      </c>
      <c r="C144" s="5" t="s">
        <v>82</v>
      </c>
      <c r="D144" s="6" t="n">
        <v>1177</v>
      </c>
      <c r="E144" s="5" t="s">
        <v>630</v>
      </c>
      <c r="F144" s="5" t="s">
        <v>631</v>
      </c>
      <c r="G144" s="20" t="n">
        <v>45773</v>
      </c>
      <c r="H144" s="5" t="n">
        <v>21</v>
      </c>
      <c r="I144" s="20" t="n">
        <v>46412</v>
      </c>
      <c r="J144" s="5" t="s">
        <v>265</v>
      </c>
      <c r="K144" s="5" t="s">
        <v>86</v>
      </c>
      <c r="L144" s="16" t="n">
        <v>1820</v>
      </c>
      <c r="M144" s="16" t="n">
        <v>2730</v>
      </c>
      <c r="N144" s="21" t="n">
        <f aca="false">IF(OR($L144="",$H144="",$H144=0),"",$L144-N($M144)/$H144)</f>
        <v>1690</v>
      </c>
      <c r="O144" s="5" t="s">
        <v>87</v>
      </c>
      <c r="P144" s="5" t="s">
        <v>88</v>
      </c>
      <c r="Q144" s="5" t="s">
        <v>89</v>
      </c>
      <c r="R144" s="5"/>
      <c r="S144" s="5"/>
      <c r="T144" s="5"/>
      <c r="U144" s="5"/>
      <c r="V144" s="5"/>
      <c r="W144" s="20"/>
      <c r="X144" s="5"/>
      <c r="Y144" s="16"/>
      <c r="Z144" s="16"/>
      <c r="AA144" s="21" t="str">
        <f aca="false">IF(OR($Y144="",$X144="",$X144=0),"",$Y144-N($Z144)/$X144)</f>
        <v/>
      </c>
      <c r="AB144" s="5"/>
      <c r="AC144" s="22" t="str">
        <f aca="false">IF(OR($Y144="",$L144="",$L144=0),"",$Y144/$L144-1)</f>
        <v/>
      </c>
      <c r="AD144" s="22" t="str">
        <f aca="false">IF(OR($AA144="",$N144="",$N144=0),"",$AA144/$N144-1)</f>
        <v/>
      </c>
      <c r="AE144" s="20"/>
      <c r="AF144" s="5"/>
      <c r="AG144" s="5"/>
      <c r="AH144" s="20"/>
      <c r="AI144" s="5"/>
      <c r="AJ144" s="16"/>
      <c r="AK144" s="16"/>
      <c r="AL144" s="21" t="str">
        <f aca="false">IF(OR($AJ144="",$AI144="",$AI144=0),"",$AJ144-N($AK144)/$AI144)</f>
        <v/>
      </c>
      <c r="AM144" s="22" t="str">
        <f aca="false">IF(OR($AJ144="",$L144="",$L144=0),"",$AJ144/$L144-1)</f>
        <v/>
      </c>
      <c r="AN144" s="22" t="str">
        <f aca="false">IF(OR($AL144="",$N144="",$N144=0),"",$AL144/$N144-1)</f>
        <v/>
      </c>
      <c r="AO144" s="6"/>
    </row>
    <row r="145" customFormat="false" ht="15" hidden="false" customHeight="false" outlineLevel="0" collapsed="false">
      <c r="A145" s="23" t="s">
        <v>632</v>
      </c>
      <c r="B145" s="23" t="s">
        <v>108</v>
      </c>
      <c r="C145" s="23" t="s">
        <v>103</v>
      </c>
      <c r="D145" s="24" t="n">
        <v>746</v>
      </c>
      <c r="E145" s="23" t="s">
        <v>633</v>
      </c>
      <c r="F145" s="23" t="s">
        <v>634</v>
      </c>
      <c r="G145" s="25" t="n">
        <v>45748</v>
      </c>
      <c r="H145" s="23" t="n">
        <v>15</v>
      </c>
      <c r="I145" s="25" t="n">
        <v>46203</v>
      </c>
      <c r="J145" s="23" t="s">
        <v>152</v>
      </c>
      <c r="K145" s="23" t="s">
        <v>86</v>
      </c>
      <c r="L145" s="26" t="n">
        <v>1689</v>
      </c>
      <c r="M145" s="26" t="n">
        <v>1689</v>
      </c>
      <c r="N145" s="27" t="n">
        <f aca="false">IF(OR($L145="",$H145="",$H145=0),"",$L145-N($M145)/$H145)</f>
        <v>1576.4</v>
      </c>
      <c r="O145" s="23" t="s">
        <v>87</v>
      </c>
      <c r="P145" s="23" t="s">
        <v>88</v>
      </c>
      <c r="Q145" s="23" t="s">
        <v>97</v>
      </c>
      <c r="R145" s="23" t="s">
        <v>98</v>
      </c>
      <c r="S145" s="23" t="s">
        <v>98</v>
      </c>
      <c r="T145" s="23"/>
      <c r="U145" s="23"/>
      <c r="V145" s="23"/>
      <c r="W145" s="25"/>
      <c r="X145" s="23"/>
      <c r="Y145" s="26"/>
      <c r="Z145" s="26"/>
      <c r="AA145" s="27" t="str">
        <f aca="false">IF(OR($Y145="",$X145="",$X145=0),"",$Y145-N($Z145)/$X145)</f>
        <v/>
      </c>
      <c r="AB145" s="23"/>
      <c r="AC145" s="28" t="str">
        <f aca="false">IF(OR($Y145="",$L145="",$L145=0),"",$Y145/$L145-1)</f>
        <v/>
      </c>
      <c r="AD145" s="28" t="str">
        <f aca="false">IF(OR($AA145="",$N145="",$N145=0),"",$AA145/$N145-1)</f>
        <v/>
      </c>
      <c r="AE145" s="25" t="n">
        <v>46203</v>
      </c>
      <c r="AF145" s="23" t="s">
        <v>635</v>
      </c>
      <c r="AG145" s="23" t="s">
        <v>636</v>
      </c>
      <c r="AH145" s="25" t="n">
        <v>46226</v>
      </c>
      <c r="AI145" s="23" t="n">
        <v>12</v>
      </c>
      <c r="AJ145" s="26" t="n">
        <v>1760</v>
      </c>
      <c r="AK145" s="26" t="n">
        <v>0</v>
      </c>
      <c r="AL145" s="27" t="n">
        <f aca="false">IF(OR($AJ145="",$AI145="",$AI145=0),"",$AJ145-N($AK145)/$AI145)</f>
        <v>1760</v>
      </c>
      <c r="AM145" s="28" t="n">
        <f aca="false">IF(OR($AJ145="",$L145="",$L145=0),"",$AJ145/$L145-1)</f>
        <v>0.0420367081113084</v>
      </c>
      <c r="AN145" s="28" t="n">
        <f aca="false">IF(OR($AL145="",$N145="",$N145=0),"",$AL145/$N145-1)</f>
        <v>0.11646790154783</v>
      </c>
      <c r="AO145" s="24" t="n">
        <v>23</v>
      </c>
    </row>
    <row r="146" customFormat="false" ht="15" hidden="false" customHeight="false" outlineLevel="0" collapsed="false">
      <c r="A146" s="5" t="s">
        <v>637</v>
      </c>
      <c r="B146" s="5" t="s">
        <v>113</v>
      </c>
      <c r="C146" s="5" t="s">
        <v>82</v>
      </c>
      <c r="D146" s="6" t="n">
        <v>1092</v>
      </c>
      <c r="E146" s="5" t="s">
        <v>638</v>
      </c>
      <c r="F146" s="5" t="s">
        <v>639</v>
      </c>
      <c r="G146" s="20" t="n">
        <v>45934</v>
      </c>
      <c r="H146" s="5" t="n">
        <v>12</v>
      </c>
      <c r="I146" s="20" t="n">
        <v>46298</v>
      </c>
      <c r="J146" s="5" t="s">
        <v>106</v>
      </c>
      <c r="K146" s="5" t="s">
        <v>86</v>
      </c>
      <c r="L146" s="16" t="n">
        <v>2045</v>
      </c>
      <c r="M146" s="16"/>
      <c r="N146" s="21" t="n">
        <f aca="false">IF(OR($L146="",$H146="",$H146=0),"",$L146-N($M146)/$H146)</f>
        <v>2045</v>
      </c>
      <c r="O146" s="5" t="s">
        <v>87</v>
      </c>
      <c r="P146" s="5" t="s">
        <v>505</v>
      </c>
      <c r="Q146" s="5" t="s">
        <v>97</v>
      </c>
      <c r="R146" s="5"/>
      <c r="S146" s="5"/>
      <c r="T146" s="5" t="s">
        <v>98</v>
      </c>
      <c r="U146" s="5"/>
      <c r="V146" s="5"/>
      <c r="W146" s="20"/>
      <c r="X146" s="5"/>
      <c r="Y146" s="16"/>
      <c r="Z146" s="16"/>
      <c r="AA146" s="21" t="str">
        <f aca="false">IF(OR($Y146="",$X146="",$X146=0),"",$Y146-N($Z146)/$X146)</f>
        <v/>
      </c>
      <c r="AB146" s="5"/>
      <c r="AC146" s="22" t="str">
        <f aca="false">IF(OR($Y146="",$L146="",$L146=0),"",$Y146/$L146-1)</f>
        <v/>
      </c>
      <c r="AD146" s="22" t="str">
        <f aca="false">IF(OR($AA146="",$N146="",$N146=0),"",$AA146/$N146-1)</f>
        <v/>
      </c>
      <c r="AE146" s="20" t="n">
        <v>46038</v>
      </c>
      <c r="AF146" s="5" t="s">
        <v>640</v>
      </c>
      <c r="AG146" s="5" t="s">
        <v>641</v>
      </c>
      <c r="AH146" s="20" t="n">
        <v>46155</v>
      </c>
      <c r="AI146" s="5" t="n">
        <v>12</v>
      </c>
      <c r="AJ146" s="16" t="n">
        <v>2065</v>
      </c>
      <c r="AK146" s="16" t="n">
        <v>0</v>
      </c>
      <c r="AL146" s="21" t="n">
        <f aca="false">IF(OR($AJ146="",$AI146="",$AI146=0),"",$AJ146-N($AK146)/$AI146)</f>
        <v>2065</v>
      </c>
      <c r="AM146" s="22" t="n">
        <f aca="false">IF(OR($AJ146="",$L146="",$L146=0),"",$AJ146/$L146-1)</f>
        <v>0.00977995110024454</v>
      </c>
      <c r="AN146" s="22" t="n">
        <f aca="false">IF(OR($AL146="",$N146="",$N146=0),"",$AL146/$N146-1)</f>
        <v>0.00977995110024454</v>
      </c>
      <c r="AO146" s="6" t="n">
        <v>117</v>
      </c>
    </row>
    <row r="147" customFormat="false" ht="15" hidden="false" customHeight="false" outlineLevel="0" collapsed="false">
      <c r="A147" s="23" t="s">
        <v>642</v>
      </c>
      <c r="B147" s="23" t="s">
        <v>275</v>
      </c>
      <c r="C147" s="23" t="s">
        <v>276</v>
      </c>
      <c r="D147" s="24" t="n">
        <v>517</v>
      </c>
      <c r="E147" s="23" t="s">
        <v>643</v>
      </c>
      <c r="F147" s="23" t="s">
        <v>644</v>
      </c>
      <c r="G147" s="25" t="n">
        <v>46003</v>
      </c>
      <c r="H147" s="23" t="n">
        <v>17</v>
      </c>
      <c r="I147" s="25" t="n">
        <v>46518</v>
      </c>
      <c r="J147" s="23" t="s">
        <v>111</v>
      </c>
      <c r="K147" s="23" t="s">
        <v>86</v>
      </c>
      <c r="L147" s="26" t="n">
        <v>1325</v>
      </c>
      <c r="M147" s="26"/>
      <c r="N147" s="27" t="n">
        <f aca="false">IF(OR($L147="",$H147="",$H147=0),"",$L147-N($M147)/$H147)</f>
        <v>1325</v>
      </c>
      <c r="O147" s="23" t="s">
        <v>87</v>
      </c>
      <c r="P147" s="23" t="s">
        <v>505</v>
      </c>
      <c r="Q147" s="23" t="s">
        <v>97</v>
      </c>
      <c r="R147" s="23"/>
      <c r="S147" s="23"/>
      <c r="T147" s="23" t="s">
        <v>98</v>
      </c>
      <c r="U147" s="23"/>
      <c r="V147" s="23"/>
      <c r="W147" s="25"/>
      <c r="X147" s="23"/>
      <c r="Y147" s="26"/>
      <c r="Z147" s="26"/>
      <c r="AA147" s="27" t="str">
        <f aca="false">IF(OR($Y147="",$X147="",$X147=0),"",$Y147-N($Z147)/$X147)</f>
        <v/>
      </c>
      <c r="AB147" s="23"/>
      <c r="AC147" s="28" t="str">
        <f aca="false">IF(OR($Y147="",$L147="",$L147=0),"",$Y147/$L147-1)</f>
        <v/>
      </c>
      <c r="AD147" s="28" t="str">
        <f aca="false">IF(OR($AA147="",$N147="",$N147=0),"",$AA147/$N147-1)</f>
        <v/>
      </c>
      <c r="AE147" s="25" t="n">
        <v>46073</v>
      </c>
      <c r="AF147" s="23" t="s">
        <v>645</v>
      </c>
      <c r="AG147" s="23" t="s">
        <v>646</v>
      </c>
      <c r="AH147" s="25" t="n">
        <v>46081</v>
      </c>
      <c r="AI147" s="23" t="n">
        <v>12</v>
      </c>
      <c r="AJ147" s="26" t="n">
        <v>1350</v>
      </c>
      <c r="AK147" s="26" t="n">
        <v>0</v>
      </c>
      <c r="AL147" s="27" t="n">
        <f aca="false">IF(OR($AJ147="",$AI147="",$AI147=0),"",$AJ147-N($AK147)/$AI147)</f>
        <v>1350</v>
      </c>
      <c r="AM147" s="28" t="n">
        <f aca="false">IF(OR($AJ147="",$L147="",$L147=0),"",$AJ147/$L147-1)</f>
        <v>0.0188679245283019</v>
      </c>
      <c r="AN147" s="28" t="n">
        <f aca="false">IF(OR($AL147="",$N147="",$N147=0),"",$AL147/$N147-1)</f>
        <v>0.0188679245283019</v>
      </c>
      <c r="AO147" s="24" t="n">
        <v>8</v>
      </c>
    </row>
    <row r="148" customFormat="false" ht="15" hidden="false" customHeight="false" outlineLevel="0" collapsed="false">
      <c r="A148" s="5" t="s">
        <v>647</v>
      </c>
      <c r="B148" s="5" t="s">
        <v>102</v>
      </c>
      <c r="C148" s="5" t="s">
        <v>103</v>
      </c>
      <c r="D148" s="6" t="n">
        <v>693</v>
      </c>
      <c r="E148" s="5" t="s">
        <v>648</v>
      </c>
      <c r="F148" s="5" t="s">
        <v>649</v>
      </c>
      <c r="G148" s="20" t="n">
        <v>46008</v>
      </c>
      <c r="H148" s="5" t="n">
        <v>12</v>
      </c>
      <c r="I148" s="20" t="n">
        <v>46372</v>
      </c>
      <c r="J148" s="5" t="s">
        <v>85</v>
      </c>
      <c r="K148" s="5" t="s">
        <v>86</v>
      </c>
      <c r="L148" s="16" t="n">
        <v>1399</v>
      </c>
      <c r="M148" s="16" t="n">
        <v>0</v>
      </c>
      <c r="N148" s="21" t="n">
        <f aca="false">IF(OR($L148="",$H148="",$H148=0),"",$L148-N($M148)/$H148)</f>
        <v>1399</v>
      </c>
      <c r="O148" s="5" t="s">
        <v>87</v>
      </c>
      <c r="P148" s="5" t="s">
        <v>88</v>
      </c>
      <c r="Q148" s="5" t="s">
        <v>89</v>
      </c>
      <c r="R148" s="5"/>
      <c r="S148" s="5"/>
      <c r="T148" s="5"/>
      <c r="U148" s="5"/>
      <c r="V148" s="5"/>
      <c r="W148" s="20"/>
      <c r="X148" s="5"/>
      <c r="Y148" s="16"/>
      <c r="Z148" s="16"/>
      <c r="AA148" s="21" t="str">
        <f aca="false">IF(OR($Y148="",$X148="",$X148=0),"",$Y148-N($Z148)/$X148)</f>
        <v/>
      </c>
      <c r="AB148" s="5"/>
      <c r="AC148" s="22" t="str">
        <f aca="false">IF(OR($Y148="",$L148="",$L148=0),"",$Y148/$L148-1)</f>
        <v/>
      </c>
      <c r="AD148" s="22" t="str">
        <f aca="false">IF(OR($AA148="",$N148="",$N148=0),"",$AA148/$N148-1)</f>
        <v/>
      </c>
      <c r="AE148" s="20"/>
      <c r="AF148" s="5"/>
      <c r="AG148" s="5"/>
      <c r="AH148" s="20"/>
      <c r="AI148" s="5"/>
      <c r="AJ148" s="16"/>
      <c r="AK148" s="16"/>
      <c r="AL148" s="21" t="str">
        <f aca="false">IF(OR($AJ148="",$AI148="",$AI148=0),"",$AJ148-N($AK148)/$AI148)</f>
        <v/>
      </c>
      <c r="AM148" s="22" t="str">
        <f aca="false">IF(OR($AJ148="",$L148="",$L148=0),"",$AJ148/$L148-1)</f>
        <v/>
      </c>
      <c r="AN148" s="22" t="str">
        <f aca="false">IF(OR($AL148="",$N148="",$N148=0),"",$AL148/$N148-1)</f>
        <v/>
      </c>
      <c r="AO148" s="6"/>
    </row>
    <row r="149" customFormat="false" ht="15" hidden="false" customHeight="false" outlineLevel="0" collapsed="false">
      <c r="A149" s="23" t="s">
        <v>650</v>
      </c>
      <c r="B149" s="23" t="s">
        <v>161</v>
      </c>
      <c r="C149" s="23" t="s">
        <v>92</v>
      </c>
      <c r="D149" s="24" t="n">
        <v>1340</v>
      </c>
      <c r="E149" s="23" t="s">
        <v>651</v>
      </c>
      <c r="F149" s="23" t="s">
        <v>652</v>
      </c>
      <c r="G149" s="25" t="n">
        <v>45796</v>
      </c>
      <c r="H149" s="23" t="n">
        <v>15</v>
      </c>
      <c r="I149" s="25" t="n">
        <v>46252</v>
      </c>
      <c r="J149" s="23" t="s">
        <v>135</v>
      </c>
      <c r="K149" s="23" t="s">
        <v>86</v>
      </c>
      <c r="L149" s="26" t="n">
        <v>2235</v>
      </c>
      <c r="M149" s="26" t="n">
        <v>3352</v>
      </c>
      <c r="N149" s="27" t="n">
        <f aca="false">IF(OR($L149="",$H149="",$H149=0),"",$L149-N($M149)/$H149)</f>
        <v>2011.53333333333</v>
      </c>
      <c r="O149" s="23" t="s">
        <v>87</v>
      </c>
      <c r="P149" s="23" t="s">
        <v>88</v>
      </c>
      <c r="Q149" s="23" t="s">
        <v>89</v>
      </c>
      <c r="R149" s="23"/>
      <c r="S149" s="23"/>
      <c r="T149" s="23"/>
      <c r="U149" s="23"/>
      <c r="V149" s="23"/>
      <c r="W149" s="25"/>
      <c r="X149" s="23"/>
      <c r="Y149" s="26"/>
      <c r="Z149" s="26"/>
      <c r="AA149" s="27" t="str">
        <f aca="false">IF(OR($Y149="",$X149="",$X149=0),"",$Y149-N($Z149)/$X149)</f>
        <v/>
      </c>
      <c r="AB149" s="23"/>
      <c r="AC149" s="28" t="str">
        <f aca="false">IF(OR($Y149="",$L149="",$L149=0),"",$Y149/$L149-1)</f>
        <v/>
      </c>
      <c r="AD149" s="28" t="str">
        <f aca="false">IF(OR($AA149="",$N149="",$N149=0),"",$AA149/$N149-1)</f>
        <v/>
      </c>
      <c r="AE149" s="25"/>
      <c r="AF149" s="23"/>
      <c r="AG149" s="23"/>
      <c r="AH149" s="25"/>
      <c r="AI149" s="23"/>
      <c r="AJ149" s="26"/>
      <c r="AK149" s="26"/>
      <c r="AL149" s="27" t="str">
        <f aca="false">IF(OR($AJ149="",$AI149="",$AI149=0),"",$AJ149-N($AK149)/$AI149)</f>
        <v/>
      </c>
      <c r="AM149" s="28" t="str">
        <f aca="false">IF(OR($AJ149="",$L149="",$L149=0),"",$AJ149/$L149-1)</f>
        <v/>
      </c>
      <c r="AN149" s="28" t="str">
        <f aca="false">IF(OR($AL149="",$N149="",$N149=0),"",$AL149/$N149-1)</f>
        <v/>
      </c>
      <c r="AO149" s="24"/>
    </row>
    <row r="150" customFormat="false" ht="15" hidden="false" customHeight="false" outlineLevel="0" collapsed="false">
      <c r="A150" s="5" t="s">
        <v>653</v>
      </c>
      <c r="B150" s="5" t="s">
        <v>81</v>
      </c>
      <c r="C150" s="5" t="s">
        <v>82</v>
      </c>
      <c r="D150" s="6" t="n">
        <v>1141</v>
      </c>
      <c r="E150" s="5" t="s">
        <v>654</v>
      </c>
      <c r="F150" s="5" t="s">
        <v>655</v>
      </c>
      <c r="G150" s="20" t="n">
        <v>45764</v>
      </c>
      <c r="H150" s="5" t="n">
        <v>16</v>
      </c>
      <c r="I150" s="20" t="n">
        <v>46250</v>
      </c>
      <c r="J150" s="5" t="s">
        <v>135</v>
      </c>
      <c r="K150" s="5" t="s">
        <v>86</v>
      </c>
      <c r="L150" s="16" t="n">
        <v>2120</v>
      </c>
      <c r="M150" s="16" t="n">
        <v>2120</v>
      </c>
      <c r="N150" s="21" t="n">
        <f aca="false">IF(OR($L150="",$H150="",$H150=0),"",$L150-N($M150)/$H150)</f>
        <v>1987.5</v>
      </c>
      <c r="O150" s="5" t="s">
        <v>87</v>
      </c>
      <c r="P150" s="5" t="s">
        <v>88</v>
      </c>
      <c r="Q150" s="5" t="s">
        <v>89</v>
      </c>
      <c r="R150" s="5"/>
      <c r="S150" s="5"/>
      <c r="T150" s="5"/>
      <c r="U150" s="5" t="s">
        <v>98</v>
      </c>
      <c r="V150" s="5"/>
      <c r="W150" s="20"/>
      <c r="X150" s="5"/>
      <c r="Y150" s="16"/>
      <c r="Z150" s="16"/>
      <c r="AA150" s="21" t="str">
        <f aca="false">IF(OR($Y150="",$X150="",$X150=0),"",$Y150-N($Z150)/$X150)</f>
        <v/>
      </c>
      <c r="AB150" s="5"/>
      <c r="AC150" s="22" t="str">
        <f aca="false">IF(OR($Y150="",$L150="",$L150=0),"",$Y150/$L150-1)</f>
        <v/>
      </c>
      <c r="AD150" s="22" t="str">
        <f aca="false">IF(OR($AA150="",$N150="",$N150=0),"",$AA150/$N150-1)</f>
        <v/>
      </c>
      <c r="AE150" s="20"/>
      <c r="AF150" s="5"/>
      <c r="AG150" s="5"/>
      <c r="AH150" s="20"/>
      <c r="AI150" s="5"/>
      <c r="AJ150" s="16"/>
      <c r="AK150" s="16"/>
      <c r="AL150" s="21" t="str">
        <f aca="false">IF(OR($AJ150="",$AI150="",$AI150=0),"",$AJ150-N($AK150)/$AI150)</f>
        <v/>
      </c>
      <c r="AM150" s="22" t="str">
        <f aca="false">IF(OR($AJ150="",$L150="",$L150=0),"",$AJ150/$L150-1)</f>
        <v/>
      </c>
      <c r="AN150" s="22" t="str">
        <f aca="false">IF(OR($AL150="",$N150="",$N150=0),"",$AL150/$N150-1)</f>
        <v/>
      </c>
      <c r="AO150" s="6"/>
    </row>
    <row r="151" customFormat="false" ht="15" hidden="false" customHeight="false" outlineLevel="0" collapsed="false">
      <c r="A151" s="23" t="s">
        <v>656</v>
      </c>
      <c r="B151" s="23" t="s">
        <v>81</v>
      </c>
      <c r="C151" s="23" t="s">
        <v>82</v>
      </c>
      <c r="D151" s="24" t="n">
        <v>1141</v>
      </c>
      <c r="E151" s="23" t="s">
        <v>657</v>
      </c>
      <c r="F151" s="23" t="s">
        <v>658</v>
      </c>
      <c r="G151" s="25" t="n">
        <v>45892</v>
      </c>
      <c r="H151" s="23" t="n">
        <v>12</v>
      </c>
      <c r="I151" s="25" t="n">
        <v>46256</v>
      </c>
      <c r="J151" s="23" t="s">
        <v>135</v>
      </c>
      <c r="K151" s="23" t="s">
        <v>86</v>
      </c>
      <c r="L151" s="26" t="n">
        <v>1919</v>
      </c>
      <c r="M151" s="26" t="n">
        <v>2878</v>
      </c>
      <c r="N151" s="27" t="n">
        <f aca="false">IF(OR($L151="",$H151="",$H151=0),"",$L151-N($M151)/$H151)</f>
        <v>1679.16666666667</v>
      </c>
      <c r="O151" s="23" t="s">
        <v>87</v>
      </c>
      <c r="P151" s="23" t="s">
        <v>88</v>
      </c>
      <c r="Q151" s="23" t="s">
        <v>89</v>
      </c>
      <c r="R151" s="23"/>
      <c r="S151" s="23"/>
      <c r="T151" s="23"/>
      <c r="U151" s="23"/>
      <c r="V151" s="23"/>
      <c r="W151" s="25"/>
      <c r="X151" s="23"/>
      <c r="Y151" s="26"/>
      <c r="Z151" s="26"/>
      <c r="AA151" s="27" t="str">
        <f aca="false">IF(OR($Y151="",$X151="",$X151=0),"",$Y151-N($Z151)/$X151)</f>
        <v/>
      </c>
      <c r="AB151" s="23"/>
      <c r="AC151" s="28" t="str">
        <f aca="false">IF(OR($Y151="",$L151="",$L151=0),"",$Y151/$L151-1)</f>
        <v/>
      </c>
      <c r="AD151" s="28" t="str">
        <f aca="false">IF(OR($AA151="",$N151="",$N151=0),"",$AA151/$N151-1)</f>
        <v/>
      </c>
      <c r="AE151" s="25"/>
      <c r="AF151" s="23"/>
      <c r="AG151" s="23"/>
      <c r="AH151" s="25"/>
      <c r="AI151" s="23"/>
      <c r="AJ151" s="26"/>
      <c r="AK151" s="26"/>
      <c r="AL151" s="27" t="str">
        <f aca="false">IF(OR($AJ151="",$AI151="",$AI151=0),"",$AJ151-N($AK151)/$AI151)</f>
        <v/>
      </c>
      <c r="AM151" s="28" t="str">
        <f aca="false">IF(OR($AJ151="",$L151="",$L151=0),"",$AJ151/$L151-1)</f>
        <v/>
      </c>
      <c r="AN151" s="28" t="str">
        <f aca="false">IF(OR($AL151="",$N151="",$N151=0),"",$AL151/$N151-1)</f>
        <v/>
      </c>
      <c r="AO151" s="24"/>
    </row>
    <row r="152" customFormat="false" ht="15" hidden="false" customHeight="false" outlineLevel="0" collapsed="false">
      <c r="A152" s="5" t="s">
        <v>659</v>
      </c>
      <c r="B152" s="5" t="s">
        <v>91</v>
      </c>
      <c r="C152" s="5" t="s">
        <v>92</v>
      </c>
      <c r="D152" s="6" t="n">
        <v>1328</v>
      </c>
      <c r="E152" s="5" t="s">
        <v>660</v>
      </c>
      <c r="F152" s="5" t="s">
        <v>661</v>
      </c>
      <c r="G152" s="20" t="n">
        <v>45836</v>
      </c>
      <c r="H152" s="5" t="n">
        <v>12</v>
      </c>
      <c r="I152" s="20" t="n">
        <v>46200</v>
      </c>
      <c r="J152" s="5" t="s">
        <v>152</v>
      </c>
      <c r="K152" s="5" t="s">
        <v>202</v>
      </c>
      <c r="L152" s="16" t="n">
        <v>2326</v>
      </c>
      <c r="M152" s="16" t="n">
        <v>4652</v>
      </c>
      <c r="N152" s="21" t="n">
        <f aca="false">IF(OR($L152="",$H152="",$H152=0),"",$L152-N($M152)/$H152)</f>
        <v>1938.33333333333</v>
      </c>
      <c r="O152" s="5" t="s">
        <v>87</v>
      </c>
      <c r="P152" s="5" t="s">
        <v>202</v>
      </c>
      <c r="Q152" s="5" t="s">
        <v>127</v>
      </c>
      <c r="R152" s="5" t="s">
        <v>98</v>
      </c>
      <c r="S152" s="5" t="s">
        <v>98</v>
      </c>
      <c r="T152" s="5"/>
      <c r="U152" s="5"/>
      <c r="V152" s="5"/>
      <c r="W152" s="20" t="n">
        <v>46201</v>
      </c>
      <c r="X152" s="5" t="n">
        <v>12</v>
      </c>
      <c r="Y152" s="16" t="n">
        <v>2363</v>
      </c>
      <c r="Z152" s="16" t="n">
        <v>0</v>
      </c>
      <c r="AA152" s="21" t="n">
        <f aca="false">IF(OR($Y152="",$X152="",$X152=0),"",$Y152-N($Z152)/$X152)</f>
        <v>2363</v>
      </c>
      <c r="AB152" s="5" t="s">
        <v>98</v>
      </c>
      <c r="AC152" s="22" t="n">
        <f aca="false">IF(OR($Y152="",$L152="",$L152=0),"",$Y152/$L152-1)</f>
        <v>0.0159071367153911</v>
      </c>
      <c r="AD152" s="22" t="n">
        <f aca="false">IF(OR($AA152="",$N152="",$N152=0),"",$AA152/$N152-1)</f>
        <v>0.219088564058469</v>
      </c>
      <c r="AE152" s="20"/>
      <c r="AF152" s="5"/>
      <c r="AG152" s="5"/>
      <c r="AH152" s="20"/>
      <c r="AI152" s="5"/>
      <c r="AJ152" s="16"/>
      <c r="AK152" s="16"/>
      <c r="AL152" s="21" t="str">
        <f aca="false">IF(OR($AJ152="",$AI152="",$AI152=0),"",$AJ152-N($AK152)/$AI152)</f>
        <v/>
      </c>
      <c r="AM152" s="22" t="str">
        <f aca="false">IF(OR($AJ152="",$L152="",$L152=0),"",$AJ152/$L152-1)</f>
        <v/>
      </c>
      <c r="AN152" s="22" t="str">
        <f aca="false">IF(OR($AL152="",$N152="",$N152=0),"",$AL152/$N152-1)</f>
        <v/>
      </c>
      <c r="AO152" s="6"/>
    </row>
    <row r="153" customFormat="false" ht="15" hidden="false" customHeight="false" outlineLevel="0" collapsed="false">
      <c r="A153" s="23" t="s">
        <v>662</v>
      </c>
      <c r="B153" s="23" t="s">
        <v>102</v>
      </c>
      <c r="C153" s="23" t="s">
        <v>103</v>
      </c>
      <c r="D153" s="24" t="n">
        <v>693</v>
      </c>
      <c r="E153" s="23" t="s">
        <v>663</v>
      </c>
      <c r="F153" s="23" t="s">
        <v>664</v>
      </c>
      <c r="G153" s="25" t="n">
        <v>45778</v>
      </c>
      <c r="H153" s="23" t="n">
        <v>12</v>
      </c>
      <c r="I153" s="25" t="n">
        <v>46326</v>
      </c>
      <c r="J153" s="23" t="s">
        <v>106</v>
      </c>
      <c r="K153" s="23" t="s">
        <v>86</v>
      </c>
      <c r="L153" s="26" t="n">
        <v>1535</v>
      </c>
      <c r="M153" s="26" t="n">
        <v>1536</v>
      </c>
      <c r="N153" s="27" t="n">
        <f aca="false">IF(OR($L153="",$H153="",$H153=0),"",$L153-N($M153)/$H153)</f>
        <v>1407</v>
      </c>
      <c r="O153" s="23" t="s">
        <v>87</v>
      </c>
      <c r="P153" s="23" t="s">
        <v>96</v>
      </c>
      <c r="Q153" s="23" t="s">
        <v>97</v>
      </c>
      <c r="R153" s="23"/>
      <c r="S153" s="23"/>
      <c r="T153" s="23" t="s">
        <v>98</v>
      </c>
      <c r="U153" s="23"/>
      <c r="V153" s="23"/>
      <c r="W153" s="25"/>
      <c r="X153" s="23"/>
      <c r="Y153" s="26"/>
      <c r="Z153" s="26"/>
      <c r="AA153" s="27" t="str">
        <f aca="false">IF(OR($Y153="",$X153="",$X153=0),"",$Y153-N($Z153)/$X153)</f>
        <v/>
      </c>
      <c r="AB153" s="23"/>
      <c r="AC153" s="28" t="str">
        <f aca="false">IF(OR($Y153="",$L153="",$L153=0),"",$Y153/$L153-1)</f>
        <v/>
      </c>
      <c r="AD153" s="28" t="str">
        <f aca="false">IF(OR($AA153="",$N153="",$N153=0),"",$AA153/$N153-1)</f>
        <v/>
      </c>
      <c r="AE153" s="25" t="n">
        <v>46053</v>
      </c>
      <c r="AF153" s="23" t="s">
        <v>665</v>
      </c>
      <c r="AG153" s="23" t="s">
        <v>666</v>
      </c>
      <c r="AH153" s="25" t="n">
        <v>46073</v>
      </c>
      <c r="AI153" s="23" t="n">
        <v>9</v>
      </c>
      <c r="AJ153" s="26" t="n">
        <v>1540</v>
      </c>
      <c r="AK153" s="26" t="n">
        <v>0</v>
      </c>
      <c r="AL153" s="27" t="n">
        <f aca="false">IF(OR($AJ153="",$AI153="",$AI153=0),"",$AJ153-N($AK153)/$AI153)</f>
        <v>1540</v>
      </c>
      <c r="AM153" s="28" t="n">
        <f aca="false">IF(OR($AJ153="",$L153="",$L153=0),"",$AJ153/$L153-1)</f>
        <v>0.00325732899022801</v>
      </c>
      <c r="AN153" s="28" t="n">
        <f aca="false">IF(OR($AL153="",$N153="",$N153=0),"",$AL153/$N153-1)</f>
        <v>0.0945273631840795</v>
      </c>
      <c r="AO153" s="24" t="n">
        <v>20</v>
      </c>
    </row>
    <row r="154" customFormat="false" ht="15" hidden="false" customHeight="false" outlineLevel="0" collapsed="false">
      <c r="A154" s="5" t="s">
        <v>667</v>
      </c>
      <c r="B154" s="5" t="s">
        <v>108</v>
      </c>
      <c r="C154" s="5" t="s">
        <v>103</v>
      </c>
      <c r="D154" s="6" t="n">
        <v>746</v>
      </c>
      <c r="E154" s="5" t="s">
        <v>668</v>
      </c>
      <c r="F154" s="5" t="s">
        <v>669</v>
      </c>
      <c r="G154" s="20" t="n">
        <v>45852</v>
      </c>
      <c r="H154" s="5" t="n">
        <v>12</v>
      </c>
      <c r="I154" s="20" t="n">
        <v>46216</v>
      </c>
      <c r="J154" s="5" t="s">
        <v>116</v>
      </c>
      <c r="K154" s="5" t="s">
        <v>126</v>
      </c>
      <c r="L154" s="16" t="n">
        <v>1784</v>
      </c>
      <c r="M154" s="16" t="n">
        <v>1788</v>
      </c>
      <c r="N154" s="21" t="n">
        <f aca="false">IF(OR($L154="",$H154="",$H154=0),"",$L154-N($M154)/$H154)</f>
        <v>1635</v>
      </c>
      <c r="O154" s="5" t="s">
        <v>87</v>
      </c>
      <c r="P154" s="5" t="s">
        <v>96</v>
      </c>
      <c r="Q154" s="5" t="s">
        <v>127</v>
      </c>
      <c r="R154" s="5" t="s">
        <v>98</v>
      </c>
      <c r="S154" s="5" t="s">
        <v>98</v>
      </c>
      <c r="T154" s="5"/>
      <c r="U154" s="5"/>
      <c r="V154" s="5"/>
      <c r="W154" s="20" t="n">
        <v>46217</v>
      </c>
      <c r="X154" s="5" t="n">
        <v>11</v>
      </c>
      <c r="Y154" s="16" t="n">
        <v>1784</v>
      </c>
      <c r="Z154" s="16" t="n">
        <v>0</v>
      </c>
      <c r="AA154" s="21" t="n">
        <f aca="false">IF(OR($Y154="",$X154="",$X154=0),"",$Y154-N($Z154)/$X154)</f>
        <v>1784</v>
      </c>
      <c r="AB154" s="5"/>
      <c r="AC154" s="22" t="n">
        <f aca="false">IF(OR($Y154="",$L154="",$L154=0),"",$Y154/$L154-1)</f>
        <v>0</v>
      </c>
      <c r="AD154" s="22" t="n">
        <f aca="false">IF(OR($AA154="",$N154="",$N154=0),"",$AA154/$N154-1)</f>
        <v>0.0911314984709479</v>
      </c>
      <c r="AE154" s="20"/>
      <c r="AF154" s="5"/>
      <c r="AG154" s="5"/>
      <c r="AH154" s="20"/>
      <c r="AI154" s="5"/>
      <c r="AJ154" s="16"/>
      <c r="AK154" s="16"/>
      <c r="AL154" s="21" t="str">
        <f aca="false">IF(OR($AJ154="",$AI154="",$AI154=0),"",$AJ154-N($AK154)/$AI154)</f>
        <v/>
      </c>
      <c r="AM154" s="22" t="str">
        <f aca="false">IF(OR($AJ154="",$L154="",$L154=0),"",$AJ154/$L154-1)</f>
        <v/>
      </c>
      <c r="AN154" s="22" t="str">
        <f aca="false">IF(OR($AL154="",$N154="",$N154=0),"",$AL154/$N154-1)</f>
        <v/>
      </c>
      <c r="AO154" s="6"/>
    </row>
    <row r="155" customFormat="false" ht="15" hidden="false" customHeight="false" outlineLevel="0" collapsed="false">
      <c r="A155" s="23" t="s">
        <v>670</v>
      </c>
      <c r="B155" s="23" t="s">
        <v>113</v>
      </c>
      <c r="C155" s="23" t="s">
        <v>82</v>
      </c>
      <c r="D155" s="24" t="n">
        <v>1092</v>
      </c>
      <c r="E155" s="23" t="s">
        <v>671</v>
      </c>
      <c r="F155" s="23" t="s">
        <v>672</v>
      </c>
      <c r="G155" s="25" t="n">
        <v>45956</v>
      </c>
      <c r="H155" s="23" t="n">
        <v>18</v>
      </c>
      <c r="I155" s="25" t="n">
        <v>46502</v>
      </c>
      <c r="J155" s="23" t="s">
        <v>143</v>
      </c>
      <c r="K155" s="23" t="s">
        <v>86</v>
      </c>
      <c r="L155" s="26" t="n">
        <v>1695</v>
      </c>
      <c r="M155" s="26" t="n">
        <v>847.5</v>
      </c>
      <c r="N155" s="27" t="n">
        <f aca="false">IF(OR($L155="",$H155="",$H155=0),"",$L155-N($M155)/$H155)</f>
        <v>1647.91666666667</v>
      </c>
      <c r="O155" s="23" t="s">
        <v>87</v>
      </c>
      <c r="P155" s="23" t="s">
        <v>88</v>
      </c>
      <c r="Q155" s="23" t="s">
        <v>89</v>
      </c>
      <c r="R155" s="23"/>
      <c r="S155" s="23"/>
      <c r="T155" s="23"/>
      <c r="U155" s="23"/>
      <c r="V155" s="23"/>
      <c r="W155" s="25"/>
      <c r="X155" s="23"/>
      <c r="Y155" s="26"/>
      <c r="Z155" s="26"/>
      <c r="AA155" s="27" t="str">
        <f aca="false">IF(OR($Y155="",$X155="",$X155=0),"",$Y155-N($Z155)/$X155)</f>
        <v/>
      </c>
      <c r="AB155" s="23"/>
      <c r="AC155" s="28" t="str">
        <f aca="false">IF(OR($Y155="",$L155="",$L155=0),"",$Y155/$L155-1)</f>
        <v/>
      </c>
      <c r="AD155" s="28" t="str">
        <f aca="false">IF(OR($AA155="",$N155="",$N155=0),"",$AA155/$N155-1)</f>
        <v/>
      </c>
      <c r="AE155" s="25"/>
      <c r="AF155" s="23"/>
      <c r="AG155" s="23"/>
      <c r="AH155" s="25"/>
      <c r="AI155" s="23"/>
      <c r="AJ155" s="26"/>
      <c r="AK155" s="26"/>
      <c r="AL155" s="27" t="str">
        <f aca="false">IF(OR($AJ155="",$AI155="",$AI155=0),"",$AJ155-N($AK155)/$AI155)</f>
        <v/>
      </c>
      <c r="AM155" s="28" t="str">
        <f aca="false">IF(OR($AJ155="",$L155="",$L155=0),"",$AJ155/$L155-1)</f>
        <v/>
      </c>
      <c r="AN155" s="28" t="str">
        <f aca="false">IF(OR($AL155="",$N155="",$N155=0),"",$AL155/$N155-1)</f>
        <v/>
      </c>
      <c r="AO155" s="24"/>
    </row>
    <row r="156" customFormat="false" ht="15" hidden="false" customHeight="false" outlineLevel="0" collapsed="false">
      <c r="A156" s="5" t="s">
        <v>673</v>
      </c>
      <c r="B156" s="5" t="s">
        <v>102</v>
      </c>
      <c r="C156" s="5" t="s">
        <v>103</v>
      </c>
      <c r="D156" s="6" t="n">
        <v>693</v>
      </c>
      <c r="E156" s="5" t="s">
        <v>674</v>
      </c>
      <c r="F156" s="5" t="s">
        <v>675</v>
      </c>
      <c r="G156" s="20" t="n">
        <v>45964</v>
      </c>
      <c r="H156" s="5" t="n">
        <v>9</v>
      </c>
      <c r="I156" s="20" t="n">
        <v>46236</v>
      </c>
      <c r="J156" s="5" t="s">
        <v>135</v>
      </c>
      <c r="K156" s="5" t="s">
        <v>86</v>
      </c>
      <c r="L156" s="16" t="n">
        <v>1349</v>
      </c>
      <c r="M156" s="16" t="n">
        <v>0</v>
      </c>
      <c r="N156" s="21" t="n">
        <f aca="false">IF(OR($L156="",$H156="",$H156=0),"",$L156-N($M156)/$H156)</f>
        <v>1349</v>
      </c>
      <c r="O156" s="5" t="s">
        <v>87</v>
      </c>
      <c r="P156" s="5" t="s">
        <v>88</v>
      </c>
      <c r="Q156" s="5" t="s">
        <v>173</v>
      </c>
      <c r="R156" s="5" t="s">
        <v>98</v>
      </c>
      <c r="S156" s="5" t="s">
        <v>98</v>
      </c>
      <c r="T156" s="5"/>
      <c r="U156" s="5" t="s">
        <v>98</v>
      </c>
      <c r="V156" s="5"/>
      <c r="W156" s="20"/>
      <c r="X156" s="5"/>
      <c r="Y156" s="16"/>
      <c r="Z156" s="16"/>
      <c r="AA156" s="21" t="str">
        <f aca="false">IF(OR($Y156="",$X156="",$X156=0),"",$Y156-N($Z156)/$X156)</f>
        <v/>
      </c>
      <c r="AB156" s="5"/>
      <c r="AC156" s="22" t="str">
        <f aca="false">IF(OR($Y156="",$L156="",$L156=0),"",$Y156/$L156-1)</f>
        <v/>
      </c>
      <c r="AD156" s="22" t="str">
        <f aca="false">IF(OR($AA156="",$N156="",$N156=0),"",$AA156/$N156-1)</f>
        <v/>
      </c>
      <c r="AE156" s="20"/>
      <c r="AF156" s="5"/>
      <c r="AG156" s="5"/>
      <c r="AH156" s="20"/>
      <c r="AI156" s="5"/>
      <c r="AJ156" s="16"/>
      <c r="AK156" s="16"/>
      <c r="AL156" s="21" t="str">
        <f aca="false">IF(OR($AJ156="",$AI156="",$AI156=0),"",$AJ156-N($AK156)/$AI156)</f>
        <v/>
      </c>
      <c r="AM156" s="22" t="str">
        <f aca="false">IF(OR($AJ156="",$L156="",$L156=0),"",$AJ156/$L156-1)</f>
        <v/>
      </c>
      <c r="AN156" s="22" t="str">
        <f aca="false">IF(OR($AL156="",$N156="",$N156=0),"",$AL156/$N156-1)</f>
        <v/>
      </c>
      <c r="AO156" s="6"/>
    </row>
    <row r="157" customFormat="false" ht="15" hidden="false" customHeight="false" outlineLevel="0" collapsed="false">
      <c r="A157" s="23" t="s">
        <v>676</v>
      </c>
      <c r="B157" s="23" t="s">
        <v>81</v>
      </c>
      <c r="C157" s="23" t="s">
        <v>82</v>
      </c>
      <c r="D157" s="24" t="n">
        <v>1141</v>
      </c>
      <c r="E157" s="23" t="s">
        <v>677</v>
      </c>
      <c r="F157" s="23" t="s">
        <v>678</v>
      </c>
      <c r="G157" s="25" t="n">
        <v>45900</v>
      </c>
      <c r="H157" s="23" t="n">
        <v>17</v>
      </c>
      <c r="I157" s="25" t="n">
        <v>46417</v>
      </c>
      <c r="J157" s="23" t="s">
        <v>265</v>
      </c>
      <c r="K157" s="23" t="s">
        <v>86</v>
      </c>
      <c r="L157" s="26" t="n">
        <v>1919</v>
      </c>
      <c r="M157" s="26" t="n">
        <v>1919</v>
      </c>
      <c r="N157" s="27" t="n">
        <f aca="false">IF(OR($L157="",$H157="",$H157=0),"",$L157-N($M157)/$H157)</f>
        <v>1806.11764705882</v>
      </c>
      <c r="O157" s="23" t="s">
        <v>87</v>
      </c>
      <c r="P157" s="23" t="s">
        <v>88</v>
      </c>
      <c r="Q157" s="23" t="s">
        <v>89</v>
      </c>
      <c r="R157" s="23"/>
      <c r="S157" s="23"/>
      <c r="T157" s="23"/>
      <c r="U157" s="23"/>
      <c r="V157" s="23"/>
      <c r="W157" s="25"/>
      <c r="X157" s="23"/>
      <c r="Y157" s="26"/>
      <c r="Z157" s="26"/>
      <c r="AA157" s="27" t="str">
        <f aca="false">IF(OR($Y157="",$X157="",$X157=0),"",$Y157-N($Z157)/$X157)</f>
        <v/>
      </c>
      <c r="AB157" s="23"/>
      <c r="AC157" s="28" t="str">
        <f aca="false">IF(OR($Y157="",$L157="",$L157=0),"",$Y157/$L157-1)</f>
        <v/>
      </c>
      <c r="AD157" s="28" t="str">
        <f aca="false">IF(OR($AA157="",$N157="",$N157=0),"",$AA157/$N157-1)</f>
        <v/>
      </c>
      <c r="AE157" s="25"/>
      <c r="AF157" s="23"/>
      <c r="AG157" s="23"/>
      <c r="AH157" s="25"/>
      <c r="AI157" s="23"/>
      <c r="AJ157" s="26"/>
      <c r="AK157" s="26"/>
      <c r="AL157" s="27" t="str">
        <f aca="false">IF(OR($AJ157="",$AI157="",$AI157=0),"",$AJ157-N($AK157)/$AI157)</f>
        <v/>
      </c>
      <c r="AM157" s="28" t="str">
        <f aca="false">IF(OR($AJ157="",$L157="",$L157=0),"",$AJ157/$L157-1)</f>
        <v/>
      </c>
      <c r="AN157" s="28" t="str">
        <f aca="false">IF(OR($AL157="",$N157="",$N157=0),"",$AL157/$N157-1)</f>
        <v/>
      </c>
      <c r="AO157" s="24"/>
    </row>
    <row r="158" customFormat="false" ht="15" hidden="false" customHeight="false" outlineLevel="0" collapsed="false">
      <c r="A158" s="5" t="s">
        <v>679</v>
      </c>
      <c r="B158" s="5" t="s">
        <v>102</v>
      </c>
      <c r="C158" s="5" t="s">
        <v>103</v>
      </c>
      <c r="D158" s="6" t="n">
        <v>693</v>
      </c>
      <c r="E158" s="5" t="s">
        <v>680</v>
      </c>
      <c r="F158" s="5" t="s">
        <v>681</v>
      </c>
      <c r="G158" s="20" t="n">
        <v>45868</v>
      </c>
      <c r="H158" s="5" t="n">
        <v>12</v>
      </c>
      <c r="I158" s="20" t="n">
        <v>46232</v>
      </c>
      <c r="J158" s="5" t="s">
        <v>116</v>
      </c>
      <c r="K158" s="5" t="s">
        <v>86</v>
      </c>
      <c r="L158" s="16" t="n">
        <v>1575</v>
      </c>
      <c r="M158" s="16" t="n">
        <v>1575</v>
      </c>
      <c r="N158" s="21" t="n">
        <f aca="false">IF(OR($L158="",$H158="",$H158=0),"",$L158-N($M158)/$H158)</f>
        <v>1443.75</v>
      </c>
      <c r="O158" s="5" t="s">
        <v>87</v>
      </c>
      <c r="P158" s="5" t="s">
        <v>88</v>
      </c>
      <c r="Q158" s="5" t="s">
        <v>97</v>
      </c>
      <c r="R158" s="5" t="s">
        <v>98</v>
      </c>
      <c r="S158" s="5" t="s">
        <v>98</v>
      </c>
      <c r="T158" s="5"/>
      <c r="U158" s="5"/>
      <c r="V158" s="5"/>
      <c r="W158" s="20"/>
      <c r="X158" s="5"/>
      <c r="Y158" s="16"/>
      <c r="Z158" s="16"/>
      <c r="AA158" s="21" t="str">
        <f aca="false">IF(OR($Y158="",$X158="",$X158=0),"",$Y158-N($Z158)/$X158)</f>
        <v/>
      </c>
      <c r="AB158" s="5"/>
      <c r="AC158" s="22" t="str">
        <f aca="false">IF(OR($Y158="",$L158="",$L158=0),"",$Y158/$L158-1)</f>
        <v/>
      </c>
      <c r="AD158" s="22" t="str">
        <f aca="false">IF(OR($AA158="",$N158="",$N158=0),"",$AA158/$N158-1)</f>
        <v/>
      </c>
      <c r="AE158" s="20" t="n">
        <v>46232</v>
      </c>
      <c r="AF158" s="5"/>
      <c r="AG158" s="5"/>
      <c r="AH158" s="20"/>
      <c r="AI158" s="5"/>
      <c r="AJ158" s="16"/>
      <c r="AK158" s="16"/>
      <c r="AL158" s="21" t="str">
        <f aca="false">IF(OR($AJ158="",$AI158="",$AI158=0),"",$AJ158-N($AK158)/$AI158)</f>
        <v/>
      </c>
      <c r="AM158" s="22" t="str">
        <f aca="false">IF(OR($AJ158="",$L158="",$L158=0),"",$AJ158/$L158-1)</f>
        <v/>
      </c>
      <c r="AN158" s="22" t="str">
        <f aca="false">IF(OR($AL158="",$N158="",$N158=0),"",$AL158/$N158-1)</f>
        <v/>
      </c>
      <c r="AO158" s="6"/>
    </row>
    <row r="159" customFormat="false" ht="15" hidden="false" customHeight="false" outlineLevel="0" collapsed="false">
      <c r="A159" s="23" t="s">
        <v>682</v>
      </c>
      <c r="B159" s="23" t="s">
        <v>102</v>
      </c>
      <c r="C159" s="23" t="s">
        <v>103</v>
      </c>
      <c r="D159" s="24" t="n">
        <v>693</v>
      </c>
      <c r="E159" s="23" t="s">
        <v>683</v>
      </c>
      <c r="F159" s="23" t="s">
        <v>684</v>
      </c>
      <c r="G159" s="25" t="n">
        <v>45843</v>
      </c>
      <c r="H159" s="23" t="n">
        <v>12</v>
      </c>
      <c r="I159" s="25" t="n">
        <v>46207</v>
      </c>
      <c r="J159" s="23" t="s">
        <v>116</v>
      </c>
      <c r="K159" s="23" t="s">
        <v>86</v>
      </c>
      <c r="L159" s="26" t="n">
        <v>1575</v>
      </c>
      <c r="M159" s="26" t="n">
        <v>1575</v>
      </c>
      <c r="N159" s="27" t="n">
        <f aca="false">IF(OR($L159="",$H159="",$H159=0),"",$L159-N($M159)/$H159)</f>
        <v>1443.75</v>
      </c>
      <c r="O159" s="23" t="s">
        <v>87</v>
      </c>
      <c r="P159" s="23" t="s">
        <v>88</v>
      </c>
      <c r="Q159" s="23" t="s">
        <v>97</v>
      </c>
      <c r="R159" s="23" t="s">
        <v>98</v>
      </c>
      <c r="S159" s="23" t="s">
        <v>98</v>
      </c>
      <c r="T159" s="23"/>
      <c r="U159" s="23"/>
      <c r="V159" s="23"/>
      <c r="W159" s="25"/>
      <c r="X159" s="23"/>
      <c r="Y159" s="26"/>
      <c r="Z159" s="26"/>
      <c r="AA159" s="27" t="str">
        <f aca="false">IF(OR($Y159="",$X159="",$X159=0),"",$Y159-N($Z159)/$X159)</f>
        <v/>
      </c>
      <c r="AB159" s="23"/>
      <c r="AC159" s="28" t="str">
        <f aca="false">IF(OR($Y159="",$L159="",$L159=0),"",$Y159/$L159-1)</f>
        <v/>
      </c>
      <c r="AD159" s="28" t="str">
        <f aca="false">IF(OR($AA159="",$N159="",$N159=0),"",$AA159/$N159-1)</f>
        <v/>
      </c>
      <c r="AE159" s="25"/>
      <c r="AF159" s="23" t="s">
        <v>685</v>
      </c>
      <c r="AG159" s="23" t="s">
        <v>686</v>
      </c>
      <c r="AH159" s="25" t="n">
        <v>46221</v>
      </c>
      <c r="AI159" s="23" t="n">
        <v>12</v>
      </c>
      <c r="AJ159" s="26" t="n">
        <v>1678</v>
      </c>
      <c r="AK159" s="26" t="n">
        <v>0</v>
      </c>
      <c r="AL159" s="27" t="n">
        <f aca="false">IF(OR($AJ159="",$AI159="",$AI159=0),"",$AJ159-N($AK159)/$AI159)</f>
        <v>1678</v>
      </c>
      <c r="AM159" s="28" t="n">
        <f aca="false">IF(OR($AJ159="",$L159="",$L159=0),"",$AJ159/$L159-1)</f>
        <v>0.0653968253968253</v>
      </c>
      <c r="AN159" s="28" t="n">
        <f aca="false">IF(OR($AL159="",$N159="",$N159=0),"",$AL159/$N159-1)</f>
        <v>0.162251082251082</v>
      </c>
      <c r="AO159" s="24"/>
    </row>
    <row r="160" customFormat="false" ht="15" hidden="false" customHeight="false" outlineLevel="0" collapsed="false">
      <c r="A160" s="5" t="s">
        <v>687</v>
      </c>
      <c r="B160" s="5" t="s">
        <v>102</v>
      </c>
      <c r="C160" s="5" t="s">
        <v>103</v>
      </c>
      <c r="D160" s="6" t="n">
        <v>693</v>
      </c>
      <c r="E160" s="5" t="s">
        <v>688</v>
      </c>
      <c r="F160" s="5" t="s">
        <v>689</v>
      </c>
      <c r="G160" s="20" t="n">
        <v>45834</v>
      </c>
      <c r="H160" s="5" t="n">
        <v>12</v>
      </c>
      <c r="I160" s="20" t="n">
        <v>46198</v>
      </c>
      <c r="J160" s="5" t="s">
        <v>152</v>
      </c>
      <c r="K160" s="5" t="s">
        <v>86</v>
      </c>
      <c r="L160" s="16" t="n">
        <v>1575</v>
      </c>
      <c r="M160" s="16" t="n">
        <v>1575</v>
      </c>
      <c r="N160" s="21" t="n">
        <f aca="false">IF(OR($L160="",$H160="",$H160=0),"",$L160-N($M160)/$H160)</f>
        <v>1443.75</v>
      </c>
      <c r="O160" s="5" t="s">
        <v>87</v>
      </c>
      <c r="P160" s="5" t="s">
        <v>88</v>
      </c>
      <c r="Q160" s="5" t="s">
        <v>97</v>
      </c>
      <c r="R160" s="5" t="s">
        <v>98</v>
      </c>
      <c r="S160" s="5" t="s">
        <v>98</v>
      </c>
      <c r="T160" s="5"/>
      <c r="U160" s="5"/>
      <c r="V160" s="5"/>
      <c r="W160" s="20"/>
      <c r="X160" s="5"/>
      <c r="Y160" s="16"/>
      <c r="Z160" s="16"/>
      <c r="AA160" s="21" t="str">
        <f aca="false">IF(OR($Y160="",$X160="",$X160=0),"",$Y160-N($Z160)/$X160)</f>
        <v/>
      </c>
      <c r="AB160" s="5"/>
      <c r="AC160" s="22" t="str">
        <f aca="false">IF(OR($Y160="",$L160="",$L160=0),"",$Y160/$L160-1)</f>
        <v/>
      </c>
      <c r="AD160" s="22" t="str">
        <f aca="false">IF(OR($AA160="",$N160="",$N160=0),"",$AA160/$N160-1)</f>
        <v/>
      </c>
      <c r="AE160" s="20" t="n">
        <v>46198</v>
      </c>
      <c r="AF160" s="5" t="s">
        <v>690</v>
      </c>
      <c r="AG160" s="5" t="s">
        <v>691</v>
      </c>
      <c r="AH160" s="20" t="n">
        <v>46214</v>
      </c>
      <c r="AI160" s="5" t="n">
        <v>12</v>
      </c>
      <c r="AJ160" s="16" t="n">
        <v>1585</v>
      </c>
      <c r="AK160" s="16" t="n">
        <v>0</v>
      </c>
      <c r="AL160" s="21" t="n">
        <f aca="false">IF(OR($AJ160="",$AI160="",$AI160=0),"",$AJ160-N($AK160)/$AI160)</f>
        <v>1585</v>
      </c>
      <c r="AM160" s="22" t="n">
        <f aca="false">IF(OR($AJ160="",$L160="",$L160=0),"",$AJ160/$L160-1)</f>
        <v>0.00634920634920633</v>
      </c>
      <c r="AN160" s="22" t="n">
        <f aca="false">IF(OR($AL160="",$N160="",$N160=0),"",$AL160/$N160-1)</f>
        <v>0.0978354978354978</v>
      </c>
      <c r="AO160" s="6" t="n">
        <v>16</v>
      </c>
    </row>
    <row r="161" customFormat="false" ht="15" hidden="false" customHeight="false" outlineLevel="0" collapsed="false">
      <c r="A161" s="23" t="s">
        <v>692</v>
      </c>
      <c r="B161" s="23" t="s">
        <v>145</v>
      </c>
      <c r="C161" s="23" t="s">
        <v>82</v>
      </c>
      <c r="D161" s="24" t="n">
        <v>1165</v>
      </c>
      <c r="E161" s="23" t="s">
        <v>693</v>
      </c>
      <c r="F161" s="23" t="s">
        <v>694</v>
      </c>
      <c r="G161" s="25" t="n">
        <v>45813</v>
      </c>
      <c r="H161" s="23" t="n">
        <v>14</v>
      </c>
      <c r="I161" s="25" t="n">
        <v>46238</v>
      </c>
      <c r="J161" s="23" t="s">
        <v>135</v>
      </c>
      <c r="K161" s="23" t="s">
        <v>86</v>
      </c>
      <c r="L161" s="26" t="n">
        <v>1820</v>
      </c>
      <c r="M161" s="26" t="n">
        <v>0</v>
      </c>
      <c r="N161" s="27" t="n">
        <f aca="false">IF(OR($L161="",$H161="",$H161=0),"",$L161-N($M161)/$H161)</f>
        <v>1820</v>
      </c>
      <c r="O161" s="23" t="s">
        <v>87</v>
      </c>
      <c r="P161" s="23" t="s">
        <v>88</v>
      </c>
      <c r="Q161" s="23" t="s">
        <v>97</v>
      </c>
      <c r="R161" s="23" t="s">
        <v>98</v>
      </c>
      <c r="S161" s="23" t="s">
        <v>98</v>
      </c>
      <c r="T161" s="23"/>
      <c r="U161" s="23"/>
      <c r="V161" s="23"/>
      <c r="W161" s="25"/>
      <c r="X161" s="23"/>
      <c r="Y161" s="26"/>
      <c r="Z161" s="26"/>
      <c r="AA161" s="27" t="str">
        <f aca="false">IF(OR($Y161="",$X161="",$X161=0),"",$Y161-N($Z161)/$X161)</f>
        <v/>
      </c>
      <c r="AB161" s="23"/>
      <c r="AC161" s="28" t="str">
        <f aca="false">IF(OR($Y161="",$L161="",$L161=0),"",$Y161/$L161-1)</f>
        <v/>
      </c>
      <c r="AD161" s="28" t="str">
        <f aca="false">IF(OR($AA161="",$N161="",$N161=0),"",$AA161/$N161-1)</f>
        <v/>
      </c>
      <c r="AE161" s="25" t="n">
        <v>46238</v>
      </c>
      <c r="AF161" s="23"/>
      <c r="AG161" s="23"/>
      <c r="AH161" s="25"/>
      <c r="AI161" s="23"/>
      <c r="AJ161" s="26"/>
      <c r="AK161" s="26"/>
      <c r="AL161" s="27" t="str">
        <f aca="false">IF(OR($AJ161="",$AI161="",$AI161=0),"",$AJ161-N($AK161)/$AI161)</f>
        <v/>
      </c>
      <c r="AM161" s="28" t="str">
        <f aca="false">IF(OR($AJ161="",$L161="",$L161=0),"",$AJ161/$L161-1)</f>
        <v/>
      </c>
      <c r="AN161" s="28" t="str">
        <f aca="false">IF(OR($AL161="",$N161="",$N161=0),"",$AL161/$N161-1)</f>
        <v/>
      </c>
      <c r="AO161" s="24"/>
    </row>
    <row r="162" customFormat="false" ht="15" hidden="false" customHeight="false" outlineLevel="0" collapsed="false">
      <c r="A162" s="5" t="s">
        <v>695</v>
      </c>
      <c r="B162" s="5" t="s">
        <v>145</v>
      </c>
      <c r="C162" s="5" t="s">
        <v>82</v>
      </c>
      <c r="D162" s="6" t="n">
        <v>1165</v>
      </c>
      <c r="E162" s="5" t="s">
        <v>696</v>
      </c>
      <c r="F162" s="5" t="s">
        <v>697</v>
      </c>
      <c r="G162" s="20" t="n">
        <v>45900</v>
      </c>
      <c r="H162" s="5" t="n">
        <v>12</v>
      </c>
      <c r="I162" s="20" t="n">
        <v>46264</v>
      </c>
      <c r="J162" s="5" t="s">
        <v>135</v>
      </c>
      <c r="K162" s="5" t="s">
        <v>86</v>
      </c>
      <c r="L162" s="16" t="n">
        <v>2020</v>
      </c>
      <c r="M162" s="16" t="n">
        <v>2020</v>
      </c>
      <c r="N162" s="21" t="n">
        <f aca="false">IF(OR($L162="",$H162="",$H162=0),"",$L162-N($M162)/$H162)</f>
        <v>1851.66666666667</v>
      </c>
      <c r="O162" s="5" t="s">
        <v>87</v>
      </c>
      <c r="P162" s="5" t="s">
        <v>88</v>
      </c>
      <c r="Q162" s="5" t="s">
        <v>89</v>
      </c>
      <c r="R162" s="5"/>
      <c r="S162" s="5"/>
      <c r="T162" s="5"/>
      <c r="U162" s="5" t="s">
        <v>98</v>
      </c>
      <c r="V162" s="5"/>
      <c r="W162" s="20"/>
      <c r="X162" s="5"/>
      <c r="Y162" s="16"/>
      <c r="Z162" s="16"/>
      <c r="AA162" s="21" t="str">
        <f aca="false">IF(OR($Y162="",$X162="",$X162=0),"",$Y162-N($Z162)/$X162)</f>
        <v/>
      </c>
      <c r="AB162" s="5"/>
      <c r="AC162" s="22" t="str">
        <f aca="false">IF(OR($Y162="",$L162="",$L162=0),"",$Y162/$L162-1)</f>
        <v/>
      </c>
      <c r="AD162" s="22" t="str">
        <f aca="false">IF(OR($AA162="",$N162="",$N162=0),"",$AA162/$N162-1)</f>
        <v/>
      </c>
      <c r="AE162" s="20"/>
      <c r="AF162" s="5"/>
      <c r="AG162" s="5"/>
      <c r="AH162" s="20"/>
      <c r="AI162" s="5"/>
      <c r="AJ162" s="16"/>
      <c r="AK162" s="16"/>
      <c r="AL162" s="21" t="str">
        <f aca="false">IF(OR($AJ162="",$AI162="",$AI162=0),"",$AJ162-N($AK162)/$AI162)</f>
        <v/>
      </c>
      <c r="AM162" s="22" t="str">
        <f aca="false">IF(OR($AJ162="",$L162="",$L162=0),"",$AJ162/$L162-1)</f>
        <v/>
      </c>
      <c r="AN162" s="22" t="str">
        <f aca="false">IF(OR($AL162="",$N162="",$N162=0),"",$AL162/$N162-1)</f>
        <v/>
      </c>
      <c r="AO162" s="6"/>
    </row>
    <row r="163" customFormat="false" ht="15" hidden="false" customHeight="false" outlineLevel="0" collapsed="false">
      <c r="A163" s="23" t="s">
        <v>698</v>
      </c>
      <c r="B163" s="23" t="s">
        <v>81</v>
      </c>
      <c r="C163" s="23" t="s">
        <v>82</v>
      </c>
      <c r="D163" s="24" t="n">
        <v>1141</v>
      </c>
      <c r="E163" s="23" t="s">
        <v>699</v>
      </c>
      <c r="F163" s="23" t="s">
        <v>700</v>
      </c>
      <c r="G163" s="25" t="n">
        <v>45850</v>
      </c>
      <c r="H163" s="23" t="n">
        <v>12</v>
      </c>
      <c r="I163" s="25" t="n">
        <v>46214</v>
      </c>
      <c r="J163" s="23" t="s">
        <v>116</v>
      </c>
      <c r="K163" s="23" t="s">
        <v>126</v>
      </c>
      <c r="L163" s="26" t="n">
        <v>1894</v>
      </c>
      <c r="M163" s="26" t="n">
        <v>1896</v>
      </c>
      <c r="N163" s="27" t="n">
        <f aca="false">IF(OR($L163="",$H163="",$H163=0),"",$L163-N($M163)/$H163)</f>
        <v>1736</v>
      </c>
      <c r="O163" s="23" t="s">
        <v>87</v>
      </c>
      <c r="P163" s="23" t="s">
        <v>96</v>
      </c>
      <c r="Q163" s="23" t="s">
        <v>127</v>
      </c>
      <c r="R163" s="23" t="s">
        <v>98</v>
      </c>
      <c r="S163" s="23" t="s">
        <v>98</v>
      </c>
      <c r="T163" s="23"/>
      <c r="U163" s="23"/>
      <c r="V163" s="23"/>
      <c r="W163" s="25" t="n">
        <v>46215</v>
      </c>
      <c r="X163" s="23" t="n">
        <v>11</v>
      </c>
      <c r="Y163" s="26" t="n">
        <v>1951</v>
      </c>
      <c r="Z163" s="26" t="n">
        <v>0</v>
      </c>
      <c r="AA163" s="27" t="n">
        <f aca="false">IF(OR($Y163="",$X163="",$X163=0),"",$Y163-N($Z163)/$X163)</f>
        <v>1951</v>
      </c>
      <c r="AB163" s="23"/>
      <c r="AC163" s="28" t="n">
        <f aca="false">IF(OR($Y163="",$L163="",$L163=0),"",$Y163/$L163-1)</f>
        <v>0.0300950369588173</v>
      </c>
      <c r="AD163" s="28" t="n">
        <f aca="false">IF(OR($AA163="",$N163="",$N163=0),"",$AA163/$N163-1)</f>
        <v>0.123847926267281</v>
      </c>
      <c r="AE163" s="25"/>
      <c r="AF163" s="23"/>
      <c r="AG163" s="23"/>
      <c r="AH163" s="25"/>
      <c r="AI163" s="23"/>
      <c r="AJ163" s="26"/>
      <c r="AK163" s="26"/>
      <c r="AL163" s="27" t="str">
        <f aca="false">IF(OR($AJ163="",$AI163="",$AI163=0),"",$AJ163-N($AK163)/$AI163)</f>
        <v/>
      </c>
      <c r="AM163" s="28" t="str">
        <f aca="false">IF(OR($AJ163="",$L163="",$L163=0),"",$AJ163/$L163-1)</f>
        <v/>
      </c>
      <c r="AN163" s="28" t="str">
        <f aca="false">IF(OR($AL163="",$N163="",$N163=0),"",$AL163/$N163-1)</f>
        <v/>
      </c>
      <c r="AO163" s="24"/>
    </row>
    <row r="164" customFormat="false" ht="15" hidden="false" customHeight="false" outlineLevel="0" collapsed="false">
      <c r="A164" s="5" t="s">
        <v>701</v>
      </c>
      <c r="B164" s="5" t="s">
        <v>161</v>
      </c>
      <c r="C164" s="5" t="s">
        <v>92</v>
      </c>
      <c r="D164" s="6" t="n">
        <v>1340</v>
      </c>
      <c r="E164" s="5" t="s">
        <v>702</v>
      </c>
      <c r="F164" s="5" t="s">
        <v>703</v>
      </c>
      <c r="G164" s="20" t="n">
        <v>45780</v>
      </c>
      <c r="H164" s="5" t="n">
        <v>12</v>
      </c>
      <c r="I164" s="20" t="n">
        <v>46205</v>
      </c>
      <c r="J164" s="5" t="s">
        <v>116</v>
      </c>
      <c r="K164" s="5" t="s">
        <v>86</v>
      </c>
      <c r="L164" s="16" t="n">
        <v>2235</v>
      </c>
      <c r="M164" s="16" t="n">
        <v>2232</v>
      </c>
      <c r="N164" s="21" t="n">
        <f aca="false">IF(OR($L164="",$H164="",$H164=0),"",$L164-N($M164)/$H164)</f>
        <v>2049</v>
      </c>
      <c r="O164" s="5" t="s">
        <v>87</v>
      </c>
      <c r="P164" s="5" t="s">
        <v>96</v>
      </c>
      <c r="Q164" s="5" t="s">
        <v>97</v>
      </c>
      <c r="R164" s="5" t="s">
        <v>98</v>
      </c>
      <c r="S164" s="5" t="s">
        <v>98</v>
      </c>
      <c r="T164" s="5" t="s">
        <v>98</v>
      </c>
      <c r="U164" s="5"/>
      <c r="V164" s="5"/>
      <c r="W164" s="20"/>
      <c r="X164" s="5"/>
      <c r="Y164" s="16"/>
      <c r="Z164" s="16"/>
      <c r="AA164" s="21" t="str">
        <f aca="false">IF(OR($Y164="",$X164="",$X164=0),"",$Y164-N($Z164)/$X164)</f>
        <v/>
      </c>
      <c r="AB164" s="5"/>
      <c r="AC164" s="22" t="str">
        <f aca="false">IF(OR($Y164="",$L164="",$L164=0),"",$Y164/$L164-1)</f>
        <v/>
      </c>
      <c r="AD164" s="22" t="str">
        <f aca="false">IF(OR($AA164="",$N164="",$N164=0),"",$AA164/$N164-1)</f>
        <v/>
      </c>
      <c r="AE164" s="20" t="n">
        <v>46176</v>
      </c>
      <c r="AF164" s="5" t="s">
        <v>704</v>
      </c>
      <c r="AG164" s="5" t="s">
        <v>256</v>
      </c>
      <c r="AH164" s="20" t="n">
        <v>46195</v>
      </c>
      <c r="AI164" s="5" t="n">
        <v>9</v>
      </c>
      <c r="AJ164" s="16" t="n">
        <v>2529</v>
      </c>
      <c r="AK164" s="16" t="n">
        <v>0</v>
      </c>
      <c r="AL164" s="21" t="n">
        <f aca="false">IF(OR($AJ164="",$AI164="",$AI164=0),"",$AJ164-N($AK164)/$AI164)</f>
        <v>2529</v>
      </c>
      <c r="AM164" s="22" t="n">
        <f aca="false">IF(OR($AJ164="",$L164="",$L164=0),"",$AJ164/$L164-1)</f>
        <v>0.131543624161074</v>
      </c>
      <c r="AN164" s="22" t="n">
        <f aca="false">IF(OR($AL164="",$N164="",$N164=0),"",$AL164/$N164-1)</f>
        <v>0.234260614934114</v>
      </c>
      <c r="AO164" s="6" t="n">
        <v>19</v>
      </c>
    </row>
    <row r="165" customFormat="false" ht="15" hidden="false" customHeight="false" outlineLevel="0" collapsed="false">
      <c r="A165" s="23" t="s">
        <v>705</v>
      </c>
      <c r="B165" s="23" t="s">
        <v>102</v>
      </c>
      <c r="C165" s="23" t="s">
        <v>103</v>
      </c>
      <c r="D165" s="24" t="n">
        <v>693</v>
      </c>
      <c r="E165" s="23" t="s">
        <v>706</v>
      </c>
      <c r="F165" s="23" t="s">
        <v>707</v>
      </c>
      <c r="G165" s="25" t="n">
        <v>45785</v>
      </c>
      <c r="H165" s="23" t="n">
        <v>22</v>
      </c>
      <c r="I165" s="25" t="n">
        <v>46453</v>
      </c>
      <c r="J165" s="23" t="s">
        <v>131</v>
      </c>
      <c r="K165" s="23" t="s">
        <v>86</v>
      </c>
      <c r="L165" s="26" t="n">
        <v>1485</v>
      </c>
      <c r="M165" s="26" t="n">
        <v>2227</v>
      </c>
      <c r="N165" s="27" t="n">
        <f aca="false">IF(OR($L165="",$H165="",$H165=0),"",$L165-N($M165)/$H165)</f>
        <v>1383.77272727273</v>
      </c>
      <c r="O165" s="23" t="s">
        <v>87</v>
      </c>
      <c r="P165" s="23" t="s">
        <v>88</v>
      </c>
      <c r="Q165" s="23" t="s">
        <v>89</v>
      </c>
      <c r="R165" s="23"/>
      <c r="S165" s="23"/>
      <c r="T165" s="23"/>
      <c r="U165" s="23"/>
      <c r="V165" s="23"/>
      <c r="W165" s="25"/>
      <c r="X165" s="23"/>
      <c r="Y165" s="26"/>
      <c r="Z165" s="26"/>
      <c r="AA165" s="27" t="str">
        <f aca="false">IF(OR($Y165="",$X165="",$X165=0),"",$Y165-N($Z165)/$X165)</f>
        <v/>
      </c>
      <c r="AB165" s="23"/>
      <c r="AC165" s="28" t="str">
        <f aca="false">IF(OR($Y165="",$L165="",$L165=0),"",$Y165/$L165-1)</f>
        <v/>
      </c>
      <c r="AD165" s="28" t="str">
        <f aca="false">IF(OR($AA165="",$N165="",$N165=0),"",$AA165/$N165-1)</f>
        <v/>
      </c>
      <c r="AE165" s="25"/>
      <c r="AF165" s="23"/>
      <c r="AG165" s="23"/>
      <c r="AH165" s="25"/>
      <c r="AI165" s="23"/>
      <c r="AJ165" s="26"/>
      <c r="AK165" s="26"/>
      <c r="AL165" s="27" t="str">
        <f aca="false">IF(OR($AJ165="",$AI165="",$AI165=0),"",$AJ165-N($AK165)/$AI165)</f>
        <v/>
      </c>
      <c r="AM165" s="28" t="str">
        <f aca="false">IF(OR($AJ165="",$L165="",$L165=0),"",$AJ165/$L165-1)</f>
        <v/>
      </c>
      <c r="AN165" s="28" t="str">
        <f aca="false">IF(OR($AL165="",$N165="",$N165=0),"",$AL165/$N165-1)</f>
        <v/>
      </c>
      <c r="AO165" s="24"/>
    </row>
    <row r="166" customFormat="false" ht="15" hidden="false" customHeight="false" outlineLevel="0" collapsed="false">
      <c r="A166" s="5" t="s">
        <v>708</v>
      </c>
      <c r="B166" s="5" t="s">
        <v>108</v>
      </c>
      <c r="C166" s="5" t="s">
        <v>103</v>
      </c>
      <c r="D166" s="6" t="n">
        <v>746</v>
      </c>
      <c r="E166" s="5" t="s">
        <v>709</v>
      </c>
      <c r="F166" s="5" t="s">
        <v>710</v>
      </c>
      <c r="G166" s="20" t="n">
        <v>45777</v>
      </c>
      <c r="H166" s="5" t="n">
        <v>14</v>
      </c>
      <c r="I166" s="20" t="n">
        <v>46202</v>
      </c>
      <c r="J166" s="5" t="s">
        <v>152</v>
      </c>
      <c r="K166" s="5" t="s">
        <v>86</v>
      </c>
      <c r="L166" s="16" t="n">
        <v>1764</v>
      </c>
      <c r="M166" s="16" t="n">
        <v>2646</v>
      </c>
      <c r="N166" s="21" t="n">
        <f aca="false">IF(OR($L166="",$H166="",$H166=0),"",$L166-N($M166)/$H166)</f>
        <v>1575</v>
      </c>
      <c r="O166" s="5" t="s">
        <v>87</v>
      </c>
      <c r="P166" s="5" t="s">
        <v>88</v>
      </c>
      <c r="Q166" s="5" t="s">
        <v>97</v>
      </c>
      <c r="R166" s="5" t="s">
        <v>98</v>
      </c>
      <c r="S166" s="5" t="s">
        <v>98</v>
      </c>
      <c r="T166" s="5"/>
      <c r="U166" s="5"/>
      <c r="V166" s="5"/>
      <c r="W166" s="20"/>
      <c r="X166" s="5"/>
      <c r="Y166" s="16"/>
      <c r="Z166" s="16"/>
      <c r="AA166" s="21" t="str">
        <f aca="false">IF(OR($Y166="",$X166="",$X166=0),"",$Y166-N($Z166)/$X166)</f>
        <v/>
      </c>
      <c r="AB166" s="5"/>
      <c r="AC166" s="22" t="str">
        <f aca="false">IF(OR($Y166="",$L166="",$L166=0),"",$Y166/$L166-1)</f>
        <v/>
      </c>
      <c r="AD166" s="22" t="str">
        <f aca="false">IF(OR($AA166="",$N166="",$N166=0),"",$AA166/$N166-1)</f>
        <v/>
      </c>
      <c r="AE166" s="20" t="n">
        <v>46202</v>
      </c>
      <c r="AF166" s="5" t="s">
        <v>711</v>
      </c>
      <c r="AG166" s="5" t="s">
        <v>712</v>
      </c>
      <c r="AH166" s="20" t="n">
        <v>46225</v>
      </c>
      <c r="AI166" s="5" t="n">
        <v>12</v>
      </c>
      <c r="AJ166" s="16" t="n">
        <v>1799</v>
      </c>
      <c r="AK166" s="16" t="n">
        <v>0</v>
      </c>
      <c r="AL166" s="21" t="n">
        <f aca="false">IF(OR($AJ166="",$AI166="",$AI166=0),"",$AJ166-N($AK166)/$AI166)</f>
        <v>1799</v>
      </c>
      <c r="AM166" s="22" t="n">
        <f aca="false">IF(OR($AJ166="",$L166="",$L166=0),"",$AJ166/$L166-1)</f>
        <v>0.0198412698412698</v>
      </c>
      <c r="AN166" s="22" t="n">
        <f aca="false">IF(OR($AL166="",$N166="",$N166=0),"",$AL166/$N166-1)</f>
        <v>0.142222222222222</v>
      </c>
      <c r="AO166" s="6" t="n">
        <v>23</v>
      </c>
    </row>
    <row r="167" customFormat="false" ht="15" hidden="false" customHeight="false" outlineLevel="0" collapsed="false">
      <c r="A167" s="23" t="s">
        <v>713</v>
      </c>
      <c r="B167" s="23" t="s">
        <v>113</v>
      </c>
      <c r="C167" s="23" t="s">
        <v>82</v>
      </c>
      <c r="D167" s="24" t="n">
        <v>1092</v>
      </c>
      <c r="E167" s="23" t="s">
        <v>714</v>
      </c>
      <c r="F167" s="23" t="s">
        <v>715</v>
      </c>
      <c r="G167" s="25" t="n">
        <v>45738</v>
      </c>
      <c r="H167" s="23" t="n">
        <v>18</v>
      </c>
      <c r="I167" s="25" t="n">
        <v>46286</v>
      </c>
      <c r="J167" s="23" t="s">
        <v>186</v>
      </c>
      <c r="K167" s="23" t="s">
        <v>86</v>
      </c>
      <c r="L167" s="26" t="n">
        <v>1790</v>
      </c>
      <c r="M167" s="26" t="n">
        <v>0</v>
      </c>
      <c r="N167" s="27" t="n">
        <f aca="false">IF(OR($L167="",$H167="",$H167=0),"",$L167-N($M167)/$H167)</f>
        <v>1790</v>
      </c>
      <c r="O167" s="23" t="s">
        <v>87</v>
      </c>
      <c r="P167" s="23" t="s">
        <v>88</v>
      </c>
      <c r="Q167" s="23" t="s">
        <v>89</v>
      </c>
      <c r="R167" s="23"/>
      <c r="S167" s="23"/>
      <c r="T167" s="23"/>
      <c r="U167" s="23" t="s">
        <v>98</v>
      </c>
      <c r="V167" s="23"/>
      <c r="W167" s="25"/>
      <c r="X167" s="23"/>
      <c r="Y167" s="26"/>
      <c r="Z167" s="26"/>
      <c r="AA167" s="27" t="str">
        <f aca="false">IF(OR($Y167="",$X167="",$X167=0),"",$Y167-N($Z167)/$X167)</f>
        <v/>
      </c>
      <c r="AB167" s="23"/>
      <c r="AC167" s="28" t="str">
        <f aca="false">IF(OR($Y167="",$L167="",$L167=0),"",$Y167/$L167-1)</f>
        <v/>
      </c>
      <c r="AD167" s="28" t="str">
        <f aca="false">IF(OR($AA167="",$N167="",$N167=0),"",$AA167/$N167-1)</f>
        <v/>
      </c>
      <c r="AE167" s="25"/>
      <c r="AF167" s="23"/>
      <c r="AG167" s="23"/>
      <c r="AH167" s="25"/>
      <c r="AI167" s="23"/>
      <c r="AJ167" s="26"/>
      <c r="AK167" s="26"/>
      <c r="AL167" s="27" t="str">
        <f aca="false">IF(OR($AJ167="",$AI167="",$AI167=0),"",$AJ167-N($AK167)/$AI167)</f>
        <v/>
      </c>
      <c r="AM167" s="28" t="str">
        <f aca="false">IF(OR($AJ167="",$L167="",$L167=0),"",$AJ167/$L167-1)</f>
        <v/>
      </c>
      <c r="AN167" s="28" t="str">
        <f aca="false">IF(OR($AL167="",$N167="",$N167=0),"",$AL167/$N167-1)</f>
        <v/>
      </c>
      <c r="AO167" s="24"/>
    </row>
    <row r="168" customFormat="false" ht="15" hidden="false" customHeight="false" outlineLevel="0" collapsed="false">
      <c r="A168" s="5" t="s">
        <v>716</v>
      </c>
      <c r="B168" s="5" t="s">
        <v>81</v>
      </c>
      <c r="C168" s="5" t="s">
        <v>82</v>
      </c>
      <c r="D168" s="6" t="n">
        <v>1141</v>
      </c>
      <c r="E168" s="5" t="s">
        <v>717</v>
      </c>
      <c r="F168" s="5" t="s">
        <v>718</v>
      </c>
      <c r="G168" s="20" t="n">
        <v>45855</v>
      </c>
      <c r="H168" s="5" t="n">
        <v>20</v>
      </c>
      <c r="I168" s="20" t="n">
        <v>46462</v>
      </c>
      <c r="J168" s="5" t="s">
        <v>131</v>
      </c>
      <c r="K168" s="5" t="s">
        <v>86</v>
      </c>
      <c r="L168" s="16" t="n">
        <v>1844</v>
      </c>
      <c r="M168" s="16" t="n">
        <v>1844</v>
      </c>
      <c r="N168" s="21" t="n">
        <f aca="false">IF(OR($L168="",$H168="",$H168=0),"",$L168-N($M168)/$H168)</f>
        <v>1751.8</v>
      </c>
      <c r="O168" s="5" t="s">
        <v>87</v>
      </c>
      <c r="P168" s="5" t="s">
        <v>88</v>
      </c>
      <c r="Q168" s="5" t="s">
        <v>89</v>
      </c>
      <c r="R168" s="5"/>
      <c r="S168" s="5"/>
      <c r="T168" s="5"/>
      <c r="U168" s="5"/>
      <c r="V168" s="5"/>
      <c r="W168" s="20"/>
      <c r="X168" s="5"/>
      <c r="Y168" s="16"/>
      <c r="Z168" s="16"/>
      <c r="AA168" s="21" t="str">
        <f aca="false">IF(OR($Y168="",$X168="",$X168=0),"",$Y168-N($Z168)/$X168)</f>
        <v/>
      </c>
      <c r="AB168" s="5"/>
      <c r="AC168" s="22" t="str">
        <f aca="false">IF(OR($Y168="",$L168="",$L168=0),"",$Y168/$L168-1)</f>
        <v/>
      </c>
      <c r="AD168" s="22" t="str">
        <f aca="false">IF(OR($AA168="",$N168="",$N168=0),"",$AA168/$N168-1)</f>
        <v/>
      </c>
      <c r="AE168" s="20"/>
      <c r="AF168" s="5"/>
      <c r="AG168" s="5"/>
      <c r="AH168" s="20"/>
      <c r="AI168" s="5"/>
      <c r="AJ168" s="16"/>
      <c r="AK168" s="16"/>
      <c r="AL168" s="21" t="str">
        <f aca="false">IF(OR($AJ168="",$AI168="",$AI168=0),"",$AJ168-N($AK168)/$AI168)</f>
        <v/>
      </c>
      <c r="AM168" s="22" t="str">
        <f aca="false">IF(OR($AJ168="",$L168="",$L168=0),"",$AJ168/$L168-1)</f>
        <v/>
      </c>
      <c r="AN168" s="22" t="str">
        <f aca="false">IF(OR($AL168="",$N168="",$N168=0),"",$AL168/$N168-1)</f>
        <v/>
      </c>
      <c r="AO168" s="6"/>
    </row>
    <row r="169" customFormat="false" ht="15" hidden="false" customHeight="false" outlineLevel="0" collapsed="false">
      <c r="A169" s="23" t="s">
        <v>719</v>
      </c>
      <c r="B169" s="23" t="s">
        <v>102</v>
      </c>
      <c r="C169" s="23" t="s">
        <v>103</v>
      </c>
      <c r="D169" s="24" t="n">
        <v>693</v>
      </c>
      <c r="E169" s="23" t="s">
        <v>720</v>
      </c>
      <c r="F169" s="23" t="s">
        <v>721</v>
      </c>
      <c r="G169" s="25" t="n">
        <v>45742</v>
      </c>
      <c r="H169" s="23" t="n">
        <v>15</v>
      </c>
      <c r="I169" s="25" t="n">
        <v>46198</v>
      </c>
      <c r="J169" s="23" t="s">
        <v>152</v>
      </c>
      <c r="K169" s="23" t="s">
        <v>202</v>
      </c>
      <c r="L169" s="26" t="n">
        <v>1570</v>
      </c>
      <c r="M169" s="26" t="n">
        <v>2355</v>
      </c>
      <c r="N169" s="27" t="n">
        <f aca="false">IF(OR($L169="",$H169="",$H169=0),"",$L169-N($M169)/$H169)</f>
        <v>1413</v>
      </c>
      <c r="O169" s="23" t="s">
        <v>87</v>
      </c>
      <c r="P169" s="23" t="s">
        <v>202</v>
      </c>
      <c r="Q169" s="23" t="s">
        <v>127</v>
      </c>
      <c r="R169" s="23" t="s">
        <v>98</v>
      </c>
      <c r="S169" s="23" t="s">
        <v>98</v>
      </c>
      <c r="T169" s="23"/>
      <c r="U169" s="23"/>
      <c r="V169" s="23"/>
      <c r="W169" s="25" t="n">
        <v>46199</v>
      </c>
      <c r="X169" s="23" t="n">
        <v>12</v>
      </c>
      <c r="Y169" s="26" t="n">
        <v>1570</v>
      </c>
      <c r="Z169" s="26" t="n">
        <v>0</v>
      </c>
      <c r="AA169" s="27" t="n">
        <f aca="false">IF(OR($Y169="",$X169="",$X169=0),"",$Y169-N($Z169)/$X169)</f>
        <v>1570</v>
      </c>
      <c r="AB169" s="23" t="s">
        <v>98</v>
      </c>
      <c r="AC169" s="28" t="n">
        <f aca="false">IF(OR($Y169="",$L169="",$L169=0),"",$Y169/$L169-1)</f>
        <v>0</v>
      </c>
      <c r="AD169" s="28" t="n">
        <f aca="false">IF(OR($AA169="",$N169="",$N169=0),"",$AA169/$N169-1)</f>
        <v>0.111111111111111</v>
      </c>
      <c r="AE169" s="25"/>
      <c r="AF169" s="23"/>
      <c r="AG169" s="23"/>
      <c r="AH169" s="25"/>
      <c r="AI169" s="23"/>
      <c r="AJ169" s="26"/>
      <c r="AK169" s="26"/>
      <c r="AL169" s="27" t="str">
        <f aca="false">IF(OR($AJ169="",$AI169="",$AI169=0),"",$AJ169-N($AK169)/$AI169)</f>
        <v/>
      </c>
      <c r="AM169" s="28" t="str">
        <f aca="false">IF(OR($AJ169="",$L169="",$L169=0),"",$AJ169/$L169-1)</f>
        <v/>
      </c>
      <c r="AN169" s="28" t="str">
        <f aca="false">IF(OR($AL169="",$N169="",$N169=0),"",$AL169/$N169-1)</f>
        <v/>
      </c>
      <c r="AO169" s="24"/>
    </row>
    <row r="170" customFormat="false" ht="15" hidden="false" customHeight="false" outlineLevel="0" collapsed="false">
      <c r="A170" s="5" t="s">
        <v>722</v>
      </c>
      <c r="B170" s="5" t="s">
        <v>102</v>
      </c>
      <c r="C170" s="5" t="s">
        <v>103</v>
      </c>
      <c r="D170" s="6" t="n">
        <v>693</v>
      </c>
      <c r="E170" s="5" t="s">
        <v>723</v>
      </c>
      <c r="F170" s="5" t="s">
        <v>724</v>
      </c>
      <c r="G170" s="20" t="n">
        <v>45774</v>
      </c>
      <c r="H170" s="5" t="n">
        <v>18</v>
      </c>
      <c r="I170" s="20" t="n">
        <v>46321</v>
      </c>
      <c r="J170" s="5" t="s">
        <v>106</v>
      </c>
      <c r="K170" s="5" t="s">
        <v>86</v>
      </c>
      <c r="L170" s="16" t="n">
        <v>1510</v>
      </c>
      <c r="M170" s="16" t="n">
        <v>0</v>
      </c>
      <c r="N170" s="21" t="n">
        <f aca="false">IF(OR($L170="",$H170="",$H170=0),"",$L170-N($M170)/$H170)</f>
        <v>1510</v>
      </c>
      <c r="O170" s="5" t="s">
        <v>87</v>
      </c>
      <c r="P170" s="5" t="s">
        <v>88</v>
      </c>
      <c r="Q170" s="5" t="s">
        <v>89</v>
      </c>
      <c r="R170" s="5"/>
      <c r="S170" s="5"/>
      <c r="T170" s="5"/>
      <c r="U170" s="5"/>
      <c r="V170" s="5"/>
      <c r="W170" s="20"/>
      <c r="X170" s="5"/>
      <c r="Y170" s="16"/>
      <c r="Z170" s="16"/>
      <c r="AA170" s="21" t="str">
        <f aca="false">IF(OR($Y170="",$X170="",$X170=0),"",$Y170-N($Z170)/$X170)</f>
        <v/>
      </c>
      <c r="AB170" s="5"/>
      <c r="AC170" s="22" t="str">
        <f aca="false">IF(OR($Y170="",$L170="",$L170=0),"",$Y170/$L170-1)</f>
        <v/>
      </c>
      <c r="AD170" s="22" t="str">
        <f aca="false">IF(OR($AA170="",$N170="",$N170=0),"",$AA170/$N170-1)</f>
        <v/>
      </c>
      <c r="AE170" s="20"/>
      <c r="AF170" s="5"/>
      <c r="AG170" s="5"/>
      <c r="AH170" s="20"/>
      <c r="AI170" s="5"/>
      <c r="AJ170" s="16"/>
      <c r="AK170" s="16"/>
      <c r="AL170" s="21" t="str">
        <f aca="false">IF(OR($AJ170="",$AI170="",$AI170=0),"",$AJ170-N($AK170)/$AI170)</f>
        <v/>
      </c>
      <c r="AM170" s="22" t="str">
        <f aca="false">IF(OR($AJ170="",$L170="",$L170=0),"",$AJ170/$L170-1)</f>
        <v/>
      </c>
      <c r="AN170" s="22" t="str">
        <f aca="false">IF(OR($AL170="",$N170="",$N170=0),"",$AL170/$N170-1)</f>
        <v/>
      </c>
      <c r="AO170" s="6"/>
    </row>
    <row r="171" customFormat="false" ht="15" hidden="false" customHeight="false" outlineLevel="0" collapsed="false">
      <c r="A171" s="23" t="s">
        <v>725</v>
      </c>
      <c r="B171" s="23" t="s">
        <v>108</v>
      </c>
      <c r="C171" s="23" t="s">
        <v>103</v>
      </c>
      <c r="D171" s="24" t="n">
        <v>746</v>
      </c>
      <c r="E171" s="23" t="s">
        <v>726</v>
      </c>
      <c r="F171" s="23" t="s">
        <v>727</v>
      </c>
      <c r="G171" s="25" t="n">
        <v>45862</v>
      </c>
      <c r="H171" s="23" t="n">
        <v>12</v>
      </c>
      <c r="I171" s="25" t="n">
        <v>46226</v>
      </c>
      <c r="J171" s="23" t="s">
        <v>116</v>
      </c>
      <c r="K171" s="23" t="s">
        <v>86</v>
      </c>
      <c r="L171" s="26" t="n">
        <v>1704</v>
      </c>
      <c r="M171" s="26" t="n">
        <v>1704</v>
      </c>
      <c r="N171" s="27" t="n">
        <f aca="false">IF(OR($L171="",$H171="",$H171=0),"",$L171-N($M171)/$H171)</f>
        <v>1562</v>
      </c>
      <c r="O171" s="23" t="s">
        <v>87</v>
      </c>
      <c r="P171" s="23" t="s">
        <v>88</v>
      </c>
      <c r="Q171" s="23" t="s">
        <v>97</v>
      </c>
      <c r="R171" s="23" t="s">
        <v>98</v>
      </c>
      <c r="S171" s="23" t="s">
        <v>98</v>
      </c>
      <c r="T171" s="23"/>
      <c r="U171" s="23"/>
      <c r="V171" s="23"/>
      <c r="W171" s="25"/>
      <c r="X171" s="23"/>
      <c r="Y171" s="26"/>
      <c r="Z171" s="26"/>
      <c r="AA171" s="27" t="str">
        <f aca="false">IF(OR($Y171="",$X171="",$X171=0),"",$Y171-N($Z171)/$X171)</f>
        <v/>
      </c>
      <c r="AB171" s="23"/>
      <c r="AC171" s="28" t="str">
        <f aca="false">IF(OR($Y171="",$L171="",$L171=0),"",$Y171/$L171-1)</f>
        <v/>
      </c>
      <c r="AD171" s="28" t="str">
        <f aca="false">IF(OR($AA171="",$N171="",$N171=0),"",$AA171/$N171-1)</f>
        <v/>
      </c>
      <c r="AE171" s="25" t="n">
        <v>46226</v>
      </c>
      <c r="AF171" s="23"/>
      <c r="AG171" s="23"/>
      <c r="AH171" s="25"/>
      <c r="AI171" s="23"/>
      <c r="AJ171" s="26"/>
      <c r="AK171" s="26"/>
      <c r="AL171" s="27" t="str">
        <f aca="false">IF(OR($AJ171="",$AI171="",$AI171=0),"",$AJ171-N($AK171)/$AI171)</f>
        <v/>
      </c>
      <c r="AM171" s="28" t="str">
        <f aca="false">IF(OR($AJ171="",$L171="",$L171=0),"",$AJ171/$L171-1)</f>
        <v/>
      </c>
      <c r="AN171" s="28" t="str">
        <f aca="false">IF(OR($AL171="",$N171="",$N171=0),"",$AL171/$N171-1)</f>
        <v/>
      </c>
      <c r="AO171" s="24"/>
    </row>
    <row r="172" customFormat="false" ht="15" hidden="false" customHeight="false" outlineLevel="0" collapsed="false">
      <c r="A172" s="5" t="s">
        <v>728</v>
      </c>
      <c r="B172" s="5" t="s">
        <v>102</v>
      </c>
      <c r="C172" s="5" t="s">
        <v>103</v>
      </c>
      <c r="D172" s="6" t="n">
        <v>693</v>
      </c>
      <c r="E172" s="5" t="s">
        <v>729</v>
      </c>
      <c r="F172" s="5" t="s">
        <v>730</v>
      </c>
      <c r="G172" s="20" t="n">
        <v>45744</v>
      </c>
      <c r="H172" s="5" t="n">
        <v>15</v>
      </c>
      <c r="I172" s="20" t="n">
        <v>46200</v>
      </c>
      <c r="J172" s="5" t="s">
        <v>152</v>
      </c>
      <c r="K172" s="5" t="s">
        <v>202</v>
      </c>
      <c r="L172" s="16" t="n">
        <v>1510</v>
      </c>
      <c r="M172" s="16" t="n">
        <v>2265</v>
      </c>
      <c r="N172" s="21" t="n">
        <f aca="false">IF(OR($L172="",$H172="",$H172=0),"",$L172-N($M172)/$H172)</f>
        <v>1359</v>
      </c>
      <c r="O172" s="5" t="s">
        <v>87</v>
      </c>
      <c r="P172" s="5" t="s">
        <v>202</v>
      </c>
      <c r="Q172" s="5" t="s">
        <v>127</v>
      </c>
      <c r="R172" s="5" t="s">
        <v>98</v>
      </c>
      <c r="S172" s="5" t="s">
        <v>98</v>
      </c>
      <c r="T172" s="5"/>
      <c r="U172" s="5"/>
      <c r="V172" s="5"/>
      <c r="W172" s="20" t="n">
        <v>46201</v>
      </c>
      <c r="X172" s="5" t="n">
        <v>12</v>
      </c>
      <c r="Y172" s="16" t="n">
        <v>1547</v>
      </c>
      <c r="Z172" s="16" t="n">
        <v>0</v>
      </c>
      <c r="AA172" s="21" t="n">
        <f aca="false">IF(OR($Y172="",$X172="",$X172=0),"",$Y172-N($Z172)/$X172)</f>
        <v>1547</v>
      </c>
      <c r="AB172" s="5" t="s">
        <v>98</v>
      </c>
      <c r="AC172" s="22" t="n">
        <f aca="false">IF(OR($Y172="",$L172="",$L172=0),"",$Y172/$L172-1)</f>
        <v>0.0245033112582782</v>
      </c>
      <c r="AD172" s="22" t="n">
        <f aca="false">IF(OR($AA172="",$N172="",$N172=0),"",$AA172/$N172-1)</f>
        <v>0.138337012509198</v>
      </c>
      <c r="AE172" s="20"/>
      <c r="AF172" s="5"/>
      <c r="AG172" s="5"/>
      <c r="AH172" s="20"/>
      <c r="AI172" s="5"/>
      <c r="AJ172" s="16"/>
      <c r="AK172" s="16"/>
      <c r="AL172" s="21" t="str">
        <f aca="false">IF(OR($AJ172="",$AI172="",$AI172=0),"",$AJ172-N($AK172)/$AI172)</f>
        <v/>
      </c>
      <c r="AM172" s="22" t="str">
        <f aca="false">IF(OR($AJ172="",$L172="",$L172=0),"",$AJ172/$L172-1)</f>
        <v/>
      </c>
      <c r="AN172" s="22" t="str">
        <f aca="false">IF(OR($AL172="",$N172="",$N172=0),"",$AL172/$N172-1)</f>
        <v/>
      </c>
      <c r="AO172" s="6"/>
    </row>
    <row r="173" customFormat="false" ht="15" hidden="false" customHeight="false" outlineLevel="0" collapsed="false">
      <c r="A173" s="23" t="s">
        <v>731</v>
      </c>
      <c r="B173" s="23" t="s">
        <v>204</v>
      </c>
      <c r="C173" s="23" t="s">
        <v>82</v>
      </c>
      <c r="D173" s="24" t="n">
        <v>1177</v>
      </c>
      <c r="E173" s="23" t="s">
        <v>732</v>
      </c>
      <c r="F173" s="23" t="s">
        <v>733</v>
      </c>
      <c r="G173" s="25" t="n">
        <v>45800</v>
      </c>
      <c r="H173" s="23" t="n">
        <v>12</v>
      </c>
      <c r="I173" s="25" t="n">
        <v>46164</v>
      </c>
      <c r="J173" s="23" t="s">
        <v>148</v>
      </c>
      <c r="K173" s="23" t="s">
        <v>86</v>
      </c>
      <c r="L173" s="26" t="n">
        <v>1820</v>
      </c>
      <c r="M173" s="26" t="n">
        <v>2520</v>
      </c>
      <c r="N173" s="27" t="n">
        <f aca="false">IF(OR($L173="",$H173="",$H173=0),"",$L173-N($M173)/$H173)</f>
        <v>1610</v>
      </c>
      <c r="O173" s="23" t="s">
        <v>87</v>
      </c>
      <c r="P173" s="23" t="s">
        <v>96</v>
      </c>
      <c r="Q173" s="23" t="s">
        <v>97</v>
      </c>
      <c r="R173" s="23" t="s">
        <v>98</v>
      </c>
      <c r="S173" s="23" t="s">
        <v>98</v>
      </c>
      <c r="T173" s="23"/>
      <c r="U173" s="23"/>
      <c r="V173" s="23"/>
      <c r="W173" s="25"/>
      <c r="X173" s="23"/>
      <c r="Y173" s="26"/>
      <c r="Z173" s="26"/>
      <c r="AA173" s="27" t="str">
        <f aca="false">IF(OR($Y173="",$X173="",$X173=0),"",$Y173-N($Z173)/$X173)</f>
        <v/>
      </c>
      <c r="AB173" s="23"/>
      <c r="AC173" s="28" t="str">
        <f aca="false">IF(OR($Y173="",$L173="",$L173=0),"",$Y173/$L173-1)</f>
        <v/>
      </c>
      <c r="AD173" s="28" t="str">
        <f aca="false">IF(OR($AA173="",$N173="",$N173=0),"",$AA173/$N173-1)</f>
        <v/>
      </c>
      <c r="AE173" s="25" t="n">
        <v>46164</v>
      </c>
      <c r="AF173" s="23" t="s">
        <v>734</v>
      </c>
      <c r="AG173" s="23" t="s">
        <v>735</v>
      </c>
      <c r="AH173" s="25" t="n">
        <v>46174</v>
      </c>
      <c r="AI173" s="23" t="n">
        <v>12</v>
      </c>
      <c r="AJ173" s="26" t="n">
        <v>2020</v>
      </c>
      <c r="AK173" s="26" t="n">
        <v>0</v>
      </c>
      <c r="AL173" s="27" t="n">
        <f aca="false">IF(OR($AJ173="",$AI173="",$AI173=0),"",$AJ173-N($AK173)/$AI173)</f>
        <v>2020</v>
      </c>
      <c r="AM173" s="28" t="n">
        <f aca="false">IF(OR($AJ173="",$L173="",$L173=0),"",$AJ173/$L173-1)</f>
        <v>0.10989010989011</v>
      </c>
      <c r="AN173" s="28" t="n">
        <f aca="false">IF(OR($AL173="",$N173="",$N173=0),"",$AL173/$N173-1)</f>
        <v>0.254658385093168</v>
      </c>
      <c r="AO173" s="24" t="n">
        <v>10</v>
      </c>
    </row>
    <row r="174" customFormat="false" ht="15" hidden="false" customHeight="false" outlineLevel="0" collapsed="false">
      <c r="A174" s="5" t="s">
        <v>736</v>
      </c>
      <c r="B174" s="5" t="s">
        <v>204</v>
      </c>
      <c r="C174" s="5" t="s">
        <v>82</v>
      </c>
      <c r="D174" s="6" t="n">
        <v>1177</v>
      </c>
      <c r="E174" s="5" t="s">
        <v>737</v>
      </c>
      <c r="F174" s="5" t="s">
        <v>738</v>
      </c>
      <c r="G174" s="20" t="n">
        <v>45801</v>
      </c>
      <c r="H174" s="5" t="n">
        <v>15</v>
      </c>
      <c r="I174" s="20" t="n">
        <v>46257</v>
      </c>
      <c r="J174" s="5" t="s">
        <v>135</v>
      </c>
      <c r="K174" s="5" t="s">
        <v>86</v>
      </c>
      <c r="L174" s="16" t="n">
        <v>1885</v>
      </c>
      <c r="M174" s="16" t="n">
        <v>942</v>
      </c>
      <c r="N174" s="21" t="n">
        <f aca="false">IF(OR($L174="",$H174="",$H174=0),"",$L174-N($M174)/$H174)</f>
        <v>1822.2</v>
      </c>
      <c r="O174" s="5" t="s">
        <v>87</v>
      </c>
      <c r="P174" s="5" t="s">
        <v>88</v>
      </c>
      <c r="Q174" s="5" t="s">
        <v>89</v>
      </c>
      <c r="R174" s="5"/>
      <c r="S174" s="5"/>
      <c r="T174" s="5"/>
      <c r="U174" s="5" t="s">
        <v>98</v>
      </c>
      <c r="V174" s="5"/>
      <c r="W174" s="20"/>
      <c r="X174" s="5"/>
      <c r="Y174" s="16"/>
      <c r="Z174" s="16"/>
      <c r="AA174" s="21" t="str">
        <f aca="false">IF(OR($Y174="",$X174="",$X174=0),"",$Y174-N($Z174)/$X174)</f>
        <v/>
      </c>
      <c r="AB174" s="5"/>
      <c r="AC174" s="22" t="str">
        <f aca="false">IF(OR($Y174="",$L174="",$L174=0),"",$Y174/$L174-1)</f>
        <v/>
      </c>
      <c r="AD174" s="22" t="str">
        <f aca="false">IF(OR($AA174="",$N174="",$N174=0),"",$AA174/$N174-1)</f>
        <v/>
      </c>
      <c r="AE174" s="20"/>
      <c r="AF174" s="5"/>
      <c r="AG174" s="5"/>
      <c r="AH174" s="20"/>
      <c r="AI174" s="5"/>
      <c r="AJ174" s="16"/>
      <c r="AK174" s="16"/>
      <c r="AL174" s="21" t="str">
        <f aca="false">IF(OR($AJ174="",$AI174="",$AI174=0),"",$AJ174-N($AK174)/$AI174)</f>
        <v/>
      </c>
      <c r="AM174" s="22" t="str">
        <f aca="false">IF(OR($AJ174="",$L174="",$L174=0),"",$AJ174/$L174-1)</f>
        <v/>
      </c>
      <c r="AN174" s="22" t="str">
        <f aca="false">IF(OR($AL174="",$N174="",$N174=0),"",$AL174/$N174-1)</f>
        <v/>
      </c>
      <c r="AO174" s="6"/>
    </row>
    <row r="175" customFormat="false" ht="15" hidden="false" customHeight="false" outlineLevel="0" collapsed="false">
      <c r="A175" s="23" t="s">
        <v>739</v>
      </c>
      <c r="B175" s="23" t="s">
        <v>81</v>
      </c>
      <c r="C175" s="23" t="s">
        <v>82</v>
      </c>
      <c r="D175" s="24" t="n">
        <v>1141</v>
      </c>
      <c r="E175" s="23" t="s">
        <v>740</v>
      </c>
      <c r="F175" s="23" t="s">
        <v>741</v>
      </c>
      <c r="G175" s="25" t="n">
        <v>45799</v>
      </c>
      <c r="H175" s="23" t="n">
        <v>14</v>
      </c>
      <c r="I175" s="25" t="n">
        <v>46224</v>
      </c>
      <c r="J175" s="23" t="s">
        <v>116</v>
      </c>
      <c r="K175" s="23" t="s">
        <v>86</v>
      </c>
      <c r="L175" s="26" t="n">
        <v>2095</v>
      </c>
      <c r="M175" s="26" t="n">
        <v>0</v>
      </c>
      <c r="N175" s="27" t="n">
        <f aca="false">IF(OR($L175="",$H175="",$H175=0),"",$L175-N($M175)/$H175)</f>
        <v>2095</v>
      </c>
      <c r="O175" s="23" t="s">
        <v>87</v>
      </c>
      <c r="P175" s="23" t="s">
        <v>88</v>
      </c>
      <c r="Q175" s="23" t="s">
        <v>97</v>
      </c>
      <c r="R175" s="23" t="s">
        <v>98</v>
      </c>
      <c r="S175" s="23" t="s">
        <v>98</v>
      </c>
      <c r="T175" s="23"/>
      <c r="U175" s="23"/>
      <c r="V175" s="23"/>
      <c r="W175" s="25"/>
      <c r="X175" s="23"/>
      <c r="Y175" s="26"/>
      <c r="Z175" s="26"/>
      <c r="AA175" s="27" t="str">
        <f aca="false">IF(OR($Y175="",$X175="",$X175=0),"",$Y175-N($Z175)/$X175)</f>
        <v/>
      </c>
      <c r="AB175" s="23"/>
      <c r="AC175" s="28" t="str">
        <f aca="false">IF(OR($Y175="",$L175="",$L175=0),"",$Y175/$L175-1)</f>
        <v/>
      </c>
      <c r="AD175" s="28" t="str">
        <f aca="false">IF(OR($AA175="",$N175="",$N175=0),"",$AA175/$N175-1)</f>
        <v/>
      </c>
      <c r="AE175" s="25" t="n">
        <v>46224</v>
      </c>
      <c r="AF175" s="23"/>
      <c r="AG175" s="23"/>
      <c r="AH175" s="25"/>
      <c r="AI175" s="23"/>
      <c r="AJ175" s="26"/>
      <c r="AK175" s="26"/>
      <c r="AL175" s="27" t="str">
        <f aca="false">IF(OR($AJ175="",$AI175="",$AI175=0),"",$AJ175-N($AK175)/$AI175)</f>
        <v/>
      </c>
      <c r="AM175" s="28" t="str">
        <f aca="false">IF(OR($AJ175="",$L175="",$L175=0),"",$AJ175/$L175-1)</f>
        <v/>
      </c>
      <c r="AN175" s="28" t="str">
        <f aca="false">IF(OR($AL175="",$N175="",$N175=0),"",$AL175/$N175-1)</f>
        <v/>
      </c>
      <c r="AO175" s="24"/>
    </row>
    <row r="176" customFormat="false" ht="15" hidden="false" customHeight="false" outlineLevel="0" collapsed="false">
      <c r="A176" s="5" t="s">
        <v>742</v>
      </c>
      <c r="B176" s="5" t="s">
        <v>102</v>
      </c>
      <c r="C176" s="5" t="s">
        <v>103</v>
      </c>
      <c r="D176" s="6" t="n">
        <v>693</v>
      </c>
      <c r="E176" s="5" t="s">
        <v>743</v>
      </c>
      <c r="F176" s="5" t="s">
        <v>744</v>
      </c>
      <c r="G176" s="20" t="n">
        <v>46004</v>
      </c>
      <c r="H176" s="5" t="n">
        <v>18</v>
      </c>
      <c r="I176" s="20" t="n">
        <v>46550</v>
      </c>
      <c r="J176" s="5" t="s">
        <v>139</v>
      </c>
      <c r="K176" s="5" t="s">
        <v>86</v>
      </c>
      <c r="L176" s="16" t="n">
        <v>1399</v>
      </c>
      <c r="M176" s="16" t="n">
        <v>0</v>
      </c>
      <c r="N176" s="21" t="n">
        <f aca="false">IF(OR($L176="",$H176="",$H176=0),"",$L176-N($M176)/$H176)</f>
        <v>1399</v>
      </c>
      <c r="O176" s="5" t="s">
        <v>87</v>
      </c>
      <c r="P176" s="5" t="s">
        <v>88</v>
      </c>
      <c r="Q176" s="5" t="s">
        <v>89</v>
      </c>
      <c r="R176" s="5"/>
      <c r="S176" s="5"/>
      <c r="T176" s="5"/>
      <c r="U176" s="5"/>
      <c r="V176" s="5"/>
      <c r="W176" s="20"/>
      <c r="X176" s="5"/>
      <c r="Y176" s="16"/>
      <c r="Z176" s="16"/>
      <c r="AA176" s="21" t="str">
        <f aca="false">IF(OR($Y176="",$X176="",$X176=0),"",$Y176-N($Z176)/$X176)</f>
        <v/>
      </c>
      <c r="AB176" s="5"/>
      <c r="AC176" s="22" t="str">
        <f aca="false">IF(OR($Y176="",$L176="",$L176=0),"",$Y176/$L176-1)</f>
        <v/>
      </c>
      <c r="AD176" s="22" t="str">
        <f aca="false">IF(OR($AA176="",$N176="",$N176=0),"",$AA176/$N176-1)</f>
        <v/>
      </c>
      <c r="AE176" s="20"/>
      <c r="AF176" s="5"/>
      <c r="AG176" s="5"/>
      <c r="AH176" s="20"/>
      <c r="AI176" s="5"/>
      <c r="AJ176" s="16"/>
      <c r="AK176" s="16"/>
      <c r="AL176" s="21" t="str">
        <f aca="false">IF(OR($AJ176="",$AI176="",$AI176=0),"",$AJ176-N($AK176)/$AI176)</f>
        <v/>
      </c>
      <c r="AM176" s="22" t="str">
        <f aca="false">IF(OR($AJ176="",$L176="",$L176=0),"",$AJ176/$L176-1)</f>
        <v/>
      </c>
      <c r="AN176" s="22" t="str">
        <f aca="false">IF(OR($AL176="",$N176="",$N176=0),"",$AL176/$N176-1)</f>
        <v/>
      </c>
      <c r="AO176" s="6"/>
    </row>
    <row r="177" customFormat="false" ht="15" hidden="false" customHeight="false" outlineLevel="0" collapsed="false">
      <c r="A177" s="23" t="s">
        <v>745</v>
      </c>
      <c r="B177" s="23" t="s">
        <v>113</v>
      </c>
      <c r="C177" s="23" t="s">
        <v>82</v>
      </c>
      <c r="D177" s="24" t="n">
        <v>1092</v>
      </c>
      <c r="E177" s="23" t="s">
        <v>746</v>
      </c>
      <c r="F177" s="23" t="s">
        <v>747</v>
      </c>
      <c r="G177" s="25" t="n">
        <v>45963</v>
      </c>
      <c r="H177" s="23" t="n">
        <v>12</v>
      </c>
      <c r="I177" s="25" t="n">
        <v>46327</v>
      </c>
      <c r="J177" s="23" t="s">
        <v>193</v>
      </c>
      <c r="K177" s="23" t="s">
        <v>86</v>
      </c>
      <c r="L177" s="26" t="n">
        <v>2020</v>
      </c>
      <c r="M177" s="26" t="n">
        <v>0</v>
      </c>
      <c r="N177" s="27" t="n">
        <f aca="false">IF(OR($L177="",$H177="",$H177=0),"",$L177-N($M177)/$H177)</f>
        <v>2020</v>
      </c>
      <c r="O177" s="23" t="s">
        <v>87</v>
      </c>
      <c r="P177" s="23" t="s">
        <v>88</v>
      </c>
      <c r="Q177" s="23" t="s">
        <v>89</v>
      </c>
      <c r="R177" s="23"/>
      <c r="S177" s="23"/>
      <c r="T177" s="23"/>
      <c r="U177" s="23"/>
      <c r="V177" s="23"/>
      <c r="W177" s="25"/>
      <c r="X177" s="23"/>
      <c r="Y177" s="26"/>
      <c r="Z177" s="26"/>
      <c r="AA177" s="27" t="str">
        <f aca="false">IF(OR($Y177="",$X177="",$X177=0),"",$Y177-N($Z177)/$X177)</f>
        <v/>
      </c>
      <c r="AB177" s="23"/>
      <c r="AC177" s="28" t="str">
        <f aca="false">IF(OR($Y177="",$L177="",$L177=0),"",$Y177/$L177-1)</f>
        <v/>
      </c>
      <c r="AD177" s="28" t="str">
        <f aca="false">IF(OR($AA177="",$N177="",$N177=0),"",$AA177/$N177-1)</f>
        <v/>
      </c>
      <c r="AE177" s="25"/>
      <c r="AF177" s="23"/>
      <c r="AG177" s="23"/>
      <c r="AH177" s="25"/>
      <c r="AI177" s="23"/>
      <c r="AJ177" s="26"/>
      <c r="AK177" s="26"/>
      <c r="AL177" s="27" t="str">
        <f aca="false">IF(OR($AJ177="",$AI177="",$AI177=0),"",$AJ177-N($AK177)/$AI177)</f>
        <v/>
      </c>
      <c r="AM177" s="28" t="str">
        <f aca="false">IF(OR($AJ177="",$L177="",$L177=0),"",$AJ177/$L177-1)</f>
        <v/>
      </c>
      <c r="AN177" s="28" t="str">
        <f aca="false">IF(OR($AL177="",$N177="",$N177=0),"",$AL177/$N177-1)</f>
        <v/>
      </c>
      <c r="AO177" s="24"/>
    </row>
    <row r="178" customFormat="false" ht="15" hidden="false" customHeight="false" outlineLevel="0" collapsed="false">
      <c r="A178" s="5" t="s">
        <v>748</v>
      </c>
      <c r="B178" s="5" t="s">
        <v>102</v>
      </c>
      <c r="C178" s="5" t="s">
        <v>103</v>
      </c>
      <c r="D178" s="6" t="n">
        <v>693</v>
      </c>
      <c r="E178" s="5" t="s">
        <v>749</v>
      </c>
      <c r="F178" s="5" t="s">
        <v>750</v>
      </c>
      <c r="G178" s="20" t="n">
        <v>45870</v>
      </c>
      <c r="H178" s="5" t="n">
        <v>12</v>
      </c>
      <c r="I178" s="20" t="n">
        <v>46234</v>
      </c>
      <c r="J178" s="5" t="s">
        <v>116</v>
      </c>
      <c r="K178" s="5" t="s">
        <v>86</v>
      </c>
      <c r="L178" s="16" t="n">
        <v>1665</v>
      </c>
      <c r="M178" s="16" t="n">
        <v>1668</v>
      </c>
      <c r="N178" s="21" t="n">
        <f aca="false">IF(OR($L178="",$H178="",$H178=0),"",$L178-N($M178)/$H178)</f>
        <v>1526</v>
      </c>
      <c r="O178" s="5" t="s">
        <v>87</v>
      </c>
      <c r="P178" s="5" t="s">
        <v>96</v>
      </c>
      <c r="Q178" s="5" t="s">
        <v>97</v>
      </c>
      <c r="R178" s="5" t="s">
        <v>98</v>
      </c>
      <c r="S178" s="5" t="s">
        <v>98</v>
      </c>
      <c r="T178" s="5" t="s">
        <v>98</v>
      </c>
      <c r="U178" s="5"/>
      <c r="V178" s="5"/>
      <c r="W178" s="20"/>
      <c r="X178" s="5"/>
      <c r="Y178" s="16"/>
      <c r="Z178" s="16"/>
      <c r="AA178" s="21" t="str">
        <f aca="false">IF(OR($Y178="",$X178="",$X178=0),"",$Y178-N($Z178)/$X178)</f>
        <v/>
      </c>
      <c r="AB178" s="5"/>
      <c r="AC178" s="22" t="str">
        <f aca="false">IF(OR($Y178="",$L178="",$L178=0),"",$Y178/$L178-1)</f>
        <v/>
      </c>
      <c r="AD178" s="22" t="str">
        <f aca="false">IF(OR($AA178="",$N178="",$N178=0),"",$AA178/$N178-1)</f>
        <v/>
      </c>
      <c r="AE178" s="20" t="n">
        <v>46029</v>
      </c>
      <c r="AF178" s="5" t="s">
        <v>751</v>
      </c>
      <c r="AG178" s="5" t="s">
        <v>752</v>
      </c>
      <c r="AH178" s="20" t="n">
        <v>46104</v>
      </c>
      <c r="AI178" s="5" t="n">
        <v>18</v>
      </c>
      <c r="AJ178" s="16" t="n">
        <v>1640</v>
      </c>
      <c r="AK178" s="16" t="n">
        <v>1640</v>
      </c>
      <c r="AL178" s="21" t="n">
        <f aca="false">IF(OR($AJ178="",$AI178="",$AI178=0),"",$AJ178-N($AK178)/$AI178)</f>
        <v>1548.88888888889</v>
      </c>
      <c r="AM178" s="22" t="n">
        <f aca="false">IF(OR($AJ178="",$L178="",$L178=0),"",$AJ178/$L178-1)</f>
        <v>-0.015015015015015</v>
      </c>
      <c r="AN178" s="22" t="n">
        <f aca="false">IF(OR($AL178="",$N178="",$N178=0),"",$AL178/$N178-1)</f>
        <v>0.0149992718800058</v>
      </c>
      <c r="AO178" s="6" t="n">
        <v>75</v>
      </c>
    </row>
    <row r="179" customFormat="false" ht="15" hidden="false" customHeight="false" outlineLevel="0" collapsed="false">
      <c r="A179" s="23" t="s">
        <v>753</v>
      </c>
      <c r="B179" s="23" t="s">
        <v>81</v>
      </c>
      <c r="C179" s="23" t="s">
        <v>82</v>
      </c>
      <c r="D179" s="24" t="n">
        <v>1141</v>
      </c>
      <c r="E179" s="23" t="s">
        <v>754</v>
      </c>
      <c r="F179" s="23" t="s">
        <v>755</v>
      </c>
      <c r="G179" s="25" t="n">
        <v>45743</v>
      </c>
      <c r="H179" s="23" t="n">
        <v>15</v>
      </c>
      <c r="I179" s="25" t="n">
        <v>46199</v>
      </c>
      <c r="J179" s="23" t="s">
        <v>152</v>
      </c>
      <c r="K179" s="23" t="s">
        <v>86</v>
      </c>
      <c r="L179" s="26" t="n">
        <v>2030</v>
      </c>
      <c r="M179" s="26" t="n">
        <v>0</v>
      </c>
      <c r="N179" s="27" t="n">
        <f aca="false">IF(OR($L179="",$H179="",$H179=0),"",$L179-N($M179)/$H179)</f>
        <v>2030</v>
      </c>
      <c r="O179" s="23" t="s">
        <v>87</v>
      </c>
      <c r="P179" s="23" t="s">
        <v>88</v>
      </c>
      <c r="Q179" s="23" t="s">
        <v>97</v>
      </c>
      <c r="R179" s="23" t="s">
        <v>98</v>
      </c>
      <c r="S179" s="23" t="s">
        <v>98</v>
      </c>
      <c r="T179" s="23"/>
      <c r="U179" s="23"/>
      <c r="V179" s="23"/>
      <c r="W179" s="25"/>
      <c r="X179" s="23"/>
      <c r="Y179" s="26"/>
      <c r="Z179" s="26"/>
      <c r="AA179" s="27" t="str">
        <f aca="false">IF(OR($Y179="",$X179="",$X179=0),"",$Y179-N($Z179)/$X179)</f>
        <v/>
      </c>
      <c r="AB179" s="23"/>
      <c r="AC179" s="28" t="str">
        <f aca="false">IF(OR($Y179="",$L179="",$L179=0),"",$Y179/$L179-1)</f>
        <v/>
      </c>
      <c r="AD179" s="28" t="str">
        <f aca="false">IF(OR($AA179="",$N179="",$N179=0),"",$AA179/$N179-1)</f>
        <v/>
      </c>
      <c r="AE179" s="25" t="n">
        <v>46199</v>
      </c>
      <c r="AF179" s="23" t="s">
        <v>756</v>
      </c>
      <c r="AG179" s="23" t="s">
        <v>757</v>
      </c>
      <c r="AH179" s="25" t="n">
        <v>46213</v>
      </c>
      <c r="AI179" s="23" t="n">
        <v>18</v>
      </c>
      <c r="AJ179" s="26" t="n">
        <v>2120</v>
      </c>
      <c r="AK179" s="26" t="n">
        <v>0</v>
      </c>
      <c r="AL179" s="27" t="n">
        <f aca="false">IF(OR($AJ179="",$AI179="",$AI179=0),"",$AJ179-N($AK179)/$AI179)</f>
        <v>2120</v>
      </c>
      <c r="AM179" s="28" t="n">
        <f aca="false">IF(OR($AJ179="",$L179="",$L179=0),"",$AJ179/$L179-1)</f>
        <v>0.0443349753694582</v>
      </c>
      <c r="AN179" s="28" t="n">
        <f aca="false">IF(OR($AL179="",$N179="",$N179=0),"",$AL179/$N179-1)</f>
        <v>0.0443349753694582</v>
      </c>
      <c r="AO179" s="24" t="n">
        <v>14</v>
      </c>
    </row>
    <row r="180" customFormat="false" ht="15" hidden="false" customHeight="false" outlineLevel="0" collapsed="false">
      <c r="A180" s="5" t="s">
        <v>758</v>
      </c>
      <c r="B180" s="5" t="s">
        <v>108</v>
      </c>
      <c r="C180" s="5" t="s">
        <v>103</v>
      </c>
      <c r="D180" s="6" t="n">
        <v>746</v>
      </c>
      <c r="E180" s="5" t="s">
        <v>759</v>
      </c>
      <c r="F180" s="5" t="s">
        <v>760</v>
      </c>
      <c r="G180" s="20" t="n">
        <v>45736</v>
      </c>
      <c r="H180" s="5" t="n">
        <v>13</v>
      </c>
      <c r="I180" s="20" t="n">
        <v>46131</v>
      </c>
      <c r="J180" s="5" t="s">
        <v>167</v>
      </c>
      <c r="K180" s="5" t="s">
        <v>126</v>
      </c>
      <c r="L180" s="16" t="n">
        <v>1689</v>
      </c>
      <c r="M180" s="16"/>
      <c r="N180" s="21" t="n">
        <f aca="false">IF(OR($L180="",$H180="",$H180=0),"",$L180-N($M180)/$H180)</f>
        <v>1689</v>
      </c>
      <c r="O180" s="5" t="s">
        <v>87</v>
      </c>
      <c r="P180" s="5" t="s">
        <v>505</v>
      </c>
      <c r="Q180" s="5" t="s">
        <v>127</v>
      </c>
      <c r="R180" s="5" t="s">
        <v>98</v>
      </c>
      <c r="S180" s="5" t="s">
        <v>98</v>
      </c>
      <c r="T180" s="5"/>
      <c r="U180" s="5"/>
      <c r="V180" s="5"/>
      <c r="W180" s="20" t="n">
        <v>46132</v>
      </c>
      <c r="X180" s="5" t="n">
        <v>12</v>
      </c>
      <c r="Y180" s="16" t="n">
        <v>1689</v>
      </c>
      <c r="Z180" s="16" t="n">
        <v>0</v>
      </c>
      <c r="AA180" s="21" t="n">
        <f aca="false">IF(OR($Y180="",$X180="",$X180=0),"",$Y180-N($Z180)/$X180)</f>
        <v>1689</v>
      </c>
      <c r="AB180" s="5"/>
      <c r="AC180" s="22" t="n">
        <f aca="false">IF(OR($Y180="",$L180="",$L180=0),"",$Y180/$L180-1)</f>
        <v>0</v>
      </c>
      <c r="AD180" s="22" t="n">
        <f aca="false">IF(OR($AA180="",$N180="",$N180=0),"",$AA180/$N180-1)</f>
        <v>0</v>
      </c>
      <c r="AE180" s="20"/>
      <c r="AF180" s="5"/>
      <c r="AG180" s="5"/>
      <c r="AH180" s="20"/>
      <c r="AI180" s="5"/>
      <c r="AJ180" s="16"/>
      <c r="AK180" s="16"/>
      <c r="AL180" s="21" t="str">
        <f aca="false">IF(OR($AJ180="",$AI180="",$AI180=0),"",$AJ180-N($AK180)/$AI180)</f>
        <v/>
      </c>
      <c r="AM180" s="22" t="str">
        <f aca="false">IF(OR($AJ180="",$L180="",$L180=0),"",$AJ180/$L180-1)</f>
        <v/>
      </c>
      <c r="AN180" s="22" t="str">
        <f aca="false">IF(OR($AL180="",$N180="",$N180=0),"",$AL180/$N180-1)</f>
        <v/>
      </c>
      <c r="AO180" s="6"/>
    </row>
    <row r="181" customFormat="false" ht="15" hidden="false" customHeight="false" outlineLevel="0" collapsed="false">
      <c r="A181" s="23" t="s">
        <v>761</v>
      </c>
      <c r="B181" s="23" t="s">
        <v>204</v>
      </c>
      <c r="C181" s="23" t="s">
        <v>82</v>
      </c>
      <c r="D181" s="24" t="n">
        <v>1177</v>
      </c>
      <c r="E181" s="23" t="s">
        <v>762</v>
      </c>
      <c r="F181" s="23" t="s">
        <v>763</v>
      </c>
      <c r="G181" s="25" t="n">
        <v>45807</v>
      </c>
      <c r="H181" s="23" t="n">
        <v>21</v>
      </c>
      <c r="I181" s="25" t="n">
        <v>46446</v>
      </c>
      <c r="J181" s="23" t="s">
        <v>251</v>
      </c>
      <c r="K181" s="23" t="s">
        <v>86</v>
      </c>
      <c r="L181" s="26" t="n">
        <v>1845</v>
      </c>
      <c r="M181" s="26" t="n">
        <v>0</v>
      </c>
      <c r="N181" s="27" t="n">
        <f aca="false">IF(OR($L181="",$H181="",$H181=0),"",$L181-N($M181)/$H181)</f>
        <v>1845</v>
      </c>
      <c r="O181" s="23" t="s">
        <v>390</v>
      </c>
      <c r="P181" s="23" t="s">
        <v>88</v>
      </c>
      <c r="Q181" s="23" t="s">
        <v>97</v>
      </c>
      <c r="R181" s="23"/>
      <c r="S181" s="23"/>
      <c r="T181" s="23" t="s">
        <v>98</v>
      </c>
      <c r="U181" s="23"/>
      <c r="V181" s="23"/>
      <c r="W181" s="25"/>
      <c r="X181" s="23"/>
      <c r="Y181" s="26"/>
      <c r="Z181" s="26"/>
      <c r="AA181" s="27" t="str">
        <f aca="false">IF(OR($Y181="",$X181="",$X181=0),"",$Y181-N($Z181)/$X181)</f>
        <v/>
      </c>
      <c r="AB181" s="23"/>
      <c r="AC181" s="28" t="str">
        <f aca="false">IF(OR($Y181="",$L181="",$L181=0),"",$Y181/$L181-1)</f>
        <v/>
      </c>
      <c r="AD181" s="28" t="str">
        <f aca="false">IF(OR($AA181="",$N181="",$N181=0),"",$AA181/$N181-1)</f>
        <v/>
      </c>
      <c r="AE181" s="25"/>
      <c r="AF181" s="23" t="s">
        <v>764</v>
      </c>
      <c r="AG181" s="23" t="s">
        <v>765</v>
      </c>
      <c r="AH181" s="25" t="n">
        <v>46228</v>
      </c>
      <c r="AI181" s="23" t="n">
        <v>8</v>
      </c>
      <c r="AJ181" s="26" t="n">
        <v>2096</v>
      </c>
      <c r="AK181" s="26" t="n">
        <v>0</v>
      </c>
      <c r="AL181" s="27" t="n">
        <f aca="false">IF(OR($AJ181="",$AI181="",$AI181=0),"",$AJ181-N($AK181)/$AI181)</f>
        <v>2096</v>
      </c>
      <c r="AM181" s="28" t="n">
        <f aca="false">IF(OR($AJ181="",$L181="",$L181=0),"",$AJ181/$L181-1)</f>
        <v>0.136043360433604</v>
      </c>
      <c r="AN181" s="28" t="n">
        <f aca="false">IF(OR($AL181="",$N181="",$N181=0),"",$AL181/$N181-1)</f>
        <v>0.136043360433604</v>
      </c>
      <c r="AO181" s="24"/>
    </row>
    <row r="182" customFormat="false" ht="15" hidden="false" customHeight="false" outlineLevel="0" collapsed="false">
      <c r="A182" s="5" t="s">
        <v>766</v>
      </c>
      <c r="B182" s="5" t="s">
        <v>204</v>
      </c>
      <c r="C182" s="5" t="s">
        <v>82</v>
      </c>
      <c r="D182" s="6" t="n">
        <v>1177</v>
      </c>
      <c r="E182" s="5" t="s">
        <v>767</v>
      </c>
      <c r="F182" s="5" t="s">
        <v>768</v>
      </c>
      <c r="G182" s="20" t="n">
        <v>45744</v>
      </c>
      <c r="H182" s="5" t="n">
        <v>15</v>
      </c>
      <c r="I182" s="20" t="n">
        <v>46200</v>
      </c>
      <c r="J182" s="5" t="s">
        <v>152</v>
      </c>
      <c r="K182" s="5" t="s">
        <v>202</v>
      </c>
      <c r="L182" s="16" t="n">
        <v>1960</v>
      </c>
      <c r="M182" s="16" t="n">
        <v>2940</v>
      </c>
      <c r="N182" s="21" t="n">
        <f aca="false">IF(OR($L182="",$H182="",$H182=0),"",$L182-N($M182)/$H182)</f>
        <v>1764</v>
      </c>
      <c r="O182" s="5" t="s">
        <v>87</v>
      </c>
      <c r="P182" s="5" t="s">
        <v>202</v>
      </c>
      <c r="Q182" s="5" t="s">
        <v>127</v>
      </c>
      <c r="R182" s="5" t="s">
        <v>98</v>
      </c>
      <c r="S182" s="5" t="s">
        <v>98</v>
      </c>
      <c r="T182" s="5"/>
      <c r="U182" s="5"/>
      <c r="V182" s="5"/>
      <c r="W182" s="20" t="n">
        <v>46201</v>
      </c>
      <c r="X182" s="5" t="n">
        <v>15</v>
      </c>
      <c r="Y182" s="16" t="n">
        <v>2009</v>
      </c>
      <c r="Z182" s="16" t="n">
        <v>0</v>
      </c>
      <c r="AA182" s="21" t="n">
        <f aca="false">IF(OR($Y182="",$X182="",$X182=0),"",$Y182-N($Z182)/$X182)</f>
        <v>2009</v>
      </c>
      <c r="AB182" s="5" t="s">
        <v>98</v>
      </c>
      <c r="AC182" s="22" t="n">
        <f aca="false">IF(OR($Y182="",$L182="",$L182=0),"",$Y182/$L182-1)</f>
        <v>0.0249999999999999</v>
      </c>
      <c r="AD182" s="22" t="n">
        <f aca="false">IF(OR($AA182="",$N182="",$N182=0),"",$AA182/$N182-1)</f>
        <v>0.138888888888889</v>
      </c>
      <c r="AE182" s="20"/>
      <c r="AF182" s="5"/>
      <c r="AG182" s="5"/>
      <c r="AH182" s="20"/>
      <c r="AI182" s="5"/>
      <c r="AJ182" s="16"/>
      <c r="AK182" s="16"/>
      <c r="AL182" s="21" t="str">
        <f aca="false">IF(OR($AJ182="",$AI182="",$AI182=0),"",$AJ182-N($AK182)/$AI182)</f>
        <v/>
      </c>
      <c r="AM182" s="22" t="str">
        <f aca="false">IF(OR($AJ182="",$L182="",$L182=0),"",$AJ182/$L182-1)</f>
        <v/>
      </c>
      <c r="AN182" s="22" t="str">
        <f aca="false">IF(OR($AL182="",$N182="",$N182=0),"",$AL182/$N182-1)</f>
        <v/>
      </c>
      <c r="AO182" s="6"/>
    </row>
    <row r="183" customFormat="false" ht="15" hidden="false" customHeight="false" outlineLevel="0" collapsed="false">
      <c r="A183" s="23" t="s">
        <v>769</v>
      </c>
      <c r="B183" s="23" t="s">
        <v>91</v>
      </c>
      <c r="C183" s="23" t="s">
        <v>92</v>
      </c>
      <c r="D183" s="24" t="n">
        <v>1328</v>
      </c>
      <c r="E183" s="23" t="s">
        <v>770</v>
      </c>
      <c r="F183" s="23" t="s">
        <v>771</v>
      </c>
      <c r="G183" s="25" t="n">
        <v>45566</v>
      </c>
      <c r="H183" s="23" t="n">
        <v>18</v>
      </c>
      <c r="I183" s="25" t="n">
        <v>46112</v>
      </c>
      <c r="J183" s="23" t="s">
        <v>125</v>
      </c>
      <c r="K183" s="23" t="s">
        <v>86</v>
      </c>
      <c r="L183" s="26" t="n">
        <v>2350</v>
      </c>
      <c r="M183" s="26"/>
      <c r="N183" s="27" t="n">
        <f aca="false">IF(OR($L183="",$H183="",$H183=0),"",$L183-N($M183)/$H183)</f>
        <v>2350</v>
      </c>
      <c r="O183" s="23" t="s">
        <v>87</v>
      </c>
      <c r="P183" s="23" t="s">
        <v>505</v>
      </c>
      <c r="Q183" s="23" t="s">
        <v>97</v>
      </c>
      <c r="R183" s="23" t="s">
        <v>98</v>
      </c>
      <c r="S183" s="23" t="s">
        <v>98</v>
      </c>
      <c r="T183" s="23"/>
      <c r="U183" s="23"/>
      <c r="V183" s="23"/>
      <c r="W183" s="25"/>
      <c r="X183" s="23"/>
      <c r="Y183" s="26"/>
      <c r="Z183" s="26"/>
      <c r="AA183" s="27" t="str">
        <f aca="false">IF(OR($Y183="",$X183="",$X183=0),"",$Y183-N($Z183)/$X183)</f>
        <v/>
      </c>
      <c r="AB183" s="23"/>
      <c r="AC183" s="28" t="str">
        <f aca="false">IF(OR($Y183="",$L183="",$L183=0),"",$Y183/$L183-1)</f>
        <v/>
      </c>
      <c r="AD183" s="28" t="str">
        <f aca="false">IF(OR($AA183="",$N183="",$N183=0),"",$AA183/$N183-1)</f>
        <v/>
      </c>
      <c r="AE183" s="25" t="n">
        <v>46161</v>
      </c>
      <c r="AF183" s="23" t="s">
        <v>772</v>
      </c>
      <c r="AG183" s="23" t="s">
        <v>773</v>
      </c>
      <c r="AH183" s="25" t="n">
        <v>46168</v>
      </c>
      <c r="AI183" s="23" t="n">
        <v>18</v>
      </c>
      <c r="AJ183" s="26" t="n">
        <v>2340</v>
      </c>
      <c r="AK183" s="26" t="n">
        <v>0</v>
      </c>
      <c r="AL183" s="27" t="n">
        <f aca="false">IF(OR($AJ183="",$AI183="",$AI183=0),"",$AJ183-N($AK183)/$AI183)</f>
        <v>2340</v>
      </c>
      <c r="AM183" s="28" t="n">
        <f aca="false">IF(OR($AJ183="",$L183="",$L183=0),"",$AJ183/$L183-1)</f>
        <v>-0.00425531914893618</v>
      </c>
      <c r="AN183" s="28" t="n">
        <f aca="false">IF(OR($AL183="",$N183="",$N183=0),"",$AL183/$N183-1)</f>
        <v>-0.00425531914893618</v>
      </c>
      <c r="AO183" s="24" t="n">
        <v>7</v>
      </c>
    </row>
    <row r="184" customFormat="false" ht="15" hidden="false" customHeight="false" outlineLevel="0" collapsed="false">
      <c r="A184" s="5" t="s">
        <v>774</v>
      </c>
      <c r="B184" s="5" t="s">
        <v>108</v>
      </c>
      <c r="C184" s="5" t="s">
        <v>103</v>
      </c>
      <c r="D184" s="6" t="n">
        <v>746</v>
      </c>
      <c r="E184" s="5" t="s">
        <v>775</v>
      </c>
      <c r="F184" s="5" t="s">
        <v>247</v>
      </c>
      <c r="G184" s="20" t="n">
        <v>45953</v>
      </c>
      <c r="H184" s="5" t="n">
        <v>12</v>
      </c>
      <c r="I184" s="20" t="n">
        <v>46317</v>
      </c>
      <c r="J184" s="5" t="s">
        <v>106</v>
      </c>
      <c r="K184" s="5" t="s">
        <v>86</v>
      </c>
      <c r="L184" s="16" t="n">
        <v>1499</v>
      </c>
      <c r="M184" s="16"/>
      <c r="N184" s="21" t="n">
        <f aca="false">IF(OR($L184="",$H184="",$H184=0),"",$L184-N($M184)/$H184)</f>
        <v>1499</v>
      </c>
      <c r="O184" s="5" t="s">
        <v>87</v>
      </c>
      <c r="P184" s="5" t="s">
        <v>505</v>
      </c>
      <c r="Q184" s="5" t="s">
        <v>97</v>
      </c>
      <c r="R184" s="5"/>
      <c r="S184" s="5"/>
      <c r="T184" s="5" t="s">
        <v>98</v>
      </c>
      <c r="U184" s="5"/>
      <c r="V184" s="5"/>
      <c r="W184" s="20"/>
      <c r="X184" s="5"/>
      <c r="Y184" s="16"/>
      <c r="Z184" s="16"/>
      <c r="AA184" s="21" t="str">
        <f aca="false">IF(OR($Y184="",$X184="",$X184=0),"",$Y184-N($Z184)/$X184)</f>
        <v/>
      </c>
      <c r="AB184" s="5"/>
      <c r="AC184" s="22" t="str">
        <f aca="false">IF(OR($Y184="",$L184="",$L184=0),"",$Y184/$L184-1)</f>
        <v/>
      </c>
      <c r="AD184" s="22" t="str">
        <f aca="false">IF(OR($AA184="",$N184="",$N184=0),"",$AA184/$N184-1)</f>
        <v/>
      </c>
      <c r="AE184" s="20" t="n">
        <v>46122</v>
      </c>
      <c r="AF184" s="5" t="s">
        <v>776</v>
      </c>
      <c r="AG184" s="5" t="s">
        <v>777</v>
      </c>
      <c r="AH184" s="20" t="n">
        <v>46129</v>
      </c>
      <c r="AI184" s="5" t="n">
        <v>12</v>
      </c>
      <c r="AJ184" s="16" t="n">
        <v>1615</v>
      </c>
      <c r="AK184" s="16" t="n">
        <v>0</v>
      </c>
      <c r="AL184" s="21" t="n">
        <f aca="false">IF(OR($AJ184="",$AI184="",$AI184=0),"",$AJ184-N($AK184)/$AI184)</f>
        <v>1615</v>
      </c>
      <c r="AM184" s="22" t="n">
        <f aca="false">IF(OR($AJ184="",$L184="",$L184=0),"",$AJ184/$L184-1)</f>
        <v>0.0773849232821882</v>
      </c>
      <c r="AN184" s="22" t="n">
        <f aca="false">IF(OR($AL184="",$N184="",$N184=0),"",$AL184/$N184-1)</f>
        <v>0.0773849232821882</v>
      </c>
      <c r="AO184" s="6" t="n">
        <v>7</v>
      </c>
    </row>
    <row r="185" customFormat="false" ht="15" hidden="false" customHeight="false" outlineLevel="0" collapsed="false">
      <c r="A185" s="23" t="s">
        <v>778</v>
      </c>
      <c r="B185" s="23" t="s">
        <v>113</v>
      </c>
      <c r="C185" s="23" t="s">
        <v>82</v>
      </c>
      <c r="D185" s="24" t="n">
        <v>1092</v>
      </c>
      <c r="E185" s="23" t="s">
        <v>779</v>
      </c>
      <c r="F185" s="23" t="s">
        <v>780</v>
      </c>
      <c r="G185" s="25" t="n">
        <v>45826</v>
      </c>
      <c r="H185" s="23" t="n">
        <v>12</v>
      </c>
      <c r="I185" s="25" t="n">
        <v>46190</v>
      </c>
      <c r="J185" s="23" t="s">
        <v>152</v>
      </c>
      <c r="K185" s="23" t="s">
        <v>202</v>
      </c>
      <c r="L185" s="26" t="n">
        <v>1850</v>
      </c>
      <c r="M185" s="26" t="n">
        <v>500</v>
      </c>
      <c r="N185" s="27" t="n">
        <f aca="false">IF(OR($L185="",$H185="",$H185=0),"",$L185-N($M185)/$H185)</f>
        <v>1808.33333333333</v>
      </c>
      <c r="O185" s="23" t="s">
        <v>87</v>
      </c>
      <c r="P185" s="23" t="s">
        <v>202</v>
      </c>
      <c r="Q185" s="23" t="s">
        <v>127</v>
      </c>
      <c r="R185" s="23" t="s">
        <v>98</v>
      </c>
      <c r="S185" s="23" t="s">
        <v>98</v>
      </c>
      <c r="T185" s="23"/>
      <c r="U185" s="23"/>
      <c r="V185" s="23"/>
      <c r="W185" s="25" t="n">
        <v>46191</v>
      </c>
      <c r="X185" s="23" t="n">
        <v>12</v>
      </c>
      <c r="Y185" s="26" t="n">
        <v>1896</v>
      </c>
      <c r="Z185" s="26" t="n">
        <v>0</v>
      </c>
      <c r="AA185" s="27" t="n">
        <f aca="false">IF(OR($Y185="",$X185="",$X185=0),"",$Y185-N($Z185)/$X185)</f>
        <v>1896</v>
      </c>
      <c r="AB185" s="23" t="s">
        <v>98</v>
      </c>
      <c r="AC185" s="28" t="n">
        <f aca="false">IF(OR($Y185="",$L185="",$L185=0),"",$Y185/$L185-1)</f>
        <v>0.0248648648648648</v>
      </c>
      <c r="AD185" s="28" t="n">
        <f aca="false">IF(OR($AA185="",$N185="",$N185=0),"",$AA185/$N185-1)</f>
        <v>0.048479262672811</v>
      </c>
      <c r="AE185" s="25"/>
      <c r="AF185" s="23"/>
      <c r="AG185" s="23"/>
      <c r="AH185" s="25"/>
      <c r="AI185" s="23"/>
      <c r="AJ185" s="26"/>
      <c r="AK185" s="26"/>
      <c r="AL185" s="27" t="str">
        <f aca="false">IF(OR($AJ185="",$AI185="",$AI185=0),"",$AJ185-N($AK185)/$AI185)</f>
        <v/>
      </c>
      <c r="AM185" s="28" t="str">
        <f aca="false">IF(OR($AJ185="",$L185="",$L185=0),"",$AJ185/$L185-1)</f>
        <v/>
      </c>
      <c r="AN185" s="28" t="str">
        <f aca="false">IF(OR($AL185="",$N185="",$N185=0),"",$AL185/$N185-1)</f>
        <v/>
      </c>
      <c r="AO185" s="24"/>
    </row>
    <row r="186" customFormat="false" ht="15" hidden="false" customHeight="false" outlineLevel="0" collapsed="false">
      <c r="A186" s="5" t="s">
        <v>781</v>
      </c>
      <c r="B186" s="5" t="s">
        <v>102</v>
      </c>
      <c r="C186" s="5" t="s">
        <v>103</v>
      </c>
      <c r="D186" s="6" t="n">
        <v>693</v>
      </c>
      <c r="E186" s="5" t="s">
        <v>782</v>
      </c>
      <c r="F186" s="5" t="s">
        <v>783</v>
      </c>
      <c r="G186" s="20" t="n">
        <v>45905</v>
      </c>
      <c r="H186" s="5" t="n">
        <v>12</v>
      </c>
      <c r="I186" s="20" t="n">
        <v>46269</v>
      </c>
      <c r="J186" s="5" t="s">
        <v>186</v>
      </c>
      <c r="K186" s="5" t="s">
        <v>86</v>
      </c>
      <c r="L186" s="16" t="n">
        <v>1475</v>
      </c>
      <c r="M186" s="16" t="n">
        <v>1475</v>
      </c>
      <c r="N186" s="21" t="n">
        <f aca="false">IF(OR($L186="",$H186="",$H186=0),"",$L186-N($M186)/$H186)</f>
        <v>1352.08333333333</v>
      </c>
      <c r="O186" s="5" t="s">
        <v>87</v>
      </c>
      <c r="P186" s="5" t="s">
        <v>88</v>
      </c>
      <c r="Q186" s="5" t="s">
        <v>89</v>
      </c>
      <c r="R186" s="5"/>
      <c r="S186" s="5"/>
      <c r="T186" s="5"/>
      <c r="U186" s="5"/>
      <c r="V186" s="5"/>
      <c r="W186" s="20"/>
      <c r="X186" s="5"/>
      <c r="Y186" s="16"/>
      <c r="Z186" s="16"/>
      <c r="AA186" s="21" t="str">
        <f aca="false">IF(OR($Y186="",$X186="",$X186=0),"",$Y186-N($Z186)/$X186)</f>
        <v/>
      </c>
      <c r="AB186" s="5"/>
      <c r="AC186" s="22" t="str">
        <f aca="false">IF(OR($Y186="",$L186="",$L186=0),"",$Y186/$L186-1)</f>
        <v/>
      </c>
      <c r="AD186" s="22" t="str">
        <f aca="false">IF(OR($AA186="",$N186="",$N186=0),"",$AA186/$N186-1)</f>
        <v/>
      </c>
      <c r="AE186" s="20"/>
      <c r="AF186" s="5"/>
      <c r="AG186" s="5"/>
      <c r="AH186" s="20"/>
      <c r="AI186" s="5"/>
      <c r="AJ186" s="16"/>
      <c r="AK186" s="16"/>
      <c r="AL186" s="21" t="str">
        <f aca="false">IF(OR($AJ186="",$AI186="",$AI186=0),"",$AJ186-N($AK186)/$AI186)</f>
        <v/>
      </c>
      <c r="AM186" s="22" t="str">
        <f aca="false">IF(OR($AJ186="",$L186="",$L186=0),"",$AJ186/$L186-1)</f>
        <v/>
      </c>
      <c r="AN186" s="22" t="str">
        <f aca="false">IF(OR($AL186="",$N186="",$N186=0),"",$AL186/$N186-1)</f>
        <v/>
      </c>
      <c r="AO186" s="6"/>
    </row>
    <row r="187" customFormat="false" ht="15" hidden="false" customHeight="false" outlineLevel="0" collapsed="false">
      <c r="A187" s="23" t="s">
        <v>784</v>
      </c>
      <c r="B187" s="23" t="s">
        <v>81</v>
      </c>
      <c r="C187" s="23" t="s">
        <v>82</v>
      </c>
      <c r="D187" s="24" t="n">
        <v>1141</v>
      </c>
      <c r="E187" s="23" t="s">
        <v>785</v>
      </c>
      <c r="F187" s="23" t="s">
        <v>786</v>
      </c>
      <c r="G187" s="25" t="n">
        <v>45542</v>
      </c>
      <c r="H187" s="23" t="n">
        <v>18</v>
      </c>
      <c r="I187" s="25" t="n">
        <v>46087</v>
      </c>
      <c r="J187" s="23" t="s">
        <v>125</v>
      </c>
      <c r="K187" s="23" t="s">
        <v>86</v>
      </c>
      <c r="L187" s="26" t="n">
        <v>2045</v>
      </c>
      <c r="M187" s="26"/>
      <c r="N187" s="27" t="n">
        <f aca="false">IF(OR($L187="",$H187="",$H187=0),"",$L187-N($M187)/$H187)</f>
        <v>2045</v>
      </c>
      <c r="O187" s="23" t="s">
        <v>87</v>
      </c>
      <c r="P187" s="23" t="s">
        <v>505</v>
      </c>
      <c r="Q187" s="23" t="s">
        <v>97</v>
      </c>
      <c r="R187" s="23" t="s">
        <v>98</v>
      </c>
      <c r="S187" s="23" t="s">
        <v>98</v>
      </c>
      <c r="T187" s="23"/>
      <c r="U187" s="23"/>
      <c r="V187" s="23"/>
      <c r="W187" s="25"/>
      <c r="X187" s="23"/>
      <c r="Y187" s="26"/>
      <c r="Z187" s="26"/>
      <c r="AA187" s="27" t="str">
        <f aca="false">IF(OR($Y187="",$X187="",$X187=0),"",$Y187-N($Z187)/$X187)</f>
        <v/>
      </c>
      <c r="AB187" s="23"/>
      <c r="AC187" s="28" t="str">
        <f aca="false">IF(OR($Y187="",$L187="",$L187=0),"",$Y187/$L187-1)</f>
        <v/>
      </c>
      <c r="AD187" s="28" t="str">
        <f aca="false">IF(OR($AA187="",$N187="",$N187=0),"",$AA187/$N187-1)</f>
        <v/>
      </c>
      <c r="AE187" s="25" t="n">
        <v>46087</v>
      </c>
      <c r="AF187" s="23" t="s">
        <v>787</v>
      </c>
      <c r="AG187" s="23" t="s">
        <v>788</v>
      </c>
      <c r="AH187" s="25" t="n">
        <v>46096</v>
      </c>
      <c r="AI187" s="23" t="n">
        <v>18</v>
      </c>
      <c r="AJ187" s="26" t="n">
        <v>1919</v>
      </c>
      <c r="AK187" s="26" t="n">
        <v>0</v>
      </c>
      <c r="AL187" s="27" t="n">
        <f aca="false">IF(OR($AJ187="",$AI187="",$AI187=0),"",$AJ187-N($AK187)/$AI187)</f>
        <v>1919</v>
      </c>
      <c r="AM187" s="28" t="n">
        <f aca="false">IF(OR($AJ187="",$L187="",$L187=0),"",$AJ187/$L187-1)</f>
        <v>-0.0616136919315403</v>
      </c>
      <c r="AN187" s="28" t="n">
        <f aca="false">IF(OR($AL187="",$N187="",$N187=0),"",$AL187/$N187-1)</f>
        <v>-0.0616136919315403</v>
      </c>
      <c r="AO187" s="24" t="n">
        <v>9</v>
      </c>
    </row>
    <row r="188" customFormat="false" ht="15" hidden="false" customHeight="false" outlineLevel="0" collapsed="false">
      <c r="A188" s="5" t="s">
        <v>789</v>
      </c>
      <c r="B188" s="5" t="s">
        <v>102</v>
      </c>
      <c r="C188" s="5" t="s">
        <v>103</v>
      </c>
      <c r="D188" s="6" t="n">
        <v>693</v>
      </c>
      <c r="E188" s="5" t="s">
        <v>790</v>
      </c>
      <c r="F188" s="5" t="s">
        <v>791</v>
      </c>
      <c r="G188" s="20" t="n">
        <v>45745</v>
      </c>
      <c r="H188" s="5" t="n">
        <v>15</v>
      </c>
      <c r="I188" s="20" t="n">
        <v>46081</v>
      </c>
      <c r="J188" s="5" t="s">
        <v>95</v>
      </c>
      <c r="K188" s="5" t="s">
        <v>86</v>
      </c>
      <c r="L188" s="16" t="n">
        <v>1425</v>
      </c>
      <c r="M188" s="16" t="n">
        <v>495</v>
      </c>
      <c r="N188" s="21" t="n">
        <f aca="false">IF(OR($L188="",$H188="",$H188=0),"",$L188-N($M188)/$H188)</f>
        <v>1392</v>
      </c>
      <c r="O188" s="5" t="s">
        <v>87</v>
      </c>
      <c r="P188" s="5" t="s">
        <v>96</v>
      </c>
      <c r="Q188" s="5" t="s">
        <v>97</v>
      </c>
      <c r="R188" s="5" t="s">
        <v>98</v>
      </c>
      <c r="S188" s="5" t="s">
        <v>98</v>
      </c>
      <c r="T188" s="5"/>
      <c r="U188" s="5"/>
      <c r="V188" s="5"/>
      <c r="W188" s="20"/>
      <c r="X188" s="5"/>
      <c r="Y188" s="16"/>
      <c r="Z188" s="16"/>
      <c r="AA188" s="21" t="str">
        <f aca="false">IF(OR($Y188="",$X188="",$X188=0),"",$Y188-N($Z188)/$X188)</f>
        <v/>
      </c>
      <c r="AB188" s="5"/>
      <c r="AC188" s="22" t="str">
        <f aca="false">IF(OR($Y188="",$L188="",$L188=0),"",$Y188/$L188-1)</f>
        <v/>
      </c>
      <c r="AD188" s="22" t="str">
        <f aca="false">IF(OR($AA188="",$N188="",$N188=0),"",$AA188/$N188-1)</f>
        <v/>
      </c>
      <c r="AE188" s="20" t="n">
        <v>46081</v>
      </c>
      <c r="AF188" s="5" t="s">
        <v>792</v>
      </c>
      <c r="AG188" s="5" t="s">
        <v>793</v>
      </c>
      <c r="AH188" s="20" t="n">
        <v>46099</v>
      </c>
      <c r="AI188" s="5" t="n">
        <v>9</v>
      </c>
      <c r="AJ188" s="16" t="n">
        <v>1475</v>
      </c>
      <c r="AK188" s="16" t="n">
        <v>0</v>
      </c>
      <c r="AL188" s="21" t="n">
        <f aca="false">IF(OR($AJ188="",$AI188="",$AI188=0),"",$AJ188-N($AK188)/$AI188)</f>
        <v>1475</v>
      </c>
      <c r="AM188" s="22" t="n">
        <f aca="false">IF(OR($AJ188="",$L188="",$L188=0),"",$AJ188/$L188-1)</f>
        <v>0.0350877192982457</v>
      </c>
      <c r="AN188" s="22" t="n">
        <f aca="false">IF(OR($AL188="",$N188="",$N188=0),"",$AL188/$N188-1)</f>
        <v>0.0596264367816093</v>
      </c>
      <c r="AO188" s="6" t="n">
        <v>18</v>
      </c>
    </row>
    <row r="189" customFormat="false" ht="15" hidden="false" customHeight="false" outlineLevel="0" collapsed="false">
      <c r="A189" s="23" t="s">
        <v>794</v>
      </c>
      <c r="B189" s="23" t="s">
        <v>108</v>
      </c>
      <c r="C189" s="23" t="s">
        <v>103</v>
      </c>
      <c r="D189" s="24" t="n">
        <v>746</v>
      </c>
      <c r="E189" s="23" t="s">
        <v>795</v>
      </c>
      <c r="F189" s="23" t="s">
        <v>788</v>
      </c>
      <c r="G189" s="25" t="n">
        <v>45584</v>
      </c>
      <c r="H189" s="23" t="n">
        <v>12</v>
      </c>
      <c r="I189" s="25" t="n">
        <v>46130</v>
      </c>
      <c r="J189" s="23" t="s">
        <v>167</v>
      </c>
      <c r="K189" s="23" t="s">
        <v>86</v>
      </c>
      <c r="L189" s="26" t="n">
        <v>1714</v>
      </c>
      <c r="M189" s="26" t="n">
        <v>3168</v>
      </c>
      <c r="N189" s="27" t="n">
        <f aca="false">IF(OR($L189="",$H189="",$H189=0),"",$L189-N($M189)/$H189)</f>
        <v>1450</v>
      </c>
      <c r="O189" s="23" t="s">
        <v>87</v>
      </c>
      <c r="P189" s="23" t="s">
        <v>96</v>
      </c>
      <c r="Q189" s="23" t="s">
        <v>97</v>
      </c>
      <c r="R189" s="23" t="s">
        <v>98</v>
      </c>
      <c r="S189" s="23" t="s">
        <v>98</v>
      </c>
      <c r="T189" s="23" t="s">
        <v>98</v>
      </c>
      <c r="U189" s="23"/>
      <c r="V189" s="23"/>
      <c r="W189" s="25"/>
      <c r="X189" s="23"/>
      <c r="Y189" s="26"/>
      <c r="Z189" s="26"/>
      <c r="AA189" s="27" t="str">
        <f aca="false">IF(OR($Y189="",$X189="",$X189=0),"",$Y189-N($Z189)/$X189)</f>
        <v/>
      </c>
      <c r="AB189" s="23"/>
      <c r="AC189" s="28" t="str">
        <f aca="false">IF(OR($Y189="",$L189="",$L189=0),"",$Y189/$L189-1)</f>
        <v/>
      </c>
      <c r="AD189" s="28" t="str">
        <f aca="false">IF(OR($AA189="",$N189="",$N189=0),"",$AA189/$N189-1)</f>
        <v/>
      </c>
      <c r="AE189" s="25" t="n">
        <v>46096</v>
      </c>
      <c r="AF189" s="23" t="s">
        <v>796</v>
      </c>
      <c r="AG189" s="23" t="s">
        <v>797</v>
      </c>
      <c r="AH189" s="25" t="n">
        <v>46159</v>
      </c>
      <c r="AI189" s="23" t="n">
        <v>12</v>
      </c>
      <c r="AJ189" s="26" t="n">
        <v>1610</v>
      </c>
      <c r="AK189" s="26" t="n">
        <v>1610</v>
      </c>
      <c r="AL189" s="27" t="n">
        <f aca="false">IF(OR($AJ189="",$AI189="",$AI189=0),"",$AJ189-N($AK189)/$AI189)</f>
        <v>1475.83333333333</v>
      </c>
      <c r="AM189" s="28" t="n">
        <f aca="false">IF(OR($AJ189="",$L189="",$L189=0),"",$AJ189/$L189-1)</f>
        <v>-0.0606767794632439</v>
      </c>
      <c r="AN189" s="28" t="n">
        <f aca="false">IF(OR($AL189="",$N189="",$N189=0),"",$AL189/$N189-1)</f>
        <v>0.0178160919540229</v>
      </c>
      <c r="AO189" s="24" t="n">
        <v>63</v>
      </c>
    </row>
    <row r="190" customFormat="false" ht="15" hidden="false" customHeight="false" outlineLevel="0" collapsed="false">
      <c r="A190" s="5" t="s">
        <v>798</v>
      </c>
      <c r="B190" s="5" t="s">
        <v>102</v>
      </c>
      <c r="C190" s="5" t="s">
        <v>103</v>
      </c>
      <c r="D190" s="6" t="n">
        <v>693</v>
      </c>
      <c r="E190" s="5" t="s">
        <v>799</v>
      </c>
      <c r="F190" s="5" t="s">
        <v>800</v>
      </c>
      <c r="G190" s="20" t="n">
        <v>45741</v>
      </c>
      <c r="H190" s="5" t="n">
        <v>12</v>
      </c>
      <c r="I190" s="20" t="n">
        <v>46015</v>
      </c>
      <c r="J190" s="5" t="s">
        <v>289</v>
      </c>
      <c r="K190" s="5" t="s">
        <v>126</v>
      </c>
      <c r="L190" s="16" t="n">
        <v>1425</v>
      </c>
      <c r="M190" s="16" t="n">
        <v>1980</v>
      </c>
      <c r="N190" s="21" t="n">
        <f aca="false">IF(OR($L190="",$H190="",$H190=0),"",$L190-N($M190)/$H190)</f>
        <v>1260</v>
      </c>
      <c r="O190" s="5" t="s">
        <v>532</v>
      </c>
      <c r="P190" s="5" t="s">
        <v>96</v>
      </c>
      <c r="Q190" s="5" t="s">
        <v>127</v>
      </c>
      <c r="R190" s="5" t="s">
        <v>98</v>
      </c>
      <c r="S190" s="5" t="s">
        <v>98</v>
      </c>
      <c r="T190" s="5"/>
      <c r="U190" s="5"/>
      <c r="V190" s="5"/>
      <c r="W190" s="20" t="n">
        <v>46016</v>
      </c>
      <c r="X190" s="5" t="n">
        <v>9</v>
      </c>
      <c r="Y190" s="16" t="n">
        <v>1450</v>
      </c>
      <c r="Z190" s="16" t="n">
        <v>0</v>
      </c>
      <c r="AA190" s="21" t="n">
        <f aca="false">IF(OR($Y190="",$X190="",$X190=0),"",$Y190-N($Z190)/$X190)</f>
        <v>1450</v>
      </c>
      <c r="AB190" s="5"/>
      <c r="AC190" s="22" t="n">
        <f aca="false">IF(OR($Y190="",$L190="",$L190=0),"",$Y190/$L190-1)</f>
        <v>0.0175438596491229</v>
      </c>
      <c r="AD190" s="22" t="n">
        <f aca="false">IF(OR($AA190="",$N190="",$N190=0),"",$AA190/$N190-1)</f>
        <v>0.150793650793651</v>
      </c>
      <c r="AE190" s="20"/>
      <c r="AF190" s="5"/>
      <c r="AG190" s="5"/>
      <c r="AH190" s="20"/>
      <c r="AI190" s="5"/>
      <c r="AJ190" s="16"/>
      <c r="AK190" s="16"/>
      <c r="AL190" s="21" t="str">
        <f aca="false">IF(OR($AJ190="",$AI190="",$AI190=0),"",$AJ190-N($AK190)/$AI190)</f>
        <v/>
      </c>
      <c r="AM190" s="22" t="str">
        <f aca="false">IF(OR($AJ190="",$L190="",$L190=0),"",$AJ190/$L190-1)</f>
        <v/>
      </c>
      <c r="AN190" s="22" t="str">
        <f aca="false">IF(OR($AL190="",$N190="",$N190=0),"",$AL190/$N190-1)</f>
        <v/>
      </c>
      <c r="AO190" s="6"/>
    </row>
    <row r="191" customFormat="false" ht="15" hidden="false" customHeight="false" outlineLevel="0" collapsed="false">
      <c r="A191" s="23" t="s">
        <v>801</v>
      </c>
      <c r="B191" s="23" t="s">
        <v>145</v>
      </c>
      <c r="C191" s="23" t="s">
        <v>82</v>
      </c>
      <c r="D191" s="24" t="n">
        <v>1165</v>
      </c>
      <c r="E191" s="23" t="s">
        <v>802</v>
      </c>
      <c r="F191" s="23" t="s">
        <v>803</v>
      </c>
      <c r="G191" s="25" t="n">
        <v>45934</v>
      </c>
      <c r="H191" s="23" t="n">
        <v>12</v>
      </c>
      <c r="I191" s="25" t="n">
        <v>46298</v>
      </c>
      <c r="J191" s="23" t="s">
        <v>106</v>
      </c>
      <c r="K191" s="23" t="s">
        <v>86</v>
      </c>
      <c r="L191" s="26" t="n">
        <v>1920</v>
      </c>
      <c r="M191" s="26" t="n">
        <v>1920</v>
      </c>
      <c r="N191" s="27" t="n">
        <f aca="false">IF(OR($L191="",$H191="",$H191=0),"",$L191-N($M191)/$H191)</f>
        <v>1760</v>
      </c>
      <c r="O191" s="23" t="s">
        <v>87</v>
      </c>
      <c r="P191" s="23" t="s">
        <v>88</v>
      </c>
      <c r="Q191" s="23" t="s">
        <v>89</v>
      </c>
      <c r="R191" s="23"/>
      <c r="S191" s="23"/>
      <c r="T191" s="23"/>
      <c r="U191" s="23"/>
      <c r="V191" s="23"/>
      <c r="W191" s="25"/>
      <c r="X191" s="23"/>
      <c r="Y191" s="26"/>
      <c r="Z191" s="26"/>
      <c r="AA191" s="27" t="str">
        <f aca="false">IF(OR($Y191="",$X191="",$X191=0),"",$Y191-N($Z191)/$X191)</f>
        <v/>
      </c>
      <c r="AB191" s="23"/>
      <c r="AC191" s="28" t="str">
        <f aca="false">IF(OR($Y191="",$L191="",$L191=0),"",$Y191/$L191-1)</f>
        <v/>
      </c>
      <c r="AD191" s="28" t="str">
        <f aca="false">IF(OR($AA191="",$N191="",$N191=0),"",$AA191/$N191-1)</f>
        <v/>
      </c>
      <c r="AE191" s="25"/>
      <c r="AF191" s="23"/>
      <c r="AG191" s="23"/>
      <c r="AH191" s="25"/>
      <c r="AI191" s="23"/>
      <c r="AJ191" s="26"/>
      <c r="AK191" s="26"/>
      <c r="AL191" s="27" t="str">
        <f aca="false">IF(OR($AJ191="",$AI191="",$AI191=0),"",$AJ191-N($AK191)/$AI191)</f>
        <v/>
      </c>
      <c r="AM191" s="28" t="str">
        <f aca="false">IF(OR($AJ191="",$L191="",$L191=0),"",$AJ191/$L191-1)</f>
        <v/>
      </c>
      <c r="AN191" s="28" t="str">
        <f aca="false">IF(OR($AL191="",$N191="",$N191=0),"",$AL191/$N191-1)</f>
        <v/>
      </c>
      <c r="AO191" s="24"/>
    </row>
    <row r="192" customFormat="false" ht="15" hidden="false" customHeight="false" outlineLevel="0" collapsed="false">
      <c r="A192" s="5" t="s">
        <v>804</v>
      </c>
      <c r="B192" s="5" t="s">
        <v>145</v>
      </c>
      <c r="C192" s="5" t="s">
        <v>82</v>
      </c>
      <c r="D192" s="6" t="n">
        <v>1165</v>
      </c>
      <c r="E192" s="5" t="s">
        <v>805</v>
      </c>
      <c r="F192" s="5" t="s">
        <v>806</v>
      </c>
      <c r="G192" s="20" t="n">
        <v>45784</v>
      </c>
      <c r="H192" s="5" t="n">
        <v>18</v>
      </c>
      <c r="I192" s="20" t="n">
        <v>46332</v>
      </c>
      <c r="J192" s="5" t="s">
        <v>193</v>
      </c>
      <c r="K192" s="5" t="s">
        <v>86</v>
      </c>
      <c r="L192" s="16" t="n">
        <v>1735</v>
      </c>
      <c r="M192" s="16" t="n">
        <v>0</v>
      </c>
      <c r="N192" s="21" t="n">
        <f aca="false">IF(OR($L192="",$H192="",$H192=0),"",$L192-N($M192)/$H192)</f>
        <v>1735</v>
      </c>
      <c r="O192" s="5" t="s">
        <v>87</v>
      </c>
      <c r="P192" s="5" t="s">
        <v>88</v>
      </c>
      <c r="Q192" s="5" t="s">
        <v>89</v>
      </c>
      <c r="R192" s="5"/>
      <c r="S192" s="5"/>
      <c r="T192" s="5"/>
      <c r="U192" s="5"/>
      <c r="V192" s="5"/>
      <c r="W192" s="20"/>
      <c r="X192" s="5"/>
      <c r="Y192" s="16"/>
      <c r="Z192" s="16"/>
      <c r="AA192" s="21" t="str">
        <f aca="false">IF(OR($Y192="",$X192="",$X192=0),"",$Y192-N($Z192)/$X192)</f>
        <v/>
      </c>
      <c r="AB192" s="5"/>
      <c r="AC192" s="22" t="str">
        <f aca="false">IF(OR($Y192="",$L192="",$L192=0),"",$Y192/$L192-1)</f>
        <v/>
      </c>
      <c r="AD192" s="22" t="str">
        <f aca="false">IF(OR($AA192="",$N192="",$N192=0),"",$AA192/$N192-1)</f>
        <v/>
      </c>
      <c r="AE192" s="20"/>
      <c r="AF192" s="5"/>
      <c r="AG192" s="5"/>
      <c r="AH192" s="20"/>
      <c r="AI192" s="5"/>
      <c r="AJ192" s="16"/>
      <c r="AK192" s="16"/>
      <c r="AL192" s="21" t="str">
        <f aca="false">IF(OR($AJ192="",$AI192="",$AI192=0),"",$AJ192-N($AK192)/$AI192)</f>
        <v/>
      </c>
      <c r="AM192" s="22" t="str">
        <f aca="false">IF(OR($AJ192="",$L192="",$L192=0),"",$AJ192/$L192-1)</f>
        <v/>
      </c>
      <c r="AN192" s="22" t="str">
        <f aca="false">IF(OR($AL192="",$N192="",$N192=0),"",$AL192/$N192-1)</f>
        <v/>
      </c>
      <c r="AO192" s="6"/>
    </row>
    <row r="193" customFormat="false" ht="15" hidden="false" customHeight="false" outlineLevel="0" collapsed="false">
      <c r="A193" s="23" t="s">
        <v>807</v>
      </c>
      <c r="B193" s="23" t="s">
        <v>81</v>
      </c>
      <c r="C193" s="23" t="s">
        <v>82</v>
      </c>
      <c r="D193" s="24" t="n">
        <v>1141</v>
      </c>
      <c r="E193" s="23" t="s">
        <v>808</v>
      </c>
      <c r="F193" s="23" t="s">
        <v>809</v>
      </c>
      <c r="G193" s="25" t="n">
        <v>45598</v>
      </c>
      <c r="H193" s="23" t="n">
        <v>12</v>
      </c>
      <c r="I193" s="25" t="n">
        <v>46143</v>
      </c>
      <c r="J193" s="23" t="s">
        <v>148</v>
      </c>
      <c r="K193" s="23" t="s">
        <v>126</v>
      </c>
      <c r="L193" s="26" t="n">
        <v>1995</v>
      </c>
      <c r="M193" s="26" t="n">
        <v>3684</v>
      </c>
      <c r="N193" s="27" t="n">
        <f aca="false">IF(OR($L193="",$H193="",$H193=0),"",$L193-N($M193)/$H193)</f>
        <v>1688</v>
      </c>
      <c r="O193" s="23" t="s">
        <v>87</v>
      </c>
      <c r="P193" s="23" t="s">
        <v>96</v>
      </c>
      <c r="Q193" s="23" t="s">
        <v>127</v>
      </c>
      <c r="R193" s="23" t="s">
        <v>98</v>
      </c>
      <c r="S193" s="23" t="s">
        <v>98</v>
      </c>
      <c r="T193" s="23"/>
      <c r="U193" s="23"/>
      <c r="V193" s="23"/>
      <c r="W193" s="25" t="n">
        <v>46144</v>
      </c>
      <c r="X193" s="23" t="n">
        <v>11</v>
      </c>
      <c r="Y193" s="26" t="n">
        <v>1995</v>
      </c>
      <c r="Z193" s="26" t="n">
        <v>0</v>
      </c>
      <c r="AA193" s="27" t="n">
        <f aca="false">IF(OR($Y193="",$X193="",$X193=0),"",$Y193-N($Z193)/$X193)</f>
        <v>1995</v>
      </c>
      <c r="AB193" s="23"/>
      <c r="AC193" s="28" t="n">
        <f aca="false">IF(OR($Y193="",$L193="",$L193=0),"",$Y193/$L193-1)</f>
        <v>0</v>
      </c>
      <c r="AD193" s="28" t="n">
        <f aca="false">IF(OR($AA193="",$N193="",$N193=0),"",$AA193/$N193-1)</f>
        <v>0.181872037914692</v>
      </c>
      <c r="AE193" s="25"/>
      <c r="AF193" s="23"/>
      <c r="AG193" s="23"/>
      <c r="AH193" s="25"/>
      <c r="AI193" s="23"/>
      <c r="AJ193" s="26"/>
      <c r="AK193" s="26"/>
      <c r="AL193" s="27" t="str">
        <f aca="false">IF(OR($AJ193="",$AI193="",$AI193=0),"",$AJ193-N($AK193)/$AI193)</f>
        <v/>
      </c>
      <c r="AM193" s="28" t="str">
        <f aca="false">IF(OR($AJ193="",$L193="",$L193=0),"",$AJ193/$L193-1)</f>
        <v/>
      </c>
      <c r="AN193" s="28" t="str">
        <f aca="false">IF(OR($AL193="",$N193="",$N193=0),"",$AL193/$N193-1)</f>
        <v/>
      </c>
      <c r="AO193" s="24"/>
    </row>
    <row r="194" customFormat="false" ht="15" hidden="false" customHeight="false" outlineLevel="0" collapsed="false">
      <c r="A194" s="5" t="s">
        <v>810</v>
      </c>
      <c r="B194" s="5" t="s">
        <v>161</v>
      </c>
      <c r="C194" s="5" t="s">
        <v>92</v>
      </c>
      <c r="D194" s="6" t="n">
        <v>1340</v>
      </c>
      <c r="E194" s="5" t="s">
        <v>811</v>
      </c>
      <c r="F194" s="5" t="s">
        <v>812</v>
      </c>
      <c r="G194" s="20" t="n">
        <v>45764</v>
      </c>
      <c r="H194" s="5" t="n">
        <v>15</v>
      </c>
      <c r="I194" s="20" t="n">
        <v>46219</v>
      </c>
      <c r="J194" s="5" t="s">
        <v>116</v>
      </c>
      <c r="K194" s="5" t="s">
        <v>86</v>
      </c>
      <c r="L194" s="16" t="n">
        <v>2085</v>
      </c>
      <c r="M194" s="16" t="n">
        <v>0</v>
      </c>
      <c r="N194" s="21" t="n">
        <f aca="false">IF(OR($L194="",$H194="",$H194=0),"",$L194-N($M194)/$H194)</f>
        <v>2085</v>
      </c>
      <c r="O194" s="5" t="s">
        <v>87</v>
      </c>
      <c r="P194" s="5" t="s">
        <v>88</v>
      </c>
      <c r="Q194" s="5" t="s">
        <v>97</v>
      </c>
      <c r="R194" s="5" t="s">
        <v>98</v>
      </c>
      <c r="S194" s="5" t="s">
        <v>98</v>
      </c>
      <c r="T194" s="5"/>
      <c r="U194" s="5"/>
      <c r="V194" s="5"/>
      <c r="W194" s="20"/>
      <c r="X194" s="5"/>
      <c r="Y194" s="16"/>
      <c r="Z194" s="16"/>
      <c r="AA194" s="21" t="str">
        <f aca="false">IF(OR($Y194="",$X194="",$X194=0),"",$Y194-N($Z194)/$X194)</f>
        <v/>
      </c>
      <c r="AB194" s="5"/>
      <c r="AC194" s="22" t="str">
        <f aca="false">IF(OR($Y194="",$L194="",$L194=0),"",$Y194/$L194-1)</f>
        <v/>
      </c>
      <c r="AD194" s="22" t="str">
        <f aca="false">IF(OR($AA194="",$N194="",$N194=0),"",$AA194/$N194-1)</f>
        <v/>
      </c>
      <c r="AE194" s="20"/>
      <c r="AF194" s="5"/>
      <c r="AG194" s="5"/>
      <c r="AH194" s="20"/>
      <c r="AI194" s="5"/>
      <c r="AJ194" s="16"/>
      <c r="AK194" s="16"/>
      <c r="AL194" s="21" t="str">
        <f aca="false">IF(OR($AJ194="",$AI194="",$AI194=0),"",$AJ194-N($AK194)/$AI194)</f>
        <v/>
      </c>
      <c r="AM194" s="22" t="str">
        <f aca="false">IF(OR($AJ194="",$L194="",$L194=0),"",$AJ194/$L194-1)</f>
        <v/>
      </c>
      <c r="AN194" s="22" t="str">
        <f aca="false">IF(OR($AL194="",$N194="",$N194=0),"",$AL194/$N194-1)</f>
        <v/>
      </c>
      <c r="AO194" s="6"/>
    </row>
    <row r="195" customFormat="false" ht="15" hidden="false" customHeight="false" outlineLevel="0" collapsed="false">
      <c r="A195" s="23" t="s">
        <v>813</v>
      </c>
      <c r="B195" s="23" t="s">
        <v>102</v>
      </c>
      <c r="C195" s="23" t="s">
        <v>103</v>
      </c>
      <c r="D195" s="24" t="n">
        <v>693</v>
      </c>
      <c r="E195" s="23" t="s">
        <v>814</v>
      </c>
      <c r="F195" s="23" t="s">
        <v>815</v>
      </c>
      <c r="G195" s="25" t="n">
        <v>45962</v>
      </c>
      <c r="H195" s="23" t="n">
        <v>18</v>
      </c>
      <c r="I195" s="25" t="n">
        <v>46507</v>
      </c>
      <c r="J195" s="23" t="s">
        <v>143</v>
      </c>
      <c r="K195" s="23" t="s">
        <v>86</v>
      </c>
      <c r="L195" s="26" t="n">
        <v>1399</v>
      </c>
      <c r="M195" s="26" t="n">
        <v>0</v>
      </c>
      <c r="N195" s="27" t="n">
        <f aca="false">IF(OR($L195="",$H195="",$H195=0),"",$L195-N($M195)/$H195)</f>
        <v>1399</v>
      </c>
      <c r="O195" s="23" t="s">
        <v>87</v>
      </c>
      <c r="P195" s="23" t="s">
        <v>88</v>
      </c>
      <c r="Q195" s="23" t="s">
        <v>89</v>
      </c>
      <c r="R195" s="23"/>
      <c r="S195" s="23"/>
      <c r="T195" s="23"/>
      <c r="U195" s="23"/>
      <c r="V195" s="23"/>
      <c r="W195" s="25"/>
      <c r="X195" s="23"/>
      <c r="Y195" s="26"/>
      <c r="Z195" s="26"/>
      <c r="AA195" s="27" t="str">
        <f aca="false">IF(OR($Y195="",$X195="",$X195=0),"",$Y195-N($Z195)/$X195)</f>
        <v/>
      </c>
      <c r="AB195" s="23"/>
      <c r="AC195" s="28" t="str">
        <f aca="false">IF(OR($Y195="",$L195="",$L195=0),"",$Y195/$L195-1)</f>
        <v/>
      </c>
      <c r="AD195" s="28" t="str">
        <f aca="false">IF(OR($AA195="",$N195="",$N195=0),"",$AA195/$N195-1)</f>
        <v/>
      </c>
      <c r="AE195" s="25"/>
      <c r="AF195" s="23"/>
      <c r="AG195" s="23"/>
      <c r="AH195" s="25"/>
      <c r="AI195" s="23"/>
      <c r="AJ195" s="26"/>
      <c r="AK195" s="26"/>
      <c r="AL195" s="27" t="str">
        <f aca="false">IF(OR($AJ195="",$AI195="",$AI195=0),"",$AJ195-N($AK195)/$AI195)</f>
        <v/>
      </c>
      <c r="AM195" s="28" t="str">
        <f aca="false">IF(OR($AJ195="",$L195="",$L195=0),"",$AJ195/$L195-1)</f>
        <v/>
      </c>
      <c r="AN195" s="28" t="str">
        <f aca="false">IF(OR($AL195="",$N195="",$N195=0),"",$AL195/$N195-1)</f>
        <v/>
      </c>
      <c r="AO195" s="24"/>
    </row>
    <row r="196" customFormat="false" ht="15" hidden="false" customHeight="false" outlineLevel="0" collapsed="false">
      <c r="A196" s="5" t="s">
        <v>816</v>
      </c>
      <c r="B196" s="5" t="s">
        <v>113</v>
      </c>
      <c r="C196" s="5" t="s">
        <v>82</v>
      </c>
      <c r="D196" s="6" t="n">
        <v>1092</v>
      </c>
      <c r="E196" s="5" t="s">
        <v>817</v>
      </c>
      <c r="F196" s="5" t="s">
        <v>818</v>
      </c>
      <c r="G196" s="20" t="n">
        <v>45668</v>
      </c>
      <c r="H196" s="5" t="n">
        <v>14</v>
      </c>
      <c r="I196" s="20" t="n">
        <v>46122</v>
      </c>
      <c r="J196" s="5" t="s">
        <v>167</v>
      </c>
      <c r="K196" s="5" t="s">
        <v>126</v>
      </c>
      <c r="L196" s="16" t="n">
        <v>1690</v>
      </c>
      <c r="M196" s="16" t="n">
        <v>504</v>
      </c>
      <c r="N196" s="21" t="n">
        <f aca="false">IF(OR($L196="",$H196="",$H196=0),"",$L196-N($M196)/$H196)</f>
        <v>1654</v>
      </c>
      <c r="O196" s="5" t="s">
        <v>87</v>
      </c>
      <c r="P196" s="5" t="s">
        <v>96</v>
      </c>
      <c r="Q196" s="5" t="s">
        <v>127</v>
      </c>
      <c r="R196" s="5" t="s">
        <v>98</v>
      </c>
      <c r="S196" s="5" t="s">
        <v>98</v>
      </c>
      <c r="T196" s="5"/>
      <c r="U196" s="5"/>
      <c r="V196" s="5"/>
      <c r="W196" s="20" t="n">
        <v>46123</v>
      </c>
      <c r="X196" s="5" t="n">
        <v>12</v>
      </c>
      <c r="Y196" s="16" t="n">
        <v>1725</v>
      </c>
      <c r="Z196" s="16" t="n">
        <v>0</v>
      </c>
      <c r="AA196" s="21" t="n">
        <f aca="false">IF(OR($Y196="",$X196="",$X196=0),"",$Y196-N($Z196)/$X196)</f>
        <v>1725</v>
      </c>
      <c r="AB196" s="5"/>
      <c r="AC196" s="22" t="n">
        <f aca="false">IF(OR($Y196="",$L196="",$L196=0),"",$Y196/$L196-1)</f>
        <v>0.0207100591715976</v>
      </c>
      <c r="AD196" s="22" t="n">
        <f aca="false">IF(OR($AA196="",$N196="",$N196=0),"",$AA196/$N196-1)</f>
        <v>0.0429262394195888</v>
      </c>
      <c r="AE196" s="20"/>
      <c r="AF196" s="5"/>
      <c r="AG196" s="5"/>
      <c r="AH196" s="20"/>
      <c r="AI196" s="5"/>
      <c r="AJ196" s="16"/>
      <c r="AK196" s="16"/>
      <c r="AL196" s="21" t="str">
        <f aca="false">IF(OR($AJ196="",$AI196="",$AI196=0),"",$AJ196-N($AK196)/$AI196)</f>
        <v/>
      </c>
      <c r="AM196" s="22" t="str">
        <f aca="false">IF(OR($AJ196="",$L196="",$L196=0),"",$AJ196/$L196-1)</f>
        <v/>
      </c>
      <c r="AN196" s="22" t="str">
        <f aca="false">IF(OR($AL196="",$N196="",$N196=0),"",$AL196/$N196-1)</f>
        <v/>
      </c>
      <c r="AO196" s="6"/>
    </row>
    <row r="197" customFormat="false" ht="15" hidden="false" customHeight="false" outlineLevel="0" collapsed="false">
      <c r="A197" s="23" t="s">
        <v>819</v>
      </c>
      <c r="B197" s="23" t="s">
        <v>102</v>
      </c>
      <c r="C197" s="23" t="s">
        <v>103</v>
      </c>
      <c r="D197" s="24" t="n">
        <v>693</v>
      </c>
      <c r="E197" s="23" t="s">
        <v>820</v>
      </c>
      <c r="F197" s="23" t="s">
        <v>821</v>
      </c>
      <c r="G197" s="25" t="n">
        <v>45659</v>
      </c>
      <c r="H197" s="23" t="n">
        <v>14</v>
      </c>
      <c r="I197" s="25" t="n">
        <v>46082</v>
      </c>
      <c r="J197" s="23" t="s">
        <v>125</v>
      </c>
      <c r="K197" s="23" t="s">
        <v>86</v>
      </c>
      <c r="L197" s="26" t="n">
        <v>1385</v>
      </c>
      <c r="M197" s="26" t="n">
        <v>504</v>
      </c>
      <c r="N197" s="27" t="n">
        <f aca="false">IF(OR($L197="",$H197="",$H197=0),"",$L197-N($M197)/$H197)</f>
        <v>1349</v>
      </c>
      <c r="O197" s="23" t="s">
        <v>87</v>
      </c>
      <c r="P197" s="23" t="s">
        <v>96</v>
      </c>
      <c r="Q197" s="23" t="s">
        <v>97</v>
      </c>
      <c r="R197" s="23" t="s">
        <v>98</v>
      </c>
      <c r="S197" s="23" t="s">
        <v>98</v>
      </c>
      <c r="T197" s="23"/>
      <c r="U197" s="23"/>
      <c r="V197" s="23"/>
      <c r="W197" s="25"/>
      <c r="X197" s="23"/>
      <c r="Y197" s="26"/>
      <c r="Z197" s="26"/>
      <c r="AA197" s="27" t="str">
        <f aca="false">IF(OR($Y197="",$X197="",$X197=0),"",$Y197-N($Z197)/$X197)</f>
        <v/>
      </c>
      <c r="AB197" s="23"/>
      <c r="AC197" s="28" t="str">
        <f aca="false">IF(OR($Y197="",$L197="",$L197=0),"",$Y197/$L197-1)</f>
        <v/>
      </c>
      <c r="AD197" s="28" t="str">
        <f aca="false">IF(OR($AA197="",$N197="",$N197=0),"",$AA197/$N197-1)</f>
        <v/>
      </c>
      <c r="AE197" s="25" t="n">
        <v>46082</v>
      </c>
      <c r="AF197" s="23" t="s">
        <v>822</v>
      </c>
      <c r="AG197" s="23" t="s">
        <v>823</v>
      </c>
      <c r="AH197" s="25" t="n">
        <v>46104</v>
      </c>
      <c r="AI197" s="23" t="n">
        <v>12</v>
      </c>
      <c r="AJ197" s="26" t="n">
        <v>1565</v>
      </c>
      <c r="AK197" s="26" t="n">
        <v>0</v>
      </c>
      <c r="AL197" s="27" t="n">
        <f aca="false">IF(OR($AJ197="",$AI197="",$AI197=0),"",$AJ197-N($AK197)/$AI197)</f>
        <v>1565</v>
      </c>
      <c r="AM197" s="28" t="n">
        <f aca="false">IF(OR($AJ197="",$L197="",$L197=0),"",$AJ197/$L197-1)</f>
        <v>0.129963898916968</v>
      </c>
      <c r="AN197" s="28" t="n">
        <f aca="false">IF(OR($AL197="",$N197="",$N197=0),"",$AL197/$N197-1)</f>
        <v>0.160118606375093</v>
      </c>
      <c r="AO197" s="24" t="n">
        <v>22</v>
      </c>
    </row>
    <row r="198" customFormat="false" ht="15" hidden="false" customHeight="false" outlineLevel="0" collapsed="false">
      <c r="A198" s="5" t="s">
        <v>824</v>
      </c>
      <c r="B198" s="5" t="s">
        <v>81</v>
      </c>
      <c r="C198" s="5" t="s">
        <v>82</v>
      </c>
      <c r="D198" s="6" t="n">
        <v>1141</v>
      </c>
      <c r="E198" s="5" t="s">
        <v>825</v>
      </c>
      <c r="F198" s="5" t="s">
        <v>826</v>
      </c>
      <c r="G198" s="20" t="n">
        <v>45577</v>
      </c>
      <c r="H198" s="5" t="n">
        <v>12</v>
      </c>
      <c r="I198" s="20" t="n">
        <v>46123</v>
      </c>
      <c r="J198" s="5" t="s">
        <v>167</v>
      </c>
      <c r="K198" s="5" t="s">
        <v>86</v>
      </c>
      <c r="L198" s="16" t="n">
        <v>1995</v>
      </c>
      <c r="M198" s="16" t="n">
        <v>3684</v>
      </c>
      <c r="N198" s="21" t="n">
        <f aca="false">IF(OR($L198="",$H198="",$H198=0),"",$L198-N($M198)/$H198)</f>
        <v>1688</v>
      </c>
      <c r="O198" s="5" t="s">
        <v>87</v>
      </c>
      <c r="P198" s="5" t="s">
        <v>96</v>
      </c>
      <c r="Q198" s="5" t="s">
        <v>97</v>
      </c>
      <c r="R198" s="5" t="s">
        <v>98</v>
      </c>
      <c r="S198" s="5" t="s">
        <v>98</v>
      </c>
      <c r="T198" s="5"/>
      <c r="U198" s="5"/>
      <c r="V198" s="5"/>
      <c r="W198" s="20"/>
      <c r="X198" s="5"/>
      <c r="Y198" s="16"/>
      <c r="Z198" s="16"/>
      <c r="AA198" s="21" t="str">
        <f aca="false">IF(OR($Y198="",$X198="",$X198=0),"",$Y198-N($Z198)/$X198)</f>
        <v/>
      </c>
      <c r="AB198" s="5"/>
      <c r="AC198" s="22" t="str">
        <f aca="false">IF(OR($Y198="",$L198="",$L198=0),"",$Y198/$L198-1)</f>
        <v/>
      </c>
      <c r="AD198" s="22" t="str">
        <f aca="false">IF(OR($AA198="",$N198="",$N198=0),"",$AA198/$N198-1)</f>
        <v/>
      </c>
      <c r="AE198" s="20" t="n">
        <v>46123</v>
      </c>
      <c r="AF198" s="5" t="s">
        <v>827</v>
      </c>
      <c r="AG198" s="5" t="s">
        <v>828</v>
      </c>
      <c r="AH198" s="20" t="n">
        <v>46144</v>
      </c>
      <c r="AI198" s="5" t="n">
        <v>12</v>
      </c>
      <c r="AJ198" s="16" t="n">
        <v>1944</v>
      </c>
      <c r="AK198" s="16" t="n">
        <v>0</v>
      </c>
      <c r="AL198" s="21" t="n">
        <f aca="false">IF(OR($AJ198="",$AI198="",$AI198=0),"",$AJ198-N($AK198)/$AI198)</f>
        <v>1944</v>
      </c>
      <c r="AM198" s="22" t="n">
        <f aca="false">IF(OR($AJ198="",$L198="",$L198=0),"",$AJ198/$L198-1)</f>
        <v>-0.0255639097744361</v>
      </c>
      <c r="AN198" s="22" t="n">
        <f aca="false">IF(OR($AL198="",$N198="",$N198=0),"",$AL198/$N198-1)</f>
        <v>0.151658767772512</v>
      </c>
      <c r="AO198" s="6" t="n">
        <v>21</v>
      </c>
    </row>
    <row r="199" customFormat="false" ht="15" hidden="false" customHeight="false" outlineLevel="0" collapsed="false">
      <c r="A199" s="23" t="s">
        <v>829</v>
      </c>
      <c r="B199" s="23" t="s">
        <v>102</v>
      </c>
      <c r="C199" s="23" t="s">
        <v>103</v>
      </c>
      <c r="D199" s="24" t="n">
        <v>693</v>
      </c>
      <c r="E199" s="23" t="s">
        <v>830</v>
      </c>
      <c r="F199" s="23" t="s">
        <v>831</v>
      </c>
      <c r="G199" s="25" t="n">
        <v>45955</v>
      </c>
      <c r="H199" s="23" t="n">
        <v>10</v>
      </c>
      <c r="I199" s="25" t="n">
        <v>46258</v>
      </c>
      <c r="J199" s="23" t="s">
        <v>135</v>
      </c>
      <c r="K199" s="23" t="s">
        <v>86</v>
      </c>
      <c r="L199" s="26" t="n">
        <v>1349</v>
      </c>
      <c r="M199" s="26" t="n">
        <v>0</v>
      </c>
      <c r="N199" s="27" t="n">
        <f aca="false">IF(OR($L199="",$H199="",$H199=0),"",$L199-N($M199)/$H199)</f>
        <v>1349</v>
      </c>
      <c r="O199" s="23" t="s">
        <v>87</v>
      </c>
      <c r="P199" s="23" t="s">
        <v>88</v>
      </c>
      <c r="Q199" s="23" t="s">
        <v>89</v>
      </c>
      <c r="R199" s="23"/>
      <c r="S199" s="23"/>
      <c r="T199" s="23"/>
      <c r="U199" s="23"/>
      <c r="V199" s="23"/>
      <c r="W199" s="25"/>
      <c r="X199" s="23"/>
      <c r="Y199" s="26"/>
      <c r="Z199" s="26"/>
      <c r="AA199" s="27" t="str">
        <f aca="false">IF(OR($Y199="",$X199="",$X199=0),"",$Y199-N($Z199)/$X199)</f>
        <v/>
      </c>
      <c r="AB199" s="23"/>
      <c r="AC199" s="28" t="str">
        <f aca="false">IF(OR($Y199="",$L199="",$L199=0),"",$Y199/$L199-1)</f>
        <v/>
      </c>
      <c r="AD199" s="28" t="str">
        <f aca="false">IF(OR($AA199="",$N199="",$N199=0),"",$AA199/$N199-1)</f>
        <v/>
      </c>
      <c r="AE199" s="25"/>
      <c r="AF199" s="23"/>
      <c r="AG199" s="23"/>
      <c r="AH199" s="25"/>
      <c r="AI199" s="23"/>
      <c r="AJ199" s="26"/>
      <c r="AK199" s="26"/>
      <c r="AL199" s="27" t="str">
        <f aca="false">IF(OR($AJ199="",$AI199="",$AI199=0),"",$AJ199-N($AK199)/$AI199)</f>
        <v/>
      </c>
      <c r="AM199" s="28" t="str">
        <f aca="false">IF(OR($AJ199="",$L199="",$L199=0),"",$AJ199/$L199-1)</f>
        <v/>
      </c>
      <c r="AN199" s="28" t="str">
        <f aca="false">IF(OR($AL199="",$N199="",$N199=0),"",$AL199/$N199-1)</f>
        <v/>
      </c>
      <c r="AO199" s="24"/>
    </row>
    <row r="200" customFormat="false" ht="15" hidden="false" customHeight="false" outlineLevel="0" collapsed="false">
      <c r="A200" s="5" t="s">
        <v>832</v>
      </c>
      <c r="B200" s="5" t="s">
        <v>102</v>
      </c>
      <c r="C200" s="5" t="s">
        <v>103</v>
      </c>
      <c r="D200" s="6" t="n">
        <v>693</v>
      </c>
      <c r="E200" s="5" t="s">
        <v>833</v>
      </c>
      <c r="F200" s="5" t="s">
        <v>834</v>
      </c>
      <c r="G200" s="20" t="n">
        <v>45906</v>
      </c>
      <c r="H200" s="5" t="n">
        <v>13</v>
      </c>
      <c r="I200" s="20" t="n">
        <v>46300</v>
      </c>
      <c r="J200" s="5" t="s">
        <v>106</v>
      </c>
      <c r="K200" s="5" t="s">
        <v>86</v>
      </c>
      <c r="L200" s="16" t="n">
        <v>1595</v>
      </c>
      <c r="M200" s="16" t="n">
        <v>0</v>
      </c>
      <c r="N200" s="21" t="n">
        <f aca="false">IF(OR($L200="",$H200="",$H200=0),"",$L200-N($M200)/$H200)</f>
        <v>1595</v>
      </c>
      <c r="O200" s="5" t="s">
        <v>87</v>
      </c>
      <c r="P200" s="5" t="s">
        <v>88</v>
      </c>
      <c r="Q200" s="5" t="s">
        <v>97</v>
      </c>
      <c r="R200" s="5"/>
      <c r="S200" s="5"/>
      <c r="T200" s="5" t="s">
        <v>98</v>
      </c>
      <c r="U200" s="5"/>
      <c r="V200" s="5"/>
      <c r="W200" s="20"/>
      <c r="X200" s="5"/>
      <c r="Y200" s="16"/>
      <c r="Z200" s="16"/>
      <c r="AA200" s="21" t="str">
        <f aca="false">IF(OR($Y200="",$X200="",$X200=0),"",$Y200-N($Z200)/$X200)</f>
        <v/>
      </c>
      <c r="AB200" s="5"/>
      <c r="AC200" s="22" t="str">
        <f aca="false">IF(OR($Y200="",$L200="",$L200=0),"",$Y200/$L200-1)</f>
        <v/>
      </c>
      <c r="AD200" s="22" t="str">
        <f aca="false">IF(OR($AA200="",$N200="",$N200=0),"",$AA200/$N200-1)</f>
        <v/>
      </c>
      <c r="AE200" s="20"/>
      <c r="AF200" s="5"/>
      <c r="AG200" s="5"/>
      <c r="AH200" s="20"/>
      <c r="AI200" s="5"/>
      <c r="AJ200" s="16"/>
      <c r="AK200" s="16"/>
      <c r="AL200" s="21" t="str">
        <f aca="false">IF(OR($AJ200="",$AI200="",$AI200=0),"",$AJ200-N($AK200)/$AI200)</f>
        <v/>
      </c>
      <c r="AM200" s="22" t="str">
        <f aca="false">IF(OR($AJ200="",$L200="",$L200=0),"",$AJ200/$L200-1)</f>
        <v/>
      </c>
      <c r="AN200" s="22" t="str">
        <f aca="false">IF(OR($AL200="",$N200="",$N200=0),"",$AL200/$N200-1)</f>
        <v/>
      </c>
      <c r="AO200" s="6"/>
    </row>
    <row r="201" customFormat="false" ht="15" hidden="false" customHeight="false" outlineLevel="0" collapsed="false">
      <c r="A201" s="23" t="s">
        <v>835</v>
      </c>
      <c r="B201" s="23" t="s">
        <v>108</v>
      </c>
      <c r="C201" s="23" t="s">
        <v>103</v>
      </c>
      <c r="D201" s="24" t="n">
        <v>746</v>
      </c>
      <c r="E201" s="23" t="s">
        <v>836</v>
      </c>
      <c r="F201" s="23" t="s">
        <v>837</v>
      </c>
      <c r="G201" s="25" t="n">
        <v>46000</v>
      </c>
      <c r="H201" s="23" t="n">
        <v>12</v>
      </c>
      <c r="I201" s="25" t="n">
        <v>46364</v>
      </c>
      <c r="J201" s="23" t="s">
        <v>85</v>
      </c>
      <c r="K201" s="23" t="s">
        <v>86</v>
      </c>
      <c r="L201" s="26" t="n">
        <v>1465</v>
      </c>
      <c r="M201" s="26" t="n">
        <v>0</v>
      </c>
      <c r="N201" s="27" t="n">
        <f aca="false">IF(OR($L201="",$H201="",$H201=0),"",$L201-N($M201)/$H201)</f>
        <v>1465</v>
      </c>
      <c r="O201" s="23" t="s">
        <v>87</v>
      </c>
      <c r="P201" s="23" t="s">
        <v>88</v>
      </c>
      <c r="Q201" s="23" t="s">
        <v>97</v>
      </c>
      <c r="R201" s="23"/>
      <c r="S201" s="23"/>
      <c r="T201" s="23" t="s">
        <v>98</v>
      </c>
      <c r="U201" s="23"/>
      <c r="V201" s="23"/>
      <c r="W201" s="25"/>
      <c r="X201" s="23"/>
      <c r="Y201" s="26"/>
      <c r="Z201" s="26"/>
      <c r="AA201" s="27" t="str">
        <f aca="false">IF(OR($Y201="",$X201="",$X201=0),"",$Y201-N($Z201)/$X201)</f>
        <v/>
      </c>
      <c r="AB201" s="23"/>
      <c r="AC201" s="28" t="str">
        <f aca="false">IF(OR($Y201="",$L201="",$L201=0),"",$Y201/$L201-1)</f>
        <v/>
      </c>
      <c r="AD201" s="28" t="str">
        <f aca="false">IF(OR($AA201="",$N201="",$N201=0),"",$AA201/$N201-1)</f>
        <v/>
      </c>
      <c r="AE201" s="25" t="n">
        <v>46201</v>
      </c>
      <c r="AF201" s="23" t="s">
        <v>838</v>
      </c>
      <c r="AG201" s="23" t="s">
        <v>839</v>
      </c>
      <c r="AH201" s="25" t="n">
        <v>46223</v>
      </c>
      <c r="AI201" s="23" t="n">
        <v>12</v>
      </c>
      <c r="AJ201" s="26" t="n">
        <v>1640</v>
      </c>
      <c r="AK201" s="26" t="n">
        <v>1640</v>
      </c>
      <c r="AL201" s="27" t="n">
        <f aca="false">IF(OR($AJ201="",$AI201="",$AI201=0),"",$AJ201-N($AK201)/$AI201)</f>
        <v>1503.33333333333</v>
      </c>
      <c r="AM201" s="28" t="n">
        <f aca="false">IF(OR($AJ201="",$L201="",$L201=0),"",$AJ201/$L201-1)</f>
        <v>0.119453924914676</v>
      </c>
      <c r="AN201" s="28" t="n">
        <f aca="false">IF(OR($AL201="",$N201="",$N201=0),"",$AL201/$N201-1)</f>
        <v>0.0261660978384528</v>
      </c>
      <c r="AO201" s="24" t="n">
        <v>22</v>
      </c>
    </row>
    <row r="202" customFormat="false" ht="15" hidden="false" customHeight="false" outlineLevel="0" collapsed="false">
      <c r="A202" s="5" t="s">
        <v>840</v>
      </c>
      <c r="B202" s="5" t="s">
        <v>102</v>
      </c>
      <c r="C202" s="5" t="s">
        <v>103</v>
      </c>
      <c r="D202" s="6" t="n">
        <v>693</v>
      </c>
      <c r="E202" s="5" t="s">
        <v>841</v>
      </c>
      <c r="F202" s="5" t="s">
        <v>842</v>
      </c>
      <c r="G202" s="20" t="n">
        <v>45667</v>
      </c>
      <c r="H202" s="5" t="n">
        <v>26</v>
      </c>
      <c r="I202" s="20" t="n">
        <v>46455</v>
      </c>
      <c r="J202" s="5" t="s">
        <v>131</v>
      </c>
      <c r="K202" s="5" t="s">
        <v>86</v>
      </c>
      <c r="L202" s="16" t="n">
        <v>1400</v>
      </c>
      <c r="M202" s="16" t="n">
        <v>0</v>
      </c>
      <c r="N202" s="21" t="n">
        <f aca="false">IF(OR($L202="",$H202="",$H202=0),"",$L202-N($M202)/$H202)</f>
        <v>1400</v>
      </c>
      <c r="O202" s="5" t="s">
        <v>87</v>
      </c>
      <c r="P202" s="5" t="s">
        <v>88</v>
      </c>
      <c r="Q202" s="5" t="s">
        <v>89</v>
      </c>
      <c r="R202" s="5"/>
      <c r="S202" s="5"/>
      <c r="T202" s="5"/>
      <c r="U202" s="5" t="s">
        <v>98</v>
      </c>
      <c r="V202" s="5"/>
      <c r="W202" s="20"/>
      <c r="X202" s="5"/>
      <c r="Y202" s="16"/>
      <c r="Z202" s="16"/>
      <c r="AA202" s="21" t="str">
        <f aca="false">IF(OR($Y202="",$X202="",$X202=0),"",$Y202-N($Z202)/$X202)</f>
        <v/>
      </c>
      <c r="AB202" s="5"/>
      <c r="AC202" s="22" t="str">
        <f aca="false">IF(OR($Y202="",$L202="",$L202=0),"",$Y202/$L202-1)</f>
        <v/>
      </c>
      <c r="AD202" s="22" t="str">
        <f aca="false">IF(OR($AA202="",$N202="",$N202=0),"",$AA202/$N202-1)</f>
        <v/>
      </c>
      <c r="AE202" s="20"/>
      <c r="AF202" s="5"/>
      <c r="AG202" s="5"/>
      <c r="AH202" s="20"/>
      <c r="AI202" s="5"/>
      <c r="AJ202" s="16"/>
      <c r="AK202" s="16"/>
      <c r="AL202" s="21" t="str">
        <f aca="false">IF(OR($AJ202="",$AI202="",$AI202=0),"",$AJ202-N($AK202)/$AI202)</f>
        <v/>
      </c>
      <c r="AM202" s="22" t="str">
        <f aca="false">IF(OR($AJ202="",$L202="",$L202=0),"",$AJ202/$L202-1)</f>
        <v/>
      </c>
      <c r="AN202" s="22" t="str">
        <f aca="false">IF(OR($AL202="",$N202="",$N202=0),"",$AL202/$N202-1)</f>
        <v/>
      </c>
      <c r="AO202" s="6"/>
    </row>
    <row r="203" customFormat="false" ht="15" hidden="false" customHeight="false" outlineLevel="0" collapsed="false">
      <c r="A203" s="23" t="s">
        <v>843</v>
      </c>
      <c r="B203" s="23" t="s">
        <v>204</v>
      </c>
      <c r="C203" s="23" t="s">
        <v>82</v>
      </c>
      <c r="D203" s="24" t="n">
        <v>1177</v>
      </c>
      <c r="E203" s="23" t="s">
        <v>844</v>
      </c>
      <c r="F203" s="23" t="s">
        <v>845</v>
      </c>
      <c r="G203" s="25" t="n">
        <v>45777</v>
      </c>
      <c r="H203" s="23" t="n">
        <v>18</v>
      </c>
      <c r="I203" s="25" t="n">
        <v>46324</v>
      </c>
      <c r="J203" s="23" t="s">
        <v>106</v>
      </c>
      <c r="K203" s="23" t="s">
        <v>86</v>
      </c>
      <c r="L203" s="26" t="n">
        <v>1770</v>
      </c>
      <c r="M203" s="26" t="n">
        <v>0</v>
      </c>
      <c r="N203" s="27" t="n">
        <f aca="false">IF(OR($L203="",$H203="",$H203=0),"",$L203-N($M203)/$H203)</f>
        <v>1770</v>
      </c>
      <c r="O203" s="23" t="s">
        <v>87</v>
      </c>
      <c r="P203" s="23" t="s">
        <v>88</v>
      </c>
      <c r="Q203" s="23" t="s">
        <v>89</v>
      </c>
      <c r="R203" s="23"/>
      <c r="S203" s="23"/>
      <c r="T203" s="23"/>
      <c r="U203" s="23"/>
      <c r="V203" s="23"/>
      <c r="W203" s="25"/>
      <c r="X203" s="23"/>
      <c r="Y203" s="26"/>
      <c r="Z203" s="26"/>
      <c r="AA203" s="27" t="str">
        <f aca="false">IF(OR($Y203="",$X203="",$X203=0),"",$Y203-N($Z203)/$X203)</f>
        <v/>
      </c>
      <c r="AB203" s="23"/>
      <c r="AC203" s="28" t="str">
        <f aca="false">IF(OR($Y203="",$L203="",$L203=0),"",$Y203/$L203-1)</f>
        <v/>
      </c>
      <c r="AD203" s="28" t="str">
        <f aca="false">IF(OR($AA203="",$N203="",$N203=0),"",$AA203/$N203-1)</f>
        <v/>
      </c>
      <c r="AE203" s="25"/>
      <c r="AF203" s="23"/>
      <c r="AG203" s="23"/>
      <c r="AH203" s="25"/>
      <c r="AI203" s="23"/>
      <c r="AJ203" s="26"/>
      <c r="AK203" s="26"/>
      <c r="AL203" s="27" t="str">
        <f aca="false">IF(OR($AJ203="",$AI203="",$AI203=0),"",$AJ203-N($AK203)/$AI203)</f>
        <v/>
      </c>
      <c r="AM203" s="28" t="str">
        <f aca="false">IF(OR($AJ203="",$L203="",$L203=0),"",$AJ203/$L203-1)</f>
        <v/>
      </c>
      <c r="AN203" s="28" t="str">
        <f aca="false">IF(OR($AL203="",$N203="",$N203=0),"",$AL203/$N203-1)</f>
        <v/>
      </c>
      <c r="AO203" s="24"/>
    </row>
    <row r="204" customFormat="false" ht="15" hidden="false" customHeight="false" outlineLevel="0" collapsed="false">
      <c r="A204" s="5" t="s">
        <v>846</v>
      </c>
      <c r="B204" s="5" t="s">
        <v>204</v>
      </c>
      <c r="C204" s="5" t="s">
        <v>82</v>
      </c>
      <c r="D204" s="6" t="n">
        <v>1177</v>
      </c>
      <c r="E204" s="5" t="s">
        <v>847</v>
      </c>
      <c r="F204" s="5" t="s">
        <v>848</v>
      </c>
      <c r="G204" s="20" t="n">
        <v>45738</v>
      </c>
      <c r="H204" s="5" t="n">
        <v>15</v>
      </c>
      <c r="I204" s="20" t="n">
        <v>46194</v>
      </c>
      <c r="J204" s="5" t="s">
        <v>152</v>
      </c>
      <c r="K204" s="5" t="s">
        <v>86</v>
      </c>
      <c r="L204" s="16" t="n">
        <v>1798</v>
      </c>
      <c r="M204" s="16" t="n">
        <v>495</v>
      </c>
      <c r="N204" s="21" t="n">
        <f aca="false">IF(OR($L204="",$H204="",$H204=0),"",$L204-N($M204)/$H204)</f>
        <v>1765</v>
      </c>
      <c r="O204" s="5" t="s">
        <v>87</v>
      </c>
      <c r="P204" s="5" t="s">
        <v>96</v>
      </c>
      <c r="Q204" s="5" t="s">
        <v>97</v>
      </c>
      <c r="R204" s="5" t="s">
        <v>98</v>
      </c>
      <c r="S204" s="5" t="s">
        <v>98</v>
      </c>
      <c r="T204" s="5"/>
      <c r="U204" s="5"/>
      <c r="V204" s="5"/>
      <c r="W204" s="20"/>
      <c r="X204" s="5"/>
      <c r="Y204" s="16"/>
      <c r="Z204" s="16"/>
      <c r="AA204" s="21" t="str">
        <f aca="false">IF(OR($Y204="",$X204="",$X204=0),"",$Y204-N($Z204)/$X204)</f>
        <v/>
      </c>
      <c r="AB204" s="5"/>
      <c r="AC204" s="22" t="str">
        <f aca="false">IF(OR($Y204="",$L204="",$L204=0),"",$Y204/$L204-1)</f>
        <v/>
      </c>
      <c r="AD204" s="22" t="str">
        <f aca="false">IF(OR($AA204="",$N204="",$N204=0),"",$AA204/$N204-1)</f>
        <v/>
      </c>
      <c r="AE204" s="20" t="n">
        <v>46194</v>
      </c>
      <c r="AF204" s="5" t="s">
        <v>849</v>
      </c>
      <c r="AG204" s="5" t="s">
        <v>837</v>
      </c>
      <c r="AH204" s="20" t="n">
        <v>46201</v>
      </c>
      <c r="AI204" s="5" t="n">
        <v>8</v>
      </c>
      <c r="AJ204" s="16" t="n">
        <v>1998</v>
      </c>
      <c r="AK204" s="16" t="n">
        <v>0</v>
      </c>
      <c r="AL204" s="21" t="n">
        <f aca="false">IF(OR($AJ204="",$AI204="",$AI204=0),"",$AJ204-N($AK204)/$AI204)</f>
        <v>1998</v>
      </c>
      <c r="AM204" s="22" t="n">
        <f aca="false">IF(OR($AJ204="",$L204="",$L204=0),"",$AJ204/$L204-1)</f>
        <v>0.111234705228031</v>
      </c>
      <c r="AN204" s="22" t="n">
        <f aca="false">IF(OR($AL204="",$N204="",$N204=0),"",$AL204/$N204-1)</f>
        <v>0.132011331444759</v>
      </c>
      <c r="AO204" s="6" t="n">
        <v>7</v>
      </c>
    </row>
    <row r="205" customFormat="false" ht="15" hidden="false" customHeight="false" outlineLevel="0" collapsed="false">
      <c r="A205" s="23" t="s">
        <v>850</v>
      </c>
      <c r="B205" s="23" t="s">
        <v>81</v>
      </c>
      <c r="C205" s="23" t="s">
        <v>82</v>
      </c>
      <c r="D205" s="24" t="n">
        <v>1141</v>
      </c>
      <c r="E205" s="23" t="s">
        <v>851</v>
      </c>
      <c r="F205" s="23" t="s">
        <v>852</v>
      </c>
      <c r="G205" s="25" t="n">
        <v>45542</v>
      </c>
      <c r="H205" s="23" t="n">
        <v>18</v>
      </c>
      <c r="I205" s="25" t="n">
        <v>46087</v>
      </c>
      <c r="J205" s="23" t="s">
        <v>125</v>
      </c>
      <c r="K205" s="23" t="s">
        <v>86</v>
      </c>
      <c r="L205" s="26" t="n">
        <v>2020</v>
      </c>
      <c r="M205" s="26"/>
      <c r="N205" s="27" t="n">
        <f aca="false">IF(OR($L205="",$H205="",$H205=0),"",$L205-N($M205)/$H205)</f>
        <v>2020</v>
      </c>
      <c r="O205" s="23" t="s">
        <v>87</v>
      </c>
      <c r="P205" s="23" t="s">
        <v>505</v>
      </c>
      <c r="Q205" s="23" t="s">
        <v>97</v>
      </c>
      <c r="R205" s="23" t="s">
        <v>98</v>
      </c>
      <c r="S205" s="23" t="s">
        <v>98</v>
      </c>
      <c r="T205" s="23"/>
      <c r="U205" s="23"/>
      <c r="V205" s="23"/>
      <c r="W205" s="25"/>
      <c r="X205" s="23"/>
      <c r="Y205" s="26"/>
      <c r="Z205" s="26"/>
      <c r="AA205" s="27" t="str">
        <f aca="false">IF(OR($Y205="",$X205="",$X205=0),"",$Y205-N($Z205)/$X205)</f>
        <v/>
      </c>
      <c r="AB205" s="23"/>
      <c r="AC205" s="28" t="str">
        <f aca="false">IF(OR($Y205="",$L205="",$L205=0),"",$Y205/$L205-1)</f>
        <v/>
      </c>
      <c r="AD205" s="28" t="str">
        <f aca="false">IF(OR($AA205="",$N205="",$N205=0),"",$AA205/$N205-1)</f>
        <v/>
      </c>
      <c r="AE205" s="25" t="n">
        <v>46087</v>
      </c>
      <c r="AF205" s="23" t="s">
        <v>853</v>
      </c>
      <c r="AG205" s="23" t="s">
        <v>854</v>
      </c>
      <c r="AH205" s="25" t="n">
        <v>46103</v>
      </c>
      <c r="AI205" s="23" t="n">
        <v>15</v>
      </c>
      <c r="AJ205" s="26" t="n">
        <v>2020</v>
      </c>
      <c r="AK205" s="26" t="n">
        <v>2020</v>
      </c>
      <c r="AL205" s="27" t="n">
        <f aca="false">IF(OR($AJ205="",$AI205="",$AI205=0),"",$AJ205-N($AK205)/$AI205)</f>
        <v>1885.33333333333</v>
      </c>
      <c r="AM205" s="28" t="n">
        <f aca="false">IF(OR($AJ205="",$L205="",$L205=0),"",$AJ205/$L205-1)</f>
        <v>0</v>
      </c>
      <c r="AN205" s="28" t="n">
        <f aca="false">IF(OR($AL205="",$N205="",$N205=0),"",$AL205/$N205-1)</f>
        <v>-0.0666666666666667</v>
      </c>
      <c r="AO205" s="24" t="n">
        <v>16</v>
      </c>
    </row>
    <row r="206" customFormat="false" ht="15" hidden="false" customHeight="false" outlineLevel="0" collapsed="false">
      <c r="A206" s="5" t="s">
        <v>855</v>
      </c>
      <c r="B206" s="5" t="s">
        <v>161</v>
      </c>
      <c r="C206" s="5" t="s">
        <v>92</v>
      </c>
      <c r="D206" s="6" t="n">
        <v>1340</v>
      </c>
      <c r="E206" s="5" t="s">
        <v>856</v>
      </c>
      <c r="F206" s="5" t="s">
        <v>857</v>
      </c>
      <c r="G206" s="20" t="n">
        <v>45591</v>
      </c>
      <c r="H206" s="5" t="n">
        <v>18</v>
      </c>
      <c r="I206" s="20" t="n">
        <v>46137</v>
      </c>
      <c r="J206" s="5" t="s">
        <v>167</v>
      </c>
      <c r="K206" s="5" t="s">
        <v>126</v>
      </c>
      <c r="L206" s="16" t="n">
        <v>2325</v>
      </c>
      <c r="M206" s="16"/>
      <c r="N206" s="21" t="n">
        <f aca="false">IF(OR($L206="",$H206="",$H206=0),"",$L206-N($M206)/$H206)</f>
        <v>2325</v>
      </c>
      <c r="O206" s="5" t="s">
        <v>87</v>
      </c>
      <c r="P206" s="5" t="s">
        <v>505</v>
      </c>
      <c r="Q206" s="5" t="s">
        <v>127</v>
      </c>
      <c r="R206" s="5" t="s">
        <v>98</v>
      </c>
      <c r="S206" s="5" t="s">
        <v>98</v>
      </c>
      <c r="T206" s="5"/>
      <c r="U206" s="5"/>
      <c r="V206" s="5"/>
      <c r="W206" s="20" t="n">
        <v>46138</v>
      </c>
      <c r="X206" s="5" t="n">
        <v>12</v>
      </c>
      <c r="Y206" s="16" t="n">
        <v>2325</v>
      </c>
      <c r="Z206" s="16" t="n">
        <v>0</v>
      </c>
      <c r="AA206" s="21" t="n">
        <f aca="false">IF(OR($Y206="",$X206="",$X206=0),"",$Y206-N($Z206)/$X206)</f>
        <v>2325</v>
      </c>
      <c r="AB206" s="5"/>
      <c r="AC206" s="22" t="n">
        <f aca="false">IF(OR($Y206="",$L206="",$L206=0),"",$Y206/$L206-1)</f>
        <v>0</v>
      </c>
      <c r="AD206" s="22" t="n">
        <f aca="false">IF(OR($AA206="",$N206="",$N206=0),"",$AA206/$N206-1)</f>
        <v>0</v>
      </c>
      <c r="AE206" s="20"/>
      <c r="AF206" s="5"/>
      <c r="AG206" s="5"/>
      <c r="AH206" s="20"/>
      <c r="AI206" s="5"/>
      <c r="AJ206" s="16"/>
      <c r="AK206" s="16"/>
      <c r="AL206" s="21" t="str">
        <f aca="false">IF(OR($AJ206="",$AI206="",$AI206=0),"",$AJ206-N($AK206)/$AI206)</f>
        <v/>
      </c>
      <c r="AM206" s="22" t="str">
        <f aca="false">IF(OR($AJ206="",$L206="",$L206=0),"",$AJ206/$L206-1)</f>
        <v/>
      </c>
      <c r="AN206" s="22" t="str">
        <f aca="false">IF(OR($AL206="",$N206="",$N206=0),"",$AL206/$N206-1)</f>
        <v/>
      </c>
      <c r="AO206" s="6"/>
    </row>
    <row r="207" customFormat="false" ht="15" hidden="false" customHeight="false" outlineLevel="0" collapsed="false">
      <c r="A207" s="23" t="s">
        <v>858</v>
      </c>
      <c r="B207" s="23" t="s">
        <v>102</v>
      </c>
      <c r="C207" s="23" t="s">
        <v>103</v>
      </c>
      <c r="D207" s="24" t="n">
        <v>693</v>
      </c>
      <c r="E207" s="23" t="s">
        <v>859</v>
      </c>
      <c r="F207" s="23" t="s">
        <v>860</v>
      </c>
      <c r="G207" s="25" t="n">
        <v>45748</v>
      </c>
      <c r="H207" s="23" t="n">
        <v>15</v>
      </c>
      <c r="I207" s="25" t="n">
        <v>46022</v>
      </c>
      <c r="J207" s="23" t="s">
        <v>289</v>
      </c>
      <c r="K207" s="23" t="s">
        <v>126</v>
      </c>
      <c r="L207" s="26" t="n">
        <v>1460</v>
      </c>
      <c r="M207" s="26" t="n">
        <v>495</v>
      </c>
      <c r="N207" s="27" t="n">
        <f aca="false">IF(OR($L207="",$H207="",$H207=0),"",$L207-N($M207)/$H207)</f>
        <v>1427</v>
      </c>
      <c r="O207" s="23" t="s">
        <v>87</v>
      </c>
      <c r="P207" s="23" t="s">
        <v>96</v>
      </c>
      <c r="Q207" s="23" t="s">
        <v>127</v>
      </c>
      <c r="R207" s="23" t="s">
        <v>98</v>
      </c>
      <c r="S207" s="23" t="s">
        <v>98</v>
      </c>
      <c r="T207" s="23"/>
      <c r="U207" s="23"/>
      <c r="V207" s="23"/>
      <c r="W207" s="25" t="n">
        <v>46023</v>
      </c>
      <c r="X207" s="23" t="n">
        <v>9</v>
      </c>
      <c r="Y207" s="26" t="n">
        <v>1460</v>
      </c>
      <c r="Z207" s="26" t="n">
        <v>0</v>
      </c>
      <c r="AA207" s="27" t="n">
        <f aca="false">IF(OR($Y207="",$X207="",$X207=0),"",$Y207-N($Z207)/$X207)</f>
        <v>1460</v>
      </c>
      <c r="AB207" s="23"/>
      <c r="AC207" s="28" t="n">
        <f aca="false">IF(OR($Y207="",$L207="",$L207=0),"",$Y207/$L207-1)</f>
        <v>0</v>
      </c>
      <c r="AD207" s="28" t="n">
        <f aca="false">IF(OR($AA207="",$N207="",$N207=0),"",$AA207/$N207-1)</f>
        <v>0.02312543798178</v>
      </c>
      <c r="AE207" s="25"/>
      <c r="AF207" s="23"/>
      <c r="AG207" s="23"/>
      <c r="AH207" s="25"/>
      <c r="AI207" s="23"/>
      <c r="AJ207" s="26"/>
      <c r="AK207" s="26"/>
      <c r="AL207" s="27" t="str">
        <f aca="false">IF(OR($AJ207="",$AI207="",$AI207=0),"",$AJ207-N($AK207)/$AI207)</f>
        <v/>
      </c>
      <c r="AM207" s="28" t="str">
        <f aca="false">IF(OR($AJ207="",$L207="",$L207=0),"",$AJ207/$L207-1)</f>
        <v/>
      </c>
      <c r="AN207" s="28" t="str">
        <f aca="false">IF(OR($AL207="",$N207="",$N207=0),"",$AL207/$N207-1)</f>
        <v/>
      </c>
      <c r="AO207" s="24"/>
    </row>
    <row r="208" customFormat="false" ht="15" hidden="false" customHeight="false" outlineLevel="0" collapsed="false">
      <c r="A208" s="5" t="s">
        <v>861</v>
      </c>
      <c r="B208" s="5" t="s">
        <v>108</v>
      </c>
      <c r="C208" s="5" t="s">
        <v>103</v>
      </c>
      <c r="D208" s="6" t="n">
        <v>746</v>
      </c>
      <c r="E208" s="5" t="s">
        <v>862</v>
      </c>
      <c r="F208" s="5" t="s">
        <v>863</v>
      </c>
      <c r="G208" s="20" t="n">
        <v>45885</v>
      </c>
      <c r="H208" s="5" t="n">
        <v>12</v>
      </c>
      <c r="I208" s="20" t="n">
        <v>46249</v>
      </c>
      <c r="J208" s="5" t="s">
        <v>135</v>
      </c>
      <c r="K208" s="5" t="s">
        <v>86</v>
      </c>
      <c r="L208" s="16" t="n">
        <v>1700</v>
      </c>
      <c r="M208" s="16" t="n">
        <v>2550</v>
      </c>
      <c r="N208" s="21" t="n">
        <f aca="false">IF(OR($L208="",$H208="",$H208=0),"",$L208-N($M208)/$H208)</f>
        <v>1487.5</v>
      </c>
      <c r="O208" s="5" t="s">
        <v>87</v>
      </c>
      <c r="P208" s="5" t="s">
        <v>88</v>
      </c>
      <c r="Q208" s="5" t="s">
        <v>89</v>
      </c>
      <c r="R208" s="5"/>
      <c r="S208" s="5"/>
      <c r="T208" s="5"/>
      <c r="U208" s="5" t="s">
        <v>98</v>
      </c>
      <c r="V208" s="5"/>
      <c r="W208" s="20"/>
      <c r="X208" s="5"/>
      <c r="Y208" s="16"/>
      <c r="Z208" s="16"/>
      <c r="AA208" s="21" t="str">
        <f aca="false">IF(OR($Y208="",$X208="",$X208=0),"",$Y208-N($Z208)/$X208)</f>
        <v/>
      </c>
      <c r="AB208" s="5"/>
      <c r="AC208" s="22" t="str">
        <f aca="false">IF(OR($Y208="",$L208="",$L208=0),"",$Y208/$L208-1)</f>
        <v/>
      </c>
      <c r="AD208" s="22" t="str">
        <f aca="false">IF(OR($AA208="",$N208="",$N208=0),"",$AA208/$N208-1)</f>
        <v/>
      </c>
      <c r="AE208" s="20"/>
      <c r="AF208" s="5"/>
      <c r="AG208" s="5"/>
      <c r="AH208" s="20"/>
      <c r="AI208" s="5"/>
      <c r="AJ208" s="16"/>
      <c r="AK208" s="16"/>
      <c r="AL208" s="21" t="str">
        <f aca="false">IF(OR($AJ208="",$AI208="",$AI208=0),"",$AJ208-N($AK208)/$AI208)</f>
        <v/>
      </c>
      <c r="AM208" s="22" t="str">
        <f aca="false">IF(OR($AJ208="",$L208="",$L208=0),"",$AJ208/$L208-1)</f>
        <v/>
      </c>
      <c r="AN208" s="22" t="str">
        <f aca="false">IF(OR($AL208="",$N208="",$N208=0),"",$AL208/$N208-1)</f>
        <v/>
      </c>
      <c r="AO208" s="6"/>
    </row>
    <row r="209" customFormat="false" ht="15" hidden="false" customHeight="false" outlineLevel="0" collapsed="false">
      <c r="A209" s="23" t="s">
        <v>864</v>
      </c>
      <c r="B209" s="23" t="s">
        <v>113</v>
      </c>
      <c r="C209" s="23" t="s">
        <v>82</v>
      </c>
      <c r="D209" s="24" t="n">
        <v>1092</v>
      </c>
      <c r="E209" s="23" t="s">
        <v>865</v>
      </c>
      <c r="F209" s="23" t="s">
        <v>866</v>
      </c>
      <c r="G209" s="25" t="n">
        <v>45542</v>
      </c>
      <c r="H209" s="23" t="n">
        <v>18</v>
      </c>
      <c r="I209" s="25" t="n">
        <v>46087</v>
      </c>
      <c r="J209" s="23" t="s">
        <v>125</v>
      </c>
      <c r="K209" s="23" t="s">
        <v>86</v>
      </c>
      <c r="L209" s="26" t="n">
        <v>1960</v>
      </c>
      <c r="M209" s="26"/>
      <c r="N209" s="27" t="n">
        <f aca="false">IF(OR($L209="",$H209="",$H209=0),"",$L209-N($M209)/$H209)</f>
        <v>1960</v>
      </c>
      <c r="O209" s="23" t="s">
        <v>87</v>
      </c>
      <c r="P209" s="23" t="s">
        <v>505</v>
      </c>
      <c r="Q209" s="23" t="s">
        <v>97</v>
      </c>
      <c r="R209" s="23" t="s">
        <v>98</v>
      </c>
      <c r="S209" s="23" t="s">
        <v>98</v>
      </c>
      <c r="T209" s="23"/>
      <c r="U209" s="23"/>
      <c r="V209" s="23"/>
      <c r="W209" s="25"/>
      <c r="X209" s="23"/>
      <c r="Y209" s="26"/>
      <c r="Z209" s="26"/>
      <c r="AA209" s="27" t="str">
        <f aca="false">IF(OR($Y209="",$X209="",$X209=0),"",$Y209-N($Z209)/$X209)</f>
        <v/>
      </c>
      <c r="AB209" s="23"/>
      <c r="AC209" s="28" t="str">
        <f aca="false">IF(OR($Y209="",$L209="",$L209=0),"",$Y209/$L209-1)</f>
        <v/>
      </c>
      <c r="AD209" s="28" t="str">
        <f aca="false">IF(OR($AA209="",$N209="",$N209=0),"",$AA209/$N209-1)</f>
        <v/>
      </c>
      <c r="AE209" s="25" t="n">
        <v>46087</v>
      </c>
      <c r="AF209" s="23" t="s">
        <v>867</v>
      </c>
      <c r="AG209" s="23" t="s">
        <v>868</v>
      </c>
      <c r="AH209" s="25" t="n">
        <v>46165</v>
      </c>
      <c r="AI209" s="23" t="n">
        <v>12</v>
      </c>
      <c r="AJ209" s="26" t="n">
        <v>1995</v>
      </c>
      <c r="AK209" s="26" t="n">
        <v>1995</v>
      </c>
      <c r="AL209" s="27" t="n">
        <f aca="false">IF(OR($AJ209="",$AI209="",$AI209=0),"",$AJ209-N($AK209)/$AI209)</f>
        <v>1828.75</v>
      </c>
      <c r="AM209" s="28" t="n">
        <f aca="false">IF(OR($AJ209="",$L209="",$L209=0),"",$AJ209/$L209-1)</f>
        <v>0.0178571428571428</v>
      </c>
      <c r="AN209" s="28" t="n">
        <f aca="false">IF(OR($AL209="",$N209="",$N209=0),"",$AL209/$N209-1)</f>
        <v>-0.0669642857142857</v>
      </c>
      <c r="AO209" s="24" t="n">
        <v>78</v>
      </c>
    </row>
    <row r="210" customFormat="false" ht="15" hidden="false" customHeight="false" outlineLevel="0" collapsed="false">
      <c r="A210" s="5" t="s">
        <v>869</v>
      </c>
      <c r="B210" s="5" t="s">
        <v>102</v>
      </c>
      <c r="C210" s="5" t="s">
        <v>103</v>
      </c>
      <c r="D210" s="6" t="n">
        <v>693</v>
      </c>
      <c r="E210" s="5" t="s">
        <v>870</v>
      </c>
      <c r="F210" s="5" t="s">
        <v>871</v>
      </c>
      <c r="G210" s="20" t="n">
        <v>45733</v>
      </c>
      <c r="H210" s="5" t="n">
        <v>15</v>
      </c>
      <c r="I210" s="20" t="n">
        <v>46189</v>
      </c>
      <c r="J210" s="5" t="s">
        <v>152</v>
      </c>
      <c r="K210" s="5" t="s">
        <v>202</v>
      </c>
      <c r="L210" s="16" t="n">
        <v>1435</v>
      </c>
      <c r="M210" s="16" t="n">
        <v>500</v>
      </c>
      <c r="N210" s="21" t="n">
        <f aca="false">IF(OR($L210="",$H210="",$H210=0),"",$L210-N($M210)/$H210)</f>
        <v>1401.66666666667</v>
      </c>
      <c r="O210" s="5" t="s">
        <v>87</v>
      </c>
      <c r="P210" s="5" t="s">
        <v>202</v>
      </c>
      <c r="Q210" s="5" t="s">
        <v>127</v>
      </c>
      <c r="R210" s="5" t="s">
        <v>98</v>
      </c>
      <c r="S210" s="5" t="s">
        <v>98</v>
      </c>
      <c r="T210" s="5"/>
      <c r="U210" s="5"/>
      <c r="V210" s="5"/>
      <c r="W210" s="20" t="n">
        <v>46190</v>
      </c>
      <c r="X210" s="5" t="n">
        <v>12</v>
      </c>
      <c r="Y210" s="16" t="n">
        <v>1471</v>
      </c>
      <c r="Z210" s="16" t="n">
        <v>0</v>
      </c>
      <c r="AA210" s="21" t="n">
        <f aca="false">IF(OR($Y210="",$X210="",$X210=0),"",$Y210-N($Z210)/$X210)</f>
        <v>1471</v>
      </c>
      <c r="AB210" s="5" t="s">
        <v>98</v>
      </c>
      <c r="AC210" s="22" t="n">
        <f aca="false">IF(OR($Y210="",$L210="",$L210=0),"",$Y210/$L210-1)</f>
        <v>0.0250871080139372</v>
      </c>
      <c r="AD210" s="22" t="n">
        <f aca="false">IF(OR($AA210="",$N210="",$N210=0),"",$AA210/$N210-1)</f>
        <v>0.0494649227110582</v>
      </c>
      <c r="AE210" s="20"/>
      <c r="AF210" s="5"/>
      <c r="AG210" s="5"/>
      <c r="AH210" s="20"/>
      <c r="AI210" s="5"/>
      <c r="AJ210" s="16"/>
      <c r="AK210" s="16"/>
      <c r="AL210" s="21" t="str">
        <f aca="false">IF(OR($AJ210="",$AI210="",$AI210=0),"",$AJ210-N($AK210)/$AI210)</f>
        <v/>
      </c>
      <c r="AM210" s="22" t="str">
        <f aca="false">IF(OR($AJ210="",$L210="",$L210=0),"",$AJ210/$L210-1)</f>
        <v/>
      </c>
      <c r="AN210" s="22" t="str">
        <f aca="false">IF(OR($AL210="",$N210="",$N210=0),"",$AL210/$N210-1)</f>
        <v/>
      </c>
      <c r="AO210" s="6"/>
    </row>
    <row r="211" customFormat="false" ht="15" hidden="false" customHeight="false" outlineLevel="0" collapsed="false">
      <c r="A211" s="23" t="s">
        <v>872</v>
      </c>
      <c r="B211" s="23" t="s">
        <v>81</v>
      </c>
      <c r="C211" s="23" t="s">
        <v>82</v>
      </c>
      <c r="D211" s="24" t="n">
        <v>1141</v>
      </c>
      <c r="E211" s="23" t="s">
        <v>873</v>
      </c>
      <c r="F211" s="23" t="s">
        <v>874</v>
      </c>
      <c r="G211" s="25" t="n">
        <v>45914</v>
      </c>
      <c r="H211" s="23" t="n">
        <v>13</v>
      </c>
      <c r="I211" s="25" t="n">
        <v>46308</v>
      </c>
      <c r="J211" s="23" t="s">
        <v>106</v>
      </c>
      <c r="K211" s="23" t="s">
        <v>86</v>
      </c>
      <c r="L211" s="26" t="n">
        <v>2055</v>
      </c>
      <c r="M211" s="26" t="n">
        <v>2055</v>
      </c>
      <c r="N211" s="27" t="n">
        <f aca="false">IF(OR($L211="",$H211="",$H211=0),"",$L211-N($M211)/$H211)</f>
        <v>1896.92307692308</v>
      </c>
      <c r="O211" s="23" t="s">
        <v>87</v>
      </c>
      <c r="P211" s="23" t="s">
        <v>88</v>
      </c>
      <c r="Q211" s="23" t="s">
        <v>89</v>
      </c>
      <c r="R211" s="23"/>
      <c r="S211" s="23"/>
      <c r="T211" s="23"/>
      <c r="U211" s="23"/>
      <c r="V211" s="23"/>
      <c r="W211" s="25"/>
      <c r="X211" s="23"/>
      <c r="Y211" s="26"/>
      <c r="Z211" s="26"/>
      <c r="AA211" s="27" t="str">
        <f aca="false">IF(OR($Y211="",$X211="",$X211=0),"",$Y211-N($Z211)/$X211)</f>
        <v/>
      </c>
      <c r="AB211" s="23"/>
      <c r="AC211" s="28" t="str">
        <f aca="false">IF(OR($Y211="",$L211="",$L211=0),"",$Y211/$L211-1)</f>
        <v/>
      </c>
      <c r="AD211" s="28" t="str">
        <f aca="false">IF(OR($AA211="",$N211="",$N211=0),"",$AA211/$N211-1)</f>
        <v/>
      </c>
      <c r="AE211" s="25"/>
      <c r="AF211" s="23"/>
      <c r="AG211" s="23"/>
      <c r="AH211" s="25"/>
      <c r="AI211" s="23"/>
      <c r="AJ211" s="26"/>
      <c r="AK211" s="26"/>
      <c r="AL211" s="27" t="str">
        <f aca="false">IF(OR($AJ211="",$AI211="",$AI211=0),"",$AJ211-N($AK211)/$AI211)</f>
        <v/>
      </c>
      <c r="AM211" s="28" t="str">
        <f aca="false">IF(OR($AJ211="",$L211="",$L211=0),"",$AJ211/$L211-1)</f>
        <v/>
      </c>
      <c r="AN211" s="28" t="str">
        <f aca="false">IF(OR($AL211="",$N211="",$N211=0),"",$AL211/$N211-1)</f>
        <v/>
      </c>
      <c r="AO211" s="24"/>
    </row>
    <row r="212" customFormat="false" ht="15" hidden="false" customHeight="false" outlineLevel="0" collapsed="false">
      <c r="A212" s="5" t="s">
        <v>875</v>
      </c>
      <c r="B212" s="5" t="s">
        <v>108</v>
      </c>
      <c r="C212" s="5" t="s">
        <v>103</v>
      </c>
      <c r="D212" s="6" t="n">
        <v>746</v>
      </c>
      <c r="E212" s="5" t="s">
        <v>876</v>
      </c>
      <c r="F212" s="5" t="s">
        <v>877</v>
      </c>
      <c r="G212" s="20" t="n">
        <v>46009</v>
      </c>
      <c r="H212" s="5" t="n">
        <v>9</v>
      </c>
      <c r="I212" s="20" t="n">
        <v>46282</v>
      </c>
      <c r="J212" s="5" t="s">
        <v>186</v>
      </c>
      <c r="K212" s="5" t="s">
        <v>86</v>
      </c>
      <c r="L212" s="16" t="n">
        <v>1499</v>
      </c>
      <c r="M212" s="16" t="n">
        <v>0</v>
      </c>
      <c r="N212" s="21" t="n">
        <f aca="false">IF(OR($L212="",$H212="",$H212=0),"",$L212-N($M212)/$H212)</f>
        <v>1499</v>
      </c>
      <c r="O212" s="5" t="s">
        <v>87</v>
      </c>
      <c r="P212" s="5" t="s">
        <v>88</v>
      </c>
      <c r="Q212" s="5" t="s">
        <v>89</v>
      </c>
      <c r="R212" s="5"/>
      <c r="S212" s="5"/>
      <c r="T212" s="5"/>
      <c r="U212" s="5"/>
      <c r="V212" s="5"/>
      <c r="W212" s="20"/>
      <c r="X212" s="5"/>
      <c r="Y212" s="16"/>
      <c r="Z212" s="16"/>
      <c r="AA212" s="21" t="str">
        <f aca="false">IF(OR($Y212="",$X212="",$X212=0),"",$Y212-N($Z212)/$X212)</f>
        <v/>
      </c>
      <c r="AB212" s="5"/>
      <c r="AC212" s="22" t="str">
        <f aca="false">IF(OR($Y212="",$L212="",$L212=0),"",$Y212/$L212-1)</f>
        <v/>
      </c>
      <c r="AD212" s="22" t="str">
        <f aca="false">IF(OR($AA212="",$N212="",$N212=0),"",$AA212/$N212-1)</f>
        <v/>
      </c>
      <c r="AE212" s="20"/>
      <c r="AF212" s="5"/>
      <c r="AG212" s="5"/>
      <c r="AH212" s="20"/>
      <c r="AI212" s="5"/>
      <c r="AJ212" s="16"/>
      <c r="AK212" s="16"/>
      <c r="AL212" s="21" t="str">
        <f aca="false">IF(OR($AJ212="",$AI212="",$AI212=0),"",$AJ212-N($AK212)/$AI212)</f>
        <v/>
      </c>
      <c r="AM212" s="22" t="str">
        <f aca="false">IF(OR($AJ212="",$L212="",$L212=0),"",$AJ212/$L212-1)</f>
        <v/>
      </c>
      <c r="AN212" s="22" t="str">
        <f aca="false">IF(OR($AL212="",$N212="",$N212=0),"",$AL212/$N212-1)</f>
        <v/>
      </c>
      <c r="AO212" s="6"/>
    </row>
    <row r="213" customFormat="false" ht="15" hidden="false" customHeight="false" outlineLevel="0" collapsed="false">
      <c r="A213" s="23" t="s">
        <v>878</v>
      </c>
      <c r="B213" s="23" t="s">
        <v>204</v>
      </c>
      <c r="C213" s="23" t="s">
        <v>82</v>
      </c>
      <c r="D213" s="24" t="n">
        <v>1177</v>
      </c>
      <c r="E213" s="23" t="s">
        <v>879</v>
      </c>
      <c r="F213" s="23" t="s">
        <v>880</v>
      </c>
      <c r="G213" s="25" t="n">
        <v>45778</v>
      </c>
      <c r="H213" s="23" t="n">
        <v>15</v>
      </c>
      <c r="I213" s="25" t="n">
        <v>46599</v>
      </c>
      <c r="J213" s="23" t="s">
        <v>573</v>
      </c>
      <c r="K213" s="23" t="s">
        <v>86</v>
      </c>
      <c r="L213" s="26" t="n">
        <v>1710</v>
      </c>
      <c r="M213" s="26" t="n">
        <v>0</v>
      </c>
      <c r="N213" s="27" t="n">
        <f aca="false">IF(OR($L213="",$H213="",$H213=0),"",$L213-N($M213)/$H213)</f>
        <v>1710</v>
      </c>
      <c r="O213" s="23" t="s">
        <v>87</v>
      </c>
      <c r="P213" s="23" t="s">
        <v>88</v>
      </c>
      <c r="Q213" s="23" t="s">
        <v>89</v>
      </c>
      <c r="R213" s="23"/>
      <c r="S213" s="23"/>
      <c r="T213" s="23"/>
      <c r="U213" s="23"/>
      <c r="V213" s="23"/>
      <c r="W213" s="25"/>
      <c r="X213" s="23"/>
      <c r="Y213" s="26"/>
      <c r="Z213" s="26"/>
      <c r="AA213" s="27" t="str">
        <f aca="false">IF(OR($Y213="",$X213="",$X213=0),"",$Y213-N($Z213)/$X213)</f>
        <v/>
      </c>
      <c r="AB213" s="23"/>
      <c r="AC213" s="28" t="str">
        <f aca="false">IF(OR($Y213="",$L213="",$L213=0),"",$Y213/$L213-1)</f>
        <v/>
      </c>
      <c r="AD213" s="28" t="str">
        <f aca="false">IF(OR($AA213="",$N213="",$N213=0),"",$AA213/$N213-1)</f>
        <v/>
      </c>
      <c r="AE213" s="25"/>
      <c r="AF213" s="23"/>
      <c r="AG213" s="23"/>
      <c r="AH213" s="25"/>
      <c r="AI213" s="23"/>
      <c r="AJ213" s="26"/>
      <c r="AK213" s="26"/>
      <c r="AL213" s="27" t="str">
        <f aca="false">IF(OR($AJ213="",$AI213="",$AI213=0),"",$AJ213-N($AK213)/$AI213)</f>
        <v/>
      </c>
      <c r="AM213" s="28" t="str">
        <f aca="false">IF(OR($AJ213="",$L213="",$L213=0),"",$AJ213/$L213-1)</f>
        <v/>
      </c>
      <c r="AN213" s="28" t="str">
        <f aca="false">IF(OR($AL213="",$N213="",$N213=0),"",$AL213/$N213-1)</f>
        <v/>
      </c>
      <c r="AO213" s="24"/>
    </row>
    <row r="214" customFormat="false" ht="15" hidden="false" customHeight="false" outlineLevel="0" collapsed="false">
      <c r="A214" s="5" t="s">
        <v>881</v>
      </c>
      <c r="B214" s="5" t="s">
        <v>204</v>
      </c>
      <c r="C214" s="5" t="s">
        <v>82</v>
      </c>
      <c r="D214" s="6" t="n">
        <v>1177</v>
      </c>
      <c r="E214" s="5" t="s">
        <v>882</v>
      </c>
      <c r="F214" s="5" t="s">
        <v>883</v>
      </c>
      <c r="G214" s="20" t="n">
        <v>45809</v>
      </c>
      <c r="H214" s="5" t="n">
        <v>12</v>
      </c>
      <c r="I214" s="20" t="n">
        <v>46173</v>
      </c>
      <c r="J214" s="5" t="s">
        <v>148</v>
      </c>
      <c r="K214" s="5" t="s">
        <v>86</v>
      </c>
      <c r="L214" s="16" t="n">
        <v>2099</v>
      </c>
      <c r="M214" s="16" t="n">
        <v>2100</v>
      </c>
      <c r="N214" s="21" t="n">
        <f aca="false">IF(OR($L214="",$H214="",$H214=0),"",$L214-N($M214)/$H214)</f>
        <v>1924</v>
      </c>
      <c r="O214" s="5" t="s">
        <v>87</v>
      </c>
      <c r="P214" s="5" t="s">
        <v>96</v>
      </c>
      <c r="Q214" s="5" t="s">
        <v>97</v>
      </c>
      <c r="R214" s="5" t="s">
        <v>98</v>
      </c>
      <c r="S214" s="5" t="s">
        <v>98</v>
      </c>
      <c r="T214" s="5"/>
      <c r="U214" s="5"/>
      <c r="V214" s="5"/>
      <c r="W214" s="20"/>
      <c r="X214" s="5"/>
      <c r="Y214" s="16"/>
      <c r="Z214" s="16"/>
      <c r="AA214" s="21" t="str">
        <f aca="false">IF(OR($Y214="",$X214="",$X214=0),"",$Y214-N($Z214)/$X214)</f>
        <v/>
      </c>
      <c r="AB214" s="5"/>
      <c r="AC214" s="22" t="str">
        <f aca="false">IF(OR($Y214="",$L214="",$L214=0),"",$Y214/$L214-1)</f>
        <v/>
      </c>
      <c r="AD214" s="22" t="str">
        <f aca="false">IF(OR($AA214="",$N214="",$N214=0),"",$AA214/$N214-1)</f>
        <v/>
      </c>
      <c r="AE214" s="20" t="n">
        <v>46173</v>
      </c>
      <c r="AF214" s="5" t="s">
        <v>884</v>
      </c>
      <c r="AG214" s="5" t="s">
        <v>504</v>
      </c>
      <c r="AH214" s="20" t="n">
        <v>46180</v>
      </c>
      <c r="AI214" s="5" t="n">
        <v>13</v>
      </c>
      <c r="AJ214" s="16" t="n">
        <v>1798</v>
      </c>
      <c r="AK214" s="16" t="n">
        <v>0</v>
      </c>
      <c r="AL214" s="21" t="n">
        <f aca="false">IF(OR($AJ214="",$AI214="",$AI214=0),"",$AJ214-N($AK214)/$AI214)</f>
        <v>1798</v>
      </c>
      <c r="AM214" s="22" t="n">
        <f aca="false">IF(OR($AJ214="",$L214="",$L214=0),"",$AJ214/$L214-1)</f>
        <v>-0.143401619818961</v>
      </c>
      <c r="AN214" s="22" t="n">
        <f aca="false">IF(OR($AL214="",$N214="",$N214=0),"",$AL214/$N214-1)</f>
        <v>-0.0654885654885655</v>
      </c>
      <c r="AO214" s="6" t="n">
        <v>7</v>
      </c>
    </row>
    <row r="215" customFormat="false" ht="15" hidden="false" customHeight="false" outlineLevel="0" collapsed="false">
      <c r="A215" s="23" t="s">
        <v>885</v>
      </c>
      <c r="B215" s="23" t="s">
        <v>81</v>
      </c>
      <c r="C215" s="23" t="s">
        <v>82</v>
      </c>
      <c r="D215" s="24" t="n">
        <v>1141</v>
      </c>
      <c r="E215" s="23" t="s">
        <v>886</v>
      </c>
      <c r="F215" s="23" t="s">
        <v>887</v>
      </c>
      <c r="G215" s="25" t="n">
        <v>45841</v>
      </c>
      <c r="H215" s="23" t="n">
        <v>20</v>
      </c>
      <c r="I215" s="25" t="n">
        <v>46448</v>
      </c>
      <c r="J215" s="23" t="s">
        <v>131</v>
      </c>
      <c r="K215" s="23" t="s">
        <v>86</v>
      </c>
      <c r="L215" s="26" t="n">
        <v>1874</v>
      </c>
      <c r="M215" s="26" t="n">
        <v>1874</v>
      </c>
      <c r="N215" s="27" t="n">
        <f aca="false">IF(OR($L215="",$H215="",$H215=0),"",$L215-N($M215)/$H215)</f>
        <v>1780.3</v>
      </c>
      <c r="O215" s="23" t="s">
        <v>87</v>
      </c>
      <c r="P215" s="23" t="s">
        <v>88</v>
      </c>
      <c r="Q215" s="23" t="s">
        <v>89</v>
      </c>
      <c r="R215" s="23"/>
      <c r="S215" s="23"/>
      <c r="T215" s="23"/>
      <c r="U215" s="23"/>
      <c r="V215" s="23"/>
      <c r="W215" s="25"/>
      <c r="X215" s="23"/>
      <c r="Y215" s="26"/>
      <c r="Z215" s="26"/>
      <c r="AA215" s="27" t="str">
        <f aca="false">IF(OR($Y215="",$X215="",$X215=0),"",$Y215-N($Z215)/$X215)</f>
        <v/>
      </c>
      <c r="AB215" s="23"/>
      <c r="AC215" s="28" t="str">
        <f aca="false">IF(OR($Y215="",$L215="",$L215=0),"",$Y215/$L215-1)</f>
        <v/>
      </c>
      <c r="AD215" s="28" t="str">
        <f aca="false">IF(OR($AA215="",$N215="",$N215=0),"",$AA215/$N215-1)</f>
        <v/>
      </c>
      <c r="AE215" s="25"/>
      <c r="AF215" s="23"/>
      <c r="AG215" s="23"/>
      <c r="AH215" s="25"/>
      <c r="AI215" s="23"/>
      <c r="AJ215" s="26"/>
      <c r="AK215" s="26"/>
      <c r="AL215" s="27" t="str">
        <f aca="false">IF(OR($AJ215="",$AI215="",$AI215=0),"",$AJ215-N($AK215)/$AI215)</f>
        <v/>
      </c>
      <c r="AM215" s="28" t="str">
        <f aca="false">IF(OR($AJ215="",$L215="",$L215=0),"",$AJ215/$L215-1)</f>
        <v/>
      </c>
      <c r="AN215" s="28" t="str">
        <f aca="false">IF(OR($AL215="",$N215="",$N215=0),"",$AL215/$N215-1)</f>
        <v/>
      </c>
      <c r="AO215" s="24"/>
    </row>
    <row r="216" customFormat="false" ht="15" hidden="false" customHeight="false" outlineLevel="0" collapsed="false">
      <c r="A216" s="5" t="s">
        <v>888</v>
      </c>
      <c r="B216" s="5" t="s">
        <v>145</v>
      </c>
      <c r="C216" s="5" t="s">
        <v>82</v>
      </c>
      <c r="D216" s="6" t="n">
        <v>1165</v>
      </c>
      <c r="E216" s="5" t="s">
        <v>889</v>
      </c>
      <c r="F216" s="5" t="s">
        <v>890</v>
      </c>
      <c r="G216" s="20" t="n">
        <v>45777</v>
      </c>
      <c r="H216" s="5" t="n">
        <v>12</v>
      </c>
      <c r="I216" s="20" t="n">
        <v>46141</v>
      </c>
      <c r="J216" s="5" t="s">
        <v>167</v>
      </c>
      <c r="K216" s="5" t="s">
        <v>126</v>
      </c>
      <c r="L216" s="16" t="n">
        <v>1670</v>
      </c>
      <c r="M216" s="16" t="n">
        <v>1668</v>
      </c>
      <c r="N216" s="21" t="n">
        <f aca="false">IF(OR($L216="",$H216="",$H216=0),"",$L216-N($M216)/$H216)</f>
        <v>1531</v>
      </c>
      <c r="O216" s="5" t="s">
        <v>87</v>
      </c>
      <c r="P216" s="5" t="s">
        <v>96</v>
      </c>
      <c r="Q216" s="5" t="s">
        <v>127</v>
      </c>
      <c r="R216" s="5" t="s">
        <v>98</v>
      </c>
      <c r="S216" s="5" t="s">
        <v>98</v>
      </c>
      <c r="T216" s="5"/>
      <c r="U216" s="5"/>
      <c r="V216" s="5"/>
      <c r="W216" s="20" t="n">
        <v>46142</v>
      </c>
      <c r="X216" s="5" t="n">
        <v>18</v>
      </c>
      <c r="Y216" s="16" t="n">
        <v>1715</v>
      </c>
      <c r="Z216" s="16" t="n">
        <v>0</v>
      </c>
      <c r="AA216" s="21" t="n">
        <f aca="false">IF(OR($Y216="",$X216="",$X216=0),"",$Y216-N($Z216)/$X216)</f>
        <v>1715</v>
      </c>
      <c r="AB216" s="5"/>
      <c r="AC216" s="22" t="n">
        <f aca="false">IF(OR($Y216="",$L216="",$L216=0),"",$Y216/$L216-1)</f>
        <v>0.0269461077844311</v>
      </c>
      <c r="AD216" s="22" t="n">
        <f aca="false">IF(OR($AA216="",$N216="",$N216=0),"",$AA216/$N216-1)</f>
        <v>0.120182887001959</v>
      </c>
      <c r="AE216" s="20"/>
      <c r="AF216" s="5"/>
      <c r="AG216" s="5"/>
      <c r="AH216" s="20"/>
      <c r="AI216" s="5"/>
      <c r="AJ216" s="16"/>
      <c r="AK216" s="16"/>
      <c r="AL216" s="21" t="str">
        <f aca="false">IF(OR($AJ216="",$AI216="",$AI216=0),"",$AJ216-N($AK216)/$AI216)</f>
        <v/>
      </c>
      <c r="AM216" s="22" t="str">
        <f aca="false">IF(OR($AJ216="",$L216="",$L216=0),"",$AJ216/$L216-1)</f>
        <v/>
      </c>
      <c r="AN216" s="22" t="str">
        <f aca="false">IF(OR($AL216="",$N216="",$N216=0),"",$AL216/$N216-1)</f>
        <v/>
      </c>
      <c r="AO216" s="6"/>
    </row>
    <row r="217" customFormat="false" ht="15" hidden="false" customHeight="false" outlineLevel="0" collapsed="false">
      <c r="A217" s="23" t="s">
        <v>891</v>
      </c>
      <c r="B217" s="23" t="s">
        <v>102</v>
      </c>
      <c r="C217" s="23" t="s">
        <v>103</v>
      </c>
      <c r="D217" s="24" t="n">
        <v>693</v>
      </c>
      <c r="E217" s="23" t="s">
        <v>892</v>
      </c>
      <c r="F217" s="23" t="s">
        <v>893</v>
      </c>
      <c r="G217" s="25" t="n">
        <v>45983</v>
      </c>
      <c r="H217" s="23" t="n">
        <v>17</v>
      </c>
      <c r="I217" s="25" t="n">
        <v>46498</v>
      </c>
      <c r="J217" s="23" t="s">
        <v>143</v>
      </c>
      <c r="K217" s="23" t="s">
        <v>86</v>
      </c>
      <c r="L217" s="26" t="n">
        <v>1349</v>
      </c>
      <c r="M217" s="26" t="n">
        <v>0</v>
      </c>
      <c r="N217" s="27" t="n">
        <f aca="false">IF(OR($L217="",$H217="",$H217=0),"",$L217-N($M217)/$H217)</f>
        <v>1349</v>
      </c>
      <c r="O217" s="23" t="s">
        <v>87</v>
      </c>
      <c r="P217" s="23" t="s">
        <v>88</v>
      </c>
      <c r="Q217" s="23" t="s">
        <v>89</v>
      </c>
      <c r="R217" s="23"/>
      <c r="S217" s="23"/>
      <c r="T217" s="23"/>
      <c r="U217" s="23"/>
      <c r="V217" s="23"/>
      <c r="W217" s="25"/>
      <c r="X217" s="23"/>
      <c r="Y217" s="26"/>
      <c r="Z217" s="26"/>
      <c r="AA217" s="27" t="str">
        <f aca="false">IF(OR($Y217="",$X217="",$X217=0),"",$Y217-N($Z217)/$X217)</f>
        <v/>
      </c>
      <c r="AB217" s="23"/>
      <c r="AC217" s="28" t="str">
        <f aca="false">IF(OR($Y217="",$L217="",$L217=0),"",$Y217/$L217-1)</f>
        <v/>
      </c>
      <c r="AD217" s="28" t="str">
        <f aca="false">IF(OR($AA217="",$N217="",$N217=0),"",$AA217/$N217-1)</f>
        <v/>
      </c>
      <c r="AE217" s="25"/>
      <c r="AF217" s="23"/>
      <c r="AG217" s="23"/>
      <c r="AH217" s="25"/>
      <c r="AI217" s="23"/>
      <c r="AJ217" s="26"/>
      <c r="AK217" s="26"/>
      <c r="AL217" s="27" t="str">
        <f aca="false">IF(OR($AJ217="",$AI217="",$AI217=0),"",$AJ217-N($AK217)/$AI217)</f>
        <v/>
      </c>
      <c r="AM217" s="28" t="str">
        <f aca="false">IF(OR($AJ217="",$L217="",$L217=0),"",$AJ217/$L217-1)</f>
        <v/>
      </c>
      <c r="AN217" s="28" t="str">
        <f aca="false">IF(OR($AL217="",$N217="",$N217=0),"",$AL217/$N217-1)</f>
        <v/>
      </c>
      <c r="AO217" s="24"/>
    </row>
    <row r="218" customFormat="false" ht="15" hidden="false" customHeight="false" outlineLevel="0" collapsed="false">
      <c r="A218" s="5" t="s">
        <v>894</v>
      </c>
      <c r="B218" s="5" t="s">
        <v>108</v>
      </c>
      <c r="C218" s="5" t="s">
        <v>103</v>
      </c>
      <c r="D218" s="6" t="n">
        <v>746</v>
      </c>
      <c r="E218" s="5" t="s">
        <v>895</v>
      </c>
      <c r="F218" s="5" t="s">
        <v>896</v>
      </c>
      <c r="G218" s="20" t="n">
        <v>45920</v>
      </c>
      <c r="H218" s="5" t="n">
        <v>12</v>
      </c>
      <c r="I218" s="20" t="n">
        <v>46284</v>
      </c>
      <c r="J218" s="5" t="s">
        <v>186</v>
      </c>
      <c r="K218" s="5" t="s">
        <v>86</v>
      </c>
      <c r="L218" s="16" t="n">
        <v>1714</v>
      </c>
      <c r="M218" s="16" t="n">
        <v>2571</v>
      </c>
      <c r="N218" s="21" t="n">
        <f aca="false">IF(OR($L218="",$H218="",$H218=0),"",$L218-N($M218)/$H218)</f>
        <v>1499.75</v>
      </c>
      <c r="O218" s="5" t="s">
        <v>87</v>
      </c>
      <c r="P218" s="5" t="s">
        <v>88</v>
      </c>
      <c r="Q218" s="5" t="s">
        <v>89</v>
      </c>
      <c r="R218" s="5"/>
      <c r="S218" s="5"/>
      <c r="T218" s="5"/>
      <c r="U218" s="5"/>
      <c r="V218" s="5"/>
      <c r="W218" s="20"/>
      <c r="X218" s="5"/>
      <c r="Y218" s="16"/>
      <c r="Z218" s="16"/>
      <c r="AA218" s="21" t="str">
        <f aca="false">IF(OR($Y218="",$X218="",$X218=0),"",$Y218-N($Z218)/$X218)</f>
        <v/>
      </c>
      <c r="AB218" s="5"/>
      <c r="AC218" s="22" t="str">
        <f aca="false">IF(OR($Y218="",$L218="",$L218=0),"",$Y218/$L218-1)</f>
        <v/>
      </c>
      <c r="AD218" s="22" t="str">
        <f aca="false">IF(OR($AA218="",$N218="",$N218=0),"",$AA218/$N218-1)</f>
        <v/>
      </c>
      <c r="AE218" s="20"/>
      <c r="AF218" s="5"/>
      <c r="AG218" s="5"/>
      <c r="AH218" s="20"/>
      <c r="AI218" s="5"/>
      <c r="AJ218" s="16"/>
      <c r="AK218" s="16"/>
      <c r="AL218" s="21" t="str">
        <f aca="false">IF(OR($AJ218="",$AI218="",$AI218=0),"",$AJ218-N($AK218)/$AI218)</f>
        <v/>
      </c>
      <c r="AM218" s="22" t="str">
        <f aca="false">IF(OR($AJ218="",$L218="",$L218=0),"",$AJ218/$L218-1)</f>
        <v/>
      </c>
      <c r="AN218" s="22" t="str">
        <f aca="false">IF(OR($AL218="",$N218="",$N218=0),"",$AL218/$N218-1)</f>
        <v/>
      </c>
      <c r="AO218" s="6"/>
    </row>
    <row r="219" customFormat="false" ht="15" hidden="false" customHeight="false" outlineLevel="0" collapsed="false">
      <c r="A219" s="23" t="s">
        <v>897</v>
      </c>
      <c r="B219" s="23" t="s">
        <v>102</v>
      </c>
      <c r="C219" s="23" t="s">
        <v>103</v>
      </c>
      <c r="D219" s="24" t="n">
        <v>693</v>
      </c>
      <c r="E219" s="23" t="s">
        <v>898</v>
      </c>
      <c r="F219" s="23" t="s">
        <v>899</v>
      </c>
      <c r="G219" s="25" t="n">
        <v>45596</v>
      </c>
      <c r="H219" s="23" t="n">
        <v>12</v>
      </c>
      <c r="I219" s="25" t="n">
        <v>46142</v>
      </c>
      <c r="J219" s="23" t="s">
        <v>167</v>
      </c>
      <c r="K219" s="23" t="s">
        <v>86</v>
      </c>
      <c r="L219" s="26" t="n">
        <v>1425</v>
      </c>
      <c r="M219" s="26" t="n">
        <v>2628</v>
      </c>
      <c r="N219" s="27" t="n">
        <f aca="false">IF(OR($L219="",$H219="",$H219=0),"",$L219-N($M219)/$H219)</f>
        <v>1206</v>
      </c>
      <c r="O219" s="23" t="s">
        <v>87</v>
      </c>
      <c r="P219" s="23" t="s">
        <v>96</v>
      </c>
      <c r="Q219" s="23" t="s">
        <v>97</v>
      </c>
      <c r="R219" s="23" t="s">
        <v>98</v>
      </c>
      <c r="S219" s="23" t="s">
        <v>98</v>
      </c>
      <c r="T219" s="23"/>
      <c r="U219" s="23"/>
      <c r="V219" s="23"/>
      <c r="W219" s="25"/>
      <c r="X219" s="23"/>
      <c r="Y219" s="26"/>
      <c r="Z219" s="26"/>
      <c r="AA219" s="27" t="str">
        <f aca="false">IF(OR($Y219="",$X219="",$X219=0),"",$Y219-N($Z219)/$X219)</f>
        <v/>
      </c>
      <c r="AB219" s="23"/>
      <c r="AC219" s="28" t="str">
        <f aca="false">IF(OR($Y219="",$L219="",$L219=0),"",$Y219/$L219-1)</f>
        <v/>
      </c>
      <c r="AD219" s="28" t="str">
        <f aca="false">IF(OR($AA219="",$N219="",$N219=0),"",$AA219/$N219-1)</f>
        <v/>
      </c>
      <c r="AE219" s="25" t="n">
        <v>46142</v>
      </c>
      <c r="AF219" s="23" t="s">
        <v>900</v>
      </c>
      <c r="AG219" s="23" t="s">
        <v>901</v>
      </c>
      <c r="AH219" s="25" t="n">
        <v>46149</v>
      </c>
      <c r="AI219" s="23" t="n">
        <v>12</v>
      </c>
      <c r="AJ219" s="26" t="n">
        <v>1475</v>
      </c>
      <c r="AK219" s="26" t="n">
        <v>0</v>
      </c>
      <c r="AL219" s="27" t="n">
        <f aca="false">IF(OR($AJ219="",$AI219="",$AI219=0),"",$AJ219-N($AK219)/$AI219)</f>
        <v>1475</v>
      </c>
      <c r="AM219" s="28" t="n">
        <f aca="false">IF(OR($AJ219="",$L219="",$L219=0),"",$AJ219/$L219-1)</f>
        <v>0.0350877192982457</v>
      </c>
      <c r="AN219" s="28" t="n">
        <f aca="false">IF(OR($AL219="",$N219="",$N219=0),"",$AL219/$N219-1)</f>
        <v>0.223051409618574</v>
      </c>
      <c r="AO219" s="24" t="n">
        <v>7</v>
      </c>
    </row>
    <row r="220" customFormat="false" ht="15" hidden="false" customHeight="false" outlineLevel="0" collapsed="false">
      <c r="A220" s="5" t="s">
        <v>902</v>
      </c>
      <c r="B220" s="5" t="s">
        <v>102</v>
      </c>
      <c r="C220" s="5" t="s">
        <v>103</v>
      </c>
      <c r="D220" s="6" t="n">
        <v>693</v>
      </c>
      <c r="E220" s="5" t="s">
        <v>903</v>
      </c>
      <c r="F220" s="5" t="s">
        <v>904</v>
      </c>
      <c r="G220" s="20" t="n">
        <v>45892</v>
      </c>
      <c r="H220" s="5" t="n">
        <v>12</v>
      </c>
      <c r="I220" s="20" t="n">
        <v>46256</v>
      </c>
      <c r="J220" s="5" t="s">
        <v>135</v>
      </c>
      <c r="K220" s="5" t="s">
        <v>86</v>
      </c>
      <c r="L220" s="16" t="n">
        <v>1475</v>
      </c>
      <c r="M220" s="16" t="n">
        <v>1475</v>
      </c>
      <c r="N220" s="21" t="n">
        <f aca="false">IF(OR($L220="",$H220="",$H220=0),"",$L220-N($M220)/$H220)</f>
        <v>1352.08333333333</v>
      </c>
      <c r="O220" s="5" t="s">
        <v>87</v>
      </c>
      <c r="P220" s="5" t="s">
        <v>88</v>
      </c>
      <c r="Q220" s="5" t="s">
        <v>89</v>
      </c>
      <c r="R220" s="5"/>
      <c r="S220" s="5"/>
      <c r="T220" s="5"/>
      <c r="U220" s="5"/>
      <c r="V220" s="5"/>
      <c r="W220" s="20"/>
      <c r="X220" s="5"/>
      <c r="Y220" s="16"/>
      <c r="Z220" s="16"/>
      <c r="AA220" s="21" t="str">
        <f aca="false">IF(OR($Y220="",$X220="",$X220=0),"",$Y220-N($Z220)/$X220)</f>
        <v/>
      </c>
      <c r="AB220" s="5"/>
      <c r="AC220" s="22" t="str">
        <f aca="false">IF(OR($Y220="",$L220="",$L220=0),"",$Y220/$L220-1)</f>
        <v/>
      </c>
      <c r="AD220" s="22" t="str">
        <f aca="false">IF(OR($AA220="",$N220="",$N220=0),"",$AA220/$N220-1)</f>
        <v/>
      </c>
      <c r="AE220" s="20"/>
      <c r="AF220" s="5"/>
      <c r="AG220" s="5"/>
      <c r="AH220" s="20"/>
      <c r="AI220" s="5"/>
      <c r="AJ220" s="16"/>
      <c r="AK220" s="16"/>
      <c r="AL220" s="21" t="str">
        <f aca="false">IF(OR($AJ220="",$AI220="",$AI220=0),"",$AJ220-N($AK220)/$AI220)</f>
        <v/>
      </c>
      <c r="AM220" s="22" t="str">
        <f aca="false">IF(OR($AJ220="",$L220="",$L220=0),"",$AJ220/$L220-1)</f>
        <v/>
      </c>
      <c r="AN220" s="22" t="str">
        <f aca="false">IF(OR($AL220="",$N220="",$N220=0),"",$AL220/$N220-1)</f>
        <v/>
      </c>
      <c r="AO220" s="6"/>
    </row>
    <row r="221" customFormat="false" ht="15" hidden="false" customHeight="false" outlineLevel="0" collapsed="false">
      <c r="A221" s="23" t="s">
        <v>905</v>
      </c>
      <c r="B221" s="23" t="s">
        <v>81</v>
      </c>
      <c r="C221" s="23" t="s">
        <v>82</v>
      </c>
      <c r="D221" s="24" t="n">
        <v>1141</v>
      </c>
      <c r="E221" s="23" t="s">
        <v>906</v>
      </c>
      <c r="F221" s="23" t="s">
        <v>907</v>
      </c>
      <c r="G221" s="25" t="n">
        <v>45545</v>
      </c>
      <c r="H221" s="23" t="n">
        <v>17</v>
      </c>
      <c r="I221" s="25" t="n">
        <v>46055</v>
      </c>
      <c r="J221" s="23" t="s">
        <v>95</v>
      </c>
      <c r="K221" s="23" t="s">
        <v>126</v>
      </c>
      <c r="L221" s="26" t="n">
        <v>2045</v>
      </c>
      <c r="M221" s="26"/>
      <c r="N221" s="27" t="n">
        <f aca="false">IF(OR($L221="",$H221="",$H221=0),"",$L221-N($M221)/$H221)</f>
        <v>2045</v>
      </c>
      <c r="O221" s="23" t="s">
        <v>87</v>
      </c>
      <c r="P221" s="23" t="s">
        <v>505</v>
      </c>
      <c r="Q221" s="23" t="s">
        <v>127</v>
      </c>
      <c r="R221" s="23" t="s">
        <v>98</v>
      </c>
      <c r="S221" s="23" t="s">
        <v>98</v>
      </c>
      <c r="T221" s="23"/>
      <c r="U221" s="23"/>
      <c r="V221" s="23"/>
      <c r="W221" s="25" t="n">
        <v>46056</v>
      </c>
      <c r="X221" s="23" t="n">
        <v>4</v>
      </c>
      <c r="Y221" s="26" t="n">
        <v>2145</v>
      </c>
      <c r="Z221" s="26" t="n">
        <v>0</v>
      </c>
      <c r="AA221" s="27" t="n">
        <f aca="false">IF(OR($Y221="",$X221="",$X221=0),"",$Y221-N($Z221)/$X221)</f>
        <v>2145</v>
      </c>
      <c r="AB221" s="23"/>
      <c r="AC221" s="28" t="n">
        <f aca="false">IF(OR($Y221="",$L221="",$L221=0),"",$Y221/$L221-1)</f>
        <v>0.0488997555012225</v>
      </c>
      <c r="AD221" s="28" t="n">
        <f aca="false">IF(OR($AA221="",$N221="",$N221=0),"",$AA221/$N221-1)</f>
        <v>0.0488997555012225</v>
      </c>
      <c r="AE221" s="25"/>
      <c r="AF221" s="23"/>
      <c r="AG221" s="23"/>
      <c r="AH221" s="25"/>
      <c r="AI221" s="23"/>
      <c r="AJ221" s="26"/>
      <c r="AK221" s="26"/>
      <c r="AL221" s="27" t="str">
        <f aca="false">IF(OR($AJ221="",$AI221="",$AI221=0),"",$AJ221-N($AK221)/$AI221)</f>
        <v/>
      </c>
      <c r="AM221" s="28" t="str">
        <f aca="false">IF(OR($AJ221="",$L221="",$L221=0),"",$AJ221/$L221-1)</f>
        <v/>
      </c>
      <c r="AN221" s="28" t="str">
        <f aca="false">IF(OR($AL221="",$N221="",$N221=0),"",$AL221/$N221-1)</f>
        <v/>
      </c>
      <c r="AO221" s="24"/>
    </row>
    <row r="222" customFormat="false" ht="15" hidden="false" customHeight="false" outlineLevel="0" collapsed="false">
      <c r="A222" s="5" t="s">
        <v>908</v>
      </c>
      <c r="B222" s="5" t="s">
        <v>102</v>
      </c>
      <c r="C222" s="5" t="s">
        <v>103</v>
      </c>
      <c r="D222" s="6" t="n">
        <v>693</v>
      </c>
      <c r="E222" s="5" t="s">
        <v>909</v>
      </c>
      <c r="F222" s="5" t="s">
        <v>910</v>
      </c>
      <c r="G222" s="20" t="n">
        <v>45654</v>
      </c>
      <c r="H222" s="5" t="n">
        <v>14</v>
      </c>
      <c r="I222" s="20" t="n">
        <v>46080</v>
      </c>
      <c r="J222" s="5" t="s">
        <v>95</v>
      </c>
      <c r="K222" s="5" t="s">
        <v>86</v>
      </c>
      <c r="L222" s="16" t="n">
        <v>1325</v>
      </c>
      <c r="M222" s="16" t="n">
        <v>2870</v>
      </c>
      <c r="N222" s="21" t="n">
        <f aca="false">IF(OR($L222="",$H222="",$H222=0),"",$L222-N($M222)/$H222)</f>
        <v>1120</v>
      </c>
      <c r="O222" s="5" t="s">
        <v>87</v>
      </c>
      <c r="P222" s="5" t="s">
        <v>96</v>
      </c>
      <c r="Q222" s="5" t="s">
        <v>97</v>
      </c>
      <c r="R222" s="5" t="s">
        <v>98</v>
      </c>
      <c r="S222" s="5" t="s">
        <v>98</v>
      </c>
      <c r="T222" s="5"/>
      <c r="U222" s="5"/>
      <c r="V222" s="5"/>
      <c r="W222" s="20"/>
      <c r="X222" s="5"/>
      <c r="Y222" s="16"/>
      <c r="Z222" s="16"/>
      <c r="AA222" s="21" t="str">
        <f aca="false">IF(OR($Y222="",$X222="",$X222=0),"",$Y222-N($Z222)/$X222)</f>
        <v/>
      </c>
      <c r="AB222" s="5"/>
      <c r="AC222" s="22" t="str">
        <f aca="false">IF(OR($Y222="",$L222="",$L222=0),"",$Y222/$L222-1)</f>
        <v/>
      </c>
      <c r="AD222" s="22" t="str">
        <f aca="false">IF(OR($AA222="",$N222="",$N222=0),"",$AA222/$N222-1)</f>
        <v/>
      </c>
      <c r="AE222" s="20" t="n">
        <v>46080</v>
      </c>
      <c r="AF222" s="5" t="s">
        <v>911</v>
      </c>
      <c r="AG222" s="5" t="s">
        <v>912</v>
      </c>
      <c r="AH222" s="20" t="n">
        <v>46109</v>
      </c>
      <c r="AI222" s="5" t="n">
        <v>12</v>
      </c>
      <c r="AJ222" s="16" t="n">
        <v>1475</v>
      </c>
      <c r="AK222" s="16" t="n">
        <v>0</v>
      </c>
      <c r="AL222" s="21" t="n">
        <f aca="false">IF(OR($AJ222="",$AI222="",$AI222=0),"",$AJ222-N($AK222)/$AI222)</f>
        <v>1475</v>
      </c>
      <c r="AM222" s="22" t="n">
        <f aca="false">IF(OR($AJ222="",$L222="",$L222=0),"",$AJ222/$L222-1)</f>
        <v>0.113207547169811</v>
      </c>
      <c r="AN222" s="22" t="n">
        <f aca="false">IF(OR($AL222="",$N222="",$N222=0),"",$AL222/$N222-1)</f>
        <v>0.316964285714286</v>
      </c>
      <c r="AO222" s="6" t="n">
        <v>29</v>
      </c>
    </row>
    <row r="223" customFormat="false" ht="15" hidden="false" customHeight="false" outlineLevel="0" collapsed="false">
      <c r="A223" s="23" t="s">
        <v>913</v>
      </c>
      <c r="B223" s="23" t="s">
        <v>113</v>
      </c>
      <c r="C223" s="23" t="s">
        <v>82</v>
      </c>
      <c r="D223" s="24" t="n">
        <v>1092</v>
      </c>
      <c r="E223" s="23" t="s">
        <v>914</v>
      </c>
      <c r="F223" s="23" t="s">
        <v>915</v>
      </c>
      <c r="G223" s="25" t="n">
        <v>45660</v>
      </c>
      <c r="H223" s="23" t="n">
        <v>26</v>
      </c>
      <c r="I223" s="25" t="n">
        <v>46448</v>
      </c>
      <c r="J223" s="23" t="s">
        <v>131</v>
      </c>
      <c r="K223" s="23" t="s">
        <v>86</v>
      </c>
      <c r="L223" s="26" t="n">
        <v>1765</v>
      </c>
      <c r="M223" s="26" t="n">
        <v>0</v>
      </c>
      <c r="N223" s="27" t="n">
        <f aca="false">IF(OR($L223="",$H223="",$H223=0),"",$L223-N($M223)/$H223)</f>
        <v>1765</v>
      </c>
      <c r="O223" s="23" t="s">
        <v>87</v>
      </c>
      <c r="P223" s="23" t="s">
        <v>88</v>
      </c>
      <c r="Q223" s="23" t="s">
        <v>89</v>
      </c>
      <c r="R223" s="23"/>
      <c r="S223" s="23"/>
      <c r="T223" s="23"/>
      <c r="U223" s="23"/>
      <c r="V223" s="23"/>
      <c r="W223" s="25"/>
      <c r="X223" s="23"/>
      <c r="Y223" s="26"/>
      <c r="Z223" s="26"/>
      <c r="AA223" s="27" t="str">
        <f aca="false">IF(OR($Y223="",$X223="",$X223=0),"",$Y223-N($Z223)/$X223)</f>
        <v/>
      </c>
      <c r="AB223" s="23"/>
      <c r="AC223" s="28" t="str">
        <f aca="false">IF(OR($Y223="",$L223="",$L223=0),"",$Y223/$L223-1)</f>
        <v/>
      </c>
      <c r="AD223" s="28" t="str">
        <f aca="false">IF(OR($AA223="",$N223="",$N223=0),"",$AA223/$N223-1)</f>
        <v/>
      </c>
      <c r="AE223" s="25"/>
      <c r="AF223" s="23"/>
      <c r="AG223" s="23"/>
      <c r="AH223" s="25"/>
      <c r="AI223" s="23"/>
      <c r="AJ223" s="26"/>
      <c r="AK223" s="26"/>
      <c r="AL223" s="27" t="str">
        <f aca="false">IF(OR($AJ223="",$AI223="",$AI223=0),"",$AJ223-N($AK223)/$AI223)</f>
        <v/>
      </c>
      <c r="AM223" s="28" t="str">
        <f aca="false">IF(OR($AJ223="",$L223="",$L223=0),"",$AJ223/$L223-1)</f>
        <v/>
      </c>
      <c r="AN223" s="28" t="str">
        <f aca="false">IF(OR($AL223="",$N223="",$N223=0),"",$AL223/$N223-1)</f>
        <v/>
      </c>
      <c r="AO223" s="24"/>
    </row>
    <row r="224" customFormat="false" ht="15" hidden="false" customHeight="false" outlineLevel="0" collapsed="false">
      <c r="A224" s="5" t="s">
        <v>916</v>
      </c>
      <c r="B224" s="5" t="s">
        <v>275</v>
      </c>
      <c r="C224" s="5" t="s">
        <v>276</v>
      </c>
      <c r="D224" s="6" t="n">
        <v>517</v>
      </c>
      <c r="E224" s="5" t="s">
        <v>917</v>
      </c>
      <c r="F224" s="5" t="s">
        <v>918</v>
      </c>
      <c r="G224" s="20" t="n">
        <v>45638</v>
      </c>
      <c r="H224" s="5" t="n">
        <v>14</v>
      </c>
      <c r="I224" s="20" t="n">
        <v>46064</v>
      </c>
      <c r="J224" s="5" t="s">
        <v>95</v>
      </c>
      <c r="K224" s="5" t="s">
        <v>86</v>
      </c>
      <c r="L224" s="16" t="n">
        <v>1145</v>
      </c>
      <c r="M224" s="16" t="n">
        <v>2296</v>
      </c>
      <c r="N224" s="21" t="n">
        <f aca="false">IF(OR($L224="",$H224="",$H224=0),"",$L224-N($M224)/$H224)</f>
        <v>981</v>
      </c>
      <c r="O224" s="5" t="s">
        <v>87</v>
      </c>
      <c r="P224" s="5" t="s">
        <v>96</v>
      </c>
      <c r="Q224" s="5" t="s">
        <v>97</v>
      </c>
      <c r="R224" s="5" t="s">
        <v>98</v>
      </c>
      <c r="S224" s="5" t="s">
        <v>98</v>
      </c>
      <c r="T224" s="5"/>
      <c r="U224" s="5"/>
      <c r="V224" s="5"/>
      <c r="W224" s="20"/>
      <c r="X224" s="5"/>
      <c r="Y224" s="16"/>
      <c r="Z224" s="16"/>
      <c r="AA224" s="21" t="str">
        <f aca="false">IF(OR($Y224="",$X224="",$X224=0),"",$Y224-N($Z224)/$X224)</f>
        <v/>
      </c>
      <c r="AB224" s="5"/>
      <c r="AC224" s="22" t="str">
        <f aca="false">IF(OR($Y224="",$L224="",$L224=0),"",$Y224/$L224-1)</f>
        <v/>
      </c>
      <c r="AD224" s="22" t="str">
        <f aca="false">IF(OR($AA224="",$N224="",$N224=0),"",$AA224/$N224-1)</f>
        <v/>
      </c>
      <c r="AE224" s="20" t="n">
        <v>46064</v>
      </c>
      <c r="AF224" s="5" t="s">
        <v>919</v>
      </c>
      <c r="AG224" s="5" t="s">
        <v>920</v>
      </c>
      <c r="AH224" s="20" t="n">
        <v>46102</v>
      </c>
      <c r="AI224" s="5" t="n">
        <v>12</v>
      </c>
      <c r="AJ224" s="16" t="n">
        <v>1275</v>
      </c>
      <c r="AK224" s="16" t="n">
        <v>0</v>
      </c>
      <c r="AL224" s="21" t="n">
        <f aca="false">IF(OR($AJ224="",$AI224="",$AI224=0),"",$AJ224-N($AK224)/$AI224)</f>
        <v>1275</v>
      </c>
      <c r="AM224" s="22" t="n">
        <f aca="false">IF(OR($AJ224="",$L224="",$L224=0),"",$AJ224/$L224-1)</f>
        <v>0.11353711790393</v>
      </c>
      <c r="AN224" s="22" t="n">
        <f aca="false">IF(OR($AL224="",$N224="",$N224=0),"",$AL224/$N224-1)</f>
        <v>0.299694189602447</v>
      </c>
      <c r="AO224" s="6" t="n">
        <v>38</v>
      </c>
    </row>
    <row r="225" customFormat="false" ht="15" hidden="false" customHeight="false" outlineLevel="0" collapsed="false">
      <c r="A225" s="23" t="s">
        <v>921</v>
      </c>
      <c r="B225" s="23" t="s">
        <v>102</v>
      </c>
      <c r="C225" s="23" t="s">
        <v>103</v>
      </c>
      <c r="D225" s="24" t="n">
        <v>693</v>
      </c>
      <c r="E225" s="23" t="s">
        <v>922</v>
      </c>
      <c r="F225" s="23" t="s">
        <v>923</v>
      </c>
      <c r="G225" s="25" t="n">
        <v>45548</v>
      </c>
      <c r="H225" s="23" t="n">
        <v>18</v>
      </c>
      <c r="I225" s="25" t="n">
        <v>46093</v>
      </c>
      <c r="J225" s="23" t="s">
        <v>125</v>
      </c>
      <c r="K225" s="23" t="s">
        <v>86</v>
      </c>
      <c r="L225" s="26" t="n">
        <v>1610</v>
      </c>
      <c r="M225" s="26"/>
      <c r="N225" s="27" t="n">
        <f aca="false">IF(OR($L225="",$H225="",$H225=0),"",$L225-N($M225)/$H225)</f>
        <v>1610</v>
      </c>
      <c r="O225" s="23" t="s">
        <v>87</v>
      </c>
      <c r="P225" s="23" t="s">
        <v>505</v>
      </c>
      <c r="Q225" s="23" t="s">
        <v>97</v>
      </c>
      <c r="R225" s="23" t="s">
        <v>98</v>
      </c>
      <c r="S225" s="23" t="s">
        <v>98</v>
      </c>
      <c r="T225" s="23"/>
      <c r="U225" s="23"/>
      <c r="V225" s="23"/>
      <c r="W225" s="25"/>
      <c r="X225" s="23"/>
      <c r="Y225" s="26"/>
      <c r="Z225" s="26"/>
      <c r="AA225" s="27" t="str">
        <f aca="false">IF(OR($Y225="",$X225="",$X225=0),"",$Y225-N($Z225)/$X225)</f>
        <v/>
      </c>
      <c r="AB225" s="23"/>
      <c r="AC225" s="28" t="str">
        <f aca="false">IF(OR($Y225="",$L225="",$L225=0),"",$Y225/$L225-1)</f>
        <v/>
      </c>
      <c r="AD225" s="28" t="str">
        <f aca="false">IF(OR($AA225="",$N225="",$N225=0),"",$AA225/$N225-1)</f>
        <v/>
      </c>
      <c r="AE225" s="25" t="n">
        <v>46093</v>
      </c>
      <c r="AF225" s="23" t="s">
        <v>924</v>
      </c>
      <c r="AG225" s="23" t="s">
        <v>925</v>
      </c>
      <c r="AH225" s="25" t="n">
        <v>46100</v>
      </c>
      <c r="AI225" s="23" t="n">
        <v>6</v>
      </c>
      <c r="AJ225" s="26" t="n">
        <v>1575</v>
      </c>
      <c r="AK225" s="26" t="n">
        <v>0</v>
      </c>
      <c r="AL225" s="27" t="n">
        <f aca="false">IF(OR($AJ225="",$AI225="",$AI225=0),"",$AJ225-N($AK225)/$AI225)</f>
        <v>1575</v>
      </c>
      <c r="AM225" s="28" t="n">
        <f aca="false">IF(OR($AJ225="",$L225="",$L225=0),"",$AJ225/$L225-1)</f>
        <v>-0.0217391304347826</v>
      </c>
      <c r="AN225" s="28" t="n">
        <f aca="false">IF(OR($AL225="",$N225="",$N225=0),"",$AL225/$N225-1)</f>
        <v>-0.0217391304347826</v>
      </c>
      <c r="AO225" s="24" t="n">
        <v>7</v>
      </c>
    </row>
    <row r="226" customFormat="false" ht="15" hidden="false" customHeight="false" outlineLevel="0" collapsed="false">
      <c r="A226" s="5" t="s">
        <v>926</v>
      </c>
      <c r="B226" s="5" t="s">
        <v>91</v>
      </c>
      <c r="C226" s="5" t="s">
        <v>92</v>
      </c>
      <c r="D226" s="6" t="n">
        <v>1328</v>
      </c>
      <c r="E226" s="5" t="s">
        <v>927</v>
      </c>
      <c r="F226" s="5" t="s">
        <v>928</v>
      </c>
      <c r="G226" s="20" t="n">
        <v>45959</v>
      </c>
      <c r="H226" s="5" t="n">
        <v>16</v>
      </c>
      <c r="I226" s="20" t="n">
        <v>46446</v>
      </c>
      <c r="J226" s="5" t="s">
        <v>251</v>
      </c>
      <c r="K226" s="5" t="s">
        <v>86</v>
      </c>
      <c r="L226" s="16" t="n">
        <v>2199</v>
      </c>
      <c r="M226" s="16" t="n">
        <v>3298</v>
      </c>
      <c r="N226" s="21" t="n">
        <f aca="false">IF(OR($L226="",$H226="",$H226=0),"",$L226-N($M226)/$H226)</f>
        <v>1992.875</v>
      </c>
      <c r="O226" s="5" t="s">
        <v>87</v>
      </c>
      <c r="P226" s="5" t="s">
        <v>88</v>
      </c>
      <c r="Q226" s="5" t="s">
        <v>89</v>
      </c>
      <c r="R226" s="5"/>
      <c r="S226" s="5"/>
      <c r="T226" s="5"/>
      <c r="U226" s="5"/>
      <c r="V226" s="5"/>
      <c r="W226" s="20"/>
      <c r="X226" s="5"/>
      <c r="Y226" s="16"/>
      <c r="Z226" s="16"/>
      <c r="AA226" s="21" t="str">
        <f aca="false">IF(OR($Y226="",$X226="",$X226=0),"",$Y226-N($Z226)/$X226)</f>
        <v/>
      </c>
      <c r="AB226" s="5"/>
      <c r="AC226" s="22" t="str">
        <f aca="false">IF(OR($Y226="",$L226="",$L226=0),"",$Y226/$L226-1)</f>
        <v/>
      </c>
      <c r="AD226" s="22" t="str">
        <f aca="false">IF(OR($AA226="",$N226="",$N226=0),"",$AA226/$N226-1)</f>
        <v/>
      </c>
      <c r="AE226" s="20"/>
      <c r="AF226" s="5"/>
      <c r="AG226" s="5"/>
      <c r="AH226" s="20"/>
      <c r="AI226" s="5"/>
      <c r="AJ226" s="16"/>
      <c r="AK226" s="16"/>
      <c r="AL226" s="21" t="str">
        <f aca="false">IF(OR($AJ226="",$AI226="",$AI226=0),"",$AJ226-N($AK226)/$AI226)</f>
        <v/>
      </c>
      <c r="AM226" s="22" t="str">
        <f aca="false">IF(OR($AJ226="",$L226="",$L226=0),"",$AJ226/$L226-1)</f>
        <v/>
      </c>
      <c r="AN226" s="22" t="str">
        <f aca="false">IF(OR($AL226="",$N226="",$N226=0),"",$AL226/$N226-1)</f>
        <v/>
      </c>
      <c r="AO226" s="6"/>
    </row>
    <row r="227" customFormat="false" ht="15" hidden="false" customHeight="false" outlineLevel="0" collapsed="false">
      <c r="A227" s="23" t="s">
        <v>929</v>
      </c>
      <c r="B227" s="23" t="s">
        <v>81</v>
      </c>
      <c r="C227" s="23" t="s">
        <v>82</v>
      </c>
      <c r="D227" s="24" t="n">
        <v>1141</v>
      </c>
      <c r="E227" s="23" t="s">
        <v>930</v>
      </c>
      <c r="F227" s="23" t="s">
        <v>931</v>
      </c>
      <c r="G227" s="25" t="n">
        <v>45992</v>
      </c>
      <c r="H227" s="23" t="n">
        <v>18</v>
      </c>
      <c r="I227" s="25" t="n">
        <v>46538</v>
      </c>
      <c r="J227" s="23" t="s">
        <v>111</v>
      </c>
      <c r="K227" s="23" t="s">
        <v>86</v>
      </c>
      <c r="L227" s="26" t="n">
        <v>1775</v>
      </c>
      <c r="M227" s="26" t="n">
        <v>3550</v>
      </c>
      <c r="N227" s="27" t="n">
        <f aca="false">IF(OR($L227="",$H227="",$H227=0),"",$L227-N($M227)/$H227)</f>
        <v>1577.77777777778</v>
      </c>
      <c r="O227" s="23" t="s">
        <v>87</v>
      </c>
      <c r="P227" s="23" t="s">
        <v>88</v>
      </c>
      <c r="Q227" s="23" t="s">
        <v>89</v>
      </c>
      <c r="R227" s="23"/>
      <c r="S227" s="23"/>
      <c r="T227" s="23"/>
      <c r="U227" s="23"/>
      <c r="V227" s="23"/>
      <c r="W227" s="25"/>
      <c r="X227" s="23"/>
      <c r="Y227" s="26"/>
      <c r="Z227" s="26"/>
      <c r="AA227" s="27" t="str">
        <f aca="false">IF(OR($Y227="",$X227="",$X227=0),"",$Y227-N($Z227)/$X227)</f>
        <v/>
      </c>
      <c r="AB227" s="23"/>
      <c r="AC227" s="28" t="str">
        <f aca="false">IF(OR($Y227="",$L227="",$L227=0),"",$Y227/$L227-1)</f>
        <v/>
      </c>
      <c r="AD227" s="28" t="str">
        <f aca="false">IF(OR($AA227="",$N227="",$N227=0),"",$AA227/$N227-1)</f>
        <v/>
      </c>
      <c r="AE227" s="25"/>
      <c r="AF227" s="23"/>
      <c r="AG227" s="23"/>
      <c r="AH227" s="25"/>
      <c r="AI227" s="23"/>
      <c r="AJ227" s="26"/>
      <c r="AK227" s="26"/>
      <c r="AL227" s="27" t="str">
        <f aca="false">IF(OR($AJ227="",$AI227="",$AI227=0),"",$AJ227-N($AK227)/$AI227)</f>
        <v/>
      </c>
      <c r="AM227" s="28" t="str">
        <f aca="false">IF(OR($AJ227="",$L227="",$L227=0),"",$AJ227/$L227-1)</f>
        <v/>
      </c>
      <c r="AN227" s="28" t="str">
        <f aca="false">IF(OR($AL227="",$N227="",$N227=0),"",$AL227/$N227-1)</f>
        <v/>
      </c>
      <c r="AO227" s="24"/>
    </row>
    <row r="228" customFormat="false" ht="15" hidden="false" customHeight="false" outlineLevel="0" collapsed="false">
      <c r="A228" s="5" t="s">
        <v>932</v>
      </c>
      <c r="B228" s="5" t="s">
        <v>81</v>
      </c>
      <c r="C228" s="5" t="s">
        <v>82</v>
      </c>
      <c r="D228" s="6" t="n">
        <v>1141</v>
      </c>
      <c r="E228" s="5" t="s">
        <v>933</v>
      </c>
      <c r="F228" s="5" t="s">
        <v>934</v>
      </c>
      <c r="G228" s="20" t="n">
        <v>45979</v>
      </c>
      <c r="H228" s="5" t="n">
        <v>12</v>
      </c>
      <c r="I228" s="20" t="n">
        <v>46343</v>
      </c>
      <c r="J228" s="5" t="s">
        <v>193</v>
      </c>
      <c r="K228" s="5" t="s">
        <v>86</v>
      </c>
      <c r="L228" s="16" t="n">
        <v>1775</v>
      </c>
      <c r="M228" s="16" t="n">
        <v>887.5</v>
      </c>
      <c r="N228" s="21" t="n">
        <f aca="false">IF(OR($L228="",$H228="",$H228=0),"",$L228-N($M228)/$H228)</f>
        <v>1701.04166666667</v>
      </c>
      <c r="O228" s="5" t="s">
        <v>87</v>
      </c>
      <c r="P228" s="5" t="s">
        <v>88</v>
      </c>
      <c r="Q228" s="5" t="s">
        <v>89</v>
      </c>
      <c r="R228" s="5"/>
      <c r="S228" s="5"/>
      <c r="T228" s="5"/>
      <c r="U228" s="5"/>
      <c r="V228" s="5"/>
      <c r="W228" s="20"/>
      <c r="X228" s="5"/>
      <c r="Y228" s="16"/>
      <c r="Z228" s="16"/>
      <c r="AA228" s="21" t="str">
        <f aca="false">IF(OR($Y228="",$X228="",$X228=0),"",$Y228-N($Z228)/$X228)</f>
        <v/>
      </c>
      <c r="AB228" s="5"/>
      <c r="AC228" s="22" t="str">
        <f aca="false">IF(OR($Y228="",$L228="",$L228=0),"",$Y228/$L228-1)</f>
        <v/>
      </c>
      <c r="AD228" s="22" t="str">
        <f aca="false">IF(OR($AA228="",$N228="",$N228=0),"",$AA228/$N228-1)</f>
        <v/>
      </c>
      <c r="AE228" s="20"/>
      <c r="AF228" s="5"/>
      <c r="AG228" s="5"/>
      <c r="AH228" s="20"/>
      <c r="AI228" s="5"/>
      <c r="AJ228" s="16"/>
      <c r="AK228" s="16"/>
      <c r="AL228" s="21" t="str">
        <f aca="false">IF(OR($AJ228="",$AI228="",$AI228=0),"",$AJ228-N($AK228)/$AI228)</f>
        <v/>
      </c>
      <c r="AM228" s="22" t="str">
        <f aca="false">IF(OR($AJ228="",$L228="",$L228=0),"",$AJ228/$L228-1)</f>
        <v/>
      </c>
      <c r="AN228" s="22" t="str">
        <f aca="false">IF(OR($AL228="",$N228="",$N228=0),"",$AL228/$N228-1)</f>
        <v/>
      </c>
      <c r="AO228" s="6"/>
    </row>
    <row r="229" customFormat="false" ht="15" hidden="false" customHeight="false" outlineLevel="0" collapsed="false">
      <c r="A229" s="23" t="s">
        <v>935</v>
      </c>
      <c r="B229" s="23" t="s">
        <v>204</v>
      </c>
      <c r="C229" s="23" t="s">
        <v>82</v>
      </c>
      <c r="D229" s="24" t="n">
        <v>1177</v>
      </c>
      <c r="E229" s="23" t="s">
        <v>936</v>
      </c>
      <c r="F229" s="23" t="s">
        <v>937</v>
      </c>
      <c r="G229" s="25" t="n">
        <v>45782</v>
      </c>
      <c r="H229" s="23" t="n">
        <v>18</v>
      </c>
      <c r="I229" s="25" t="n">
        <v>46330</v>
      </c>
      <c r="J229" s="23" t="s">
        <v>193</v>
      </c>
      <c r="K229" s="23" t="s">
        <v>86</v>
      </c>
      <c r="L229" s="26" t="n">
        <v>1870</v>
      </c>
      <c r="M229" s="26" t="n">
        <v>0</v>
      </c>
      <c r="N229" s="27" t="n">
        <f aca="false">IF(OR($L229="",$H229="",$H229=0),"",$L229-N($M229)/$H229)</f>
        <v>1870</v>
      </c>
      <c r="O229" s="23" t="s">
        <v>87</v>
      </c>
      <c r="P229" s="23" t="s">
        <v>88</v>
      </c>
      <c r="Q229" s="23" t="s">
        <v>89</v>
      </c>
      <c r="R229" s="23"/>
      <c r="S229" s="23"/>
      <c r="T229" s="23"/>
      <c r="U229" s="23"/>
      <c r="V229" s="23"/>
      <c r="W229" s="25"/>
      <c r="X229" s="23"/>
      <c r="Y229" s="26"/>
      <c r="Z229" s="26"/>
      <c r="AA229" s="27" t="str">
        <f aca="false">IF(OR($Y229="",$X229="",$X229=0),"",$Y229-N($Z229)/$X229)</f>
        <v/>
      </c>
      <c r="AB229" s="23"/>
      <c r="AC229" s="28" t="str">
        <f aca="false">IF(OR($Y229="",$L229="",$L229=0),"",$Y229/$L229-1)</f>
        <v/>
      </c>
      <c r="AD229" s="28" t="str">
        <f aca="false">IF(OR($AA229="",$N229="",$N229=0),"",$AA229/$N229-1)</f>
        <v/>
      </c>
      <c r="AE229" s="25"/>
      <c r="AF229" s="23"/>
      <c r="AG229" s="23"/>
      <c r="AH229" s="25"/>
      <c r="AI229" s="23"/>
      <c r="AJ229" s="26"/>
      <c r="AK229" s="26"/>
      <c r="AL229" s="27" t="str">
        <f aca="false">IF(OR($AJ229="",$AI229="",$AI229=0),"",$AJ229-N($AK229)/$AI229)</f>
        <v/>
      </c>
      <c r="AM229" s="28" t="str">
        <f aca="false">IF(OR($AJ229="",$L229="",$L229=0),"",$AJ229/$L229-1)</f>
        <v/>
      </c>
      <c r="AN229" s="28" t="str">
        <f aca="false">IF(OR($AL229="",$N229="",$N229=0),"",$AL229/$N229-1)</f>
        <v/>
      </c>
      <c r="AO229" s="24"/>
    </row>
    <row r="230" customFormat="false" ht="15" hidden="false" customHeight="false" outlineLevel="0" collapsed="false">
      <c r="A230" s="5" t="s">
        <v>938</v>
      </c>
      <c r="B230" s="5" t="s">
        <v>102</v>
      </c>
      <c r="C230" s="5" t="s">
        <v>103</v>
      </c>
      <c r="D230" s="6" t="n">
        <v>693</v>
      </c>
      <c r="E230" s="5" t="s">
        <v>939</v>
      </c>
      <c r="F230" s="5" t="s">
        <v>940</v>
      </c>
      <c r="G230" s="20" t="n">
        <v>45528</v>
      </c>
      <c r="H230" s="5" t="n">
        <v>18</v>
      </c>
      <c r="I230" s="20" t="n">
        <v>46076</v>
      </c>
      <c r="J230" s="5" t="s">
        <v>95</v>
      </c>
      <c r="K230" s="5" t="s">
        <v>126</v>
      </c>
      <c r="L230" s="16" t="n">
        <v>1575</v>
      </c>
      <c r="M230" s="16"/>
      <c r="N230" s="21" t="n">
        <f aca="false">IF(OR($L230="",$H230="",$H230=0),"",$L230-N($M230)/$H230)</f>
        <v>1575</v>
      </c>
      <c r="O230" s="5" t="s">
        <v>87</v>
      </c>
      <c r="P230" s="5" t="s">
        <v>505</v>
      </c>
      <c r="Q230" s="5" t="s">
        <v>127</v>
      </c>
      <c r="R230" s="5" t="s">
        <v>98</v>
      </c>
      <c r="S230" s="5" t="s">
        <v>98</v>
      </c>
      <c r="T230" s="5"/>
      <c r="U230" s="5" t="s">
        <v>98</v>
      </c>
      <c r="V230" s="5"/>
      <c r="W230" s="20" t="n">
        <v>46077</v>
      </c>
      <c r="X230" s="5" t="n">
        <v>6</v>
      </c>
      <c r="Y230" s="16" t="n">
        <v>1600</v>
      </c>
      <c r="Z230" s="16" t="n">
        <v>0</v>
      </c>
      <c r="AA230" s="21" t="n">
        <f aca="false">IF(OR($Y230="",$X230="",$X230=0),"",$Y230-N($Z230)/$X230)</f>
        <v>1600</v>
      </c>
      <c r="AB230" s="5"/>
      <c r="AC230" s="22" t="n">
        <f aca="false">IF(OR($Y230="",$L230="",$L230=0),"",$Y230/$L230-1)</f>
        <v>0.0158730158730158</v>
      </c>
      <c r="AD230" s="22" t="n">
        <f aca="false">IF(OR($AA230="",$N230="",$N230=0),"",$AA230/$N230-1)</f>
        <v>0.0158730158730158</v>
      </c>
      <c r="AE230" s="20"/>
      <c r="AF230" s="5"/>
      <c r="AG230" s="5"/>
      <c r="AH230" s="20"/>
      <c r="AI230" s="5"/>
      <c r="AJ230" s="16"/>
      <c r="AK230" s="16"/>
      <c r="AL230" s="21" t="str">
        <f aca="false">IF(OR($AJ230="",$AI230="",$AI230=0),"",$AJ230-N($AK230)/$AI230)</f>
        <v/>
      </c>
      <c r="AM230" s="22" t="str">
        <f aca="false">IF(OR($AJ230="",$L230="",$L230=0),"",$AJ230/$L230-1)</f>
        <v/>
      </c>
      <c r="AN230" s="22" t="str">
        <f aca="false">IF(OR($AL230="",$N230="",$N230=0),"",$AL230/$N230-1)</f>
        <v/>
      </c>
      <c r="AO230" s="6"/>
    </row>
    <row r="231" customFormat="false" ht="15" hidden="false" customHeight="false" outlineLevel="0" collapsed="false">
      <c r="A231" s="23" t="s">
        <v>941</v>
      </c>
      <c r="B231" s="23" t="s">
        <v>108</v>
      </c>
      <c r="C231" s="23" t="s">
        <v>103</v>
      </c>
      <c r="D231" s="24" t="n">
        <v>746</v>
      </c>
      <c r="E231" s="23" t="s">
        <v>942</v>
      </c>
      <c r="F231" s="23" t="s">
        <v>943</v>
      </c>
      <c r="G231" s="25" t="n">
        <v>46005</v>
      </c>
      <c r="H231" s="23" t="n">
        <v>12</v>
      </c>
      <c r="I231" s="25" t="n">
        <v>46369</v>
      </c>
      <c r="J231" s="23" t="s">
        <v>85</v>
      </c>
      <c r="K231" s="23" t="s">
        <v>86</v>
      </c>
      <c r="L231" s="26" t="n">
        <v>1499</v>
      </c>
      <c r="M231" s="26" t="n">
        <v>0</v>
      </c>
      <c r="N231" s="27" t="n">
        <f aca="false">IF(OR($L231="",$H231="",$H231=0),"",$L231-N($M231)/$H231)</f>
        <v>1499</v>
      </c>
      <c r="O231" s="23" t="s">
        <v>87</v>
      </c>
      <c r="P231" s="23" t="s">
        <v>88</v>
      </c>
      <c r="Q231" s="23" t="s">
        <v>89</v>
      </c>
      <c r="R231" s="23"/>
      <c r="S231" s="23"/>
      <c r="T231" s="23"/>
      <c r="U231" s="23"/>
      <c r="V231" s="23"/>
      <c r="W231" s="25"/>
      <c r="X231" s="23"/>
      <c r="Y231" s="26"/>
      <c r="Z231" s="26"/>
      <c r="AA231" s="27" t="str">
        <f aca="false">IF(OR($Y231="",$X231="",$X231=0),"",$Y231-N($Z231)/$X231)</f>
        <v/>
      </c>
      <c r="AB231" s="23"/>
      <c r="AC231" s="28" t="str">
        <f aca="false">IF(OR($Y231="",$L231="",$L231=0),"",$Y231/$L231-1)</f>
        <v/>
      </c>
      <c r="AD231" s="28" t="str">
        <f aca="false">IF(OR($AA231="",$N231="",$N231=0),"",$AA231/$N231-1)</f>
        <v/>
      </c>
      <c r="AE231" s="25"/>
      <c r="AF231" s="23"/>
      <c r="AG231" s="23"/>
      <c r="AH231" s="25"/>
      <c r="AI231" s="23"/>
      <c r="AJ231" s="26"/>
      <c r="AK231" s="26"/>
      <c r="AL231" s="27" t="str">
        <f aca="false">IF(OR($AJ231="",$AI231="",$AI231=0),"",$AJ231-N($AK231)/$AI231)</f>
        <v/>
      </c>
      <c r="AM231" s="28" t="str">
        <f aca="false">IF(OR($AJ231="",$L231="",$L231=0),"",$AJ231/$L231-1)</f>
        <v/>
      </c>
      <c r="AN231" s="28" t="str">
        <f aca="false">IF(OR($AL231="",$N231="",$N231=0),"",$AL231/$N231-1)</f>
        <v/>
      </c>
      <c r="AO231" s="24"/>
    </row>
    <row r="232" customFormat="false" ht="15" hidden="false" customHeight="false" outlineLevel="0" collapsed="false">
      <c r="A232" s="5" t="s">
        <v>944</v>
      </c>
      <c r="B232" s="5" t="s">
        <v>102</v>
      </c>
      <c r="C232" s="5" t="s">
        <v>103</v>
      </c>
      <c r="D232" s="6" t="n">
        <v>693</v>
      </c>
      <c r="E232" s="5" t="s">
        <v>945</v>
      </c>
      <c r="F232" s="5" t="s">
        <v>946</v>
      </c>
      <c r="G232" s="20" t="n">
        <v>45784</v>
      </c>
      <c r="H232" s="5" t="n">
        <v>18</v>
      </c>
      <c r="I232" s="20" t="n">
        <v>46332</v>
      </c>
      <c r="J232" s="5" t="s">
        <v>193</v>
      </c>
      <c r="K232" s="5" t="s">
        <v>86</v>
      </c>
      <c r="L232" s="16" t="n">
        <v>1395</v>
      </c>
      <c r="M232" s="16" t="n">
        <v>0</v>
      </c>
      <c r="N232" s="21" t="n">
        <f aca="false">IF(OR($L232="",$H232="",$H232=0),"",$L232-N($M232)/$H232)</f>
        <v>1395</v>
      </c>
      <c r="O232" s="5" t="s">
        <v>87</v>
      </c>
      <c r="P232" s="5" t="s">
        <v>88</v>
      </c>
      <c r="Q232" s="5" t="s">
        <v>89</v>
      </c>
      <c r="R232" s="5"/>
      <c r="S232" s="5"/>
      <c r="T232" s="5"/>
      <c r="U232" s="5"/>
      <c r="V232" s="5"/>
      <c r="W232" s="20"/>
      <c r="X232" s="5"/>
      <c r="Y232" s="16"/>
      <c r="Z232" s="16"/>
      <c r="AA232" s="21" t="str">
        <f aca="false">IF(OR($Y232="",$X232="",$X232=0),"",$Y232-N($Z232)/$X232)</f>
        <v/>
      </c>
      <c r="AB232" s="5"/>
      <c r="AC232" s="22" t="str">
        <f aca="false">IF(OR($Y232="",$L232="",$L232=0),"",$Y232/$L232-1)</f>
        <v/>
      </c>
      <c r="AD232" s="22" t="str">
        <f aca="false">IF(OR($AA232="",$N232="",$N232=0),"",$AA232/$N232-1)</f>
        <v/>
      </c>
      <c r="AE232" s="20"/>
      <c r="AF232" s="5"/>
      <c r="AG232" s="5"/>
      <c r="AH232" s="20"/>
      <c r="AI232" s="5"/>
      <c r="AJ232" s="16"/>
      <c r="AK232" s="16"/>
      <c r="AL232" s="21" t="str">
        <f aca="false">IF(OR($AJ232="",$AI232="",$AI232=0),"",$AJ232-N($AK232)/$AI232)</f>
        <v/>
      </c>
      <c r="AM232" s="22" t="str">
        <f aca="false">IF(OR($AJ232="",$L232="",$L232=0),"",$AJ232/$L232-1)</f>
        <v/>
      </c>
      <c r="AN232" s="22" t="str">
        <f aca="false">IF(OR($AL232="",$N232="",$N232=0),"",$AL232/$N232-1)</f>
        <v/>
      </c>
      <c r="AO232" s="6"/>
    </row>
    <row r="233" customFormat="false" ht="15" hidden="false" customHeight="false" outlineLevel="0" collapsed="false">
      <c r="A233" s="23" t="s">
        <v>947</v>
      </c>
      <c r="B233" s="23" t="s">
        <v>102</v>
      </c>
      <c r="C233" s="23" t="s">
        <v>103</v>
      </c>
      <c r="D233" s="24" t="n">
        <v>693</v>
      </c>
      <c r="E233" s="23" t="s">
        <v>948</v>
      </c>
      <c r="F233" s="23" t="s">
        <v>949</v>
      </c>
      <c r="G233" s="25" t="n">
        <v>45609</v>
      </c>
      <c r="H233" s="23" t="n">
        <v>12</v>
      </c>
      <c r="I233" s="25" t="n">
        <v>45973</v>
      </c>
      <c r="J233" s="23" t="s">
        <v>950</v>
      </c>
      <c r="K233" s="23" t="s">
        <v>126</v>
      </c>
      <c r="L233" s="26" t="n">
        <v>1575</v>
      </c>
      <c r="M233" s="26" t="n">
        <v>2904</v>
      </c>
      <c r="N233" s="27" t="n">
        <f aca="false">IF(OR($L233="",$H233="",$H233=0),"",$L233-N($M233)/$H233)</f>
        <v>1333</v>
      </c>
      <c r="O233" s="23" t="s">
        <v>532</v>
      </c>
      <c r="P233" s="23" t="s">
        <v>96</v>
      </c>
      <c r="Q233" s="23" t="s">
        <v>127</v>
      </c>
      <c r="R233" s="23" t="s">
        <v>98</v>
      </c>
      <c r="S233" s="23" t="s">
        <v>98</v>
      </c>
      <c r="T233" s="23"/>
      <c r="U233" s="23"/>
      <c r="V233" s="23"/>
      <c r="W233" s="25" t="n">
        <v>45974</v>
      </c>
      <c r="X233" s="23" t="n">
        <v>12</v>
      </c>
      <c r="Y233" s="26" t="n">
        <v>1442</v>
      </c>
      <c r="Z233" s="26" t="n">
        <v>0</v>
      </c>
      <c r="AA233" s="27" t="n">
        <f aca="false">IF(OR($Y233="",$X233="",$X233=0),"",$Y233-N($Z233)/$X233)</f>
        <v>1442</v>
      </c>
      <c r="AB233" s="23"/>
      <c r="AC233" s="28" t="n">
        <f aca="false">IF(OR($Y233="",$L233="",$L233=0),"",$Y233/$L233-1)</f>
        <v>-0.0844444444444444</v>
      </c>
      <c r="AD233" s="28" t="n">
        <f aca="false">IF(OR($AA233="",$N233="",$N233=0),"",$AA233/$N233-1)</f>
        <v>0.0817704426106527</v>
      </c>
      <c r="AE233" s="25"/>
      <c r="AF233" s="23"/>
      <c r="AG233" s="23"/>
      <c r="AH233" s="25"/>
      <c r="AI233" s="23"/>
      <c r="AJ233" s="26"/>
      <c r="AK233" s="26"/>
      <c r="AL233" s="27" t="str">
        <f aca="false">IF(OR($AJ233="",$AI233="",$AI233=0),"",$AJ233-N($AK233)/$AI233)</f>
        <v/>
      </c>
      <c r="AM233" s="28" t="str">
        <f aca="false">IF(OR($AJ233="",$L233="",$L233=0),"",$AJ233/$L233-1)</f>
        <v/>
      </c>
      <c r="AN233" s="28" t="str">
        <f aca="false">IF(OR($AL233="",$N233="",$N233=0),"",$AL233/$N233-1)</f>
        <v/>
      </c>
      <c r="AO233" s="24"/>
    </row>
    <row r="234" customFormat="false" ht="15" hidden="false" customHeight="false" outlineLevel="0" collapsed="false">
      <c r="A234" s="5" t="s">
        <v>951</v>
      </c>
      <c r="B234" s="5" t="s">
        <v>81</v>
      </c>
      <c r="C234" s="5" t="s">
        <v>82</v>
      </c>
      <c r="D234" s="6" t="n">
        <v>1141</v>
      </c>
      <c r="E234" s="5" t="s">
        <v>952</v>
      </c>
      <c r="F234" s="5" t="s">
        <v>953</v>
      </c>
      <c r="G234" s="20" t="n">
        <v>45575</v>
      </c>
      <c r="H234" s="5" t="n">
        <v>12</v>
      </c>
      <c r="I234" s="20" t="n">
        <v>46121</v>
      </c>
      <c r="J234" s="5" t="s">
        <v>167</v>
      </c>
      <c r="K234" s="5" t="s">
        <v>86</v>
      </c>
      <c r="L234" s="16" t="n">
        <v>1995</v>
      </c>
      <c r="M234" s="16" t="n">
        <v>3684</v>
      </c>
      <c r="N234" s="21" t="n">
        <f aca="false">IF(OR($L234="",$H234="",$H234=0),"",$L234-N($M234)/$H234)</f>
        <v>1688</v>
      </c>
      <c r="O234" s="5" t="s">
        <v>87</v>
      </c>
      <c r="P234" s="5" t="s">
        <v>96</v>
      </c>
      <c r="Q234" s="5" t="s">
        <v>97</v>
      </c>
      <c r="R234" s="5" t="s">
        <v>98</v>
      </c>
      <c r="S234" s="5" t="s">
        <v>98</v>
      </c>
      <c r="T234" s="5"/>
      <c r="U234" s="5"/>
      <c r="V234" s="5"/>
      <c r="W234" s="20"/>
      <c r="X234" s="5"/>
      <c r="Y234" s="16"/>
      <c r="Z234" s="16"/>
      <c r="AA234" s="21" t="str">
        <f aca="false">IF(OR($Y234="",$X234="",$X234=0),"",$Y234-N($Z234)/$X234)</f>
        <v/>
      </c>
      <c r="AB234" s="5"/>
      <c r="AC234" s="22" t="str">
        <f aca="false">IF(OR($Y234="",$L234="",$L234=0),"",$Y234/$L234-1)</f>
        <v/>
      </c>
      <c r="AD234" s="22" t="str">
        <f aca="false">IF(OR($AA234="",$N234="",$N234=0),"",$AA234/$N234-1)</f>
        <v/>
      </c>
      <c r="AE234" s="20" t="n">
        <v>46121</v>
      </c>
      <c r="AF234" s="5" t="s">
        <v>954</v>
      </c>
      <c r="AG234" s="5" t="s">
        <v>955</v>
      </c>
      <c r="AH234" s="20" t="n">
        <v>46193</v>
      </c>
      <c r="AI234" s="5" t="n">
        <v>15</v>
      </c>
      <c r="AJ234" s="16" t="n">
        <v>1944</v>
      </c>
      <c r="AK234" s="16" t="n">
        <v>1944</v>
      </c>
      <c r="AL234" s="21" t="n">
        <f aca="false">IF(OR($AJ234="",$AI234="",$AI234=0),"",$AJ234-N($AK234)/$AI234)</f>
        <v>1814.4</v>
      </c>
      <c r="AM234" s="22" t="n">
        <f aca="false">IF(OR($AJ234="",$L234="",$L234=0),"",$AJ234/$L234-1)</f>
        <v>-0.0255639097744361</v>
      </c>
      <c r="AN234" s="22" t="n">
        <f aca="false">IF(OR($AL234="",$N234="",$N234=0),"",$AL234/$N234-1)</f>
        <v>0.0748815165876777</v>
      </c>
      <c r="AO234" s="6" t="n">
        <v>72</v>
      </c>
    </row>
    <row r="235" customFormat="false" ht="15" hidden="false" customHeight="false" outlineLevel="0" collapsed="false">
      <c r="A235" s="23" t="s">
        <v>956</v>
      </c>
      <c r="B235" s="23" t="s">
        <v>102</v>
      </c>
      <c r="C235" s="23" t="s">
        <v>103</v>
      </c>
      <c r="D235" s="24" t="n">
        <v>693</v>
      </c>
      <c r="E235" s="23" t="s">
        <v>957</v>
      </c>
      <c r="F235" s="23" t="s">
        <v>958</v>
      </c>
      <c r="G235" s="25" t="n">
        <v>45604</v>
      </c>
      <c r="H235" s="23" t="n">
        <v>12</v>
      </c>
      <c r="I235" s="25" t="n">
        <v>46149</v>
      </c>
      <c r="J235" s="23" t="s">
        <v>148</v>
      </c>
      <c r="K235" s="23" t="s">
        <v>126</v>
      </c>
      <c r="L235" s="26" t="n">
        <v>1385</v>
      </c>
      <c r="M235" s="26" t="n">
        <v>2556</v>
      </c>
      <c r="N235" s="27" t="n">
        <f aca="false">IF(OR($L235="",$H235="",$H235=0),"",$L235-N($M235)/$H235)</f>
        <v>1172</v>
      </c>
      <c r="O235" s="23" t="s">
        <v>87</v>
      </c>
      <c r="P235" s="23" t="s">
        <v>96</v>
      </c>
      <c r="Q235" s="23" t="s">
        <v>127</v>
      </c>
      <c r="R235" s="23" t="s">
        <v>98</v>
      </c>
      <c r="S235" s="23" t="s">
        <v>98</v>
      </c>
      <c r="T235" s="23"/>
      <c r="U235" s="23"/>
      <c r="V235" s="23"/>
      <c r="W235" s="25" t="n">
        <v>46150</v>
      </c>
      <c r="X235" s="23" t="n">
        <v>12</v>
      </c>
      <c r="Y235" s="26" t="n">
        <v>1435</v>
      </c>
      <c r="Z235" s="26" t="n">
        <v>0</v>
      </c>
      <c r="AA235" s="27" t="n">
        <f aca="false">IF(OR($Y235="",$X235="",$X235=0),"",$Y235-N($Z235)/$X235)</f>
        <v>1435</v>
      </c>
      <c r="AB235" s="23"/>
      <c r="AC235" s="28" t="n">
        <f aca="false">IF(OR($Y235="",$L235="",$L235=0),"",$Y235/$L235-1)</f>
        <v>0.036101083032491</v>
      </c>
      <c r="AD235" s="28" t="n">
        <f aca="false">IF(OR($AA235="",$N235="",$N235=0),"",$AA235/$N235-1)</f>
        <v>0.224402730375427</v>
      </c>
      <c r="AE235" s="25"/>
      <c r="AF235" s="23"/>
      <c r="AG235" s="23"/>
      <c r="AH235" s="25"/>
      <c r="AI235" s="23"/>
      <c r="AJ235" s="26"/>
      <c r="AK235" s="26"/>
      <c r="AL235" s="27" t="str">
        <f aca="false">IF(OR($AJ235="",$AI235="",$AI235=0),"",$AJ235-N($AK235)/$AI235)</f>
        <v/>
      </c>
      <c r="AM235" s="28" t="str">
        <f aca="false">IF(OR($AJ235="",$L235="",$L235=0),"",$AJ235/$L235-1)</f>
        <v/>
      </c>
      <c r="AN235" s="28" t="str">
        <f aca="false">IF(OR($AL235="",$N235="",$N235=0),"",$AL235/$N235-1)</f>
        <v/>
      </c>
      <c r="AO235" s="24"/>
    </row>
    <row r="236" customFormat="false" ht="15" hidden="false" customHeight="false" outlineLevel="0" collapsed="false">
      <c r="A236" s="5" t="s">
        <v>959</v>
      </c>
      <c r="B236" s="5" t="s">
        <v>113</v>
      </c>
      <c r="C236" s="5" t="s">
        <v>82</v>
      </c>
      <c r="D236" s="6" t="n">
        <v>1092</v>
      </c>
      <c r="E236" s="5" t="s">
        <v>960</v>
      </c>
      <c r="F236" s="5" t="s">
        <v>961</v>
      </c>
      <c r="G236" s="20" t="n">
        <v>46013</v>
      </c>
      <c r="H236" s="5" t="n">
        <v>13</v>
      </c>
      <c r="I236" s="20" t="n">
        <v>46408</v>
      </c>
      <c r="J236" s="5" t="s">
        <v>265</v>
      </c>
      <c r="K236" s="5" t="s">
        <v>86</v>
      </c>
      <c r="L236" s="16" t="n">
        <v>1679</v>
      </c>
      <c r="M236" s="16" t="n">
        <v>0</v>
      </c>
      <c r="N236" s="21" t="n">
        <f aca="false">IF(OR($L236="",$H236="",$H236=0),"",$L236-N($M236)/$H236)</f>
        <v>1679</v>
      </c>
      <c r="O236" s="5" t="s">
        <v>87</v>
      </c>
      <c r="P236" s="5" t="s">
        <v>88</v>
      </c>
      <c r="Q236" s="5" t="s">
        <v>89</v>
      </c>
      <c r="R236" s="5"/>
      <c r="S236" s="5"/>
      <c r="T236" s="5"/>
      <c r="U236" s="5"/>
      <c r="V236" s="5"/>
      <c r="W236" s="20"/>
      <c r="X236" s="5"/>
      <c r="Y236" s="16"/>
      <c r="Z236" s="16"/>
      <c r="AA236" s="21" t="str">
        <f aca="false">IF(OR($Y236="",$X236="",$X236=0),"",$Y236-N($Z236)/$X236)</f>
        <v/>
      </c>
      <c r="AB236" s="5"/>
      <c r="AC236" s="22" t="str">
        <f aca="false">IF(OR($Y236="",$L236="",$L236=0),"",$Y236/$L236-1)</f>
        <v/>
      </c>
      <c r="AD236" s="22" t="str">
        <f aca="false">IF(OR($AA236="",$N236="",$N236=0),"",$AA236/$N236-1)</f>
        <v/>
      </c>
      <c r="AE236" s="20"/>
      <c r="AF236" s="5"/>
      <c r="AG236" s="5"/>
      <c r="AH236" s="20"/>
      <c r="AI236" s="5"/>
      <c r="AJ236" s="16"/>
      <c r="AK236" s="16"/>
      <c r="AL236" s="21" t="str">
        <f aca="false">IF(OR($AJ236="",$AI236="",$AI236=0),"",$AJ236-N($AK236)/$AI236)</f>
        <v/>
      </c>
      <c r="AM236" s="22" t="str">
        <f aca="false">IF(OR($AJ236="",$L236="",$L236=0),"",$AJ236/$L236-1)</f>
        <v/>
      </c>
      <c r="AN236" s="22" t="str">
        <f aca="false">IF(OR($AL236="",$N236="",$N236=0),"",$AL236/$N236-1)</f>
        <v/>
      </c>
      <c r="AO236" s="6"/>
    </row>
    <row r="237" customFormat="false" ht="15" hidden="false" customHeight="false" outlineLevel="0" collapsed="false">
      <c r="A237" s="23" t="s">
        <v>962</v>
      </c>
      <c r="B237" s="23" t="s">
        <v>275</v>
      </c>
      <c r="C237" s="23" t="s">
        <v>276</v>
      </c>
      <c r="D237" s="24" t="n">
        <v>517</v>
      </c>
      <c r="E237" s="23" t="s">
        <v>963</v>
      </c>
      <c r="F237" s="23" t="s">
        <v>964</v>
      </c>
      <c r="G237" s="25" t="n">
        <v>45525</v>
      </c>
      <c r="H237" s="23" t="n">
        <v>12</v>
      </c>
      <c r="I237" s="25" t="n">
        <v>45889</v>
      </c>
      <c r="J237" s="23" t="s">
        <v>965</v>
      </c>
      <c r="K237" s="23" t="s">
        <v>126</v>
      </c>
      <c r="L237" s="26" t="n">
        <v>1395</v>
      </c>
      <c r="M237" s="26"/>
      <c r="N237" s="27" t="n">
        <f aca="false">IF(OR($L237="",$H237="",$H237=0),"",$L237-N($M237)/$H237)</f>
        <v>1395</v>
      </c>
      <c r="O237" s="23" t="s">
        <v>532</v>
      </c>
      <c r="P237" s="23" t="s">
        <v>505</v>
      </c>
      <c r="Q237" s="23" t="s">
        <v>127</v>
      </c>
      <c r="R237" s="23" t="s">
        <v>98</v>
      </c>
      <c r="S237" s="23" t="s">
        <v>98</v>
      </c>
      <c r="T237" s="23"/>
      <c r="U237" s="23"/>
      <c r="V237" s="23"/>
      <c r="W237" s="25" t="n">
        <v>45890</v>
      </c>
      <c r="X237" s="23" t="n">
        <v>12</v>
      </c>
      <c r="Y237" s="26" t="n">
        <v>1415</v>
      </c>
      <c r="Z237" s="26" t="n">
        <v>0</v>
      </c>
      <c r="AA237" s="27" t="n">
        <f aca="false">IF(OR($Y237="",$X237="",$X237=0),"",$Y237-N($Z237)/$X237)</f>
        <v>1415</v>
      </c>
      <c r="AB237" s="23"/>
      <c r="AC237" s="28" t="n">
        <f aca="false">IF(OR($Y237="",$L237="",$L237=0),"",$Y237/$L237-1)</f>
        <v>0.0143369175627239</v>
      </c>
      <c r="AD237" s="28" t="n">
        <f aca="false">IF(OR($AA237="",$N237="",$N237=0),"",$AA237/$N237-1)</f>
        <v>0.0143369175627239</v>
      </c>
      <c r="AE237" s="25"/>
      <c r="AF237" s="23"/>
      <c r="AG237" s="23"/>
      <c r="AH237" s="25"/>
      <c r="AI237" s="23"/>
      <c r="AJ237" s="26"/>
      <c r="AK237" s="26"/>
      <c r="AL237" s="27" t="str">
        <f aca="false">IF(OR($AJ237="",$AI237="",$AI237=0),"",$AJ237-N($AK237)/$AI237)</f>
        <v/>
      </c>
      <c r="AM237" s="28" t="str">
        <f aca="false">IF(OR($AJ237="",$L237="",$L237=0),"",$AJ237/$L237-1)</f>
        <v/>
      </c>
      <c r="AN237" s="28" t="str">
        <f aca="false">IF(OR($AL237="",$N237="",$N237=0),"",$AL237/$N237-1)</f>
        <v/>
      </c>
      <c r="AO237" s="24"/>
    </row>
    <row r="238" customFormat="false" ht="15" hidden="false" customHeight="false" outlineLevel="0" collapsed="false">
      <c r="A238" s="5" t="s">
        <v>966</v>
      </c>
      <c r="B238" s="5" t="s">
        <v>102</v>
      </c>
      <c r="C238" s="5" t="s">
        <v>103</v>
      </c>
      <c r="D238" s="6" t="n">
        <v>693</v>
      </c>
      <c r="E238" s="5" t="s">
        <v>967</v>
      </c>
      <c r="F238" s="5" t="s">
        <v>968</v>
      </c>
      <c r="G238" s="20" t="n">
        <v>45607</v>
      </c>
      <c r="H238" s="5" t="n">
        <v>12</v>
      </c>
      <c r="I238" s="20" t="n">
        <v>45971</v>
      </c>
      <c r="J238" s="5" t="s">
        <v>950</v>
      </c>
      <c r="K238" s="5" t="s">
        <v>126</v>
      </c>
      <c r="L238" s="16" t="n">
        <v>1395</v>
      </c>
      <c r="M238" s="16" t="n">
        <v>2580</v>
      </c>
      <c r="N238" s="21" t="n">
        <f aca="false">IF(OR($L238="",$H238="",$H238=0),"",$L238-N($M238)/$H238)</f>
        <v>1180</v>
      </c>
      <c r="O238" s="5" t="s">
        <v>532</v>
      </c>
      <c r="P238" s="5" t="s">
        <v>96</v>
      </c>
      <c r="Q238" s="5" t="s">
        <v>127</v>
      </c>
      <c r="R238" s="5" t="s">
        <v>98</v>
      </c>
      <c r="S238" s="5" t="s">
        <v>98</v>
      </c>
      <c r="T238" s="5"/>
      <c r="U238" s="5"/>
      <c r="V238" s="5"/>
      <c r="W238" s="20" t="n">
        <v>45972</v>
      </c>
      <c r="X238" s="5" t="n">
        <v>12</v>
      </c>
      <c r="Y238" s="16" t="n">
        <v>1437</v>
      </c>
      <c r="Z238" s="16" t="n">
        <v>0</v>
      </c>
      <c r="AA238" s="21" t="n">
        <f aca="false">IF(OR($Y238="",$X238="",$X238=0),"",$Y238-N($Z238)/$X238)</f>
        <v>1437</v>
      </c>
      <c r="AB238" s="5"/>
      <c r="AC238" s="22" t="n">
        <f aca="false">IF(OR($Y238="",$L238="",$L238=0),"",$Y238/$L238-1)</f>
        <v>0.0301075268817204</v>
      </c>
      <c r="AD238" s="22" t="n">
        <f aca="false">IF(OR($AA238="",$N238="",$N238=0),"",$AA238/$N238-1)</f>
        <v>0.217796610169491</v>
      </c>
      <c r="AE238" s="20"/>
      <c r="AF238" s="5"/>
      <c r="AG238" s="5"/>
      <c r="AH238" s="20"/>
      <c r="AI238" s="5"/>
      <c r="AJ238" s="16"/>
      <c r="AK238" s="16"/>
      <c r="AL238" s="21" t="str">
        <f aca="false">IF(OR($AJ238="",$AI238="",$AI238=0),"",$AJ238-N($AK238)/$AI238)</f>
        <v/>
      </c>
      <c r="AM238" s="22" t="str">
        <f aca="false">IF(OR($AJ238="",$L238="",$L238=0),"",$AJ238/$L238-1)</f>
        <v/>
      </c>
      <c r="AN238" s="22" t="str">
        <f aca="false">IF(OR($AL238="",$N238="",$N238=0),"",$AL238/$N238-1)</f>
        <v/>
      </c>
      <c r="AO238" s="6"/>
    </row>
    <row r="239" customFormat="false" ht="15" hidden="false" customHeight="false" outlineLevel="0" collapsed="false">
      <c r="A239" s="23" t="s">
        <v>969</v>
      </c>
      <c r="B239" s="23" t="s">
        <v>161</v>
      </c>
      <c r="C239" s="23" t="s">
        <v>92</v>
      </c>
      <c r="D239" s="24" t="n">
        <v>1340</v>
      </c>
      <c r="E239" s="23" t="s">
        <v>970</v>
      </c>
      <c r="F239" s="23" t="s">
        <v>971</v>
      </c>
      <c r="G239" s="25" t="n">
        <v>45681</v>
      </c>
      <c r="H239" s="23" t="n">
        <v>24</v>
      </c>
      <c r="I239" s="25" t="n">
        <v>46410</v>
      </c>
      <c r="J239" s="23" t="s">
        <v>265</v>
      </c>
      <c r="K239" s="23" t="s">
        <v>86</v>
      </c>
      <c r="L239" s="26" t="n">
        <v>1855</v>
      </c>
      <c r="M239" s="26" t="n">
        <v>0</v>
      </c>
      <c r="N239" s="27" t="n">
        <f aca="false">IF(OR($L239="",$H239="",$H239=0),"",$L239-N($M239)/$H239)</f>
        <v>1855</v>
      </c>
      <c r="O239" s="23" t="s">
        <v>87</v>
      </c>
      <c r="P239" s="23" t="s">
        <v>88</v>
      </c>
      <c r="Q239" s="23" t="s">
        <v>89</v>
      </c>
      <c r="R239" s="23"/>
      <c r="S239" s="23"/>
      <c r="T239" s="23"/>
      <c r="U239" s="23"/>
      <c r="V239" s="23"/>
      <c r="W239" s="25"/>
      <c r="X239" s="23"/>
      <c r="Y239" s="26"/>
      <c r="Z239" s="26"/>
      <c r="AA239" s="27" t="str">
        <f aca="false">IF(OR($Y239="",$X239="",$X239=0),"",$Y239-N($Z239)/$X239)</f>
        <v/>
      </c>
      <c r="AB239" s="23"/>
      <c r="AC239" s="28" t="str">
        <f aca="false">IF(OR($Y239="",$L239="",$L239=0),"",$Y239/$L239-1)</f>
        <v/>
      </c>
      <c r="AD239" s="28" t="str">
        <f aca="false">IF(OR($AA239="",$N239="",$N239=0),"",$AA239/$N239-1)</f>
        <v/>
      </c>
      <c r="AE239" s="25"/>
      <c r="AF239" s="23"/>
      <c r="AG239" s="23"/>
      <c r="AH239" s="25"/>
      <c r="AI239" s="23"/>
      <c r="AJ239" s="26"/>
      <c r="AK239" s="26"/>
      <c r="AL239" s="27" t="str">
        <f aca="false">IF(OR($AJ239="",$AI239="",$AI239=0),"",$AJ239-N($AK239)/$AI239)</f>
        <v/>
      </c>
      <c r="AM239" s="28" t="str">
        <f aca="false">IF(OR($AJ239="",$L239="",$L239=0),"",$AJ239/$L239-1)</f>
        <v/>
      </c>
      <c r="AN239" s="28" t="str">
        <f aca="false">IF(OR($AL239="",$N239="",$N239=0),"",$AL239/$N239-1)</f>
        <v/>
      </c>
      <c r="AO239" s="24"/>
    </row>
    <row r="240" customFormat="false" ht="15" hidden="false" customHeight="false" outlineLevel="0" collapsed="false">
      <c r="A240" s="5" t="s">
        <v>972</v>
      </c>
      <c r="B240" s="5" t="s">
        <v>81</v>
      </c>
      <c r="C240" s="5" t="s">
        <v>82</v>
      </c>
      <c r="D240" s="6" t="n">
        <v>1141</v>
      </c>
      <c r="E240" s="5" t="s">
        <v>973</v>
      </c>
      <c r="F240" s="5" t="s">
        <v>974</v>
      </c>
      <c r="G240" s="20" t="n">
        <v>45558</v>
      </c>
      <c r="H240" s="5" t="n">
        <v>12</v>
      </c>
      <c r="I240" s="20" t="n">
        <v>45952</v>
      </c>
      <c r="J240" s="5" t="s">
        <v>975</v>
      </c>
      <c r="K240" s="5" t="s">
        <v>126</v>
      </c>
      <c r="L240" s="16" t="n">
        <v>1995</v>
      </c>
      <c r="M240" s="16" t="n">
        <v>3684</v>
      </c>
      <c r="N240" s="21" t="n">
        <f aca="false">IF(OR($L240="",$H240="",$H240=0),"",$L240-N($M240)/$H240)</f>
        <v>1688</v>
      </c>
      <c r="O240" s="5" t="s">
        <v>532</v>
      </c>
      <c r="P240" s="5" t="s">
        <v>96</v>
      </c>
      <c r="Q240" s="5" t="s">
        <v>127</v>
      </c>
      <c r="R240" s="5" t="s">
        <v>98</v>
      </c>
      <c r="S240" s="5" t="s">
        <v>98</v>
      </c>
      <c r="T240" s="5"/>
      <c r="U240" s="5" t="s">
        <v>98</v>
      </c>
      <c r="V240" s="5"/>
      <c r="W240" s="20" t="n">
        <v>45953</v>
      </c>
      <c r="X240" s="5" t="n">
        <v>10</v>
      </c>
      <c r="Y240" s="16" t="n">
        <v>1995</v>
      </c>
      <c r="Z240" s="16" t="n">
        <v>0</v>
      </c>
      <c r="AA240" s="21" t="n">
        <f aca="false">IF(OR($Y240="",$X240="",$X240=0),"",$Y240-N($Z240)/$X240)</f>
        <v>1995</v>
      </c>
      <c r="AB240" s="5"/>
      <c r="AC240" s="22" t="n">
        <f aca="false">IF(OR($Y240="",$L240="",$L240=0),"",$Y240/$L240-1)</f>
        <v>0</v>
      </c>
      <c r="AD240" s="22" t="n">
        <f aca="false">IF(OR($AA240="",$N240="",$N240=0),"",$AA240/$N240-1)</f>
        <v>0.181872037914692</v>
      </c>
      <c r="AE240" s="20"/>
      <c r="AF240" s="5"/>
      <c r="AG240" s="5"/>
      <c r="AH240" s="20"/>
      <c r="AI240" s="5"/>
      <c r="AJ240" s="16"/>
      <c r="AK240" s="16"/>
      <c r="AL240" s="21" t="str">
        <f aca="false">IF(OR($AJ240="",$AI240="",$AI240=0),"",$AJ240-N($AK240)/$AI240)</f>
        <v/>
      </c>
      <c r="AM240" s="22" t="str">
        <f aca="false">IF(OR($AJ240="",$L240="",$L240=0),"",$AJ240/$L240-1)</f>
        <v/>
      </c>
      <c r="AN240" s="22" t="str">
        <f aca="false">IF(OR($AL240="",$N240="",$N240=0),"",$AL240/$N240-1)</f>
        <v/>
      </c>
      <c r="AO240" s="6"/>
    </row>
    <row r="241" customFormat="false" ht="15" hidden="false" customHeight="false" outlineLevel="0" collapsed="false">
      <c r="A241" s="23" t="s">
        <v>976</v>
      </c>
      <c r="B241" s="23" t="s">
        <v>81</v>
      </c>
      <c r="C241" s="23" t="s">
        <v>82</v>
      </c>
      <c r="D241" s="24" t="n">
        <v>1141</v>
      </c>
      <c r="E241" s="23" t="s">
        <v>977</v>
      </c>
      <c r="F241" s="23" t="s">
        <v>978</v>
      </c>
      <c r="G241" s="25" t="n">
        <v>45940</v>
      </c>
      <c r="H241" s="23" t="n">
        <v>12</v>
      </c>
      <c r="I241" s="25" t="n">
        <v>46304</v>
      </c>
      <c r="J241" s="23" t="s">
        <v>106</v>
      </c>
      <c r="K241" s="23" t="s">
        <v>86</v>
      </c>
      <c r="L241" s="26" t="n">
        <v>1895</v>
      </c>
      <c r="M241" s="26" t="n">
        <v>1895</v>
      </c>
      <c r="N241" s="27" t="n">
        <f aca="false">IF(OR($L241="",$H241="",$H241=0),"",$L241-N($M241)/$H241)</f>
        <v>1737.08333333333</v>
      </c>
      <c r="O241" s="23" t="s">
        <v>87</v>
      </c>
      <c r="P241" s="23" t="s">
        <v>88</v>
      </c>
      <c r="Q241" s="23" t="s">
        <v>89</v>
      </c>
      <c r="R241" s="23"/>
      <c r="S241" s="23"/>
      <c r="T241" s="23"/>
      <c r="U241" s="23"/>
      <c r="V241" s="23"/>
      <c r="W241" s="25"/>
      <c r="X241" s="23"/>
      <c r="Y241" s="26"/>
      <c r="Z241" s="26"/>
      <c r="AA241" s="27" t="str">
        <f aca="false">IF(OR($Y241="",$X241="",$X241=0),"",$Y241-N($Z241)/$X241)</f>
        <v/>
      </c>
      <c r="AB241" s="23"/>
      <c r="AC241" s="28" t="str">
        <f aca="false">IF(OR($Y241="",$L241="",$L241=0),"",$Y241/$L241-1)</f>
        <v/>
      </c>
      <c r="AD241" s="28" t="str">
        <f aca="false">IF(OR($AA241="",$N241="",$N241=0),"",$AA241/$N241-1)</f>
        <v/>
      </c>
      <c r="AE241" s="25"/>
      <c r="AF241" s="23"/>
      <c r="AG241" s="23"/>
      <c r="AH241" s="25"/>
      <c r="AI241" s="23"/>
      <c r="AJ241" s="26"/>
      <c r="AK241" s="26"/>
      <c r="AL241" s="27" t="str">
        <f aca="false">IF(OR($AJ241="",$AI241="",$AI241=0),"",$AJ241-N($AK241)/$AI241)</f>
        <v/>
      </c>
      <c r="AM241" s="28" t="str">
        <f aca="false">IF(OR($AJ241="",$L241="",$L241=0),"",$AJ241/$L241-1)</f>
        <v/>
      </c>
      <c r="AN241" s="28" t="str">
        <f aca="false">IF(OR($AL241="",$N241="",$N241=0),"",$AL241/$N241-1)</f>
        <v/>
      </c>
      <c r="AO241" s="24"/>
    </row>
    <row r="242" customFormat="false" ht="15" hidden="false" customHeight="false" outlineLevel="0" collapsed="false">
      <c r="A242" s="5" t="s">
        <v>979</v>
      </c>
      <c r="B242" s="5" t="s">
        <v>108</v>
      </c>
      <c r="C242" s="5" t="s">
        <v>103</v>
      </c>
      <c r="D242" s="6" t="n">
        <v>746</v>
      </c>
      <c r="E242" s="5" t="s">
        <v>980</v>
      </c>
      <c r="F242" s="5" t="s">
        <v>981</v>
      </c>
      <c r="G242" s="20" t="n">
        <v>45932</v>
      </c>
      <c r="H242" s="5" t="n">
        <v>18</v>
      </c>
      <c r="I242" s="20" t="n">
        <v>46478</v>
      </c>
      <c r="J242" s="5" t="s">
        <v>143</v>
      </c>
      <c r="K242" s="5" t="s">
        <v>86</v>
      </c>
      <c r="L242" s="16" t="n">
        <v>1499</v>
      </c>
      <c r="M242" s="16"/>
      <c r="N242" s="21" t="n">
        <f aca="false">IF(OR($L242="",$H242="",$H242=0),"",$L242-N($M242)/$H242)</f>
        <v>1499</v>
      </c>
      <c r="O242" s="5" t="s">
        <v>87</v>
      </c>
      <c r="P242" s="5" t="s">
        <v>505</v>
      </c>
      <c r="Q242" s="5" t="s">
        <v>97</v>
      </c>
      <c r="R242" s="5"/>
      <c r="S242" s="5"/>
      <c r="T242" s="5" t="s">
        <v>98</v>
      </c>
      <c r="U242" s="5"/>
      <c r="V242" s="5"/>
      <c r="W242" s="20"/>
      <c r="X242" s="5"/>
      <c r="Y242" s="16"/>
      <c r="Z242" s="16"/>
      <c r="AA242" s="21" t="str">
        <f aca="false">IF(OR($Y242="",$X242="",$X242=0),"",$Y242-N($Z242)/$X242)</f>
        <v/>
      </c>
      <c r="AB242" s="5"/>
      <c r="AC242" s="22" t="str">
        <f aca="false">IF(OR($Y242="",$L242="",$L242=0),"",$Y242/$L242-1)</f>
        <v/>
      </c>
      <c r="AD242" s="22" t="str">
        <f aca="false">IF(OR($AA242="",$N242="",$N242=0),"",$AA242/$N242-1)</f>
        <v/>
      </c>
      <c r="AE242" s="20" t="n">
        <v>46117</v>
      </c>
      <c r="AF242" s="5" t="s">
        <v>982</v>
      </c>
      <c r="AG242" s="5" t="s">
        <v>983</v>
      </c>
      <c r="AH242" s="20" t="n">
        <v>46139</v>
      </c>
      <c r="AI242" s="5" t="n">
        <v>9</v>
      </c>
      <c r="AJ242" s="16" t="n">
        <v>1500</v>
      </c>
      <c r="AK242" s="16" t="n">
        <v>0</v>
      </c>
      <c r="AL242" s="21" t="n">
        <f aca="false">IF(OR($AJ242="",$AI242="",$AI242=0),"",$AJ242-N($AK242)/$AI242)</f>
        <v>1500</v>
      </c>
      <c r="AM242" s="22" t="n">
        <f aca="false">IF(OR($AJ242="",$L242="",$L242=0),"",$AJ242/$L242-1)</f>
        <v>0.000667111407605114</v>
      </c>
      <c r="AN242" s="22" t="n">
        <f aca="false">IF(OR($AL242="",$N242="",$N242=0),"",$AL242/$N242-1)</f>
        <v>0.000667111407605114</v>
      </c>
      <c r="AO242" s="6" t="n">
        <v>22</v>
      </c>
    </row>
    <row r="243" customFormat="false" ht="15" hidden="false" customHeight="false" outlineLevel="0" collapsed="false">
      <c r="A243" s="23" t="s">
        <v>984</v>
      </c>
      <c r="B243" s="23" t="s">
        <v>81</v>
      </c>
      <c r="C243" s="23" t="s">
        <v>82</v>
      </c>
      <c r="D243" s="24" t="n">
        <v>1141</v>
      </c>
      <c r="E243" s="23" t="s">
        <v>985</v>
      </c>
      <c r="F243" s="23" t="s">
        <v>986</v>
      </c>
      <c r="G243" s="25" t="n">
        <v>45597</v>
      </c>
      <c r="H243" s="23" t="n">
        <v>12</v>
      </c>
      <c r="I243" s="25" t="n">
        <v>46142</v>
      </c>
      <c r="J243" s="23" t="s">
        <v>167</v>
      </c>
      <c r="K243" s="23" t="s">
        <v>126</v>
      </c>
      <c r="L243" s="26" t="n">
        <v>2245</v>
      </c>
      <c r="M243" s="26" t="n">
        <v>4152</v>
      </c>
      <c r="N243" s="27" t="n">
        <f aca="false">IF(OR($L243="",$H243="",$H243=0),"",$L243-N($M243)/$H243)</f>
        <v>1899</v>
      </c>
      <c r="O243" s="23" t="s">
        <v>87</v>
      </c>
      <c r="P243" s="23" t="s">
        <v>96</v>
      </c>
      <c r="Q243" s="23" t="s">
        <v>127</v>
      </c>
      <c r="R243" s="23" t="s">
        <v>98</v>
      </c>
      <c r="S243" s="23" t="s">
        <v>98</v>
      </c>
      <c r="T243" s="23"/>
      <c r="U243" s="23"/>
      <c r="V243" s="23"/>
      <c r="W243" s="25" t="n">
        <v>46143</v>
      </c>
      <c r="X243" s="23" t="n">
        <v>12</v>
      </c>
      <c r="Y243" s="26" t="n">
        <v>2265</v>
      </c>
      <c r="Z243" s="26" t="n">
        <v>0</v>
      </c>
      <c r="AA243" s="27" t="n">
        <f aca="false">IF(OR($Y243="",$X243="",$X243=0),"",$Y243-N($Z243)/$X243)</f>
        <v>2265</v>
      </c>
      <c r="AB243" s="23"/>
      <c r="AC243" s="28" t="n">
        <f aca="false">IF(OR($Y243="",$L243="",$L243=0),"",$Y243/$L243-1)</f>
        <v>0.00890868596881966</v>
      </c>
      <c r="AD243" s="28" t="n">
        <f aca="false">IF(OR($AA243="",$N243="",$N243=0),"",$AA243/$N243-1)</f>
        <v>0.192733017377567</v>
      </c>
      <c r="AE243" s="25"/>
      <c r="AF243" s="23"/>
      <c r="AG243" s="23"/>
      <c r="AH243" s="25"/>
      <c r="AI243" s="23"/>
      <c r="AJ243" s="26"/>
      <c r="AK243" s="26"/>
      <c r="AL243" s="27" t="str">
        <f aca="false">IF(OR($AJ243="",$AI243="",$AI243=0),"",$AJ243-N($AK243)/$AI243)</f>
        <v/>
      </c>
      <c r="AM243" s="28" t="str">
        <f aca="false">IF(OR($AJ243="",$L243="",$L243=0),"",$AJ243/$L243-1)</f>
        <v/>
      </c>
      <c r="AN243" s="28" t="str">
        <f aca="false">IF(OR($AL243="",$N243="",$N243=0),"",$AL243/$N243-1)</f>
        <v/>
      </c>
      <c r="AO243" s="24"/>
    </row>
    <row r="244" customFormat="false" ht="15" hidden="false" customHeight="false" outlineLevel="0" collapsed="false">
      <c r="A244" s="5" t="s">
        <v>987</v>
      </c>
      <c r="B244" s="5" t="s">
        <v>102</v>
      </c>
      <c r="C244" s="5" t="s">
        <v>103</v>
      </c>
      <c r="D244" s="6" t="n">
        <v>693</v>
      </c>
      <c r="E244" s="5" t="s">
        <v>988</v>
      </c>
      <c r="F244" s="5" t="s">
        <v>989</v>
      </c>
      <c r="G244" s="20" t="n">
        <v>45765</v>
      </c>
      <c r="H244" s="5" t="n">
        <v>12</v>
      </c>
      <c r="I244" s="20" t="n">
        <v>46129</v>
      </c>
      <c r="J244" s="5" t="s">
        <v>167</v>
      </c>
      <c r="K244" s="5" t="s">
        <v>126</v>
      </c>
      <c r="L244" s="16" t="n">
        <v>1435</v>
      </c>
      <c r="M244" s="16" t="n">
        <v>1992</v>
      </c>
      <c r="N244" s="21" t="n">
        <f aca="false">IF(OR($L244="",$H244="",$H244=0),"",$L244-N($M244)/$H244)</f>
        <v>1269</v>
      </c>
      <c r="O244" s="5" t="s">
        <v>87</v>
      </c>
      <c r="P244" s="5" t="s">
        <v>96</v>
      </c>
      <c r="Q244" s="5" t="s">
        <v>127</v>
      </c>
      <c r="R244" s="5" t="s">
        <v>98</v>
      </c>
      <c r="S244" s="5" t="s">
        <v>98</v>
      </c>
      <c r="T244" s="5"/>
      <c r="U244" s="5"/>
      <c r="V244" s="5"/>
      <c r="W244" s="20" t="n">
        <v>46130</v>
      </c>
      <c r="X244" s="5" t="n">
        <v>12</v>
      </c>
      <c r="Y244" s="16" t="n">
        <v>1470</v>
      </c>
      <c r="Z244" s="16" t="n">
        <v>0</v>
      </c>
      <c r="AA244" s="21" t="n">
        <f aca="false">IF(OR($Y244="",$X244="",$X244=0),"",$Y244-N($Z244)/$X244)</f>
        <v>1470</v>
      </c>
      <c r="AB244" s="5"/>
      <c r="AC244" s="22" t="n">
        <f aca="false">IF(OR($Y244="",$L244="",$L244=0),"",$Y244/$L244-1)</f>
        <v>0.024390243902439</v>
      </c>
      <c r="AD244" s="22" t="n">
        <f aca="false">IF(OR($AA244="",$N244="",$N244=0),"",$AA244/$N244-1)</f>
        <v>0.15839243498818</v>
      </c>
      <c r="AE244" s="20"/>
      <c r="AF244" s="5"/>
      <c r="AG244" s="5"/>
      <c r="AH244" s="20"/>
      <c r="AI244" s="5"/>
      <c r="AJ244" s="16"/>
      <c r="AK244" s="16"/>
      <c r="AL244" s="21" t="str">
        <f aca="false">IF(OR($AJ244="",$AI244="",$AI244=0),"",$AJ244-N($AK244)/$AI244)</f>
        <v/>
      </c>
      <c r="AM244" s="22" t="str">
        <f aca="false">IF(OR($AJ244="",$L244="",$L244=0),"",$AJ244/$L244-1)</f>
        <v/>
      </c>
      <c r="AN244" s="22" t="str">
        <f aca="false">IF(OR($AL244="",$N244="",$N244=0),"",$AL244/$N244-1)</f>
        <v/>
      </c>
      <c r="AO244" s="6"/>
    </row>
    <row r="245" customFormat="false" ht="15" hidden="false" customHeight="false" outlineLevel="0" collapsed="false">
      <c r="A245" s="23" t="s">
        <v>990</v>
      </c>
      <c r="B245" s="23" t="s">
        <v>113</v>
      </c>
      <c r="C245" s="23" t="s">
        <v>82</v>
      </c>
      <c r="D245" s="24" t="n">
        <v>1092</v>
      </c>
      <c r="E245" s="23" t="s">
        <v>991</v>
      </c>
      <c r="F245" s="23" t="s">
        <v>992</v>
      </c>
      <c r="G245" s="25" t="n">
        <v>45899</v>
      </c>
      <c r="H245" s="23" t="n">
        <v>13</v>
      </c>
      <c r="I245" s="25" t="n">
        <v>46294</v>
      </c>
      <c r="J245" s="23" t="s">
        <v>186</v>
      </c>
      <c r="K245" s="23" t="s">
        <v>86</v>
      </c>
      <c r="L245" s="26" t="n">
        <v>1799</v>
      </c>
      <c r="M245" s="26" t="n">
        <v>0</v>
      </c>
      <c r="N245" s="27" t="n">
        <f aca="false">IF(OR($L245="",$H245="",$H245=0),"",$L245-N($M245)/$H245)</f>
        <v>1799</v>
      </c>
      <c r="O245" s="23" t="s">
        <v>87</v>
      </c>
      <c r="P245" s="23" t="s">
        <v>88</v>
      </c>
      <c r="Q245" s="23" t="s">
        <v>89</v>
      </c>
      <c r="R245" s="23"/>
      <c r="S245" s="23"/>
      <c r="T245" s="23"/>
      <c r="U245" s="23"/>
      <c r="V245" s="23"/>
      <c r="W245" s="25"/>
      <c r="X245" s="23"/>
      <c r="Y245" s="26"/>
      <c r="Z245" s="26"/>
      <c r="AA245" s="27" t="str">
        <f aca="false">IF(OR($Y245="",$X245="",$X245=0),"",$Y245-N($Z245)/$X245)</f>
        <v/>
      </c>
      <c r="AB245" s="23"/>
      <c r="AC245" s="28" t="str">
        <f aca="false">IF(OR($Y245="",$L245="",$L245=0),"",$Y245/$L245-1)</f>
        <v/>
      </c>
      <c r="AD245" s="28" t="str">
        <f aca="false">IF(OR($AA245="",$N245="",$N245=0),"",$AA245/$N245-1)</f>
        <v/>
      </c>
      <c r="AE245" s="25"/>
      <c r="AF245" s="23"/>
      <c r="AG245" s="23"/>
      <c r="AH245" s="25"/>
      <c r="AI245" s="23"/>
      <c r="AJ245" s="26"/>
      <c r="AK245" s="26"/>
      <c r="AL245" s="27" t="str">
        <f aca="false">IF(OR($AJ245="",$AI245="",$AI245=0),"",$AJ245-N($AK245)/$AI245)</f>
        <v/>
      </c>
      <c r="AM245" s="28" t="str">
        <f aca="false">IF(OR($AJ245="",$L245="",$L245=0),"",$AJ245/$L245-1)</f>
        <v/>
      </c>
      <c r="AN245" s="28" t="str">
        <f aca="false">IF(OR($AL245="",$N245="",$N245=0),"",$AL245/$N245-1)</f>
        <v/>
      </c>
      <c r="AO245" s="24"/>
    </row>
    <row r="246" customFormat="false" ht="15" hidden="false" customHeight="false" outlineLevel="0" collapsed="false">
      <c r="A246" s="5" t="s">
        <v>993</v>
      </c>
      <c r="B246" s="5" t="s">
        <v>102</v>
      </c>
      <c r="C246" s="5" t="s">
        <v>103</v>
      </c>
      <c r="D246" s="6" t="n">
        <v>693</v>
      </c>
      <c r="E246" s="5" t="s">
        <v>994</v>
      </c>
      <c r="F246" s="5" t="s">
        <v>995</v>
      </c>
      <c r="G246" s="20" t="n">
        <v>45942</v>
      </c>
      <c r="H246" s="5" t="n">
        <v>12</v>
      </c>
      <c r="I246" s="20" t="n">
        <v>46306</v>
      </c>
      <c r="J246" s="5" t="s">
        <v>106</v>
      </c>
      <c r="K246" s="5" t="s">
        <v>86</v>
      </c>
      <c r="L246" s="16" t="n">
        <v>1349</v>
      </c>
      <c r="M246" s="16" t="n">
        <v>0</v>
      </c>
      <c r="N246" s="21" t="n">
        <f aca="false">IF(OR($L246="",$H246="",$H246=0),"",$L246-N($M246)/$H246)</f>
        <v>1349</v>
      </c>
      <c r="O246" s="5" t="s">
        <v>87</v>
      </c>
      <c r="P246" s="5" t="s">
        <v>88</v>
      </c>
      <c r="Q246" s="5" t="s">
        <v>89</v>
      </c>
      <c r="R246" s="5"/>
      <c r="S246" s="5"/>
      <c r="T246" s="5"/>
      <c r="U246" s="5"/>
      <c r="V246" s="5"/>
      <c r="W246" s="20"/>
      <c r="X246" s="5"/>
      <c r="Y246" s="16"/>
      <c r="Z246" s="16"/>
      <c r="AA246" s="21" t="str">
        <f aca="false">IF(OR($Y246="",$X246="",$X246=0),"",$Y246-N($Z246)/$X246)</f>
        <v/>
      </c>
      <c r="AB246" s="5"/>
      <c r="AC246" s="22" t="str">
        <f aca="false">IF(OR($Y246="",$L246="",$L246=0),"",$Y246/$L246-1)</f>
        <v/>
      </c>
      <c r="AD246" s="22" t="str">
        <f aca="false">IF(OR($AA246="",$N246="",$N246=0),"",$AA246/$N246-1)</f>
        <v/>
      </c>
      <c r="AE246" s="20"/>
      <c r="AF246" s="5"/>
      <c r="AG246" s="5"/>
      <c r="AH246" s="20"/>
      <c r="AI246" s="5"/>
      <c r="AJ246" s="16"/>
      <c r="AK246" s="16"/>
      <c r="AL246" s="21" t="str">
        <f aca="false">IF(OR($AJ246="",$AI246="",$AI246=0),"",$AJ246-N($AK246)/$AI246)</f>
        <v/>
      </c>
      <c r="AM246" s="22" t="str">
        <f aca="false">IF(OR($AJ246="",$L246="",$L246=0),"",$AJ246/$L246-1)</f>
        <v/>
      </c>
      <c r="AN246" s="22" t="str">
        <f aca="false">IF(OR($AL246="",$N246="",$N246=0),"",$AL246/$N246-1)</f>
        <v/>
      </c>
      <c r="AO246" s="6"/>
    </row>
    <row r="247" customFormat="false" ht="15" hidden="false" customHeight="false" outlineLevel="0" collapsed="false">
      <c r="A247" s="23" t="s">
        <v>996</v>
      </c>
      <c r="B247" s="23" t="s">
        <v>161</v>
      </c>
      <c r="C247" s="23" t="s">
        <v>92</v>
      </c>
      <c r="D247" s="24" t="n">
        <v>1340</v>
      </c>
      <c r="E247" s="23" t="s">
        <v>997</v>
      </c>
      <c r="F247" s="23" t="s">
        <v>998</v>
      </c>
      <c r="G247" s="25" t="n">
        <v>45547</v>
      </c>
      <c r="H247" s="23" t="n">
        <v>18</v>
      </c>
      <c r="I247" s="25" t="n">
        <v>46092</v>
      </c>
      <c r="J247" s="23" t="s">
        <v>125</v>
      </c>
      <c r="K247" s="23" t="s">
        <v>86</v>
      </c>
      <c r="L247" s="26" t="n">
        <v>2325</v>
      </c>
      <c r="M247" s="26"/>
      <c r="N247" s="27" t="n">
        <f aca="false">IF(OR($L247="",$H247="",$H247=0),"",$L247-N($M247)/$H247)</f>
        <v>2325</v>
      </c>
      <c r="O247" s="23" t="s">
        <v>87</v>
      </c>
      <c r="P247" s="23" t="s">
        <v>505</v>
      </c>
      <c r="Q247" s="23" t="s">
        <v>97</v>
      </c>
      <c r="R247" s="23" t="s">
        <v>98</v>
      </c>
      <c r="S247" s="23" t="s">
        <v>98</v>
      </c>
      <c r="T247" s="23"/>
      <c r="U247" s="23"/>
      <c r="V247" s="23"/>
      <c r="W247" s="25"/>
      <c r="X247" s="23"/>
      <c r="Y247" s="26"/>
      <c r="Z247" s="26"/>
      <c r="AA247" s="27" t="str">
        <f aca="false">IF(OR($Y247="",$X247="",$X247=0),"",$Y247-N($Z247)/$X247)</f>
        <v/>
      </c>
      <c r="AB247" s="23"/>
      <c r="AC247" s="28" t="str">
        <f aca="false">IF(OR($Y247="",$L247="",$L247=0),"",$Y247/$L247-1)</f>
        <v/>
      </c>
      <c r="AD247" s="28" t="str">
        <f aca="false">IF(OR($AA247="",$N247="",$N247=0),"",$AA247/$N247-1)</f>
        <v/>
      </c>
      <c r="AE247" s="25" t="n">
        <v>46092</v>
      </c>
      <c r="AF247" s="23" t="s">
        <v>999</v>
      </c>
      <c r="AG247" s="23" t="s">
        <v>1000</v>
      </c>
      <c r="AH247" s="25" t="n">
        <v>46107</v>
      </c>
      <c r="AI247" s="23" t="n">
        <v>18</v>
      </c>
      <c r="AJ247" s="26" t="n">
        <v>2280</v>
      </c>
      <c r="AK247" s="26" t="n">
        <v>2280</v>
      </c>
      <c r="AL247" s="27" t="n">
        <f aca="false">IF(OR($AJ247="",$AI247="",$AI247=0),"",$AJ247-N($AK247)/$AI247)</f>
        <v>2153.33333333333</v>
      </c>
      <c r="AM247" s="28" t="n">
        <f aca="false">IF(OR($AJ247="",$L247="",$L247=0),"",$AJ247/$L247-1)</f>
        <v>-0.0193548387096775</v>
      </c>
      <c r="AN247" s="28" t="n">
        <f aca="false">IF(OR($AL247="",$N247="",$N247=0),"",$AL247/$N247-1)</f>
        <v>-0.0738351254480286</v>
      </c>
      <c r="AO247" s="24" t="n">
        <v>15</v>
      </c>
    </row>
    <row r="248" customFormat="false" ht="15" hidden="false" customHeight="false" outlineLevel="0" collapsed="false">
      <c r="A248" s="5" t="s">
        <v>1001</v>
      </c>
      <c r="B248" s="5" t="s">
        <v>81</v>
      </c>
      <c r="C248" s="5" t="s">
        <v>82</v>
      </c>
      <c r="D248" s="6" t="n">
        <v>1141</v>
      </c>
      <c r="E248" s="5" t="s">
        <v>1002</v>
      </c>
      <c r="F248" s="5" t="s">
        <v>1003</v>
      </c>
      <c r="G248" s="20" t="n">
        <v>45551</v>
      </c>
      <c r="H248" s="5" t="n">
        <v>12</v>
      </c>
      <c r="I248" s="20" t="n">
        <v>46096</v>
      </c>
      <c r="J248" s="5" t="s">
        <v>125</v>
      </c>
      <c r="K248" s="5" t="s">
        <v>86</v>
      </c>
      <c r="L248" s="16" t="n">
        <v>2020</v>
      </c>
      <c r="M248" s="16" t="n">
        <v>3732</v>
      </c>
      <c r="N248" s="21" t="n">
        <f aca="false">IF(OR($L248="",$H248="",$H248=0),"",$L248-N($M248)/$H248)</f>
        <v>1709</v>
      </c>
      <c r="O248" s="5" t="s">
        <v>87</v>
      </c>
      <c r="P248" s="5" t="s">
        <v>96</v>
      </c>
      <c r="Q248" s="5" t="s">
        <v>97</v>
      </c>
      <c r="R248" s="5" t="s">
        <v>98</v>
      </c>
      <c r="S248" s="5" t="s">
        <v>98</v>
      </c>
      <c r="T248" s="5"/>
      <c r="U248" s="5"/>
      <c r="V248" s="5"/>
      <c r="W248" s="20"/>
      <c r="X248" s="5"/>
      <c r="Y248" s="16"/>
      <c r="Z248" s="16"/>
      <c r="AA248" s="21" t="str">
        <f aca="false">IF(OR($Y248="",$X248="",$X248=0),"",$Y248-N($Z248)/$X248)</f>
        <v/>
      </c>
      <c r="AB248" s="5"/>
      <c r="AC248" s="22" t="str">
        <f aca="false">IF(OR($Y248="",$L248="",$L248=0),"",$Y248/$L248-1)</f>
        <v/>
      </c>
      <c r="AD248" s="22" t="str">
        <f aca="false">IF(OR($AA248="",$N248="",$N248=0),"",$AA248/$N248-1)</f>
        <v/>
      </c>
      <c r="AE248" s="20" t="n">
        <v>46096</v>
      </c>
      <c r="AF248" s="5" t="s">
        <v>1004</v>
      </c>
      <c r="AG248" s="5" t="s">
        <v>1005</v>
      </c>
      <c r="AH248" s="20" t="n">
        <v>46203</v>
      </c>
      <c r="AI248" s="5" t="n">
        <v>14</v>
      </c>
      <c r="AJ248" s="16" t="n">
        <v>1990</v>
      </c>
      <c r="AK248" s="16" t="n">
        <v>1990</v>
      </c>
      <c r="AL248" s="21" t="n">
        <f aca="false">IF(OR($AJ248="",$AI248="",$AI248=0),"",$AJ248-N($AK248)/$AI248)</f>
        <v>1847.85714285714</v>
      </c>
      <c r="AM248" s="22" t="n">
        <f aca="false">IF(OR($AJ248="",$L248="",$L248=0),"",$AJ248/$L248-1)</f>
        <v>-0.0148514851485149</v>
      </c>
      <c r="AN248" s="22" t="n">
        <f aca="false">IF(OR($AL248="",$N248="",$N248=0),"",$AL248/$N248-1)</f>
        <v>0.0812505224442031</v>
      </c>
      <c r="AO248" s="6" t="n">
        <v>107</v>
      </c>
    </row>
    <row r="249" customFormat="false" ht="15" hidden="false" customHeight="false" outlineLevel="0" collapsed="false">
      <c r="A249" s="23" t="s">
        <v>1006</v>
      </c>
      <c r="B249" s="23" t="s">
        <v>81</v>
      </c>
      <c r="C249" s="23" t="s">
        <v>82</v>
      </c>
      <c r="D249" s="24" t="n">
        <v>1141</v>
      </c>
      <c r="E249" s="23" t="s">
        <v>1007</v>
      </c>
      <c r="F249" s="23" t="s">
        <v>1008</v>
      </c>
      <c r="G249" s="25" t="n">
        <v>45957</v>
      </c>
      <c r="H249" s="23" t="n">
        <v>12</v>
      </c>
      <c r="I249" s="25" t="n">
        <v>46321</v>
      </c>
      <c r="J249" s="23" t="s">
        <v>106</v>
      </c>
      <c r="K249" s="23" t="s">
        <v>86</v>
      </c>
      <c r="L249" s="26" t="n">
        <v>1795</v>
      </c>
      <c r="M249" s="26" t="n">
        <v>0</v>
      </c>
      <c r="N249" s="27" t="n">
        <f aca="false">IF(OR($L249="",$H249="",$H249=0),"",$L249-N($M249)/$H249)</f>
        <v>1795</v>
      </c>
      <c r="O249" s="23" t="s">
        <v>87</v>
      </c>
      <c r="P249" s="23" t="s">
        <v>88</v>
      </c>
      <c r="Q249" s="23" t="s">
        <v>89</v>
      </c>
      <c r="R249" s="23"/>
      <c r="S249" s="23"/>
      <c r="T249" s="23"/>
      <c r="U249" s="23"/>
      <c r="V249" s="23"/>
      <c r="W249" s="25"/>
      <c r="X249" s="23"/>
      <c r="Y249" s="26"/>
      <c r="Z249" s="26"/>
      <c r="AA249" s="27" t="str">
        <f aca="false">IF(OR($Y249="",$X249="",$X249=0),"",$Y249-N($Z249)/$X249)</f>
        <v/>
      </c>
      <c r="AB249" s="23"/>
      <c r="AC249" s="28" t="str">
        <f aca="false">IF(OR($Y249="",$L249="",$L249=0),"",$Y249/$L249-1)</f>
        <v/>
      </c>
      <c r="AD249" s="28" t="str">
        <f aca="false">IF(OR($AA249="",$N249="",$N249=0),"",$AA249/$N249-1)</f>
        <v/>
      </c>
      <c r="AE249" s="25"/>
      <c r="AF249" s="23"/>
      <c r="AG249" s="23"/>
      <c r="AH249" s="25"/>
      <c r="AI249" s="23"/>
      <c r="AJ249" s="26"/>
      <c r="AK249" s="26"/>
      <c r="AL249" s="27" t="str">
        <f aca="false">IF(OR($AJ249="",$AI249="",$AI249=0),"",$AJ249-N($AK249)/$AI249)</f>
        <v/>
      </c>
      <c r="AM249" s="28" t="str">
        <f aca="false">IF(OR($AJ249="",$L249="",$L249=0),"",$AJ249/$L249-1)</f>
        <v/>
      </c>
      <c r="AN249" s="28" t="str">
        <f aca="false">IF(OR($AL249="",$N249="",$N249=0),"",$AL249/$N249-1)</f>
        <v/>
      </c>
      <c r="AO249" s="24"/>
    </row>
    <row r="250" customFormat="false" ht="15" hidden="false" customHeight="false" outlineLevel="0" collapsed="false">
      <c r="A250" s="5" t="s">
        <v>1009</v>
      </c>
      <c r="B250" s="5" t="s">
        <v>91</v>
      </c>
      <c r="C250" s="5" t="s">
        <v>92</v>
      </c>
      <c r="D250" s="6" t="n">
        <v>1328</v>
      </c>
      <c r="E250" s="5" t="s">
        <v>1010</v>
      </c>
      <c r="F250" s="5" t="s">
        <v>1011</v>
      </c>
      <c r="G250" s="20" t="n">
        <v>45668</v>
      </c>
      <c r="H250" s="5" t="n">
        <v>15</v>
      </c>
      <c r="I250" s="20" t="n">
        <v>46122</v>
      </c>
      <c r="J250" s="5" t="s">
        <v>167</v>
      </c>
      <c r="K250" s="5" t="s">
        <v>126</v>
      </c>
      <c r="L250" s="16" t="n">
        <v>2105</v>
      </c>
      <c r="M250" s="16" t="n">
        <v>495</v>
      </c>
      <c r="N250" s="21" t="n">
        <f aca="false">IF(OR($L250="",$H250="",$H250=0),"",$L250-N($M250)/$H250)</f>
        <v>2072</v>
      </c>
      <c r="O250" s="5" t="s">
        <v>87</v>
      </c>
      <c r="P250" s="5" t="s">
        <v>96</v>
      </c>
      <c r="Q250" s="5" t="s">
        <v>127</v>
      </c>
      <c r="R250" s="5" t="s">
        <v>98</v>
      </c>
      <c r="S250" s="5" t="s">
        <v>98</v>
      </c>
      <c r="T250" s="5"/>
      <c r="U250" s="5"/>
      <c r="V250" s="5"/>
      <c r="W250" s="20" t="n">
        <v>46123</v>
      </c>
      <c r="X250" s="5" t="n">
        <v>12</v>
      </c>
      <c r="Y250" s="16" t="n">
        <v>2200</v>
      </c>
      <c r="Z250" s="16" t="n">
        <v>0</v>
      </c>
      <c r="AA250" s="21" t="n">
        <f aca="false">IF(OR($Y250="",$X250="",$X250=0),"",$Y250-N($Z250)/$X250)</f>
        <v>2200</v>
      </c>
      <c r="AB250" s="5"/>
      <c r="AC250" s="22" t="n">
        <f aca="false">IF(OR($Y250="",$L250="",$L250=0),"",$Y250/$L250-1)</f>
        <v>0.0451306413301662</v>
      </c>
      <c r="AD250" s="22" t="n">
        <f aca="false">IF(OR($AA250="",$N250="",$N250=0),"",$AA250/$N250-1)</f>
        <v>0.0617760617760619</v>
      </c>
      <c r="AE250" s="20"/>
      <c r="AF250" s="5"/>
      <c r="AG250" s="5"/>
      <c r="AH250" s="20"/>
      <c r="AI250" s="5"/>
      <c r="AJ250" s="16"/>
      <c r="AK250" s="16"/>
      <c r="AL250" s="21" t="str">
        <f aca="false">IF(OR($AJ250="",$AI250="",$AI250=0),"",$AJ250-N($AK250)/$AI250)</f>
        <v/>
      </c>
      <c r="AM250" s="22" t="str">
        <f aca="false">IF(OR($AJ250="",$L250="",$L250=0),"",$AJ250/$L250-1)</f>
        <v/>
      </c>
      <c r="AN250" s="22" t="str">
        <f aca="false">IF(OR($AL250="",$N250="",$N250=0),"",$AL250/$N250-1)</f>
        <v/>
      </c>
      <c r="AO250" s="6"/>
    </row>
    <row r="251" customFormat="false" ht="15" hidden="false" customHeight="false" outlineLevel="0" collapsed="false">
      <c r="A251" s="23" t="s">
        <v>1012</v>
      </c>
      <c r="B251" s="23" t="s">
        <v>102</v>
      </c>
      <c r="C251" s="23" t="s">
        <v>103</v>
      </c>
      <c r="D251" s="24" t="n">
        <v>693</v>
      </c>
      <c r="E251" s="23" t="s">
        <v>1013</v>
      </c>
      <c r="F251" s="23" t="s">
        <v>1014</v>
      </c>
      <c r="G251" s="25" t="n">
        <v>45928</v>
      </c>
      <c r="H251" s="23" t="n">
        <v>12</v>
      </c>
      <c r="I251" s="25" t="n">
        <v>46292</v>
      </c>
      <c r="J251" s="23" t="s">
        <v>186</v>
      </c>
      <c r="K251" s="23" t="s">
        <v>86</v>
      </c>
      <c r="L251" s="26" t="n">
        <v>1349</v>
      </c>
      <c r="M251" s="26" t="n">
        <v>0</v>
      </c>
      <c r="N251" s="27" t="n">
        <f aca="false">IF(OR($L251="",$H251="",$H251=0),"",$L251-N($M251)/$H251)</f>
        <v>1349</v>
      </c>
      <c r="O251" s="23" t="s">
        <v>87</v>
      </c>
      <c r="P251" s="23" t="s">
        <v>88</v>
      </c>
      <c r="Q251" s="23" t="s">
        <v>89</v>
      </c>
      <c r="R251" s="23"/>
      <c r="S251" s="23"/>
      <c r="T251" s="23"/>
      <c r="U251" s="23"/>
      <c r="V251" s="23"/>
      <c r="W251" s="25"/>
      <c r="X251" s="23"/>
      <c r="Y251" s="26"/>
      <c r="Z251" s="26"/>
      <c r="AA251" s="27" t="str">
        <f aca="false">IF(OR($Y251="",$X251="",$X251=0),"",$Y251-N($Z251)/$X251)</f>
        <v/>
      </c>
      <c r="AB251" s="23"/>
      <c r="AC251" s="28" t="str">
        <f aca="false">IF(OR($Y251="",$L251="",$L251=0),"",$Y251/$L251-1)</f>
        <v/>
      </c>
      <c r="AD251" s="28" t="str">
        <f aca="false">IF(OR($AA251="",$N251="",$N251=0),"",$AA251/$N251-1)</f>
        <v/>
      </c>
      <c r="AE251" s="25"/>
      <c r="AF251" s="23"/>
      <c r="AG251" s="23"/>
      <c r="AH251" s="25"/>
      <c r="AI251" s="23"/>
      <c r="AJ251" s="26"/>
      <c r="AK251" s="26"/>
      <c r="AL251" s="27" t="str">
        <f aca="false">IF(OR($AJ251="",$AI251="",$AI251=0),"",$AJ251-N($AK251)/$AI251)</f>
        <v/>
      </c>
      <c r="AM251" s="28" t="str">
        <f aca="false">IF(OR($AJ251="",$L251="",$L251=0),"",$AJ251/$L251-1)</f>
        <v/>
      </c>
      <c r="AN251" s="28" t="str">
        <f aca="false">IF(OR($AL251="",$N251="",$N251=0),"",$AL251/$N251-1)</f>
        <v/>
      </c>
      <c r="AO251" s="24"/>
    </row>
    <row r="252" customFormat="false" ht="15" hidden="false" customHeight="false" outlineLevel="0" collapsed="false">
      <c r="A252" s="5" t="s">
        <v>1015</v>
      </c>
      <c r="B252" s="5" t="s">
        <v>108</v>
      </c>
      <c r="C252" s="5" t="s">
        <v>103</v>
      </c>
      <c r="D252" s="6" t="n">
        <v>746</v>
      </c>
      <c r="E252" s="5" t="s">
        <v>1016</v>
      </c>
      <c r="F252" s="5" t="s">
        <v>1017</v>
      </c>
      <c r="G252" s="20" t="n">
        <v>45884</v>
      </c>
      <c r="H252" s="5" t="n">
        <v>18</v>
      </c>
      <c r="I252" s="20" t="n">
        <v>46432</v>
      </c>
      <c r="J252" s="5" t="s">
        <v>251</v>
      </c>
      <c r="K252" s="5" t="s">
        <v>86</v>
      </c>
      <c r="L252" s="16" t="n">
        <v>1714</v>
      </c>
      <c r="M252" s="16" t="n">
        <v>2571</v>
      </c>
      <c r="N252" s="21" t="n">
        <f aca="false">IF(OR($L252="",$H252="",$H252=0),"",$L252-N($M252)/$H252)</f>
        <v>1571.16666666667</v>
      </c>
      <c r="O252" s="5" t="s">
        <v>87</v>
      </c>
      <c r="P252" s="5" t="s">
        <v>88</v>
      </c>
      <c r="Q252" s="5" t="s">
        <v>89</v>
      </c>
      <c r="R252" s="5"/>
      <c r="S252" s="5"/>
      <c r="T252" s="5"/>
      <c r="U252" s="5"/>
      <c r="V252" s="5"/>
      <c r="W252" s="20"/>
      <c r="X252" s="5"/>
      <c r="Y252" s="16"/>
      <c r="Z252" s="16"/>
      <c r="AA252" s="21" t="str">
        <f aca="false">IF(OR($Y252="",$X252="",$X252=0),"",$Y252-N($Z252)/$X252)</f>
        <v/>
      </c>
      <c r="AB252" s="5"/>
      <c r="AC252" s="22" t="str">
        <f aca="false">IF(OR($Y252="",$L252="",$L252=0),"",$Y252/$L252-1)</f>
        <v/>
      </c>
      <c r="AD252" s="22" t="str">
        <f aca="false">IF(OR($AA252="",$N252="",$N252=0),"",$AA252/$N252-1)</f>
        <v/>
      </c>
      <c r="AE252" s="20"/>
      <c r="AF252" s="5"/>
      <c r="AG252" s="5"/>
      <c r="AH252" s="20"/>
      <c r="AI252" s="5"/>
      <c r="AJ252" s="16"/>
      <c r="AK252" s="16"/>
      <c r="AL252" s="21" t="str">
        <f aca="false">IF(OR($AJ252="",$AI252="",$AI252=0),"",$AJ252-N($AK252)/$AI252)</f>
        <v/>
      </c>
      <c r="AM252" s="22" t="str">
        <f aca="false">IF(OR($AJ252="",$L252="",$L252=0),"",$AJ252/$L252-1)</f>
        <v/>
      </c>
      <c r="AN252" s="22" t="str">
        <f aca="false">IF(OR($AL252="",$N252="",$N252=0),"",$AL252/$N252-1)</f>
        <v/>
      </c>
      <c r="AO252" s="6"/>
    </row>
    <row r="253" customFormat="false" ht="15" hidden="false" customHeight="false" outlineLevel="0" collapsed="false">
      <c r="A253" s="23" t="s">
        <v>1018</v>
      </c>
      <c r="B253" s="23" t="s">
        <v>113</v>
      </c>
      <c r="C253" s="23" t="s">
        <v>82</v>
      </c>
      <c r="D253" s="24" t="n">
        <v>1092</v>
      </c>
      <c r="E253" s="23" t="s">
        <v>1019</v>
      </c>
      <c r="F253" s="23" t="s">
        <v>1020</v>
      </c>
      <c r="G253" s="25" t="n">
        <v>45717</v>
      </c>
      <c r="H253" s="23" t="n">
        <v>18</v>
      </c>
      <c r="I253" s="25" t="n">
        <v>46265</v>
      </c>
      <c r="J253" s="23" t="s">
        <v>135</v>
      </c>
      <c r="K253" s="23" t="s">
        <v>86</v>
      </c>
      <c r="L253" s="26" t="n">
        <v>1765</v>
      </c>
      <c r="M253" s="26" t="n">
        <v>0</v>
      </c>
      <c r="N253" s="27" t="n">
        <f aca="false">IF(OR($L253="",$H253="",$H253=0),"",$L253-N($M253)/$H253)</f>
        <v>1765</v>
      </c>
      <c r="O253" s="23" t="s">
        <v>87</v>
      </c>
      <c r="P253" s="23" t="s">
        <v>88</v>
      </c>
      <c r="Q253" s="23" t="s">
        <v>89</v>
      </c>
      <c r="R253" s="23"/>
      <c r="S253" s="23"/>
      <c r="T253" s="23"/>
      <c r="U253" s="23"/>
      <c r="V253" s="23"/>
      <c r="W253" s="25"/>
      <c r="X253" s="23"/>
      <c r="Y253" s="26"/>
      <c r="Z253" s="26"/>
      <c r="AA253" s="27" t="str">
        <f aca="false">IF(OR($Y253="",$X253="",$X253=0),"",$Y253-N($Z253)/$X253)</f>
        <v/>
      </c>
      <c r="AB253" s="23"/>
      <c r="AC253" s="28" t="str">
        <f aca="false">IF(OR($Y253="",$L253="",$L253=0),"",$Y253/$L253-1)</f>
        <v/>
      </c>
      <c r="AD253" s="28" t="str">
        <f aca="false">IF(OR($AA253="",$N253="",$N253=0),"",$AA253/$N253-1)</f>
        <v/>
      </c>
      <c r="AE253" s="25"/>
      <c r="AF253" s="23"/>
      <c r="AG253" s="23"/>
      <c r="AH253" s="25"/>
      <c r="AI253" s="23"/>
      <c r="AJ253" s="26"/>
      <c r="AK253" s="26"/>
      <c r="AL253" s="27" t="str">
        <f aca="false">IF(OR($AJ253="",$AI253="",$AI253=0),"",$AJ253-N($AK253)/$AI253)</f>
        <v/>
      </c>
      <c r="AM253" s="28" t="str">
        <f aca="false">IF(OR($AJ253="",$L253="",$L253=0),"",$AJ253/$L253-1)</f>
        <v/>
      </c>
      <c r="AN253" s="28" t="str">
        <f aca="false">IF(OR($AL253="",$N253="",$N253=0),"",$AL253/$N253-1)</f>
        <v/>
      </c>
      <c r="AO253" s="24"/>
    </row>
    <row r="254" customFormat="false" ht="15" hidden="false" customHeight="false" outlineLevel="0" collapsed="false">
      <c r="A254" s="5" t="s">
        <v>1021</v>
      </c>
      <c r="B254" s="5" t="s">
        <v>102</v>
      </c>
      <c r="C254" s="5" t="s">
        <v>103</v>
      </c>
      <c r="D254" s="6" t="n">
        <v>693</v>
      </c>
      <c r="E254" s="5" t="s">
        <v>1022</v>
      </c>
      <c r="F254" s="5" t="s">
        <v>1023</v>
      </c>
      <c r="G254" s="20" t="n">
        <v>45923</v>
      </c>
      <c r="H254" s="5" t="n">
        <v>18</v>
      </c>
      <c r="I254" s="20" t="n">
        <v>46468</v>
      </c>
      <c r="J254" s="5" t="s">
        <v>131</v>
      </c>
      <c r="K254" s="5" t="s">
        <v>86</v>
      </c>
      <c r="L254" s="16" t="n">
        <v>1479</v>
      </c>
      <c r="M254" s="16" t="n">
        <v>2218</v>
      </c>
      <c r="N254" s="21" t="n">
        <f aca="false">IF(OR($L254="",$H254="",$H254=0),"",$L254-N($M254)/$H254)</f>
        <v>1355.77777777778</v>
      </c>
      <c r="O254" s="5" t="s">
        <v>87</v>
      </c>
      <c r="P254" s="5" t="s">
        <v>88</v>
      </c>
      <c r="Q254" s="5" t="s">
        <v>89</v>
      </c>
      <c r="R254" s="5"/>
      <c r="S254" s="5"/>
      <c r="T254" s="5"/>
      <c r="U254" s="5"/>
      <c r="V254" s="5"/>
      <c r="W254" s="20"/>
      <c r="X254" s="5"/>
      <c r="Y254" s="16"/>
      <c r="Z254" s="16"/>
      <c r="AA254" s="21" t="str">
        <f aca="false">IF(OR($Y254="",$X254="",$X254=0),"",$Y254-N($Z254)/$X254)</f>
        <v/>
      </c>
      <c r="AB254" s="5"/>
      <c r="AC254" s="22" t="str">
        <f aca="false">IF(OR($Y254="",$L254="",$L254=0),"",$Y254/$L254-1)</f>
        <v/>
      </c>
      <c r="AD254" s="22" t="str">
        <f aca="false">IF(OR($AA254="",$N254="",$N254=0),"",$AA254/$N254-1)</f>
        <v/>
      </c>
      <c r="AE254" s="20"/>
      <c r="AF254" s="5"/>
      <c r="AG254" s="5"/>
      <c r="AH254" s="20"/>
      <c r="AI254" s="5"/>
      <c r="AJ254" s="16"/>
      <c r="AK254" s="16"/>
      <c r="AL254" s="21" t="str">
        <f aca="false">IF(OR($AJ254="",$AI254="",$AI254=0),"",$AJ254-N($AK254)/$AI254)</f>
        <v/>
      </c>
      <c r="AM254" s="22" t="str">
        <f aca="false">IF(OR($AJ254="",$L254="",$L254=0),"",$AJ254/$L254-1)</f>
        <v/>
      </c>
      <c r="AN254" s="22" t="str">
        <f aca="false">IF(OR($AL254="",$N254="",$N254=0),"",$AL254/$N254-1)</f>
        <v/>
      </c>
      <c r="AO254" s="6"/>
    </row>
    <row r="255" customFormat="false" ht="15" hidden="false" customHeight="false" outlineLevel="0" collapsed="false">
      <c r="A255" s="23" t="s">
        <v>1024</v>
      </c>
      <c r="B255" s="23" t="s">
        <v>81</v>
      </c>
      <c r="C255" s="23" t="s">
        <v>82</v>
      </c>
      <c r="D255" s="24" t="n">
        <v>1141</v>
      </c>
      <c r="E255" s="23" t="s">
        <v>1025</v>
      </c>
      <c r="F255" s="23" t="s">
        <v>1026</v>
      </c>
      <c r="G255" s="25" t="n">
        <v>45689</v>
      </c>
      <c r="H255" s="23" t="n">
        <v>15</v>
      </c>
      <c r="I255" s="25" t="n">
        <v>46112</v>
      </c>
      <c r="J255" s="23" t="s">
        <v>125</v>
      </c>
      <c r="K255" s="23" t="s">
        <v>86</v>
      </c>
      <c r="L255" s="26" t="n">
        <v>1995</v>
      </c>
      <c r="M255" s="26" t="n">
        <v>495</v>
      </c>
      <c r="N255" s="27" t="n">
        <f aca="false">IF(OR($L255="",$H255="",$H255=0),"",$L255-N($M255)/$H255)</f>
        <v>1962</v>
      </c>
      <c r="O255" s="23" t="s">
        <v>87</v>
      </c>
      <c r="P255" s="23" t="s">
        <v>96</v>
      </c>
      <c r="Q255" s="23" t="s">
        <v>97</v>
      </c>
      <c r="R255" s="23" t="s">
        <v>98</v>
      </c>
      <c r="S255" s="23" t="s">
        <v>98</v>
      </c>
      <c r="T255" s="23"/>
      <c r="U255" s="23"/>
      <c r="V255" s="23"/>
      <c r="W255" s="25"/>
      <c r="X255" s="23"/>
      <c r="Y255" s="26"/>
      <c r="Z255" s="26"/>
      <c r="AA255" s="27" t="str">
        <f aca="false">IF(OR($Y255="",$X255="",$X255=0),"",$Y255-N($Z255)/$X255)</f>
        <v/>
      </c>
      <c r="AB255" s="23"/>
      <c r="AC255" s="28" t="str">
        <f aca="false">IF(OR($Y255="",$L255="",$L255=0),"",$Y255/$L255-1)</f>
        <v/>
      </c>
      <c r="AD255" s="28" t="str">
        <f aca="false">IF(OR($AA255="",$N255="",$N255=0),"",$AA255/$N255-1)</f>
        <v/>
      </c>
      <c r="AE255" s="25" t="n">
        <v>46112</v>
      </c>
      <c r="AF255" s="23" t="s">
        <v>1027</v>
      </c>
      <c r="AG255" s="23" t="s">
        <v>1028</v>
      </c>
      <c r="AH255" s="25" t="n">
        <v>46181</v>
      </c>
      <c r="AI255" s="23" t="n">
        <v>13</v>
      </c>
      <c r="AJ255" s="26" t="n">
        <v>1919</v>
      </c>
      <c r="AK255" s="26" t="n">
        <v>0</v>
      </c>
      <c r="AL255" s="27" t="n">
        <f aca="false">IF(OR($AJ255="",$AI255="",$AI255=0),"",$AJ255-N($AK255)/$AI255)</f>
        <v>1919</v>
      </c>
      <c r="AM255" s="28" t="n">
        <f aca="false">IF(OR($AJ255="",$L255="",$L255=0),"",$AJ255/$L255-1)</f>
        <v>-0.0380952380952381</v>
      </c>
      <c r="AN255" s="28" t="n">
        <f aca="false">IF(OR($AL255="",$N255="",$N255=0),"",$AL255/$N255-1)</f>
        <v>-0.0219164118246687</v>
      </c>
      <c r="AO255" s="24" t="n">
        <v>69</v>
      </c>
    </row>
    <row r="256" customFormat="false" ht="15" hidden="false" customHeight="false" outlineLevel="0" collapsed="false">
      <c r="A256" s="5" t="s">
        <v>1029</v>
      </c>
      <c r="B256" s="5" t="s">
        <v>102</v>
      </c>
      <c r="C256" s="5" t="s">
        <v>103</v>
      </c>
      <c r="D256" s="6" t="n">
        <v>693</v>
      </c>
      <c r="E256" s="5" t="s">
        <v>1030</v>
      </c>
      <c r="F256" s="5" t="s">
        <v>1031</v>
      </c>
      <c r="G256" s="20" t="n">
        <v>45777</v>
      </c>
      <c r="H256" s="5" t="n">
        <v>13</v>
      </c>
      <c r="I256" s="20" t="n">
        <v>46171</v>
      </c>
      <c r="J256" s="5" t="s">
        <v>148</v>
      </c>
      <c r="K256" s="5" t="s">
        <v>202</v>
      </c>
      <c r="L256" s="16" t="n">
        <v>1495</v>
      </c>
      <c r="M256" s="16" t="n">
        <v>2242</v>
      </c>
      <c r="N256" s="21" t="n">
        <f aca="false">IF(OR($L256="",$H256="",$H256=0),"",$L256-N($M256)/$H256)</f>
        <v>1322.53846153846</v>
      </c>
      <c r="O256" s="5" t="s">
        <v>87</v>
      </c>
      <c r="P256" s="5" t="s">
        <v>202</v>
      </c>
      <c r="Q256" s="5" t="s">
        <v>127</v>
      </c>
      <c r="R256" s="5" t="s">
        <v>98</v>
      </c>
      <c r="S256" s="5" t="s">
        <v>98</v>
      </c>
      <c r="T256" s="5"/>
      <c r="U256" s="5"/>
      <c r="V256" s="5"/>
      <c r="W256" s="20" t="n">
        <v>46172</v>
      </c>
      <c r="X256" s="5" t="n">
        <v>13</v>
      </c>
      <c r="Y256" s="16" t="n">
        <v>1520</v>
      </c>
      <c r="Z256" s="16" t="n">
        <v>0</v>
      </c>
      <c r="AA256" s="21" t="n">
        <f aca="false">IF(OR($Y256="",$X256="",$X256=0),"",$Y256-N($Z256)/$X256)</f>
        <v>1520</v>
      </c>
      <c r="AB256" s="5" t="s">
        <v>98</v>
      </c>
      <c r="AC256" s="22" t="n">
        <f aca="false">IF(OR($Y256="",$L256="",$L256=0),"",$Y256/$L256-1)</f>
        <v>0.0167224080267558</v>
      </c>
      <c r="AD256" s="22" t="n">
        <f aca="false">IF(OR($AA256="",$N256="",$N256=0),"",$AA256/$N256-1)</f>
        <v>0.149304949688827</v>
      </c>
      <c r="AE256" s="20"/>
      <c r="AF256" s="5"/>
      <c r="AG256" s="5"/>
      <c r="AH256" s="20"/>
      <c r="AI256" s="5"/>
      <c r="AJ256" s="16"/>
      <c r="AK256" s="16"/>
      <c r="AL256" s="21" t="str">
        <f aca="false">IF(OR($AJ256="",$AI256="",$AI256=0),"",$AJ256-N($AK256)/$AI256)</f>
        <v/>
      </c>
      <c r="AM256" s="22" t="str">
        <f aca="false">IF(OR($AJ256="",$L256="",$L256=0),"",$AJ256/$L256-1)</f>
        <v/>
      </c>
      <c r="AN256" s="22" t="str">
        <f aca="false">IF(OR($AL256="",$N256="",$N256=0),"",$AL256/$N256-1)</f>
        <v/>
      </c>
      <c r="AO256" s="6"/>
    </row>
    <row r="257" customFormat="false" ht="15" hidden="false" customHeight="false" outlineLevel="0" collapsed="false">
      <c r="A257" s="23" t="s">
        <v>1032</v>
      </c>
      <c r="B257" s="23" t="s">
        <v>102</v>
      </c>
      <c r="C257" s="23" t="s">
        <v>103</v>
      </c>
      <c r="D257" s="24" t="n">
        <v>693</v>
      </c>
      <c r="E257" s="23" t="s">
        <v>1033</v>
      </c>
      <c r="F257" s="23" t="s">
        <v>1034</v>
      </c>
      <c r="G257" s="25" t="n">
        <v>45716</v>
      </c>
      <c r="H257" s="23" t="n">
        <v>18</v>
      </c>
      <c r="I257" s="25" t="n">
        <v>46261</v>
      </c>
      <c r="J257" s="23" t="s">
        <v>135</v>
      </c>
      <c r="K257" s="23" t="s">
        <v>86</v>
      </c>
      <c r="L257" s="26" t="n">
        <v>1435</v>
      </c>
      <c r="M257" s="26" t="n">
        <v>0</v>
      </c>
      <c r="N257" s="27" t="n">
        <f aca="false">IF(OR($L257="",$H257="",$H257=0),"",$L257-N($M257)/$H257)</f>
        <v>1435</v>
      </c>
      <c r="O257" s="23" t="s">
        <v>87</v>
      </c>
      <c r="P257" s="23" t="s">
        <v>88</v>
      </c>
      <c r="Q257" s="23" t="s">
        <v>89</v>
      </c>
      <c r="R257" s="23"/>
      <c r="S257" s="23"/>
      <c r="T257" s="23"/>
      <c r="U257" s="23"/>
      <c r="V257" s="23"/>
      <c r="W257" s="25"/>
      <c r="X257" s="23"/>
      <c r="Y257" s="26"/>
      <c r="Z257" s="26"/>
      <c r="AA257" s="27" t="str">
        <f aca="false">IF(OR($Y257="",$X257="",$X257=0),"",$Y257-N($Z257)/$X257)</f>
        <v/>
      </c>
      <c r="AB257" s="23"/>
      <c r="AC257" s="28" t="str">
        <f aca="false">IF(OR($Y257="",$L257="",$L257=0),"",$Y257/$L257-1)</f>
        <v/>
      </c>
      <c r="AD257" s="28" t="str">
        <f aca="false">IF(OR($AA257="",$N257="",$N257=0),"",$AA257/$N257-1)</f>
        <v/>
      </c>
      <c r="AE257" s="25"/>
      <c r="AF257" s="23"/>
      <c r="AG257" s="23"/>
      <c r="AH257" s="25"/>
      <c r="AI257" s="23"/>
      <c r="AJ257" s="26"/>
      <c r="AK257" s="26"/>
      <c r="AL257" s="27" t="str">
        <f aca="false">IF(OR($AJ257="",$AI257="",$AI257=0),"",$AJ257-N($AK257)/$AI257)</f>
        <v/>
      </c>
      <c r="AM257" s="28" t="str">
        <f aca="false">IF(OR($AJ257="",$L257="",$L257=0),"",$AJ257/$L257-1)</f>
        <v/>
      </c>
      <c r="AN257" s="28" t="str">
        <f aca="false">IF(OR($AL257="",$N257="",$N257=0),"",$AL257/$N257-1)</f>
        <v/>
      </c>
      <c r="AO257" s="24"/>
    </row>
    <row r="258" customFormat="false" ht="15" hidden="false" customHeight="false" outlineLevel="0" collapsed="false">
      <c r="A258" s="5" t="s">
        <v>1035</v>
      </c>
      <c r="B258" s="5" t="s">
        <v>108</v>
      </c>
      <c r="C258" s="5" t="s">
        <v>103</v>
      </c>
      <c r="D258" s="6" t="n">
        <v>746</v>
      </c>
      <c r="E258" s="5" t="s">
        <v>1036</v>
      </c>
      <c r="F258" s="5" t="s">
        <v>1037</v>
      </c>
      <c r="G258" s="20" t="n">
        <v>45583</v>
      </c>
      <c r="H258" s="5" t="n">
        <v>12</v>
      </c>
      <c r="I258" s="20" t="n">
        <v>46129</v>
      </c>
      <c r="J258" s="5" t="s">
        <v>167</v>
      </c>
      <c r="K258" s="5" t="s">
        <v>86</v>
      </c>
      <c r="L258" s="16" t="n">
        <v>1714</v>
      </c>
      <c r="M258" s="16" t="n">
        <v>3168</v>
      </c>
      <c r="N258" s="21" t="n">
        <f aca="false">IF(OR($L258="",$H258="",$H258=0),"",$L258-N($M258)/$H258)</f>
        <v>1450</v>
      </c>
      <c r="O258" s="5" t="s">
        <v>87</v>
      </c>
      <c r="P258" s="5" t="s">
        <v>96</v>
      </c>
      <c r="Q258" s="5" t="s">
        <v>97</v>
      </c>
      <c r="R258" s="5" t="s">
        <v>98</v>
      </c>
      <c r="S258" s="5" t="s">
        <v>98</v>
      </c>
      <c r="T258" s="5"/>
      <c r="U258" s="5"/>
      <c r="V258" s="5"/>
      <c r="W258" s="20"/>
      <c r="X258" s="5"/>
      <c r="Y258" s="16"/>
      <c r="Z258" s="16"/>
      <c r="AA258" s="21" t="str">
        <f aca="false">IF(OR($Y258="",$X258="",$X258=0),"",$Y258-N($Z258)/$X258)</f>
        <v/>
      </c>
      <c r="AB258" s="5"/>
      <c r="AC258" s="22" t="str">
        <f aca="false">IF(OR($Y258="",$L258="",$L258=0),"",$Y258/$L258-1)</f>
        <v/>
      </c>
      <c r="AD258" s="22" t="str">
        <f aca="false">IF(OR($AA258="",$N258="",$N258=0),"",$AA258/$N258-1)</f>
        <v/>
      </c>
      <c r="AE258" s="20" t="n">
        <v>46129</v>
      </c>
      <c r="AF258" s="5" t="s">
        <v>1038</v>
      </c>
      <c r="AG258" s="5" t="s">
        <v>1039</v>
      </c>
      <c r="AH258" s="20" t="n">
        <v>46223</v>
      </c>
      <c r="AI258" s="5" t="n">
        <v>12</v>
      </c>
      <c r="AJ258" s="16" t="n">
        <v>1625</v>
      </c>
      <c r="AK258" s="16" t="n">
        <v>1625</v>
      </c>
      <c r="AL258" s="21" t="n">
        <f aca="false">IF(OR($AJ258="",$AI258="",$AI258=0),"",$AJ258-N($AK258)/$AI258)</f>
        <v>1489.58333333333</v>
      </c>
      <c r="AM258" s="22" t="n">
        <f aca="false">IF(OR($AJ258="",$L258="",$L258=0),"",$AJ258/$L258-1)</f>
        <v>-0.0519253208868145</v>
      </c>
      <c r="AN258" s="22" t="n">
        <f aca="false">IF(OR($AL258="",$N258="",$N258=0),"",$AL258/$N258-1)</f>
        <v>0.0272988505747125</v>
      </c>
      <c r="AO258" s="6" t="n">
        <v>94</v>
      </c>
    </row>
    <row r="259" customFormat="false" ht="15" hidden="false" customHeight="false" outlineLevel="0" collapsed="false">
      <c r="A259" s="23" t="s">
        <v>1040</v>
      </c>
      <c r="B259" s="23" t="s">
        <v>102</v>
      </c>
      <c r="C259" s="23" t="s">
        <v>103</v>
      </c>
      <c r="D259" s="24" t="n">
        <v>693</v>
      </c>
      <c r="E259" s="23" t="s">
        <v>1041</v>
      </c>
      <c r="F259" s="23" t="s">
        <v>1042</v>
      </c>
      <c r="G259" s="25" t="n">
        <v>45919</v>
      </c>
      <c r="H259" s="23" t="n">
        <v>12</v>
      </c>
      <c r="I259" s="25" t="n">
        <v>46283</v>
      </c>
      <c r="J259" s="23" t="s">
        <v>186</v>
      </c>
      <c r="K259" s="23" t="s">
        <v>86</v>
      </c>
      <c r="L259" s="26" t="n">
        <v>1499</v>
      </c>
      <c r="M259" s="26" t="n">
        <v>2248</v>
      </c>
      <c r="N259" s="27" t="n">
        <f aca="false">IF(OR($L259="",$H259="",$H259=0),"",$L259-N($M259)/$H259)</f>
        <v>1311.66666666667</v>
      </c>
      <c r="O259" s="23" t="s">
        <v>87</v>
      </c>
      <c r="P259" s="23" t="s">
        <v>88</v>
      </c>
      <c r="Q259" s="23" t="s">
        <v>89</v>
      </c>
      <c r="R259" s="23"/>
      <c r="S259" s="23"/>
      <c r="T259" s="23"/>
      <c r="U259" s="23"/>
      <c r="V259" s="23"/>
      <c r="W259" s="25"/>
      <c r="X259" s="23"/>
      <c r="Y259" s="26"/>
      <c r="Z259" s="26"/>
      <c r="AA259" s="27" t="str">
        <f aca="false">IF(OR($Y259="",$X259="",$X259=0),"",$Y259-N($Z259)/$X259)</f>
        <v/>
      </c>
      <c r="AB259" s="23"/>
      <c r="AC259" s="28" t="str">
        <f aca="false">IF(OR($Y259="",$L259="",$L259=0),"",$Y259/$L259-1)</f>
        <v/>
      </c>
      <c r="AD259" s="28" t="str">
        <f aca="false">IF(OR($AA259="",$N259="",$N259=0),"",$AA259/$N259-1)</f>
        <v/>
      </c>
      <c r="AE259" s="25"/>
      <c r="AF259" s="23"/>
      <c r="AG259" s="23"/>
      <c r="AH259" s="25"/>
      <c r="AI259" s="23"/>
      <c r="AJ259" s="26"/>
      <c r="AK259" s="26"/>
      <c r="AL259" s="27" t="str">
        <f aca="false">IF(OR($AJ259="",$AI259="",$AI259=0),"",$AJ259-N($AK259)/$AI259)</f>
        <v/>
      </c>
      <c r="AM259" s="28" t="str">
        <f aca="false">IF(OR($AJ259="",$L259="",$L259=0),"",$AJ259/$L259-1)</f>
        <v/>
      </c>
      <c r="AN259" s="28" t="str">
        <f aca="false">IF(OR($AL259="",$N259="",$N259=0),"",$AL259/$N259-1)</f>
        <v/>
      </c>
      <c r="AO259" s="24"/>
    </row>
    <row r="260" customFormat="false" ht="15" hidden="false" customHeight="false" outlineLevel="0" collapsed="false">
      <c r="A260" s="5" t="s">
        <v>1043</v>
      </c>
      <c r="B260" s="5" t="s">
        <v>145</v>
      </c>
      <c r="C260" s="5" t="s">
        <v>82</v>
      </c>
      <c r="D260" s="6" t="n">
        <v>1165</v>
      </c>
      <c r="E260" s="5" t="s">
        <v>1044</v>
      </c>
      <c r="F260" s="5" t="s">
        <v>1045</v>
      </c>
      <c r="G260" s="20" t="n">
        <v>45787</v>
      </c>
      <c r="H260" s="5" t="n">
        <v>12</v>
      </c>
      <c r="I260" s="20" t="n">
        <v>46151</v>
      </c>
      <c r="J260" s="5" t="s">
        <v>148</v>
      </c>
      <c r="K260" s="5" t="s">
        <v>202</v>
      </c>
      <c r="L260" s="16" t="n">
        <v>1820</v>
      </c>
      <c r="M260" s="16" t="n">
        <v>1000</v>
      </c>
      <c r="N260" s="21" t="n">
        <f aca="false">IF(OR($L260="",$H260="",$H260=0),"",$L260-N($M260)/$H260)</f>
        <v>1736.66666666667</v>
      </c>
      <c r="O260" s="5" t="s">
        <v>87</v>
      </c>
      <c r="P260" s="5" t="s">
        <v>202</v>
      </c>
      <c r="Q260" s="5" t="s">
        <v>127</v>
      </c>
      <c r="R260" s="5" t="s">
        <v>98</v>
      </c>
      <c r="S260" s="5" t="s">
        <v>98</v>
      </c>
      <c r="T260" s="5"/>
      <c r="U260" s="5"/>
      <c r="V260" s="5"/>
      <c r="W260" s="20" t="n">
        <v>46152</v>
      </c>
      <c r="X260" s="5" t="n">
        <v>13</v>
      </c>
      <c r="Y260" s="16" t="n">
        <v>1870</v>
      </c>
      <c r="Z260" s="16" t="n">
        <v>0</v>
      </c>
      <c r="AA260" s="21" t="n">
        <f aca="false">IF(OR($Y260="",$X260="",$X260=0),"",$Y260-N($Z260)/$X260)</f>
        <v>1870</v>
      </c>
      <c r="AB260" s="5" t="s">
        <v>98</v>
      </c>
      <c r="AC260" s="22" t="n">
        <f aca="false">IF(OR($Y260="",$L260="",$L260=0),"",$Y260/$L260-1)</f>
        <v>0.0274725274725274</v>
      </c>
      <c r="AD260" s="22" t="n">
        <f aca="false">IF(OR($AA260="",$N260="",$N260=0),"",$AA260/$N260-1)</f>
        <v>0.0767754318618041</v>
      </c>
      <c r="AE260" s="20"/>
      <c r="AF260" s="5"/>
      <c r="AG260" s="5"/>
      <c r="AH260" s="20"/>
      <c r="AI260" s="5"/>
      <c r="AJ260" s="16"/>
      <c r="AK260" s="16"/>
      <c r="AL260" s="21" t="str">
        <f aca="false">IF(OR($AJ260="",$AI260="",$AI260=0),"",$AJ260-N($AK260)/$AI260)</f>
        <v/>
      </c>
      <c r="AM260" s="22" t="str">
        <f aca="false">IF(OR($AJ260="",$L260="",$L260=0),"",$AJ260/$L260-1)</f>
        <v/>
      </c>
      <c r="AN260" s="22" t="str">
        <f aca="false">IF(OR($AL260="",$N260="",$N260=0),"",$AL260/$N260-1)</f>
        <v/>
      </c>
      <c r="AO260" s="6"/>
    </row>
    <row r="261" customFormat="false" ht="15" hidden="false" customHeight="false" outlineLevel="0" collapsed="false">
      <c r="A261" s="23" t="s">
        <v>1046</v>
      </c>
      <c r="B261" s="23" t="s">
        <v>145</v>
      </c>
      <c r="C261" s="23" t="s">
        <v>82</v>
      </c>
      <c r="D261" s="24" t="n">
        <v>1165</v>
      </c>
      <c r="E261" s="23" t="s">
        <v>1047</v>
      </c>
      <c r="F261" s="23" t="s">
        <v>1048</v>
      </c>
      <c r="G261" s="25" t="n">
        <v>45801</v>
      </c>
      <c r="H261" s="23" t="n">
        <v>12</v>
      </c>
      <c r="I261" s="25" t="n">
        <v>46165</v>
      </c>
      <c r="J261" s="23" t="s">
        <v>148</v>
      </c>
      <c r="K261" s="23" t="s">
        <v>202</v>
      </c>
      <c r="L261" s="26" t="n">
        <v>1885</v>
      </c>
      <c r="M261" s="26" t="n">
        <v>1885</v>
      </c>
      <c r="N261" s="27" t="n">
        <f aca="false">IF(OR($L261="",$H261="",$H261=0),"",$L261-N($M261)/$H261)</f>
        <v>1727.91666666667</v>
      </c>
      <c r="O261" s="23" t="s">
        <v>87</v>
      </c>
      <c r="P261" s="23" t="s">
        <v>202</v>
      </c>
      <c r="Q261" s="23" t="s">
        <v>127</v>
      </c>
      <c r="R261" s="23" t="s">
        <v>98</v>
      </c>
      <c r="S261" s="23" t="s">
        <v>98</v>
      </c>
      <c r="T261" s="23"/>
      <c r="U261" s="23"/>
      <c r="V261" s="23"/>
      <c r="W261" s="25" t="n">
        <v>46166</v>
      </c>
      <c r="X261" s="23" t="n">
        <v>12</v>
      </c>
      <c r="Y261" s="26" t="n">
        <v>1935</v>
      </c>
      <c r="Z261" s="26" t="n">
        <v>0</v>
      </c>
      <c r="AA261" s="27" t="n">
        <f aca="false">IF(OR($Y261="",$X261="",$X261=0),"",$Y261-N($Z261)/$X261)</f>
        <v>1935</v>
      </c>
      <c r="AB261" s="23" t="s">
        <v>98</v>
      </c>
      <c r="AC261" s="28" t="n">
        <f aca="false">IF(OR($Y261="",$L261="",$L261=0),"",$Y261/$L261-1)</f>
        <v>0.0265251989389921</v>
      </c>
      <c r="AD261" s="28" t="n">
        <f aca="false">IF(OR($AA261="",$N261="",$N261=0),"",$AA261/$N261-1)</f>
        <v>0.11984567156981</v>
      </c>
      <c r="AE261" s="25"/>
      <c r="AF261" s="23"/>
      <c r="AG261" s="23"/>
      <c r="AH261" s="25"/>
      <c r="AI261" s="23"/>
      <c r="AJ261" s="26"/>
      <c r="AK261" s="26"/>
      <c r="AL261" s="27" t="str">
        <f aca="false">IF(OR($AJ261="",$AI261="",$AI261=0),"",$AJ261-N($AK261)/$AI261)</f>
        <v/>
      </c>
      <c r="AM261" s="28" t="str">
        <f aca="false">IF(OR($AJ261="",$L261="",$L261=0),"",$AJ261/$L261-1)</f>
        <v/>
      </c>
      <c r="AN261" s="28" t="str">
        <f aca="false">IF(OR($AL261="",$N261="",$N261=0),"",$AL261/$N261-1)</f>
        <v/>
      </c>
      <c r="AO261" s="24"/>
    </row>
    <row r="262" customFormat="false" ht="15" hidden="false" customHeight="false" outlineLevel="0" collapsed="false">
      <c r="A262" s="5" t="s">
        <v>1049</v>
      </c>
      <c r="B262" s="5" t="s">
        <v>81</v>
      </c>
      <c r="C262" s="5" t="s">
        <v>82</v>
      </c>
      <c r="D262" s="6" t="n">
        <v>1141</v>
      </c>
      <c r="E262" s="5" t="s">
        <v>1050</v>
      </c>
      <c r="F262" s="5" t="s">
        <v>1051</v>
      </c>
      <c r="G262" s="20" t="n">
        <v>45667</v>
      </c>
      <c r="H262" s="5" t="n">
        <v>14</v>
      </c>
      <c r="I262" s="20" t="n">
        <v>46090</v>
      </c>
      <c r="J262" s="5" t="s">
        <v>125</v>
      </c>
      <c r="K262" s="5" t="s">
        <v>86</v>
      </c>
      <c r="L262" s="16" t="n">
        <v>1795</v>
      </c>
      <c r="M262" s="16" t="n">
        <v>504</v>
      </c>
      <c r="N262" s="21" t="n">
        <f aca="false">IF(OR($L262="",$H262="",$H262=0),"",$L262-N($M262)/$H262)</f>
        <v>1759</v>
      </c>
      <c r="O262" s="5" t="s">
        <v>87</v>
      </c>
      <c r="P262" s="5" t="s">
        <v>96</v>
      </c>
      <c r="Q262" s="5" t="s">
        <v>97</v>
      </c>
      <c r="R262" s="5" t="s">
        <v>98</v>
      </c>
      <c r="S262" s="5" t="s">
        <v>98</v>
      </c>
      <c r="T262" s="5"/>
      <c r="U262" s="5"/>
      <c r="V262" s="5"/>
      <c r="W262" s="20"/>
      <c r="X262" s="5"/>
      <c r="Y262" s="16"/>
      <c r="Z262" s="16"/>
      <c r="AA262" s="21" t="str">
        <f aca="false">IF(OR($Y262="",$X262="",$X262=0),"",$Y262-N($Z262)/$X262)</f>
        <v/>
      </c>
      <c r="AB262" s="5"/>
      <c r="AC262" s="22" t="str">
        <f aca="false">IF(OR($Y262="",$L262="",$L262=0),"",$Y262/$L262-1)</f>
        <v/>
      </c>
      <c r="AD262" s="22" t="str">
        <f aca="false">IF(OR($AA262="",$N262="",$N262=0),"",$AA262/$N262-1)</f>
        <v/>
      </c>
      <c r="AE262" s="20" t="n">
        <v>46090</v>
      </c>
      <c r="AF262" s="5" t="s">
        <v>1052</v>
      </c>
      <c r="AG262" s="5" t="s">
        <v>1053</v>
      </c>
      <c r="AH262" s="20" t="n">
        <v>46188</v>
      </c>
      <c r="AI262" s="5" t="n">
        <v>18</v>
      </c>
      <c r="AJ262" s="16" t="n">
        <v>1799</v>
      </c>
      <c r="AK262" s="16" t="n">
        <v>899.5</v>
      </c>
      <c r="AL262" s="21" t="n">
        <f aca="false">IF(OR($AJ262="",$AI262="",$AI262=0),"",$AJ262-N($AK262)/$AI262)</f>
        <v>1749.02777777778</v>
      </c>
      <c r="AM262" s="22" t="n">
        <f aca="false">IF(OR($AJ262="",$L262="",$L262=0),"",$AJ262/$L262-1)</f>
        <v>0.00222841225626746</v>
      </c>
      <c r="AN262" s="22" t="n">
        <f aca="false">IF(OR($AL262="",$N262="",$N262=0),"",$AL262/$N262-1)</f>
        <v>-0.00566925652201378</v>
      </c>
      <c r="AO262" s="6" t="n">
        <v>98</v>
      </c>
    </row>
    <row r="263" customFormat="false" ht="15" hidden="false" customHeight="false" outlineLevel="0" collapsed="false">
      <c r="A263" s="23" t="s">
        <v>1054</v>
      </c>
      <c r="B263" s="23" t="s">
        <v>161</v>
      </c>
      <c r="C263" s="23" t="s">
        <v>92</v>
      </c>
      <c r="D263" s="24" t="n">
        <v>1340</v>
      </c>
      <c r="E263" s="23" t="s">
        <v>1055</v>
      </c>
      <c r="F263" s="23" t="s">
        <v>1056</v>
      </c>
      <c r="G263" s="25" t="n">
        <v>45685</v>
      </c>
      <c r="H263" s="23" t="n">
        <v>14</v>
      </c>
      <c r="I263" s="25" t="n">
        <v>46139</v>
      </c>
      <c r="J263" s="23" t="s">
        <v>167</v>
      </c>
      <c r="K263" s="23" t="s">
        <v>126</v>
      </c>
      <c r="L263" s="26" t="n">
        <v>2055</v>
      </c>
      <c r="M263" s="26" t="n">
        <v>504</v>
      </c>
      <c r="N263" s="27" t="n">
        <f aca="false">IF(OR($L263="",$H263="",$H263=0),"",$L263-N($M263)/$H263)</f>
        <v>2019</v>
      </c>
      <c r="O263" s="23" t="s">
        <v>1057</v>
      </c>
      <c r="P263" s="23" t="s">
        <v>96</v>
      </c>
      <c r="Q263" s="23" t="s">
        <v>127</v>
      </c>
      <c r="R263" s="23" t="s">
        <v>98</v>
      </c>
      <c r="S263" s="23" t="s">
        <v>98</v>
      </c>
      <c r="T263" s="23"/>
      <c r="U263" s="23"/>
      <c r="V263" s="23"/>
      <c r="W263" s="25" t="n">
        <v>46140</v>
      </c>
      <c r="X263" s="23" t="n">
        <v>12</v>
      </c>
      <c r="Y263" s="26" t="n">
        <v>2125</v>
      </c>
      <c r="Z263" s="26" t="n">
        <v>0</v>
      </c>
      <c r="AA263" s="27" t="n">
        <f aca="false">IF(OR($Y263="",$X263="",$X263=0),"",$Y263-N($Z263)/$X263)</f>
        <v>2125</v>
      </c>
      <c r="AB263" s="23"/>
      <c r="AC263" s="28" t="n">
        <f aca="false">IF(OR($Y263="",$L263="",$L263=0),"",$Y263/$L263-1)</f>
        <v>0.0340632603406326</v>
      </c>
      <c r="AD263" s="28" t="n">
        <f aca="false">IF(OR($AA263="",$N263="",$N263=0),"",$AA263/$N263-1)</f>
        <v>0.0525012382367509</v>
      </c>
      <c r="AE263" s="25"/>
      <c r="AF263" s="23"/>
      <c r="AG263" s="23"/>
      <c r="AH263" s="25"/>
      <c r="AI263" s="23"/>
      <c r="AJ263" s="26"/>
      <c r="AK263" s="26"/>
      <c r="AL263" s="27" t="str">
        <f aca="false">IF(OR($AJ263="",$AI263="",$AI263=0),"",$AJ263-N($AK263)/$AI263)</f>
        <v/>
      </c>
      <c r="AM263" s="28" t="str">
        <f aca="false">IF(OR($AJ263="",$L263="",$L263=0),"",$AJ263/$L263-1)</f>
        <v/>
      </c>
      <c r="AN263" s="28" t="str">
        <f aca="false">IF(OR($AL263="",$N263="",$N263=0),"",$AL263/$N263-1)</f>
        <v/>
      </c>
      <c r="AO263" s="24"/>
    </row>
    <row r="264" customFormat="false" ht="15" hidden="false" customHeight="false" outlineLevel="0" collapsed="false">
      <c r="A264" s="5" t="s">
        <v>1058</v>
      </c>
      <c r="B264" s="5" t="s">
        <v>102</v>
      </c>
      <c r="C264" s="5" t="s">
        <v>103</v>
      </c>
      <c r="D264" s="6" t="n">
        <v>693</v>
      </c>
      <c r="E264" s="5" t="s">
        <v>1059</v>
      </c>
      <c r="F264" s="5" t="s">
        <v>1060</v>
      </c>
      <c r="G264" s="20" t="n">
        <v>45879</v>
      </c>
      <c r="H264" s="5" t="n">
        <v>12</v>
      </c>
      <c r="I264" s="20" t="n">
        <v>46243</v>
      </c>
      <c r="J264" s="5" t="s">
        <v>135</v>
      </c>
      <c r="K264" s="5" t="s">
        <v>86</v>
      </c>
      <c r="L264" s="16" t="n">
        <v>1499</v>
      </c>
      <c r="M264" s="16" t="n">
        <v>2258</v>
      </c>
      <c r="N264" s="21" t="n">
        <f aca="false">IF(OR($L264="",$H264="",$H264=0),"",$L264-N($M264)/$H264)</f>
        <v>1310.83333333333</v>
      </c>
      <c r="O264" s="5" t="s">
        <v>87</v>
      </c>
      <c r="P264" s="5" t="s">
        <v>88</v>
      </c>
      <c r="Q264" s="5" t="s">
        <v>89</v>
      </c>
      <c r="R264" s="5"/>
      <c r="S264" s="5"/>
      <c r="T264" s="5"/>
      <c r="U264" s="5" t="s">
        <v>98</v>
      </c>
      <c r="V264" s="5"/>
      <c r="W264" s="20"/>
      <c r="X264" s="5"/>
      <c r="Y264" s="16"/>
      <c r="Z264" s="16"/>
      <c r="AA264" s="21" t="str">
        <f aca="false">IF(OR($Y264="",$X264="",$X264=0),"",$Y264-N($Z264)/$X264)</f>
        <v/>
      </c>
      <c r="AB264" s="5"/>
      <c r="AC264" s="22" t="str">
        <f aca="false">IF(OR($Y264="",$L264="",$L264=0),"",$Y264/$L264-1)</f>
        <v/>
      </c>
      <c r="AD264" s="22" t="str">
        <f aca="false">IF(OR($AA264="",$N264="",$N264=0),"",$AA264/$N264-1)</f>
        <v/>
      </c>
      <c r="AE264" s="20"/>
      <c r="AF264" s="5"/>
      <c r="AG264" s="5"/>
      <c r="AH264" s="20"/>
      <c r="AI264" s="5"/>
      <c r="AJ264" s="16"/>
      <c r="AK264" s="16"/>
      <c r="AL264" s="21" t="str">
        <f aca="false">IF(OR($AJ264="",$AI264="",$AI264=0),"",$AJ264-N($AK264)/$AI264)</f>
        <v/>
      </c>
      <c r="AM264" s="22" t="str">
        <f aca="false">IF(OR($AJ264="",$L264="",$L264=0),"",$AJ264/$L264-1)</f>
        <v/>
      </c>
      <c r="AN264" s="22" t="str">
        <f aca="false">IF(OR($AL264="",$N264="",$N264=0),"",$AL264/$N264-1)</f>
        <v/>
      </c>
      <c r="AO264" s="6"/>
    </row>
    <row r="265" customFormat="false" ht="15" hidden="false" customHeight="false" outlineLevel="0" collapsed="false">
      <c r="A265" s="23" t="s">
        <v>1061</v>
      </c>
      <c r="B265" s="23" t="s">
        <v>113</v>
      </c>
      <c r="C265" s="23" t="s">
        <v>82</v>
      </c>
      <c r="D265" s="24" t="n">
        <v>1092</v>
      </c>
      <c r="E265" s="23" t="s">
        <v>1062</v>
      </c>
      <c r="F265" s="23" t="s">
        <v>1063</v>
      </c>
      <c r="G265" s="25" t="n">
        <v>45736</v>
      </c>
      <c r="H265" s="23" t="n">
        <v>18</v>
      </c>
      <c r="I265" s="25" t="n">
        <v>46284</v>
      </c>
      <c r="J265" s="23" t="s">
        <v>186</v>
      </c>
      <c r="K265" s="23" t="s">
        <v>86</v>
      </c>
      <c r="L265" s="26" t="n">
        <v>1715</v>
      </c>
      <c r="M265" s="26" t="n">
        <v>0</v>
      </c>
      <c r="N265" s="27" t="n">
        <f aca="false">IF(OR($L265="",$H265="",$H265=0),"",$L265-N($M265)/$H265)</f>
        <v>1715</v>
      </c>
      <c r="O265" s="23" t="s">
        <v>87</v>
      </c>
      <c r="P265" s="23" t="s">
        <v>88</v>
      </c>
      <c r="Q265" s="23" t="s">
        <v>89</v>
      </c>
      <c r="R265" s="23"/>
      <c r="S265" s="23"/>
      <c r="T265" s="23"/>
      <c r="U265" s="23"/>
      <c r="V265" s="23"/>
      <c r="W265" s="25"/>
      <c r="X265" s="23"/>
      <c r="Y265" s="26"/>
      <c r="Z265" s="26"/>
      <c r="AA265" s="27" t="str">
        <f aca="false">IF(OR($Y265="",$X265="",$X265=0),"",$Y265-N($Z265)/$X265)</f>
        <v/>
      </c>
      <c r="AB265" s="23"/>
      <c r="AC265" s="28" t="str">
        <f aca="false">IF(OR($Y265="",$L265="",$L265=0),"",$Y265/$L265-1)</f>
        <v/>
      </c>
      <c r="AD265" s="28" t="str">
        <f aca="false">IF(OR($AA265="",$N265="",$N265=0),"",$AA265/$N265-1)</f>
        <v/>
      </c>
      <c r="AE265" s="25"/>
      <c r="AF265" s="23"/>
      <c r="AG265" s="23"/>
      <c r="AH265" s="25"/>
      <c r="AI265" s="23"/>
      <c r="AJ265" s="26"/>
      <c r="AK265" s="26"/>
      <c r="AL265" s="27" t="str">
        <f aca="false">IF(OR($AJ265="",$AI265="",$AI265=0),"",$AJ265-N($AK265)/$AI265)</f>
        <v/>
      </c>
      <c r="AM265" s="28" t="str">
        <f aca="false">IF(OR($AJ265="",$L265="",$L265=0),"",$AJ265/$L265-1)</f>
        <v/>
      </c>
      <c r="AN265" s="28" t="str">
        <f aca="false">IF(OR($AL265="",$N265="",$N265=0),"",$AL265/$N265-1)</f>
        <v/>
      </c>
      <c r="AO265" s="24"/>
    </row>
    <row r="266" customFormat="false" ht="15" hidden="false" customHeight="false" outlineLevel="0" collapsed="false">
      <c r="A266" s="5" t="s">
        <v>1064</v>
      </c>
      <c r="B266" s="5" t="s">
        <v>102</v>
      </c>
      <c r="C266" s="5" t="s">
        <v>103</v>
      </c>
      <c r="D266" s="6" t="n">
        <v>693</v>
      </c>
      <c r="E266" s="5" t="s">
        <v>1065</v>
      </c>
      <c r="F266" s="5" t="s">
        <v>1066</v>
      </c>
      <c r="G266" s="20" t="n">
        <v>45685</v>
      </c>
      <c r="H266" s="5" t="n">
        <v>15</v>
      </c>
      <c r="I266" s="20" t="n">
        <v>46230</v>
      </c>
      <c r="J266" s="5" t="s">
        <v>116</v>
      </c>
      <c r="K266" s="5" t="s">
        <v>126</v>
      </c>
      <c r="L266" s="16" t="n">
        <v>1410</v>
      </c>
      <c r="M266" s="16" t="n">
        <v>495</v>
      </c>
      <c r="N266" s="21" t="n">
        <f aca="false">IF(OR($L266="",$H266="",$H266=0),"",$L266-N($M266)/$H266)</f>
        <v>1377</v>
      </c>
      <c r="O266" s="5" t="s">
        <v>87</v>
      </c>
      <c r="P266" s="5" t="s">
        <v>96</v>
      </c>
      <c r="Q266" s="5" t="s">
        <v>127</v>
      </c>
      <c r="R266" s="5" t="s">
        <v>98</v>
      </c>
      <c r="S266" s="5" t="s">
        <v>98</v>
      </c>
      <c r="T266" s="5"/>
      <c r="U266" s="5"/>
      <c r="V266" s="5"/>
      <c r="W266" s="20" t="n">
        <v>46231</v>
      </c>
      <c r="X266" s="5" t="n">
        <v>18</v>
      </c>
      <c r="Y266" s="16" t="n">
        <v>1453</v>
      </c>
      <c r="Z266" s="16" t="n">
        <v>0</v>
      </c>
      <c r="AA266" s="21" t="n">
        <f aca="false">IF(OR($Y266="",$X266="",$X266=0),"",$Y266-N($Z266)/$X266)</f>
        <v>1453</v>
      </c>
      <c r="AB266" s="5"/>
      <c r="AC266" s="22" t="n">
        <f aca="false">IF(OR($Y266="",$L266="",$L266=0),"",$Y266/$L266-1)</f>
        <v>0.0304964539007093</v>
      </c>
      <c r="AD266" s="22" t="n">
        <f aca="false">IF(OR($AA266="",$N266="",$N266=0),"",$AA266/$N266-1)</f>
        <v>0.0551924473493102</v>
      </c>
      <c r="AE266" s="20"/>
      <c r="AF266" s="5"/>
      <c r="AG266" s="5"/>
      <c r="AH266" s="20"/>
      <c r="AI266" s="5"/>
      <c r="AJ266" s="16"/>
      <c r="AK266" s="16"/>
      <c r="AL266" s="21" t="str">
        <f aca="false">IF(OR($AJ266="",$AI266="",$AI266=0),"",$AJ266-N($AK266)/$AI266)</f>
        <v/>
      </c>
      <c r="AM266" s="22" t="str">
        <f aca="false">IF(OR($AJ266="",$L266="",$L266=0),"",$AJ266/$L266-1)</f>
        <v/>
      </c>
      <c r="AN266" s="22" t="str">
        <f aca="false">IF(OR($AL266="",$N266="",$N266=0),"",$AL266/$N266-1)</f>
        <v/>
      </c>
      <c r="AO266" s="6"/>
    </row>
    <row r="267" customFormat="false" ht="15" hidden="false" customHeight="false" outlineLevel="0" collapsed="false">
      <c r="A267" s="23" t="s">
        <v>1067</v>
      </c>
      <c r="B267" s="23" t="s">
        <v>81</v>
      </c>
      <c r="C267" s="23" t="s">
        <v>82</v>
      </c>
      <c r="D267" s="24" t="n">
        <v>1141</v>
      </c>
      <c r="E267" s="23" t="s">
        <v>1068</v>
      </c>
      <c r="F267" s="23" t="s">
        <v>1069</v>
      </c>
      <c r="G267" s="25" t="n">
        <v>45591</v>
      </c>
      <c r="H267" s="23" t="n">
        <v>18</v>
      </c>
      <c r="I267" s="25" t="n">
        <v>46137</v>
      </c>
      <c r="J267" s="23" t="s">
        <v>167</v>
      </c>
      <c r="K267" s="23" t="s">
        <v>86</v>
      </c>
      <c r="L267" s="26" t="n">
        <v>1995</v>
      </c>
      <c r="M267" s="26"/>
      <c r="N267" s="27" t="n">
        <f aca="false">IF(OR($L267="",$H267="",$H267=0),"",$L267-N($M267)/$H267)</f>
        <v>1995</v>
      </c>
      <c r="O267" s="23" t="s">
        <v>87</v>
      </c>
      <c r="P267" s="23" t="s">
        <v>505</v>
      </c>
      <c r="Q267" s="23" t="s">
        <v>97</v>
      </c>
      <c r="R267" s="23" t="s">
        <v>98</v>
      </c>
      <c r="S267" s="23" t="s">
        <v>98</v>
      </c>
      <c r="T267" s="23"/>
      <c r="U267" s="23"/>
      <c r="V267" s="23"/>
      <c r="W267" s="25"/>
      <c r="X267" s="23"/>
      <c r="Y267" s="26"/>
      <c r="Z267" s="26"/>
      <c r="AA267" s="27" t="str">
        <f aca="false">IF(OR($Y267="",$X267="",$X267=0),"",$Y267-N($Z267)/$X267)</f>
        <v/>
      </c>
      <c r="AB267" s="23"/>
      <c r="AC267" s="28" t="str">
        <f aca="false">IF(OR($Y267="",$L267="",$L267=0),"",$Y267/$L267-1)</f>
        <v/>
      </c>
      <c r="AD267" s="28" t="str">
        <f aca="false">IF(OR($AA267="",$N267="",$N267=0),"",$AA267/$N267-1)</f>
        <v/>
      </c>
      <c r="AE267" s="25" t="n">
        <v>46173</v>
      </c>
      <c r="AF267" s="23" t="s">
        <v>1070</v>
      </c>
      <c r="AG267" s="23" t="s">
        <v>1071</v>
      </c>
      <c r="AH267" s="25" t="n">
        <v>46180</v>
      </c>
      <c r="AI267" s="23" t="n">
        <v>12</v>
      </c>
      <c r="AJ267" s="26" t="n">
        <v>1985</v>
      </c>
      <c r="AK267" s="26" t="n">
        <v>1985</v>
      </c>
      <c r="AL267" s="27" t="n">
        <f aca="false">IF(OR($AJ267="",$AI267="",$AI267=0),"",$AJ267-N($AK267)/$AI267)</f>
        <v>1819.58333333333</v>
      </c>
      <c r="AM267" s="28" t="n">
        <f aca="false">IF(OR($AJ267="",$L267="",$L267=0),"",$AJ267/$L267-1)</f>
        <v>-0.0050125313283208</v>
      </c>
      <c r="AN267" s="28" t="n">
        <f aca="false">IF(OR($AL267="",$N267="",$N267=0),"",$AL267/$N267-1)</f>
        <v>-0.0879281537176274</v>
      </c>
      <c r="AO267" s="24" t="n">
        <v>7</v>
      </c>
    </row>
    <row r="268" customFormat="false" ht="15" hidden="false" customHeight="false" outlineLevel="0" collapsed="false">
      <c r="A268" s="5" t="s">
        <v>1072</v>
      </c>
      <c r="B268" s="5" t="s">
        <v>102</v>
      </c>
      <c r="C268" s="5" t="s">
        <v>103</v>
      </c>
      <c r="D268" s="6" t="n">
        <v>693</v>
      </c>
      <c r="E268" s="5" t="s">
        <v>1073</v>
      </c>
      <c r="F268" s="5" t="s">
        <v>1074</v>
      </c>
      <c r="G268" s="20" t="n">
        <v>45786</v>
      </c>
      <c r="H268" s="5" t="n">
        <v>12</v>
      </c>
      <c r="I268" s="20" t="n">
        <v>46089</v>
      </c>
      <c r="J268" s="5" t="s">
        <v>125</v>
      </c>
      <c r="K268" s="5" t="s">
        <v>126</v>
      </c>
      <c r="L268" s="16" t="n">
        <v>1385</v>
      </c>
      <c r="M268" s="16" t="n">
        <v>1548</v>
      </c>
      <c r="N268" s="21" t="n">
        <f aca="false">IF(OR($L268="",$H268="",$H268=0),"",$L268-N($M268)/$H268)</f>
        <v>1256</v>
      </c>
      <c r="O268" s="5" t="s">
        <v>87</v>
      </c>
      <c r="P268" s="5" t="s">
        <v>96</v>
      </c>
      <c r="Q268" s="5" t="s">
        <v>127</v>
      </c>
      <c r="R268" s="5" t="s">
        <v>98</v>
      </c>
      <c r="S268" s="5" t="s">
        <v>98</v>
      </c>
      <c r="T268" s="5"/>
      <c r="U268" s="5"/>
      <c r="V268" s="5"/>
      <c r="W268" s="20" t="n">
        <v>46090</v>
      </c>
      <c r="X268" s="5" t="n">
        <v>12</v>
      </c>
      <c r="Y268" s="16" t="n">
        <v>1385</v>
      </c>
      <c r="Z268" s="16" t="n">
        <v>0</v>
      </c>
      <c r="AA268" s="21" t="n">
        <f aca="false">IF(OR($Y268="",$X268="",$X268=0),"",$Y268-N($Z268)/$X268)</f>
        <v>1385</v>
      </c>
      <c r="AB268" s="5"/>
      <c r="AC268" s="22" t="n">
        <f aca="false">IF(OR($Y268="",$L268="",$L268=0),"",$Y268/$L268-1)</f>
        <v>0</v>
      </c>
      <c r="AD268" s="22" t="n">
        <f aca="false">IF(OR($AA268="",$N268="",$N268=0),"",$AA268/$N268-1)</f>
        <v>0.102707006369427</v>
      </c>
      <c r="AE268" s="20"/>
      <c r="AF268" s="5"/>
      <c r="AG268" s="5"/>
      <c r="AH268" s="20"/>
      <c r="AI268" s="5"/>
      <c r="AJ268" s="16"/>
      <c r="AK268" s="16"/>
      <c r="AL268" s="21" t="str">
        <f aca="false">IF(OR($AJ268="",$AI268="",$AI268=0),"",$AJ268-N($AK268)/$AI268)</f>
        <v/>
      </c>
      <c r="AM268" s="22" t="str">
        <f aca="false">IF(OR($AJ268="",$L268="",$L268=0),"",$AJ268/$L268-1)</f>
        <v/>
      </c>
      <c r="AN268" s="22" t="str">
        <f aca="false">IF(OR($AL268="",$N268="",$N268=0),"",$AL268/$N268-1)</f>
        <v/>
      </c>
      <c r="AO268" s="6"/>
    </row>
    <row r="269" customFormat="false" ht="15" hidden="false" customHeight="false" outlineLevel="0" collapsed="false">
      <c r="A269" s="23" t="s">
        <v>1075</v>
      </c>
      <c r="B269" s="23" t="s">
        <v>102</v>
      </c>
      <c r="C269" s="23" t="s">
        <v>103</v>
      </c>
      <c r="D269" s="24" t="n">
        <v>693</v>
      </c>
      <c r="E269" s="23" t="s">
        <v>1076</v>
      </c>
      <c r="F269" s="23" t="s">
        <v>1077</v>
      </c>
      <c r="G269" s="25" t="n">
        <v>45884</v>
      </c>
      <c r="H269" s="23" t="n">
        <v>12</v>
      </c>
      <c r="I269" s="25" t="n">
        <v>46172</v>
      </c>
      <c r="J269" s="23" t="s">
        <v>148</v>
      </c>
      <c r="K269" s="23" t="s">
        <v>86</v>
      </c>
      <c r="L269" s="26" t="n">
        <v>1590</v>
      </c>
      <c r="M269" s="26" t="n">
        <v>1584</v>
      </c>
      <c r="N269" s="27" t="n">
        <f aca="false">IF(OR($L269="",$H269="",$H269=0),"",$L269-N($M269)/$H269)</f>
        <v>1458</v>
      </c>
      <c r="O269" s="23" t="s">
        <v>87</v>
      </c>
      <c r="P269" s="23" t="s">
        <v>96</v>
      </c>
      <c r="Q269" s="23" t="s">
        <v>97</v>
      </c>
      <c r="R269" s="23" t="s">
        <v>98</v>
      </c>
      <c r="S269" s="23" t="s">
        <v>98</v>
      </c>
      <c r="T269" s="23"/>
      <c r="U269" s="23"/>
      <c r="V269" s="23"/>
      <c r="W269" s="25"/>
      <c r="X269" s="23"/>
      <c r="Y269" s="26"/>
      <c r="Z269" s="26"/>
      <c r="AA269" s="27" t="str">
        <f aca="false">IF(OR($Y269="",$X269="",$X269=0),"",$Y269-N($Z269)/$X269)</f>
        <v/>
      </c>
      <c r="AB269" s="23"/>
      <c r="AC269" s="28" t="str">
        <f aca="false">IF(OR($Y269="",$L269="",$L269=0),"",$Y269/$L269-1)</f>
        <v/>
      </c>
      <c r="AD269" s="28" t="str">
        <f aca="false">IF(OR($AA269="",$N269="",$N269=0),"",$AA269/$N269-1)</f>
        <v/>
      </c>
      <c r="AE269" s="25" t="n">
        <v>46172</v>
      </c>
      <c r="AF269" s="23" t="s">
        <v>1078</v>
      </c>
      <c r="AG269" s="23" t="s">
        <v>1079</v>
      </c>
      <c r="AH269" s="25" t="n">
        <v>46198</v>
      </c>
      <c r="AI269" s="23" t="n">
        <v>12</v>
      </c>
      <c r="AJ269" s="26" t="n">
        <v>1650</v>
      </c>
      <c r="AK269" s="26" t="n">
        <v>0</v>
      </c>
      <c r="AL269" s="27" t="n">
        <f aca="false">IF(OR($AJ269="",$AI269="",$AI269=0),"",$AJ269-N($AK269)/$AI269)</f>
        <v>1650</v>
      </c>
      <c r="AM269" s="28" t="n">
        <f aca="false">IF(OR($AJ269="",$L269="",$L269=0),"",$AJ269/$L269-1)</f>
        <v>0.0377358490566038</v>
      </c>
      <c r="AN269" s="28" t="n">
        <f aca="false">IF(OR($AL269="",$N269="",$N269=0),"",$AL269/$N269-1)</f>
        <v>0.131687242798354</v>
      </c>
      <c r="AO269" s="24" t="n">
        <v>26</v>
      </c>
    </row>
    <row r="270" customFormat="false" ht="15" hidden="false" customHeight="false" outlineLevel="0" collapsed="false">
      <c r="A270" s="5" t="s">
        <v>1080</v>
      </c>
      <c r="B270" s="5" t="s">
        <v>102</v>
      </c>
      <c r="C270" s="5" t="s">
        <v>103</v>
      </c>
      <c r="D270" s="6" t="n">
        <v>693</v>
      </c>
      <c r="E270" s="5" t="s">
        <v>1081</v>
      </c>
      <c r="F270" s="5" t="s">
        <v>1082</v>
      </c>
      <c r="G270" s="20" t="n">
        <v>45672</v>
      </c>
      <c r="H270" s="5" t="n">
        <v>14</v>
      </c>
      <c r="I270" s="20" t="n">
        <v>46217</v>
      </c>
      <c r="J270" s="5" t="s">
        <v>116</v>
      </c>
      <c r="K270" s="5" t="s">
        <v>126</v>
      </c>
      <c r="L270" s="16" t="n">
        <v>1400</v>
      </c>
      <c r="M270" s="16" t="n">
        <v>504</v>
      </c>
      <c r="N270" s="21" t="n">
        <f aca="false">IF(OR($L270="",$H270="",$H270=0),"",$L270-N($M270)/$H270)</f>
        <v>1364</v>
      </c>
      <c r="O270" s="5" t="s">
        <v>87</v>
      </c>
      <c r="P270" s="5" t="s">
        <v>96</v>
      </c>
      <c r="Q270" s="5" t="s">
        <v>127</v>
      </c>
      <c r="R270" s="5" t="s">
        <v>98</v>
      </c>
      <c r="S270" s="5" t="s">
        <v>98</v>
      </c>
      <c r="T270" s="5"/>
      <c r="U270" s="5"/>
      <c r="V270" s="5"/>
      <c r="W270" s="20" t="n">
        <v>46218</v>
      </c>
      <c r="X270" s="5" t="n">
        <v>4</v>
      </c>
      <c r="Y270" s="16" t="n">
        <v>1550</v>
      </c>
      <c r="Z270" s="16" t="n">
        <v>0</v>
      </c>
      <c r="AA270" s="21" t="n">
        <f aca="false">IF(OR($Y270="",$X270="",$X270=0),"",$Y270-N($Z270)/$X270)</f>
        <v>1550</v>
      </c>
      <c r="AB270" s="5"/>
      <c r="AC270" s="22" t="n">
        <f aca="false">IF(OR($Y270="",$L270="",$L270=0),"",$Y270/$L270-1)</f>
        <v>0.107142857142857</v>
      </c>
      <c r="AD270" s="22" t="n">
        <f aca="false">IF(OR($AA270="",$N270="",$N270=0),"",$AA270/$N270-1)</f>
        <v>0.136363636363636</v>
      </c>
      <c r="AE270" s="20"/>
      <c r="AF270" s="5"/>
      <c r="AG270" s="5"/>
      <c r="AH270" s="20"/>
      <c r="AI270" s="5"/>
      <c r="AJ270" s="16"/>
      <c r="AK270" s="16"/>
      <c r="AL270" s="21" t="str">
        <f aca="false">IF(OR($AJ270="",$AI270="",$AI270=0),"",$AJ270-N($AK270)/$AI270)</f>
        <v/>
      </c>
      <c r="AM270" s="22" t="str">
        <f aca="false">IF(OR($AJ270="",$L270="",$L270=0),"",$AJ270/$L270-1)</f>
        <v/>
      </c>
      <c r="AN270" s="22" t="str">
        <f aca="false">IF(OR($AL270="",$N270="",$N270=0),"",$AL270/$N270-1)</f>
        <v/>
      </c>
      <c r="AO270" s="6"/>
    </row>
    <row r="271" customFormat="false" ht="15" hidden="false" customHeight="false" outlineLevel="0" collapsed="false">
      <c r="A271" s="23" t="s">
        <v>1083</v>
      </c>
      <c r="B271" s="23" t="s">
        <v>204</v>
      </c>
      <c r="C271" s="23" t="s">
        <v>82</v>
      </c>
      <c r="D271" s="24" t="n">
        <v>1177</v>
      </c>
      <c r="E271" s="23" t="s">
        <v>1084</v>
      </c>
      <c r="F271" s="23" t="s">
        <v>1085</v>
      </c>
      <c r="G271" s="25" t="n">
        <v>45965</v>
      </c>
      <c r="H271" s="23" t="n">
        <v>18</v>
      </c>
      <c r="I271" s="25" t="n">
        <v>46510</v>
      </c>
      <c r="J271" s="23" t="s">
        <v>111</v>
      </c>
      <c r="K271" s="23" t="s">
        <v>86</v>
      </c>
      <c r="L271" s="26" t="n">
        <v>1799</v>
      </c>
      <c r="M271" s="26" t="n">
        <v>0</v>
      </c>
      <c r="N271" s="27" t="n">
        <f aca="false">IF(OR($L271="",$H271="",$H271=0),"",$L271-N($M271)/$H271)</f>
        <v>1799</v>
      </c>
      <c r="O271" s="23" t="s">
        <v>87</v>
      </c>
      <c r="P271" s="23" t="s">
        <v>88</v>
      </c>
      <c r="Q271" s="23" t="s">
        <v>89</v>
      </c>
      <c r="R271" s="23"/>
      <c r="S271" s="23"/>
      <c r="T271" s="23"/>
      <c r="U271" s="23"/>
      <c r="V271" s="23"/>
      <c r="W271" s="25"/>
      <c r="X271" s="23"/>
      <c r="Y271" s="26"/>
      <c r="Z271" s="26"/>
      <c r="AA271" s="27" t="str">
        <f aca="false">IF(OR($Y271="",$X271="",$X271=0),"",$Y271-N($Z271)/$X271)</f>
        <v/>
      </c>
      <c r="AB271" s="23"/>
      <c r="AC271" s="28" t="str">
        <f aca="false">IF(OR($Y271="",$L271="",$L271=0),"",$Y271/$L271-1)</f>
        <v/>
      </c>
      <c r="AD271" s="28" t="str">
        <f aca="false">IF(OR($AA271="",$N271="",$N271=0),"",$AA271/$N271-1)</f>
        <v/>
      </c>
      <c r="AE271" s="25"/>
      <c r="AF271" s="23"/>
      <c r="AG271" s="23"/>
      <c r="AH271" s="25"/>
      <c r="AI271" s="23"/>
      <c r="AJ271" s="26"/>
      <c r="AK271" s="26"/>
      <c r="AL271" s="27" t="str">
        <f aca="false">IF(OR($AJ271="",$AI271="",$AI271=0),"",$AJ271-N($AK271)/$AI271)</f>
        <v/>
      </c>
      <c r="AM271" s="28" t="str">
        <f aca="false">IF(OR($AJ271="",$L271="",$L271=0),"",$AJ271/$L271-1)</f>
        <v/>
      </c>
      <c r="AN271" s="28" t="str">
        <f aca="false">IF(OR($AL271="",$N271="",$N271=0),"",$AL271/$N271-1)</f>
        <v/>
      </c>
      <c r="AO271" s="24"/>
    </row>
    <row r="272" customFormat="false" ht="15" hidden="false" customHeight="false" outlineLevel="0" collapsed="false">
      <c r="A272" s="5" t="s">
        <v>1086</v>
      </c>
      <c r="B272" s="5" t="s">
        <v>204</v>
      </c>
      <c r="C272" s="5" t="s">
        <v>82</v>
      </c>
      <c r="D272" s="6" t="n">
        <v>1177</v>
      </c>
      <c r="E272" s="5" t="s">
        <v>1087</v>
      </c>
      <c r="F272" s="5" t="s">
        <v>1088</v>
      </c>
      <c r="G272" s="20" t="n">
        <v>45717</v>
      </c>
      <c r="H272" s="5" t="n">
        <v>15</v>
      </c>
      <c r="I272" s="20" t="n">
        <v>46173</v>
      </c>
      <c r="J272" s="5" t="s">
        <v>148</v>
      </c>
      <c r="K272" s="5" t="s">
        <v>86</v>
      </c>
      <c r="L272" s="16" t="n">
        <v>1798</v>
      </c>
      <c r="M272" s="16" t="n">
        <v>495</v>
      </c>
      <c r="N272" s="21" t="n">
        <f aca="false">IF(OR($L272="",$H272="",$H272=0),"",$L272-N($M272)/$H272)</f>
        <v>1765</v>
      </c>
      <c r="O272" s="5" t="s">
        <v>87</v>
      </c>
      <c r="P272" s="5" t="s">
        <v>96</v>
      </c>
      <c r="Q272" s="5" t="s">
        <v>97</v>
      </c>
      <c r="R272" s="5" t="s">
        <v>98</v>
      </c>
      <c r="S272" s="5" t="s">
        <v>98</v>
      </c>
      <c r="T272" s="5"/>
      <c r="U272" s="5"/>
      <c r="V272" s="5"/>
      <c r="W272" s="20"/>
      <c r="X272" s="5"/>
      <c r="Y272" s="16"/>
      <c r="Z272" s="16"/>
      <c r="AA272" s="21" t="str">
        <f aca="false">IF(OR($Y272="",$X272="",$X272=0),"",$Y272-N($Z272)/$X272)</f>
        <v/>
      </c>
      <c r="AB272" s="5"/>
      <c r="AC272" s="22" t="str">
        <f aca="false">IF(OR($Y272="",$L272="",$L272=0),"",$Y272/$L272-1)</f>
        <v/>
      </c>
      <c r="AD272" s="22" t="str">
        <f aca="false">IF(OR($AA272="",$N272="",$N272=0),"",$AA272/$N272-1)</f>
        <v/>
      </c>
      <c r="AE272" s="20" t="n">
        <v>46173</v>
      </c>
      <c r="AF272" s="5" t="s">
        <v>1089</v>
      </c>
      <c r="AG272" s="5" t="s">
        <v>541</v>
      </c>
      <c r="AH272" s="20" t="n">
        <v>46199</v>
      </c>
      <c r="AI272" s="5" t="n">
        <v>12</v>
      </c>
      <c r="AJ272" s="16" t="n">
        <v>2161</v>
      </c>
      <c r="AK272" s="16" t="n">
        <v>0</v>
      </c>
      <c r="AL272" s="21" t="n">
        <f aca="false">IF(OR($AJ272="",$AI272="",$AI272=0),"",$AJ272-N($AK272)/$AI272)</f>
        <v>2161</v>
      </c>
      <c r="AM272" s="22" t="n">
        <f aca="false">IF(OR($AJ272="",$L272="",$L272=0),"",$AJ272/$L272-1)</f>
        <v>0.201890989988877</v>
      </c>
      <c r="AN272" s="22" t="n">
        <f aca="false">IF(OR($AL272="",$N272="",$N272=0),"",$AL272/$N272-1)</f>
        <v>0.224362606232295</v>
      </c>
      <c r="AO272" s="6" t="n">
        <v>26</v>
      </c>
    </row>
    <row r="273" customFormat="false" ht="15" hidden="false" customHeight="false" outlineLevel="0" collapsed="false">
      <c r="A273" s="23" t="s">
        <v>1090</v>
      </c>
      <c r="B273" s="23" t="s">
        <v>81</v>
      </c>
      <c r="C273" s="23" t="s">
        <v>82</v>
      </c>
      <c r="D273" s="24" t="n">
        <v>1141</v>
      </c>
      <c r="E273" s="23" t="s">
        <v>1091</v>
      </c>
      <c r="F273" s="23" t="s">
        <v>1092</v>
      </c>
      <c r="G273" s="25" t="n">
        <v>45996</v>
      </c>
      <c r="H273" s="23" t="n">
        <v>17</v>
      </c>
      <c r="I273" s="25" t="n">
        <v>46511</v>
      </c>
      <c r="J273" s="23" t="s">
        <v>111</v>
      </c>
      <c r="K273" s="23" t="s">
        <v>86</v>
      </c>
      <c r="L273" s="26" t="n">
        <v>1900</v>
      </c>
      <c r="M273" s="26" t="n">
        <v>3800</v>
      </c>
      <c r="N273" s="27" t="n">
        <f aca="false">IF(OR($L273="",$H273="",$H273=0),"",$L273-N($M273)/$H273)</f>
        <v>1676.47058823529</v>
      </c>
      <c r="O273" s="23" t="s">
        <v>87</v>
      </c>
      <c r="P273" s="23" t="s">
        <v>88</v>
      </c>
      <c r="Q273" s="23" t="s">
        <v>89</v>
      </c>
      <c r="R273" s="23"/>
      <c r="S273" s="23"/>
      <c r="T273" s="23"/>
      <c r="U273" s="23"/>
      <c r="V273" s="23"/>
      <c r="W273" s="25"/>
      <c r="X273" s="23"/>
      <c r="Y273" s="26"/>
      <c r="Z273" s="26"/>
      <c r="AA273" s="27" t="str">
        <f aca="false">IF(OR($Y273="",$X273="",$X273=0),"",$Y273-N($Z273)/$X273)</f>
        <v/>
      </c>
      <c r="AB273" s="23"/>
      <c r="AC273" s="28" t="str">
        <f aca="false">IF(OR($Y273="",$L273="",$L273=0),"",$Y273/$L273-1)</f>
        <v/>
      </c>
      <c r="AD273" s="28" t="str">
        <f aca="false">IF(OR($AA273="",$N273="",$N273=0),"",$AA273/$N273-1)</f>
        <v/>
      </c>
      <c r="AE273" s="25"/>
      <c r="AF273" s="23"/>
      <c r="AG273" s="23"/>
      <c r="AH273" s="25"/>
      <c r="AI273" s="23"/>
      <c r="AJ273" s="26"/>
      <c r="AK273" s="26"/>
      <c r="AL273" s="27" t="str">
        <f aca="false">IF(OR($AJ273="",$AI273="",$AI273=0),"",$AJ273-N($AK273)/$AI273)</f>
        <v/>
      </c>
      <c r="AM273" s="28" t="str">
        <f aca="false">IF(OR($AJ273="",$L273="",$L273=0),"",$AJ273/$L273-1)</f>
        <v/>
      </c>
      <c r="AN273" s="28" t="str">
        <f aca="false">IF(OR($AL273="",$N273="",$N273=0),"",$AL273/$N273-1)</f>
        <v/>
      </c>
      <c r="AO273" s="24"/>
    </row>
    <row r="274" customFormat="false" ht="15" hidden="false" customHeight="false" outlineLevel="0" collapsed="false">
      <c r="A274" s="5" t="s">
        <v>1093</v>
      </c>
      <c r="B274" s="5" t="s">
        <v>102</v>
      </c>
      <c r="C274" s="5" t="s">
        <v>103</v>
      </c>
      <c r="D274" s="6" t="n">
        <v>693</v>
      </c>
      <c r="E274" s="5" t="s">
        <v>1094</v>
      </c>
      <c r="F274" s="5" t="s">
        <v>1095</v>
      </c>
      <c r="G274" s="20" t="n">
        <v>45595</v>
      </c>
      <c r="H274" s="5" t="n">
        <v>12</v>
      </c>
      <c r="I274" s="20" t="n">
        <v>45990</v>
      </c>
      <c r="J274" s="5" t="s">
        <v>950</v>
      </c>
      <c r="K274" s="5" t="s">
        <v>126</v>
      </c>
      <c r="L274" s="16" t="n">
        <v>1585</v>
      </c>
      <c r="M274" s="16" t="n">
        <v>2928</v>
      </c>
      <c r="N274" s="21" t="n">
        <f aca="false">IF(OR($L274="",$H274="",$H274=0),"",$L274-N($M274)/$H274)</f>
        <v>1341</v>
      </c>
      <c r="O274" s="5" t="s">
        <v>532</v>
      </c>
      <c r="P274" s="5" t="s">
        <v>96</v>
      </c>
      <c r="Q274" s="5" t="s">
        <v>127</v>
      </c>
      <c r="R274" s="5" t="s">
        <v>98</v>
      </c>
      <c r="S274" s="5" t="s">
        <v>98</v>
      </c>
      <c r="T274" s="5"/>
      <c r="U274" s="5"/>
      <c r="V274" s="5"/>
      <c r="W274" s="20" t="n">
        <v>45991</v>
      </c>
      <c r="X274" s="5" t="n">
        <v>16</v>
      </c>
      <c r="Y274" s="16" t="n">
        <v>1585</v>
      </c>
      <c r="Z274" s="16" t="n">
        <v>500</v>
      </c>
      <c r="AA274" s="21" t="n">
        <f aca="false">IF(OR($Y274="",$X274="",$X274=0),"",$Y274-N($Z274)/$X274)</f>
        <v>1553.75</v>
      </c>
      <c r="AB274" s="5"/>
      <c r="AC274" s="22" t="n">
        <f aca="false">IF(OR($Y274="",$L274="",$L274=0),"",$Y274/$L274-1)</f>
        <v>0</v>
      </c>
      <c r="AD274" s="22" t="n">
        <f aca="false">IF(OR($AA274="",$N274="",$N274=0),"",$AA274/$N274-1)</f>
        <v>0.158650260999254</v>
      </c>
      <c r="AE274" s="20"/>
      <c r="AF274" s="5"/>
      <c r="AG274" s="5"/>
      <c r="AH274" s="20"/>
      <c r="AI274" s="5"/>
      <c r="AJ274" s="16"/>
      <c r="AK274" s="16"/>
      <c r="AL274" s="21" t="str">
        <f aca="false">IF(OR($AJ274="",$AI274="",$AI274=0),"",$AJ274-N($AK274)/$AI274)</f>
        <v/>
      </c>
      <c r="AM274" s="22" t="str">
        <f aca="false">IF(OR($AJ274="",$L274="",$L274=0),"",$AJ274/$L274-1)</f>
        <v/>
      </c>
      <c r="AN274" s="22" t="str">
        <f aca="false">IF(OR($AL274="",$N274="",$N274=0),"",$AL274/$N274-1)</f>
        <v/>
      </c>
      <c r="AO274" s="6"/>
    </row>
    <row r="275" customFormat="false" ht="15" hidden="false" customHeight="false" outlineLevel="0" collapsed="false">
      <c r="A275" s="23" t="s">
        <v>1096</v>
      </c>
      <c r="B275" s="23" t="s">
        <v>113</v>
      </c>
      <c r="C275" s="23" t="s">
        <v>82</v>
      </c>
      <c r="D275" s="24" t="n">
        <v>1092</v>
      </c>
      <c r="E275" s="23" t="s">
        <v>1097</v>
      </c>
      <c r="F275" s="23" t="s">
        <v>1098</v>
      </c>
      <c r="G275" s="25" t="n">
        <v>46007</v>
      </c>
      <c r="H275" s="23" t="n">
        <v>15</v>
      </c>
      <c r="I275" s="25" t="n">
        <v>46461</v>
      </c>
      <c r="J275" s="23" t="s">
        <v>131</v>
      </c>
      <c r="K275" s="23" t="s">
        <v>86</v>
      </c>
      <c r="L275" s="26" t="n">
        <v>1685</v>
      </c>
      <c r="M275" s="26" t="n">
        <v>0</v>
      </c>
      <c r="N275" s="27" t="n">
        <f aca="false">IF(OR($L275="",$H275="",$H275=0),"",$L275-N($M275)/$H275)</f>
        <v>1685</v>
      </c>
      <c r="O275" s="23" t="s">
        <v>87</v>
      </c>
      <c r="P275" s="23" t="s">
        <v>88</v>
      </c>
      <c r="Q275" s="23" t="s">
        <v>89</v>
      </c>
      <c r="R275" s="23"/>
      <c r="S275" s="23"/>
      <c r="T275" s="23"/>
      <c r="U275" s="23"/>
      <c r="V275" s="23"/>
      <c r="W275" s="25"/>
      <c r="X275" s="23"/>
      <c r="Y275" s="26"/>
      <c r="Z275" s="26"/>
      <c r="AA275" s="27" t="str">
        <f aca="false">IF(OR($Y275="",$X275="",$X275=0),"",$Y275-N($Z275)/$X275)</f>
        <v/>
      </c>
      <c r="AB275" s="23"/>
      <c r="AC275" s="28" t="str">
        <f aca="false">IF(OR($Y275="",$L275="",$L275=0),"",$Y275/$L275-1)</f>
        <v/>
      </c>
      <c r="AD275" s="28" t="str">
        <f aca="false">IF(OR($AA275="",$N275="",$N275=0),"",$AA275/$N275-1)</f>
        <v/>
      </c>
      <c r="AE275" s="25"/>
      <c r="AF275" s="23"/>
      <c r="AG275" s="23"/>
      <c r="AH275" s="25"/>
      <c r="AI275" s="23"/>
      <c r="AJ275" s="26"/>
      <c r="AK275" s="26"/>
      <c r="AL275" s="27" t="str">
        <f aca="false">IF(OR($AJ275="",$AI275="",$AI275=0),"",$AJ275-N($AK275)/$AI275)</f>
        <v/>
      </c>
      <c r="AM275" s="28" t="str">
        <f aca="false">IF(OR($AJ275="",$L275="",$L275=0),"",$AJ275/$L275-1)</f>
        <v/>
      </c>
      <c r="AN275" s="28" t="str">
        <f aca="false">IF(OR($AL275="",$N275="",$N275=0),"",$AL275/$N275-1)</f>
        <v/>
      </c>
      <c r="AO275" s="24"/>
    </row>
    <row r="276" customFormat="false" ht="15" hidden="false" customHeight="false" outlineLevel="0" collapsed="false">
      <c r="A276" s="5" t="s">
        <v>1099</v>
      </c>
      <c r="B276" s="5" t="s">
        <v>102</v>
      </c>
      <c r="C276" s="5" t="s">
        <v>103</v>
      </c>
      <c r="D276" s="6" t="n">
        <v>693</v>
      </c>
      <c r="E276" s="5" t="s">
        <v>1100</v>
      </c>
      <c r="F276" s="5" t="s">
        <v>1101</v>
      </c>
      <c r="G276" s="20" t="n">
        <v>45964</v>
      </c>
      <c r="H276" s="5" t="n">
        <v>12</v>
      </c>
      <c r="I276" s="20" t="n">
        <v>46328</v>
      </c>
      <c r="J276" s="5" t="s">
        <v>193</v>
      </c>
      <c r="K276" s="5" t="s">
        <v>86</v>
      </c>
      <c r="L276" s="16" t="n">
        <v>1349</v>
      </c>
      <c r="M276" s="16" t="n">
        <v>674.5</v>
      </c>
      <c r="N276" s="21" t="n">
        <f aca="false">IF(OR($L276="",$H276="",$H276=0),"",$L276-N($M276)/$H276)</f>
        <v>1292.79166666667</v>
      </c>
      <c r="O276" s="5" t="s">
        <v>87</v>
      </c>
      <c r="P276" s="5" t="s">
        <v>88</v>
      </c>
      <c r="Q276" s="5" t="s">
        <v>89</v>
      </c>
      <c r="R276" s="5"/>
      <c r="S276" s="5"/>
      <c r="T276" s="5"/>
      <c r="U276" s="5"/>
      <c r="V276" s="5"/>
      <c r="W276" s="20"/>
      <c r="X276" s="5"/>
      <c r="Y276" s="16"/>
      <c r="Z276" s="16"/>
      <c r="AA276" s="21" t="str">
        <f aca="false">IF(OR($Y276="",$X276="",$X276=0),"",$Y276-N($Z276)/$X276)</f>
        <v/>
      </c>
      <c r="AB276" s="5"/>
      <c r="AC276" s="22" t="str">
        <f aca="false">IF(OR($Y276="",$L276="",$L276=0),"",$Y276/$L276-1)</f>
        <v/>
      </c>
      <c r="AD276" s="22" t="str">
        <f aca="false">IF(OR($AA276="",$N276="",$N276=0),"",$AA276/$N276-1)</f>
        <v/>
      </c>
      <c r="AE276" s="20"/>
      <c r="AF276" s="5"/>
      <c r="AG276" s="5"/>
      <c r="AH276" s="20"/>
      <c r="AI276" s="5"/>
      <c r="AJ276" s="16"/>
      <c r="AK276" s="16"/>
      <c r="AL276" s="21" t="str">
        <f aca="false">IF(OR($AJ276="",$AI276="",$AI276=0),"",$AJ276-N($AK276)/$AI276)</f>
        <v/>
      </c>
      <c r="AM276" s="22" t="str">
        <f aca="false">IF(OR($AJ276="",$L276="",$L276=0),"",$AJ276/$L276-1)</f>
        <v/>
      </c>
      <c r="AN276" s="22" t="str">
        <f aca="false">IF(OR($AL276="",$N276="",$N276=0),"",$AL276/$N276-1)</f>
        <v/>
      </c>
      <c r="AO276" s="6"/>
    </row>
    <row r="277" customFormat="false" ht="15" hidden="false" customHeight="false" outlineLevel="0" collapsed="false">
      <c r="A277" s="23" t="s">
        <v>1102</v>
      </c>
      <c r="B277" s="23" t="s">
        <v>81</v>
      </c>
      <c r="C277" s="23" t="s">
        <v>82</v>
      </c>
      <c r="D277" s="24" t="n">
        <v>1141</v>
      </c>
      <c r="E277" s="23" t="s">
        <v>1103</v>
      </c>
      <c r="F277" s="23" t="s">
        <v>1104</v>
      </c>
      <c r="G277" s="25" t="n">
        <v>45629</v>
      </c>
      <c r="H277" s="23" t="n">
        <v>9</v>
      </c>
      <c r="I277" s="25" t="n">
        <v>46175</v>
      </c>
      <c r="J277" s="23" t="s">
        <v>152</v>
      </c>
      <c r="K277" s="23" t="s">
        <v>202</v>
      </c>
      <c r="L277" s="26" t="n">
        <v>2040</v>
      </c>
      <c r="M277" s="26" t="n">
        <v>0</v>
      </c>
      <c r="N277" s="27" t="n">
        <f aca="false">IF(OR($L277="",$H277="",$H277=0),"",$L277-N($M277)/$H277)</f>
        <v>2040</v>
      </c>
      <c r="O277" s="23" t="s">
        <v>87</v>
      </c>
      <c r="P277" s="23" t="s">
        <v>202</v>
      </c>
      <c r="Q277" s="23" t="s">
        <v>127</v>
      </c>
      <c r="R277" s="23" t="s">
        <v>98</v>
      </c>
      <c r="S277" s="23" t="s">
        <v>98</v>
      </c>
      <c r="T277" s="23"/>
      <c r="U277" s="23"/>
      <c r="V277" s="23"/>
      <c r="W277" s="25" t="n">
        <v>46176</v>
      </c>
      <c r="X277" s="23" t="n">
        <v>12</v>
      </c>
      <c r="Y277" s="26" t="n">
        <v>2050</v>
      </c>
      <c r="Z277" s="26" t="n">
        <v>0</v>
      </c>
      <c r="AA277" s="27" t="n">
        <f aca="false">IF(OR($Y277="",$X277="",$X277=0),"",$Y277-N($Z277)/$X277)</f>
        <v>2050</v>
      </c>
      <c r="AB277" s="23" t="s">
        <v>98</v>
      </c>
      <c r="AC277" s="28" t="n">
        <f aca="false">IF(OR($Y277="",$L277="",$L277=0),"",$Y277/$L277-1)</f>
        <v>0.00490196078431371</v>
      </c>
      <c r="AD277" s="28" t="n">
        <f aca="false">IF(OR($AA277="",$N277="",$N277=0),"",$AA277/$N277-1)</f>
        <v>0.00490196078431371</v>
      </c>
      <c r="AE277" s="25"/>
      <c r="AF277" s="23"/>
      <c r="AG277" s="23"/>
      <c r="AH277" s="25"/>
      <c r="AI277" s="23"/>
      <c r="AJ277" s="26"/>
      <c r="AK277" s="26"/>
      <c r="AL277" s="27" t="str">
        <f aca="false">IF(OR($AJ277="",$AI277="",$AI277=0),"",$AJ277-N($AK277)/$AI277)</f>
        <v/>
      </c>
      <c r="AM277" s="28" t="str">
        <f aca="false">IF(OR($AJ277="",$L277="",$L277=0),"",$AJ277/$L277-1)</f>
        <v/>
      </c>
      <c r="AN277" s="28" t="str">
        <f aca="false">IF(OR($AL277="",$N277="",$N277=0),"",$AL277/$N277-1)</f>
        <v/>
      </c>
      <c r="AO277" s="24"/>
    </row>
    <row r="278" customFormat="false" ht="15" hidden="false" customHeight="false" outlineLevel="0" collapsed="false">
      <c r="A278" s="5" t="s">
        <v>1105</v>
      </c>
      <c r="B278" s="5" t="s">
        <v>108</v>
      </c>
      <c r="C278" s="5" t="s">
        <v>103</v>
      </c>
      <c r="D278" s="6" t="n">
        <v>746</v>
      </c>
      <c r="E278" s="5" t="s">
        <v>1106</v>
      </c>
      <c r="F278" s="5" t="s">
        <v>1107</v>
      </c>
      <c r="G278" s="20" t="n">
        <v>45583</v>
      </c>
      <c r="H278" s="5" t="n">
        <v>19</v>
      </c>
      <c r="I278" s="20" t="n">
        <v>46159</v>
      </c>
      <c r="J278" s="5" t="s">
        <v>148</v>
      </c>
      <c r="K278" s="5" t="s">
        <v>86</v>
      </c>
      <c r="L278" s="16" t="n">
        <v>1744</v>
      </c>
      <c r="M278" s="16"/>
      <c r="N278" s="21" t="n">
        <f aca="false">IF(OR($L278="",$H278="",$H278=0),"",$L278-N($M278)/$H278)</f>
        <v>1744</v>
      </c>
      <c r="O278" s="5" t="s">
        <v>87</v>
      </c>
      <c r="P278" s="5" t="s">
        <v>505</v>
      </c>
      <c r="Q278" s="5" t="s">
        <v>97</v>
      </c>
      <c r="R278" s="5" t="s">
        <v>98</v>
      </c>
      <c r="S278" s="5" t="s">
        <v>98</v>
      </c>
      <c r="T278" s="5"/>
      <c r="U278" s="5"/>
      <c r="V278" s="5"/>
      <c r="W278" s="20"/>
      <c r="X278" s="5"/>
      <c r="Y278" s="16"/>
      <c r="Z278" s="16"/>
      <c r="AA278" s="21" t="str">
        <f aca="false">IF(OR($Y278="",$X278="",$X278=0),"",$Y278-N($Z278)/$X278)</f>
        <v/>
      </c>
      <c r="AB278" s="5"/>
      <c r="AC278" s="22" t="str">
        <f aca="false">IF(OR($Y278="",$L278="",$L278=0),"",$Y278/$L278-1)</f>
        <v/>
      </c>
      <c r="AD278" s="22" t="str">
        <f aca="false">IF(OR($AA278="",$N278="",$N278=0),"",$AA278/$N278-1)</f>
        <v/>
      </c>
      <c r="AE278" s="20" t="n">
        <v>46159</v>
      </c>
      <c r="AF278" s="5" t="s">
        <v>1108</v>
      </c>
      <c r="AG278" s="5" t="s">
        <v>1109</v>
      </c>
      <c r="AH278" s="20" t="n">
        <v>46224</v>
      </c>
      <c r="AI278" s="5" t="n">
        <v>12</v>
      </c>
      <c r="AJ278" s="16" t="n">
        <v>1635</v>
      </c>
      <c r="AK278" s="16" t="n">
        <v>0</v>
      </c>
      <c r="AL278" s="21" t="n">
        <f aca="false">IF(OR($AJ278="",$AI278="",$AI278=0),"",$AJ278-N($AK278)/$AI278)</f>
        <v>1635</v>
      </c>
      <c r="AM278" s="22" t="n">
        <f aca="false">IF(OR($AJ278="",$L278="",$L278=0),"",$AJ278/$L278-1)</f>
        <v>-0.0625</v>
      </c>
      <c r="AN278" s="22" t="n">
        <f aca="false">IF(OR($AL278="",$N278="",$N278=0),"",$AL278/$N278-1)</f>
        <v>-0.0625</v>
      </c>
      <c r="AO278" s="6" t="n">
        <v>65</v>
      </c>
    </row>
    <row r="279" customFormat="false" ht="15" hidden="false" customHeight="false" outlineLevel="0" collapsed="false">
      <c r="A279" s="23" t="s">
        <v>1110</v>
      </c>
      <c r="B279" s="23" t="s">
        <v>204</v>
      </c>
      <c r="C279" s="23" t="s">
        <v>82</v>
      </c>
      <c r="D279" s="24" t="n">
        <v>1177</v>
      </c>
      <c r="E279" s="23" t="s">
        <v>1111</v>
      </c>
      <c r="F279" s="23" t="s">
        <v>1112</v>
      </c>
      <c r="G279" s="25" t="n">
        <v>45597</v>
      </c>
      <c r="H279" s="23" t="n">
        <v>12</v>
      </c>
      <c r="I279" s="25" t="n">
        <v>45991</v>
      </c>
      <c r="J279" s="23" t="s">
        <v>950</v>
      </c>
      <c r="K279" s="23" t="s">
        <v>126</v>
      </c>
      <c r="L279" s="26" t="n">
        <v>2098</v>
      </c>
      <c r="M279" s="26" t="n">
        <v>3876</v>
      </c>
      <c r="N279" s="27" t="n">
        <f aca="false">IF(OR($L279="",$H279="",$H279=0),"",$L279-N($M279)/$H279)</f>
        <v>1775</v>
      </c>
      <c r="O279" s="23" t="s">
        <v>532</v>
      </c>
      <c r="P279" s="23" t="s">
        <v>96</v>
      </c>
      <c r="Q279" s="23" t="s">
        <v>127</v>
      </c>
      <c r="R279" s="23" t="s">
        <v>98</v>
      </c>
      <c r="S279" s="23" t="s">
        <v>98</v>
      </c>
      <c r="T279" s="23"/>
      <c r="U279" s="23"/>
      <c r="V279" s="23"/>
      <c r="W279" s="25" t="n">
        <v>45992</v>
      </c>
      <c r="X279" s="23" t="n">
        <v>16</v>
      </c>
      <c r="Y279" s="26" t="n">
        <v>2148</v>
      </c>
      <c r="Z279" s="26" t="n">
        <v>0</v>
      </c>
      <c r="AA279" s="27" t="n">
        <f aca="false">IF(OR($Y279="",$X279="",$X279=0),"",$Y279-N($Z279)/$X279)</f>
        <v>2148</v>
      </c>
      <c r="AB279" s="23"/>
      <c r="AC279" s="28" t="n">
        <f aca="false">IF(OR($Y279="",$L279="",$L279=0),"",$Y279/$L279-1)</f>
        <v>0.0238322211630124</v>
      </c>
      <c r="AD279" s="28" t="n">
        <f aca="false">IF(OR($AA279="",$N279="",$N279=0),"",$AA279/$N279-1)</f>
        <v>0.210140845070423</v>
      </c>
      <c r="AE279" s="25"/>
      <c r="AF279" s="23"/>
      <c r="AG279" s="23"/>
      <c r="AH279" s="25"/>
      <c r="AI279" s="23"/>
      <c r="AJ279" s="26"/>
      <c r="AK279" s="26"/>
      <c r="AL279" s="27" t="str">
        <f aca="false">IF(OR($AJ279="",$AI279="",$AI279=0),"",$AJ279-N($AK279)/$AI279)</f>
        <v/>
      </c>
      <c r="AM279" s="28" t="str">
        <f aca="false">IF(OR($AJ279="",$L279="",$L279=0),"",$AJ279/$L279-1)</f>
        <v/>
      </c>
      <c r="AN279" s="28" t="str">
        <f aca="false">IF(OR($AL279="",$N279="",$N279=0),"",$AL279/$N279-1)</f>
        <v/>
      </c>
      <c r="AO279" s="24"/>
    </row>
    <row r="280" customFormat="false" ht="15" hidden="false" customHeight="false" outlineLevel="0" collapsed="false">
      <c r="A280" s="5" t="s">
        <v>1113</v>
      </c>
      <c r="B280" s="5" t="s">
        <v>81</v>
      </c>
      <c r="C280" s="5" t="s">
        <v>82</v>
      </c>
      <c r="D280" s="6" t="n">
        <v>1141</v>
      </c>
      <c r="E280" s="5" t="s">
        <v>1114</v>
      </c>
      <c r="F280" s="5" t="s">
        <v>1115</v>
      </c>
      <c r="G280" s="20" t="n">
        <v>45958</v>
      </c>
      <c r="H280" s="5" t="n">
        <v>12</v>
      </c>
      <c r="I280" s="20" t="n">
        <v>46322</v>
      </c>
      <c r="J280" s="5" t="s">
        <v>106</v>
      </c>
      <c r="K280" s="5" t="s">
        <v>86</v>
      </c>
      <c r="L280" s="16" t="n">
        <v>1944</v>
      </c>
      <c r="M280" s="16" t="n">
        <v>3838</v>
      </c>
      <c r="N280" s="21" t="n">
        <f aca="false">IF(OR($L280="",$H280="",$H280=0),"",$L280-N($M280)/$H280)</f>
        <v>1624.16666666667</v>
      </c>
      <c r="O280" s="5" t="s">
        <v>87</v>
      </c>
      <c r="P280" s="5" t="s">
        <v>88</v>
      </c>
      <c r="Q280" s="5" t="s">
        <v>89</v>
      </c>
      <c r="R280" s="5"/>
      <c r="S280" s="5"/>
      <c r="T280" s="5"/>
      <c r="U280" s="5" t="s">
        <v>98</v>
      </c>
      <c r="V280" s="5"/>
      <c r="W280" s="20"/>
      <c r="X280" s="5"/>
      <c r="Y280" s="16"/>
      <c r="Z280" s="16"/>
      <c r="AA280" s="21" t="str">
        <f aca="false">IF(OR($Y280="",$X280="",$X280=0),"",$Y280-N($Z280)/$X280)</f>
        <v/>
      </c>
      <c r="AB280" s="5"/>
      <c r="AC280" s="22" t="str">
        <f aca="false">IF(OR($Y280="",$L280="",$L280=0),"",$Y280/$L280-1)</f>
        <v/>
      </c>
      <c r="AD280" s="22" t="str">
        <f aca="false">IF(OR($AA280="",$N280="",$N280=0),"",$AA280/$N280-1)</f>
        <v/>
      </c>
      <c r="AE280" s="20"/>
      <c r="AF280" s="5"/>
      <c r="AG280" s="5"/>
      <c r="AH280" s="20"/>
      <c r="AI280" s="5"/>
      <c r="AJ280" s="16"/>
      <c r="AK280" s="16"/>
      <c r="AL280" s="21" t="str">
        <f aca="false">IF(OR($AJ280="",$AI280="",$AI280=0),"",$AJ280-N($AK280)/$AI280)</f>
        <v/>
      </c>
      <c r="AM280" s="22" t="str">
        <f aca="false">IF(OR($AJ280="",$L280="",$L280=0),"",$AJ280/$L280-1)</f>
        <v/>
      </c>
      <c r="AN280" s="22" t="str">
        <f aca="false">IF(OR($AL280="",$N280="",$N280=0),"",$AL280/$N280-1)</f>
        <v/>
      </c>
      <c r="AO280" s="6"/>
    </row>
    <row r="281" customFormat="false" ht="15" hidden="false" customHeight="false" outlineLevel="0" collapsed="false">
      <c r="A281" s="23" t="s">
        <v>1116</v>
      </c>
      <c r="B281" s="23" t="s">
        <v>145</v>
      </c>
      <c r="C281" s="23" t="s">
        <v>82</v>
      </c>
      <c r="D281" s="24" t="n">
        <v>1165</v>
      </c>
      <c r="E281" s="23" t="s">
        <v>1117</v>
      </c>
      <c r="F281" s="23" t="s">
        <v>1118</v>
      </c>
      <c r="G281" s="25" t="n">
        <v>45821</v>
      </c>
      <c r="H281" s="23" t="n">
        <v>12</v>
      </c>
      <c r="I281" s="25" t="n">
        <v>46093</v>
      </c>
      <c r="J281" s="23" t="s">
        <v>125</v>
      </c>
      <c r="K281" s="23" t="s">
        <v>86</v>
      </c>
      <c r="L281" s="26" t="n">
        <v>1820</v>
      </c>
      <c r="M281" s="26" t="n">
        <v>1824</v>
      </c>
      <c r="N281" s="27" t="n">
        <f aca="false">IF(OR($L281="",$H281="",$H281=0),"",$L281-N($M281)/$H281)</f>
        <v>1668</v>
      </c>
      <c r="O281" s="23" t="s">
        <v>87</v>
      </c>
      <c r="P281" s="23" t="s">
        <v>96</v>
      </c>
      <c r="Q281" s="23" t="s">
        <v>97</v>
      </c>
      <c r="R281" s="23" t="s">
        <v>98</v>
      </c>
      <c r="S281" s="23" t="s">
        <v>98</v>
      </c>
      <c r="T281" s="23"/>
      <c r="U281" s="23"/>
      <c r="V281" s="23"/>
      <c r="W281" s="25"/>
      <c r="X281" s="23"/>
      <c r="Y281" s="26"/>
      <c r="Z281" s="26"/>
      <c r="AA281" s="27" t="str">
        <f aca="false">IF(OR($Y281="",$X281="",$X281=0),"",$Y281-N($Z281)/$X281)</f>
        <v/>
      </c>
      <c r="AB281" s="23"/>
      <c r="AC281" s="28" t="str">
        <f aca="false">IF(OR($Y281="",$L281="",$L281=0),"",$Y281/$L281-1)</f>
        <v/>
      </c>
      <c r="AD281" s="28" t="str">
        <f aca="false">IF(OR($AA281="",$N281="",$N281=0),"",$AA281/$N281-1)</f>
        <v/>
      </c>
      <c r="AE281" s="25" t="n">
        <v>46108</v>
      </c>
      <c r="AF281" s="23" t="s">
        <v>1119</v>
      </c>
      <c r="AG281" s="23" t="s">
        <v>981</v>
      </c>
      <c r="AH281" s="25" t="n">
        <v>46112</v>
      </c>
      <c r="AI281" s="23" t="n">
        <v>12</v>
      </c>
      <c r="AJ281" s="26" t="n">
        <v>1845</v>
      </c>
      <c r="AK281" s="26" t="n">
        <v>0</v>
      </c>
      <c r="AL281" s="27" t="n">
        <f aca="false">IF(OR($AJ281="",$AI281="",$AI281=0),"",$AJ281-N($AK281)/$AI281)</f>
        <v>1845</v>
      </c>
      <c r="AM281" s="28" t="n">
        <f aca="false">IF(OR($AJ281="",$L281="",$L281=0),"",$AJ281/$L281-1)</f>
        <v>0.0137362637362637</v>
      </c>
      <c r="AN281" s="28" t="n">
        <f aca="false">IF(OR($AL281="",$N281="",$N281=0),"",$AL281/$N281-1)</f>
        <v>0.106115107913669</v>
      </c>
      <c r="AO281" s="24" t="n">
        <v>4</v>
      </c>
    </row>
    <row r="282" customFormat="false" ht="15" hidden="false" customHeight="false" outlineLevel="0" collapsed="false">
      <c r="A282" s="5" t="s">
        <v>1120</v>
      </c>
      <c r="B282" s="5" t="s">
        <v>102</v>
      </c>
      <c r="C282" s="5" t="s">
        <v>103</v>
      </c>
      <c r="D282" s="6" t="n">
        <v>693</v>
      </c>
      <c r="E282" s="5" t="s">
        <v>1121</v>
      </c>
      <c r="F282" s="5" t="s">
        <v>1122</v>
      </c>
      <c r="G282" s="20" t="n">
        <v>45695</v>
      </c>
      <c r="H282" s="5" t="n">
        <v>15</v>
      </c>
      <c r="I282" s="20" t="n">
        <v>46148</v>
      </c>
      <c r="J282" s="5" t="s">
        <v>148</v>
      </c>
      <c r="K282" s="5" t="s">
        <v>126</v>
      </c>
      <c r="L282" s="16" t="n">
        <v>1450</v>
      </c>
      <c r="M282" s="16" t="n">
        <v>495</v>
      </c>
      <c r="N282" s="21" t="n">
        <f aca="false">IF(OR($L282="",$H282="",$H282=0),"",$L282-N($M282)/$H282)</f>
        <v>1417</v>
      </c>
      <c r="O282" s="5" t="s">
        <v>87</v>
      </c>
      <c r="P282" s="5" t="s">
        <v>96</v>
      </c>
      <c r="Q282" s="5" t="s">
        <v>127</v>
      </c>
      <c r="R282" s="5" t="s">
        <v>98</v>
      </c>
      <c r="S282" s="5" t="s">
        <v>98</v>
      </c>
      <c r="T282" s="5"/>
      <c r="U282" s="5"/>
      <c r="V282" s="5"/>
      <c r="W282" s="20" t="n">
        <v>46149</v>
      </c>
      <c r="X282" s="5" t="n">
        <v>11</v>
      </c>
      <c r="Y282" s="16" t="n">
        <v>1500</v>
      </c>
      <c r="Z282" s="16" t="n">
        <v>0</v>
      </c>
      <c r="AA282" s="21" t="n">
        <f aca="false">IF(OR($Y282="",$X282="",$X282=0),"",$Y282-N($Z282)/$X282)</f>
        <v>1500</v>
      </c>
      <c r="AB282" s="5"/>
      <c r="AC282" s="22" t="n">
        <f aca="false">IF(OR($Y282="",$L282="",$L282=0),"",$Y282/$L282-1)</f>
        <v>0.0344827586206897</v>
      </c>
      <c r="AD282" s="22" t="n">
        <f aca="false">IF(OR($AA282="",$N282="",$N282=0),"",$AA282/$N282-1)</f>
        <v>0.058574453069866</v>
      </c>
      <c r="AE282" s="20"/>
      <c r="AF282" s="5"/>
      <c r="AG282" s="5"/>
      <c r="AH282" s="20"/>
      <c r="AI282" s="5"/>
      <c r="AJ282" s="16"/>
      <c r="AK282" s="16"/>
      <c r="AL282" s="21" t="str">
        <f aca="false">IF(OR($AJ282="",$AI282="",$AI282=0),"",$AJ282-N($AK282)/$AI282)</f>
        <v/>
      </c>
      <c r="AM282" s="22" t="str">
        <f aca="false">IF(OR($AJ282="",$L282="",$L282=0),"",$AJ282/$L282-1)</f>
        <v/>
      </c>
      <c r="AN282" s="22" t="str">
        <f aca="false">IF(OR($AL282="",$N282="",$N282=0),"",$AL282/$N282-1)</f>
        <v/>
      </c>
      <c r="AO282" s="6"/>
    </row>
    <row r="283" customFormat="false" ht="15" hidden="false" customHeight="false" outlineLevel="0" collapsed="false">
      <c r="A283" s="23" t="s">
        <v>1123</v>
      </c>
      <c r="B283" s="23" t="s">
        <v>108</v>
      </c>
      <c r="C283" s="23" t="s">
        <v>103</v>
      </c>
      <c r="D283" s="24" t="n">
        <v>746</v>
      </c>
      <c r="E283" s="23" t="s">
        <v>1124</v>
      </c>
      <c r="F283" s="23" t="s">
        <v>1125</v>
      </c>
      <c r="G283" s="25" t="n">
        <v>46009</v>
      </c>
      <c r="H283" s="23" t="n">
        <v>18</v>
      </c>
      <c r="I283" s="25" t="n">
        <v>46555</v>
      </c>
      <c r="J283" s="23" t="s">
        <v>139</v>
      </c>
      <c r="K283" s="23" t="s">
        <v>86</v>
      </c>
      <c r="L283" s="26" t="n">
        <v>1499</v>
      </c>
      <c r="M283" s="26" t="n">
        <v>349.77</v>
      </c>
      <c r="N283" s="27" t="n">
        <f aca="false">IF(OR($L283="",$H283="",$H283=0),"",$L283-N($M283)/$H283)</f>
        <v>1479.56833333333</v>
      </c>
      <c r="O283" s="23" t="s">
        <v>87</v>
      </c>
      <c r="P283" s="23" t="s">
        <v>88</v>
      </c>
      <c r="Q283" s="23" t="s">
        <v>89</v>
      </c>
      <c r="R283" s="23"/>
      <c r="S283" s="23"/>
      <c r="T283" s="23"/>
      <c r="U283" s="23"/>
      <c r="V283" s="23"/>
      <c r="W283" s="25"/>
      <c r="X283" s="23"/>
      <c r="Y283" s="26"/>
      <c r="Z283" s="26"/>
      <c r="AA283" s="27" t="str">
        <f aca="false">IF(OR($Y283="",$X283="",$X283=0),"",$Y283-N($Z283)/$X283)</f>
        <v/>
      </c>
      <c r="AB283" s="23"/>
      <c r="AC283" s="28" t="str">
        <f aca="false">IF(OR($Y283="",$L283="",$L283=0),"",$Y283/$L283-1)</f>
        <v/>
      </c>
      <c r="AD283" s="28" t="str">
        <f aca="false">IF(OR($AA283="",$N283="",$N283=0),"",$AA283/$N283-1)</f>
        <v/>
      </c>
      <c r="AE283" s="25"/>
      <c r="AF283" s="23"/>
      <c r="AG283" s="23"/>
      <c r="AH283" s="25"/>
      <c r="AI283" s="23"/>
      <c r="AJ283" s="26"/>
      <c r="AK283" s="26"/>
      <c r="AL283" s="27" t="str">
        <f aca="false">IF(OR($AJ283="",$AI283="",$AI283=0),"",$AJ283-N($AK283)/$AI283)</f>
        <v/>
      </c>
      <c r="AM283" s="28" t="str">
        <f aca="false">IF(OR($AJ283="",$L283="",$L283=0),"",$AJ283/$L283-1)</f>
        <v/>
      </c>
      <c r="AN283" s="28" t="str">
        <f aca="false">IF(OR($AL283="",$N283="",$N283=0),"",$AL283/$N283-1)</f>
        <v/>
      </c>
      <c r="AO283" s="24"/>
    </row>
    <row r="284" customFormat="false" ht="15" hidden="false" customHeight="false" outlineLevel="0" collapsed="false">
      <c r="A284" s="5" t="s">
        <v>1126</v>
      </c>
      <c r="B284" s="5" t="s">
        <v>102</v>
      </c>
      <c r="C284" s="5" t="s">
        <v>103</v>
      </c>
      <c r="D284" s="6" t="n">
        <v>693</v>
      </c>
      <c r="E284" s="5" t="s">
        <v>1127</v>
      </c>
      <c r="F284" s="5" t="s">
        <v>1128</v>
      </c>
      <c r="G284" s="20" t="n">
        <v>45960</v>
      </c>
      <c r="H284" s="5" t="n">
        <v>12</v>
      </c>
      <c r="I284" s="20" t="n">
        <v>46324</v>
      </c>
      <c r="J284" s="5" t="s">
        <v>106</v>
      </c>
      <c r="K284" s="5" t="s">
        <v>86</v>
      </c>
      <c r="L284" s="16" t="n">
        <v>1349</v>
      </c>
      <c r="M284" s="16"/>
      <c r="N284" s="21" t="n">
        <f aca="false">IF(OR($L284="",$H284="",$H284=0),"",$L284-N($M284)/$H284)</f>
        <v>1349</v>
      </c>
      <c r="O284" s="5" t="s">
        <v>87</v>
      </c>
      <c r="P284" s="5" t="s">
        <v>505</v>
      </c>
      <c r="Q284" s="5" t="s">
        <v>97</v>
      </c>
      <c r="R284" s="5"/>
      <c r="S284" s="5"/>
      <c r="T284" s="5" t="s">
        <v>98</v>
      </c>
      <c r="U284" s="5"/>
      <c r="V284" s="5"/>
      <c r="W284" s="20"/>
      <c r="X284" s="5"/>
      <c r="Y284" s="16"/>
      <c r="Z284" s="16"/>
      <c r="AA284" s="21" t="str">
        <f aca="false">IF(OR($Y284="",$X284="",$X284=0),"",$Y284-N($Z284)/$X284)</f>
        <v/>
      </c>
      <c r="AB284" s="5"/>
      <c r="AC284" s="22" t="str">
        <f aca="false">IF(OR($Y284="",$L284="",$L284=0),"",$Y284/$L284-1)</f>
        <v/>
      </c>
      <c r="AD284" s="22" t="str">
        <f aca="false">IF(OR($AA284="",$N284="",$N284=0),"",$AA284/$N284-1)</f>
        <v/>
      </c>
      <c r="AE284" s="20" t="n">
        <v>46124</v>
      </c>
      <c r="AF284" s="5" t="s">
        <v>1129</v>
      </c>
      <c r="AG284" s="5" t="s">
        <v>1130</v>
      </c>
      <c r="AH284" s="20" t="n">
        <v>46137</v>
      </c>
      <c r="AI284" s="5" t="n">
        <v>12</v>
      </c>
      <c r="AJ284" s="16" t="n">
        <v>1400</v>
      </c>
      <c r="AK284" s="16" t="n">
        <v>0</v>
      </c>
      <c r="AL284" s="21" t="n">
        <f aca="false">IF(OR($AJ284="",$AI284="",$AI284=0),"",$AJ284-N($AK284)/$AI284)</f>
        <v>1400</v>
      </c>
      <c r="AM284" s="22" t="n">
        <f aca="false">IF(OR($AJ284="",$L284="",$L284=0),"",$AJ284/$L284-1)</f>
        <v>0.0378057820607858</v>
      </c>
      <c r="AN284" s="22" t="n">
        <f aca="false">IF(OR($AL284="",$N284="",$N284=0),"",$AL284/$N284-1)</f>
        <v>0.0378057820607858</v>
      </c>
      <c r="AO284" s="6" t="n">
        <v>13</v>
      </c>
    </row>
    <row r="285" customFormat="false" ht="15" hidden="false" customHeight="false" outlineLevel="0" collapsed="false">
      <c r="A285" s="23" t="s">
        <v>1131</v>
      </c>
      <c r="B285" s="23" t="s">
        <v>102</v>
      </c>
      <c r="C285" s="23" t="s">
        <v>103</v>
      </c>
      <c r="D285" s="24" t="n">
        <v>693</v>
      </c>
      <c r="E285" s="23" t="s">
        <v>1132</v>
      </c>
      <c r="F285" s="23" t="s">
        <v>1133</v>
      </c>
      <c r="G285" s="25" t="n">
        <v>45778</v>
      </c>
      <c r="H285" s="23" t="n">
        <v>22</v>
      </c>
      <c r="I285" s="25" t="n">
        <v>46446</v>
      </c>
      <c r="J285" s="23" t="s">
        <v>251</v>
      </c>
      <c r="K285" s="23" t="s">
        <v>86</v>
      </c>
      <c r="L285" s="26" t="n">
        <v>1480</v>
      </c>
      <c r="M285" s="26" t="n">
        <v>2220</v>
      </c>
      <c r="N285" s="27" t="n">
        <f aca="false">IF(OR($L285="",$H285="",$H285=0),"",$L285-N($M285)/$H285)</f>
        <v>1379.09090909091</v>
      </c>
      <c r="O285" s="23" t="s">
        <v>87</v>
      </c>
      <c r="P285" s="23" t="s">
        <v>88</v>
      </c>
      <c r="Q285" s="23" t="s">
        <v>89</v>
      </c>
      <c r="R285" s="23"/>
      <c r="S285" s="23"/>
      <c r="T285" s="23"/>
      <c r="U285" s="23"/>
      <c r="V285" s="23"/>
      <c r="W285" s="25"/>
      <c r="X285" s="23"/>
      <c r="Y285" s="26"/>
      <c r="Z285" s="26"/>
      <c r="AA285" s="27" t="str">
        <f aca="false">IF(OR($Y285="",$X285="",$X285=0),"",$Y285-N($Z285)/$X285)</f>
        <v/>
      </c>
      <c r="AB285" s="23"/>
      <c r="AC285" s="28" t="str">
        <f aca="false">IF(OR($Y285="",$L285="",$L285=0),"",$Y285/$L285-1)</f>
        <v/>
      </c>
      <c r="AD285" s="28" t="str">
        <f aca="false">IF(OR($AA285="",$N285="",$N285=0),"",$AA285/$N285-1)</f>
        <v/>
      </c>
      <c r="AE285" s="25"/>
      <c r="AF285" s="23"/>
      <c r="AG285" s="23"/>
      <c r="AH285" s="25"/>
      <c r="AI285" s="23"/>
      <c r="AJ285" s="26"/>
      <c r="AK285" s="26"/>
      <c r="AL285" s="27" t="str">
        <f aca="false">IF(OR($AJ285="",$AI285="",$AI285=0),"",$AJ285-N($AK285)/$AI285)</f>
        <v/>
      </c>
      <c r="AM285" s="28" t="str">
        <f aca="false">IF(OR($AJ285="",$L285="",$L285=0),"",$AJ285/$L285-1)</f>
        <v/>
      </c>
      <c r="AN285" s="28" t="str">
        <f aca="false">IF(OR($AL285="",$N285="",$N285=0),"",$AL285/$N285-1)</f>
        <v/>
      </c>
      <c r="AO285" s="24"/>
    </row>
    <row r="286" customFormat="false" ht="15" hidden="false" customHeight="false" outlineLevel="0" collapsed="false">
      <c r="A286" s="5" t="s">
        <v>1134</v>
      </c>
      <c r="B286" s="5" t="s">
        <v>81</v>
      </c>
      <c r="C286" s="5" t="s">
        <v>82</v>
      </c>
      <c r="D286" s="6" t="n">
        <v>1141</v>
      </c>
      <c r="E286" s="5" t="s">
        <v>1135</v>
      </c>
      <c r="F286" s="5" t="s">
        <v>1136</v>
      </c>
      <c r="G286" s="20" t="n">
        <v>46003</v>
      </c>
      <c r="H286" s="5" t="n">
        <v>18</v>
      </c>
      <c r="I286" s="20" t="n">
        <v>46549</v>
      </c>
      <c r="J286" s="5" t="s">
        <v>139</v>
      </c>
      <c r="K286" s="5" t="s">
        <v>86</v>
      </c>
      <c r="L286" s="16" t="n">
        <v>1795</v>
      </c>
      <c r="M286" s="16" t="n">
        <v>897.5</v>
      </c>
      <c r="N286" s="21" t="n">
        <f aca="false">IF(OR($L286="",$H286="",$H286=0),"",$L286-N($M286)/$H286)</f>
        <v>1745.13888888889</v>
      </c>
      <c r="O286" s="5" t="s">
        <v>87</v>
      </c>
      <c r="P286" s="5" t="s">
        <v>88</v>
      </c>
      <c r="Q286" s="5" t="s">
        <v>89</v>
      </c>
      <c r="R286" s="5"/>
      <c r="S286" s="5"/>
      <c r="T286" s="5"/>
      <c r="U286" s="5"/>
      <c r="V286" s="5"/>
      <c r="W286" s="20"/>
      <c r="X286" s="5"/>
      <c r="Y286" s="16"/>
      <c r="Z286" s="16"/>
      <c r="AA286" s="21" t="str">
        <f aca="false">IF(OR($Y286="",$X286="",$X286=0),"",$Y286-N($Z286)/$X286)</f>
        <v/>
      </c>
      <c r="AB286" s="5"/>
      <c r="AC286" s="22" t="str">
        <f aca="false">IF(OR($Y286="",$L286="",$L286=0),"",$Y286/$L286-1)</f>
        <v/>
      </c>
      <c r="AD286" s="22" t="str">
        <f aca="false">IF(OR($AA286="",$N286="",$N286=0),"",$AA286/$N286-1)</f>
        <v/>
      </c>
      <c r="AE286" s="20"/>
      <c r="AF286" s="5"/>
      <c r="AG286" s="5"/>
      <c r="AH286" s="20"/>
      <c r="AI286" s="5"/>
      <c r="AJ286" s="16"/>
      <c r="AK286" s="16"/>
      <c r="AL286" s="21" t="str">
        <f aca="false">IF(OR($AJ286="",$AI286="",$AI286=0),"",$AJ286-N($AK286)/$AI286)</f>
        <v/>
      </c>
      <c r="AM286" s="22" t="str">
        <f aca="false">IF(OR($AJ286="",$L286="",$L286=0),"",$AJ286/$L286-1)</f>
        <v/>
      </c>
      <c r="AN286" s="22" t="str">
        <f aca="false">IF(OR($AL286="",$N286="",$N286=0),"",$AL286/$N286-1)</f>
        <v/>
      </c>
      <c r="AO286" s="6"/>
    </row>
    <row r="287" customFormat="false" ht="15" hidden="false" customHeight="false" outlineLevel="0" collapsed="false">
      <c r="A287" s="23" t="s">
        <v>1137</v>
      </c>
      <c r="B287" s="23" t="s">
        <v>102</v>
      </c>
      <c r="C287" s="23" t="s">
        <v>103</v>
      </c>
      <c r="D287" s="24" t="n">
        <v>693</v>
      </c>
      <c r="E287" s="23" t="s">
        <v>1138</v>
      </c>
      <c r="F287" s="23" t="s">
        <v>1139</v>
      </c>
      <c r="G287" s="25" t="n">
        <v>45868</v>
      </c>
      <c r="H287" s="23" t="n">
        <v>12</v>
      </c>
      <c r="I287" s="25" t="n">
        <v>46232</v>
      </c>
      <c r="J287" s="23" t="s">
        <v>116</v>
      </c>
      <c r="K287" s="23" t="s">
        <v>86</v>
      </c>
      <c r="L287" s="26" t="n">
        <v>1475</v>
      </c>
      <c r="M287" s="26" t="n">
        <v>1596</v>
      </c>
      <c r="N287" s="27" t="n">
        <f aca="false">IF(OR($L287="",$H287="",$H287=0),"",$L287-N($M287)/$H287)</f>
        <v>1342</v>
      </c>
      <c r="O287" s="23" t="s">
        <v>87</v>
      </c>
      <c r="P287" s="23" t="s">
        <v>96</v>
      </c>
      <c r="Q287" s="23" t="s">
        <v>97</v>
      </c>
      <c r="R287" s="23" t="s">
        <v>98</v>
      </c>
      <c r="S287" s="23" t="s">
        <v>98</v>
      </c>
      <c r="T287" s="23"/>
      <c r="U287" s="23"/>
      <c r="V287" s="23"/>
      <c r="W287" s="25"/>
      <c r="X287" s="23"/>
      <c r="Y287" s="26"/>
      <c r="Z287" s="26"/>
      <c r="AA287" s="27" t="str">
        <f aca="false">IF(OR($Y287="",$X287="",$X287=0),"",$Y287-N($Z287)/$X287)</f>
        <v/>
      </c>
      <c r="AB287" s="23"/>
      <c r="AC287" s="28" t="str">
        <f aca="false">IF(OR($Y287="",$L287="",$L287=0),"",$Y287/$L287-1)</f>
        <v/>
      </c>
      <c r="AD287" s="28" t="str">
        <f aca="false">IF(OR($AA287="",$N287="",$N287=0),"",$AA287/$N287-1)</f>
        <v/>
      </c>
      <c r="AE287" s="25" t="n">
        <v>46244</v>
      </c>
      <c r="AF287" s="23" t="s">
        <v>1140</v>
      </c>
      <c r="AG287" s="23" t="s">
        <v>1139</v>
      </c>
      <c r="AH287" s="25" t="n">
        <v>45868</v>
      </c>
      <c r="AI287" s="23" t="n">
        <v>12</v>
      </c>
      <c r="AJ287" s="26" t="n">
        <v>1475</v>
      </c>
      <c r="AK287" s="26" t="n">
        <v>2212</v>
      </c>
      <c r="AL287" s="27" t="n">
        <f aca="false">IF(OR($AJ287="",$AI287="",$AI287=0),"",$AJ287-N($AK287)/$AI287)</f>
        <v>1290.66666666667</v>
      </c>
      <c r="AM287" s="28" t="n">
        <f aca="false">IF(OR($AJ287="",$L287="",$L287=0),"",$AJ287/$L287-1)</f>
        <v>0</v>
      </c>
      <c r="AN287" s="28" t="n">
        <f aca="false">IF(OR($AL287="",$N287="",$N287=0),"",$AL287/$N287-1)</f>
        <v>-0.0382513661202185</v>
      </c>
      <c r="AO287" s="24" t="n">
        <v>-376</v>
      </c>
    </row>
    <row r="288" customFormat="false" ht="15" hidden="false" customHeight="false" outlineLevel="0" collapsed="false">
      <c r="A288" s="5" t="s">
        <v>1141</v>
      </c>
      <c r="B288" s="5" t="s">
        <v>113</v>
      </c>
      <c r="C288" s="5" t="s">
        <v>82</v>
      </c>
      <c r="D288" s="6" t="n">
        <v>1092</v>
      </c>
      <c r="E288" s="5" t="s">
        <v>1142</v>
      </c>
      <c r="F288" s="5" t="s">
        <v>1143</v>
      </c>
      <c r="G288" s="20" t="n">
        <v>45716</v>
      </c>
      <c r="H288" s="5" t="n">
        <v>18</v>
      </c>
      <c r="I288" s="20" t="n">
        <v>46261</v>
      </c>
      <c r="J288" s="5" t="s">
        <v>135</v>
      </c>
      <c r="K288" s="5" t="s">
        <v>86</v>
      </c>
      <c r="L288" s="16" t="n">
        <v>1765</v>
      </c>
      <c r="M288" s="16" t="n">
        <v>0</v>
      </c>
      <c r="N288" s="21" t="n">
        <f aca="false">IF(OR($L288="",$H288="",$H288=0),"",$L288-N($M288)/$H288)</f>
        <v>1765</v>
      </c>
      <c r="O288" s="5" t="s">
        <v>87</v>
      </c>
      <c r="P288" s="5" t="s">
        <v>88</v>
      </c>
      <c r="Q288" s="5" t="s">
        <v>89</v>
      </c>
      <c r="R288" s="5"/>
      <c r="S288" s="5"/>
      <c r="T288" s="5"/>
      <c r="U288" s="5" t="s">
        <v>98</v>
      </c>
      <c r="V288" s="5"/>
      <c r="W288" s="20"/>
      <c r="X288" s="5"/>
      <c r="Y288" s="16"/>
      <c r="Z288" s="16"/>
      <c r="AA288" s="21" t="str">
        <f aca="false">IF(OR($Y288="",$X288="",$X288=0),"",$Y288-N($Z288)/$X288)</f>
        <v/>
      </c>
      <c r="AB288" s="5"/>
      <c r="AC288" s="22" t="str">
        <f aca="false">IF(OR($Y288="",$L288="",$L288=0),"",$Y288/$L288-1)</f>
        <v/>
      </c>
      <c r="AD288" s="22" t="str">
        <f aca="false">IF(OR($AA288="",$N288="",$N288=0),"",$AA288/$N288-1)</f>
        <v/>
      </c>
      <c r="AE288" s="20"/>
      <c r="AF288" s="5"/>
      <c r="AG288" s="5"/>
      <c r="AH288" s="20"/>
      <c r="AI288" s="5"/>
      <c r="AJ288" s="16"/>
      <c r="AK288" s="16"/>
      <c r="AL288" s="21" t="str">
        <f aca="false">IF(OR($AJ288="",$AI288="",$AI288=0),"",$AJ288-N($AK288)/$AI288)</f>
        <v/>
      </c>
      <c r="AM288" s="22" t="str">
        <f aca="false">IF(OR($AJ288="",$L288="",$L288=0),"",$AJ288/$L288-1)</f>
        <v/>
      </c>
      <c r="AN288" s="22" t="str">
        <f aca="false">IF(OR($AL288="",$N288="",$N288=0),"",$AL288/$N288-1)</f>
        <v/>
      </c>
      <c r="AO288" s="6"/>
    </row>
    <row r="289" customFormat="false" ht="15" hidden="false" customHeight="false" outlineLevel="0" collapsed="false">
      <c r="A289" s="23" t="s">
        <v>1144</v>
      </c>
      <c r="B289" s="23" t="s">
        <v>275</v>
      </c>
      <c r="C289" s="23" t="s">
        <v>276</v>
      </c>
      <c r="D289" s="24" t="n">
        <v>517</v>
      </c>
      <c r="E289" s="23" t="s">
        <v>1145</v>
      </c>
      <c r="F289" s="23" t="s">
        <v>1146</v>
      </c>
      <c r="G289" s="25" t="n">
        <v>45640</v>
      </c>
      <c r="H289" s="23" t="n">
        <v>14</v>
      </c>
      <c r="I289" s="25" t="n">
        <v>46066</v>
      </c>
      <c r="J289" s="23" t="s">
        <v>95</v>
      </c>
      <c r="K289" s="23" t="s">
        <v>86</v>
      </c>
      <c r="L289" s="26" t="n">
        <v>1295</v>
      </c>
      <c r="M289" s="26" t="n">
        <v>504</v>
      </c>
      <c r="N289" s="27" t="n">
        <f aca="false">IF(OR($L289="",$H289="",$H289=0),"",$L289-N($M289)/$H289)</f>
        <v>1259</v>
      </c>
      <c r="O289" s="23" t="s">
        <v>87</v>
      </c>
      <c r="P289" s="23" t="s">
        <v>96</v>
      </c>
      <c r="Q289" s="23" t="s">
        <v>97</v>
      </c>
      <c r="R289" s="23" t="s">
        <v>98</v>
      </c>
      <c r="S289" s="23" t="s">
        <v>98</v>
      </c>
      <c r="T289" s="23"/>
      <c r="U289" s="23"/>
      <c r="V289" s="23"/>
      <c r="W289" s="25"/>
      <c r="X289" s="23"/>
      <c r="Y289" s="26"/>
      <c r="Z289" s="26"/>
      <c r="AA289" s="27" t="str">
        <f aca="false">IF(OR($Y289="",$X289="",$X289=0),"",$Y289-N($Z289)/$X289)</f>
        <v/>
      </c>
      <c r="AB289" s="23"/>
      <c r="AC289" s="28" t="str">
        <f aca="false">IF(OR($Y289="",$L289="",$L289=0),"",$Y289/$L289-1)</f>
        <v/>
      </c>
      <c r="AD289" s="28" t="str">
        <f aca="false">IF(OR($AA289="",$N289="",$N289=0),"",$AA289/$N289-1)</f>
        <v/>
      </c>
      <c r="AE289" s="25" t="n">
        <v>46066</v>
      </c>
      <c r="AF289" s="23" t="s">
        <v>1147</v>
      </c>
      <c r="AG289" s="23" t="s">
        <v>1148</v>
      </c>
      <c r="AH289" s="25" t="n">
        <v>46083</v>
      </c>
      <c r="AI289" s="23" t="n">
        <v>12</v>
      </c>
      <c r="AJ289" s="26" t="n">
        <v>1299</v>
      </c>
      <c r="AK289" s="26" t="n">
        <v>0</v>
      </c>
      <c r="AL289" s="27" t="n">
        <f aca="false">IF(OR($AJ289="",$AI289="",$AI289=0),"",$AJ289-N($AK289)/$AI289)</f>
        <v>1299</v>
      </c>
      <c r="AM289" s="28" t="n">
        <f aca="false">IF(OR($AJ289="",$L289="",$L289=0),"",$AJ289/$L289-1)</f>
        <v>0.00308880308880299</v>
      </c>
      <c r="AN289" s="28" t="n">
        <f aca="false">IF(OR($AL289="",$N289="",$N289=0),"",$AL289/$N289-1)</f>
        <v>0.0317712470214455</v>
      </c>
      <c r="AO289" s="24" t="n">
        <v>17</v>
      </c>
    </row>
    <row r="290" customFormat="false" ht="15" hidden="false" customHeight="false" outlineLevel="0" collapsed="false">
      <c r="A290" s="5" t="s">
        <v>1149</v>
      </c>
      <c r="B290" s="5" t="s">
        <v>102</v>
      </c>
      <c r="C290" s="5" t="s">
        <v>103</v>
      </c>
      <c r="D290" s="6" t="n">
        <v>693</v>
      </c>
      <c r="E290" s="5" t="s">
        <v>1150</v>
      </c>
      <c r="F290" s="5" t="s">
        <v>1151</v>
      </c>
      <c r="G290" s="20" t="n">
        <v>45670</v>
      </c>
      <c r="H290" s="5" t="n">
        <v>14</v>
      </c>
      <c r="I290" s="20" t="n">
        <v>46093</v>
      </c>
      <c r="J290" s="5" t="s">
        <v>125</v>
      </c>
      <c r="K290" s="5" t="s">
        <v>126</v>
      </c>
      <c r="L290" s="16" t="n">
        <v>1435</v>
      </c>
      <c r="M290" s="16" t="n">
        <v>504</v>
      </c>
      <c r="N290" s="21" t="n">
        <f aca="false">IF(OR($L290="",$H290="",$H290=0),"",$L290-N($M290)/$H290)</f>
        <v>1399</v>
      </c>
      <c r="O290" s="5" t="s">
        <v>87</v>
      </c>
      <c r="P290" s="5" t="s">
        <v>96</v>
      </c>
      <c r="Q290" s="5" t="s">
        <v>127</v>
      </c>
      <c r="R290" s="5" t="s">
        <v>98</v>
      </c>
      <c r="S290" s="5" t="s">
        <v>98</v>
      </c>
      <c r="T290" s="5"/>
      <c r="U290" s="5"/>
      <c r="V290" s="5"/>
      <c r="W290" s="20" t="n">
        <v>46094</v>
      </c>
      <c r="X290" s="5" t="n">
        <v>6</v>
      </c>
      <c r="Y290" s="16" t="n">
        <v>1435</v>
      </c>
      <c r="Z290" s="16" t="n">
        <v>0</v>
      </c>
      <c r="AA290" s="21" t="n">
        <f aca="false">IF(OR($Y290="",$X290="",$X290=0),"",$Y290-N($Z290)/$X290)</f>
        <v>1435</v>
      </c>
      <c r="AB290" s="5"/>
      <c r="AC290" s="22" t="n">
        <f aca="false">IF(OR($Y290="",$L290="",$L290=0),"",$Y290/$L290-1)</f>
        <v>0</v>
      </c>
      <c r="AD290" s="22" t="n">
        <f aca="false">IF(OR($AA290="",$N290="",$N290=0),"",$AA290/$N290-1)</f>
        <v>0.0257326661901358</v>
      </c>
      <c r="AE290" s="20"/>
      <c r="AF290" s="5"/>
      <c r="AG290" s="5"/>
      <c r="AH290" s="20"/>
      <c r="AI290" s="5"/>
      <c r="AJ290" s="16"/>
      <c r="AK290" s="16"/>
      <c r="AL290" s="21" t="str">
        <f aca="false">IF(OR($AJ290="",$AI290="",$AI290=0),"",$AJ290-N($AK290)/$AI290)</f>
        <v/>
      </c>
      <c r="AM290" s="22" t="str">
        <f aca="false">IF(OR($AJ290="",$L290="",$L290=0),"",$AJ290/$L290-1)</f>
        <v/>
      </c>
      <c r="AN290" s="22" t="str">
        <f aca="false">IF(OR($AL290="",$N290="",$N290=0),"",$AL290/$N290-1)</f>
        <v/>
      </c>
      <c r="AO290" s="6"/>
    </row>
    <row r="291" customFormat="false" ht="15" hidden="false" customHeight="false" outlineLevel="0" collapsed="false">
      <c r="A291" s="23" t="s">
        <v>1152</v>
      </c>
      <c r="B291" s="23" t="s">
        <v>91</v>
      </c>
      <c r="C291" s="23" t="s">
        <v>92</v>
      </c>
      <c r="D291" s="24" t="n">
        <v>1328</v>
      </c>
      <c r="E291" s="23" t="s">
        <v>1153</v>
      </c>
      <c r="F291" s="23" t="s">
        <v>1154</v>
      </c>
      <c r="G291" s="25" t="n">
        <v>45846</v>
      </c>
      <c r="H291" s="23" t="n">
        <v>12</v>
      </c>
      <c r="I291" s="25" t="n">
        <v>46210</v>
      </c>
      <c r="J291" s="23" t="s">
        <v>116</v>
      </c>
      <c r="K291" s="23" t="s">
        <v>86</v>
      </c>
      <c r="L291" s="26" t="n">
        <v>2174</v>
      </c>
      <c r="M291" s="26" t="n">
        <v>4348</v>
      </c>
      <c r="N291" s="27" t="n">
        <f aca="false">IF(OR($L291="",$H291="",$H291=0),"",$L291-N($M291)/$H291)</f>
        <v>1811.66666666667</v>
      </c>
      <c r="O291" s="23" t="s">
        <v>87</v>
      </c>
      <c r="P291" s="23" t="s">
        <v>88</v>
      </c>
      <c r="Q291" s="23" t="s">
        <v>173</v>
      </c>
      <c r="R291" s="23" t="s">
        <v>98</v>
      </c>
      <c r="S291" s="23" t="s">
        <v>98</v>
      </c>
      <c r="T291" s="23"/>
      <c r="U291" s="23"/>
      <c r="V291" s="23"/>
      <c r="W291" s="25"/>
      <c r="X291" s="23"/>
      <c r="Y291" s="26"/>
      <c r="Z291" s="26"/>
      <c r="AA291" s="27" t="str">
        <f aca="false">IF(OR($Y291="",$X291="",$X291=0),"",$Y291-N($Z291)/$X291)</f>
        <v/>
      </c>
      <c r="AB291" s="23"/>
      <c r="AC291" s="28" t="str">
        <f aca="false">IF(OR($Y291="",$L291="",$L291=0),"",$Y291/$L291-1)</f>
        <v/>
      </c>
      <c r="AD291" s="28" t="str">
        <f aca="false">IF(OR($AA291="",$N291="",$N291=0),"",$AA291/$N291-1)</f>
        <v/>
      </c>
      <c r="AE291" s="25"/>
      <c r="AF291" s="23"/>
      <c r="AG291" s="23"/>
      <c r="AH291" s="25"/>
      <c r="AI291" s="23"/>
      <c r="AJ291" s="26"/>
      <c r="AK291" s="26"/>
      <c r="AL291" s="27" t="str">
        <f aca="false">IF(OR($AJ291="",$AI291="",$AI291=0),"",$AJ291-N($AK291)/$AI291)</f>
        <v/>
      </c>
      <c r="AM291" s="28" t="str">
        <f aca="false">IF(OR($AJ291="",$L291="",$L291=0),"",$AJ291/$L291-1)</f>
        <v/>
      </c>
      <c r="AN291" s="28" t="str">
        <f aca="false">IF(OR($AL291="",$N291="",$N291=0),"",$AL291/$N291-1)</f>
        <v/>
      </c>
      <c r="AO291" s="24"/>
    </row>
    <row r="292" customFormat="false" ht="15" hidden="false" customHeight="false" outlineLevel="0" collapsed="false">
      <c r="A292" s="5" t="s">
        <v>1155</v>
      </c>
      <c r="B292" s="5" t="s">
        <v>81</v>
      </c>
      <c r="C292" s="5" t="s">
        <v>82</v>
      </c>
      <c r="D292" s="6" t="n">
        <v>1141</v>
      </c>
      <c r="E292" s="5" t="s">
        <v>1156</v>
      </c>
      <c r="F292" s="5" t="s">
        <v>1157</v>
      </c>
      <c r="G292" s="20" t="n">
        <v>45943</v>
      </c>
      <c r="H292" s="5" t="n">
        <v>12</v>
      </c>
      <c r="I292" s="20" t="n">
        <v>46307</v>
      </c>
      <c r="J292" s="5" t="s">
        <v>106</v>
      </c>
      <c r="K292" s="5" t="s">
        <v>86</v>
      </c>
      <c r="L292" s="16" t="n">
        <v>1944</v>
      </c>
      <c r="M292" s="16" t="n">
        <v>3888</v>
      </c>
      <c r="N292" s="21" t="n">
        <f aca="false">IF(OR($L292="",$H292="",$H292=0),"",$L292-N($M292)/$H292)</f>
        <v>1620</v>
      </c>
      <c r="O292" s="5" t="s">
        <v>87</v>
      </c>
      <c r="P292" s="5" t="s">
        <v>88</v>
      </c>
      <c r="Q292" s="5" t="s">
        <v>89</v>
      </c>
      <c r="R292" s="5"/>
      <c r="S292" s="5"/>
      <c r="T292" s="5"/>
      <c r="U292" s="5"/>
      <c r="V292" s="5"/>
      <c r="W292" s="20"/>
      <c r="X292" s="5"/>
      <c r="Y292" s="16"/>
      <c r="Z292" s="16"/>
      <c r="AA292" s="21" t="str">
        <f aca="false">IF(OR($Y292="",$X292="",$X292=0),"",$Y292-N($Z292)/$X292)</f>
        <v/>
      </c>
      <c r="AB292" s="5"/>
      <c r="AC292" s="22" t="str">
        <f aca="false">IF(OR($Y292="",$L292="",$L292=0),"",$Y292/$L292-1)</f>
        <v/>
      </c>
      <c r="AD292" s="22" t="str">
        <f aca="false">IF(OR($AA292="",$N292="",$N292=0),"",$AA292/$N292-1)</f>
        <v/>
      </c>
      <c r="AE292" s="20"/>
      <c r="AF292" s="5"/>
      <c r="AG292" s="5"/>
      <c r="AH292" s="20"/>
      <c r="AI292" s="5"/>
      <c r="AJ292" s="16"/>
      <c r="AK292" s="16"/>
      <c r="AL292" s="21" t="str">
        <f aca="false">IF(OR($AJ292="",$AI292="",$AI292=0),"",$AJ292-N($AK292)/$AI292)</f>
        <v/>
      </c>
      <c r="AM292" s="22" t="str">
        <f aca="false">IF(OR($AJ292="",$L292="",$L292=0),"",$AJ292/$L292-1)</f>
        <v/>
      </c>
      <c r="AN292" s="22" t="str">
        <f aca="false">IF(OR($AL292="",$N292="",$N292=0),"",$AL292/$N292-1)</f>
        <v/>
      </c>
      <c r="AO292" s="6"/>
    </row>
    <row r="293" customFormat="false" ht="15" hidden="false" customHeight="false" outlineLevel="0" collapsed="false">
      <c r="A293" s="23" t="s">
        <v>1158</v>
      </c>
      <c r="B293" s="23" t="s">
        <v>81</v>
      </c>
      <c r="C293" s="23" t="s">
        <v>82</v>
      </c>
      <c r="D293" s="24" t="n">
        <v>1141</v>
      </c>
      <c r="E293" s="23" t="s">
        <v>1159</v>
      </c>
      <c r="F293" s="23" t="s">
        <v>1160</v>
      </c>
      <c r="G293" s="25" t="n">
        <v>45913</v>
      </c>
      <c r="H293" s="23" t="n">
        <v>12</v>
      </c>
      <c r="I293" s="25" t="n">
        <v>46277</v>
      </c>
      <c r="J293" s="23" t="s">
        <v>186</v>
      </c>
      <c r="K293" s="23" t="s">
        <v>86</v>
      </c>
      <c r="L293" s="26" t="n">
        <v>1869</v>
      </c>
      <c r="M293" s="26" t="n">
        <v>1869</v>
      </c>
      <c r="N293" s="27" t="n">
        <f aca="false">IF(OR($L293="",$H293="",$H293=0),"",$L293-N($M293)/$H293)</f>
        <v>1713.25</v>
      </c>
      <c r="O293" s="23" t="s">
        <v>87</v>
      </c>
      <c r="P293" s="23" t="s">
        <v>88</v>
      </c>
      <c r="Q293" s="23" t="s">
        <v>89</v>
      </c>
      <c r="R293" s="23"/>
      <c r="S293" s="23"/>
      <c r="T293" s="23"/>
      <c r="U293" s="23" t="s">
        <v>98</v>
      </c>
      <c r="V293" s="23"/>
      <c r="W293" s="25"/>
      <c r="X293" s="23"/>
      <c r="Y293" s="26"/>
      <c r="Z293" s="26"/>
      <c r="AA293" s="27" t="str">
        <f aca="false">IF(OR($Y293="",$X293="",$X293=0),"",$Y293-N($Z293)/$X293)</f>
        <v/>
      </c>
      <c r="AB293" s="23"/>
      <c r="AC293" s="28" t="str">
        <f aca="false">IF(OR($Y293="",$L293="",$L293=0),"",$Y293/$L293-1)</f>
        <v/>
      </c>
      <c r="AD293" s="28" t="str">
        <f aca="false">IF(OR($AA293="",$N293="",$N293=0),"",$AA293/$N293-1)</f>
        <v/>
      </c>
      <c r="AE293" s="25"/>
      <c r="AF293" s="23"/>
      <c r="AG293" s="23"/>
      <c r="AH293" s="25"/>
      <c r="AI293" s="23"/>
      <c r="AJ293" s="26"/>
      <c r="AK293" s="26"/>
      <c r="AL293" s="27" t="str">
        <f aca="false">IF(OR($AJ293="",$AI293="",$AI293=0),"",$AJ293-N($AK293)/$AI293)</f>
        <v/>
      </c>
      <c r="AM293" s="28" t="str">
        <f aca="false">IF(OR($AJ293="",$L293="",$L293=0),"",$AJ293/$L293-1)</f>
        <v/>
      </c>
      <c r="AN293" s="28" t="str">
        <f aca="false">IF(OR($AL293="",$N293="",$N293=0),"",$AL293/$N293-1)</f>
        <v/>
      </c>
      <c r="AO293" s="24"/>
    </row>
    <row r="294" customFormat="false" ht="15" hidden="false" customHeight="false" outlineLevel="0" collapsed="false">
      <c r="A294" s="5" t="s">
        <v>1161</v>
      </c>
      <c r="B294" s="5" t="s">
        <v>204</v>
      </c>
      <c r="C294" s="5" t="s">
        <v>82</v>
      </c>
      <c r="D294" s="6" t="n">
        <v>1177</v>
      </c>
      <c r="E294" s="5" t="s">
        <v>1162</v>
      </c>
      <c r="F294" s="5" t="s">
        <v>1163</v>
      </c>
      <c r="G294" s="20" t="n">
        <v>45731</v>
      </c>
      <c r="H294" s="5" t="n">
        <v>15</v>
      </c>
      <c r="I294" s="20" t="n">
        <v>46187</v>
      </c>
      <c r="J294" s="5" t="s">
        <v>152</v>
      </c>
      <c r="K294" s="5" t="s">
        <v>202</v>
      </c>
      <c r="L294" s="16" t="n">
        <v>1798</v>
      </c>
      <c r="M294" s="16" t="n">
        <v>0</v>
      </c>
      <c r="N294" s="21" t="n">
        <f aca="false">IF(OR($L294="",$H294="",$H294=0),"",$L294-N($M294)/$H294)</f>
        <v>1798</v>
      </c>
      <c r="O294" s="5" t="s">
        <v>87</v>
      </c>
      <c r="P294" s="5" t="s">
        <v>202</v>
      </c>
      <c r="Q294" s="5" t="s">
        <v>127</v>
      </c>
      <c r="R294" s="5" t="s">
        <v>98</v>
      </c>
      <c r="S294" s="5" t="s">
        <v>98</v>
      </c>
      <c r="T294" s="5"/>
      <c r="U294" s="5"/>
      <c r="V294" s="5"/>
      <c r="W294" s="20" t="n">
        <v>46188</v>
      </c>
      <c r="X294" s="5" t="n">
        <v>12</v>
      </c>
      <c r="Y294" s="16" t="n">
        <v>1843</v>
      </c>
      <c r="Z294" s="16" t="n">
        <v>0</v>
      </c>
      <c r="AA294" s="21" t="n">
        <f aca="false">IF(OR($Y294="",$X294="",$X294=0),"",$Y294-N($Z294)/$X294)</f>
        <v>1843</v>
      </c>
      <c r="AB294" s="5" t="s">
        <v>98</v>
      </c>
      <c r="AC294" s="22" t="n">
        <f aca="false">IF(OR($Y294="",$L294="",$L294=0),"",$Y294/$L294-1)</f>
        <v>0.0250278086763069</v>
      </c>
      <c r="AD294" s="22" t="n">
        <f aca="false">IF(OR($AA294="",$N294="",$N294=0),"",$AA294/$N294-1)</f>
        <v>0.0250278086763069</v>
      </c>
      <c r="AE294" s="20"/>
      <c r="AF294" s="5"/>
      <c r="AG294" s="5"/>
      <c r="AH294" s="20"/>
      <c r="AI294" s="5"/>
      <c r="AJ294" s="16"/>
      <c r="AK294" s="16"/>
      <c r="AL294" s="21" t="str">
        <f aca="false">IF(OR($AJ294="",$AI294="",$AI294=0),"",$AJ294-N($AK294)/$AI294)</f>
        <v/>
      </c>
      <c r="AM294" s="22" t="str">
        <f aca="false">IF(OR($AJ294="",$L294="",$L294=0),"",$AJ294/$L294-1)</f>
        <v/>
      </c>
      <c r="AN294" s="22" t="str">
        <f aca="false">IF(OR($AL294="",$N294="",$N294=0),"",$AL294/$N294-1)</f>
        <v/>
      </c>
      <c r="AO294" s="6"/>
    </row>
    <row r="295" customFormat="false" ht="15" hidden="false" customHeight="false" outlineLevel="0" collapsed="false">
      <c r="A295" s="23" t="s">
        <v>1164</v>
      </c>
      <c r="B295" s="23" t="s">
        <v>102</v>
      </c>
      <c r="C295" s="23" t="s">
        <v>103</v>
      </c>
      <c r="D295" s="24" t="n">
        <v>693</v>
      </c>
      <c r="E295" s="23" t="s">
        <v>1165</v>
      </c>
      <c r="F295" s="23" t="s">
        <v>1166</v>
      </c>
      <c r="G295" s="25" t="n">
        <v>45877</v>
      </c>
      <c r="H295" s="23" t="n">
        <v>12</v>
      </c>
      <c r="I295" s="25" t="n">
        <v>46241</v>
      </c>
      <c r="J295" s="23" t="s">
        <v>135</v>
      </c>
      <c r="K295" s="23" t="s">
        <v>86</v>
      </c>
      <c r="L295" s="26" t="n">
        <v>1475</v>
      </c>
      <c r="M295" s="26" t="n">
        <v>2212</v>
      </c>
      <c r="N295" s="27" t="n">
        <f aca="false">IF(OR($L295="",$H295="",$H295=0),"",$L295-N($M295)/$H295)</f>
        <v>1290.66666666667</v>
      </c>
      <c r="O295" s="23" t="s">
        <v>87</v>
      </c>
      <c r="P295" s="23" t="s">
        <v>88</v>
      </c>
      <c r="Q295" s="23" t="s">
        <v>89</v>
      </c>
      <c r="R295" s="23"/>
      <c r="S295" s="23"/>
      <c r="T295" s="23"/>
      <c r="U295" s="23" t="s">
        <v>98</v>
      </c>
      <c r="V295" s="23"/>
      <c r="W295" s="25"/>
      <c r="X295" s="23"/>
      <c r="Y295" s="26"/>
      <c r="Z295" s="26"/>
      <c r="AA295" s="27" t="str">
        <f aca="false">IF(OR($Y295="",$X295="",$X295=0),"",$Y295-N($Z295)/$X295)</f>
        <v/>
      </c>
      <c r="AB295" s="23"/>
      <c r="AC295" s="28" t="str">
        <f aca="false">IF(OR($Y295="",$L295="",$L295=0),"",$Y295/$L295-1)</f>
        <v/>
      </c>
      <c r="AD295" s="28" t="str">
        <f aca="false">IF(OR($AA295="",$N295="",$N295=0),"",$AA295/$N295-1)</f>
        <v/>
      </c>
      <c r="AE295" s="25"/>
      <c r="AF295" s="23"/>
      <c r="AG295" s="23"/>
      <c r="AH295" s="25"/>
      <c r="AI295" s="23"/>
      <c r="AJ295" s="26"/>
      <c r="AK295" s="26"/>
      <c r="AL295" s="27" t="str">
        <f aca="false">IF(OR($AJ295="",$AI295="",$AI295=0),"",$AJ295-N($AK295)/$AI295)</f>
        <v/>
      </c>
      <c r="AM295" s="28" t="str">
        <f aca="false">IF(OR($AJ295="",$L295="",$L295=0),"",$AJ295/$L295-1)</f>
        <v/>
      </c>
      <c r="AN295" s="28" t="str">
        <f aca="false">IF(OR($AL295="",$N295="",$N295=0),"",$AL295/$N295-1)</f>
        <v/>
      </c>
      <c r="AO295" s="24"/>
    </row>
    <row r="296" customFormat="false" ht="15" hidden="false" customHeight="false" outlineLevel="0" collapsed="false">
      <c r="A296" s="5" t="s">
        <v>1167</v>
      </c>
      <c r="B296" s="5" t="s">
        <v>108</v>
      </c>
      <c r="C296" s="5" t="s">
        <v>103</v>
      </c>
      <c r="D296" s="6" t="n">
        <v>746</v>
      </c>
      <c r="E296" s="5" t="s">
        <v>1168</v>
      </c>
      <c r="F296" s="5" t="s">
        <v>1169</v>
      </c>
      <c r="G296" s="20" t="n">
        <v>46009</v>
      </c>
      <c r="H296" s="5" t="n">
        <v>12</v>
      </c>
      <c r="I296" s="20" t="n">
        <v>46373</v>
      </c>
      <c r="J296" s="5" t="s">
        <v>85</v>
      </c>
      <c r="K296" s="5" t="s">
        <v>86</v>
      </c>
      <c r="L296" s="16" t="n">
        <v>1499</v>
      </c>
      <c r="M296" s="16" t="n">
        <v>0</v>
      </c>
      <c r="N296" s="21" t="n">
        <f aca="false">IF(OR($L296="",$H296="",$H296=0),"",$L296-N($M296)/$H296)</f>
        <v>1499</v>
      </c>
      <c r="O296" s="5" t="s">
        <v>87</v>
      </c>
      <c r="P296" s="5" t="s">
        <v>88</v>
      </c>
      <c r="Q296" s="5" t="s">
        <v>89</v>
      </c>
      <c r="R296" s="5"/>
      <c r="S296" s="5"/>
      <c r="T296" s="5"/>
      <c r="U296" s="5"/>
      <c r="V296" s="5"/>
      <c r="W296" s="20"/>
      <c r="X296" s="5"/>
      <c r="Y296" s="16"/>
      <c r="Z296" s="16"/>
      <c r="AA296" s="21" t="str">
        <f aca="false">IF(OR($Y296="",$X296="",$X296=0),"",$Y296-N($Z296)/$X296)</f>
        <v/>
      </c>
      <c r="AB296" s="5"/>
      <c r="AC296" s="22" t="str">
        <f aca="false">IF(OR($Y296="",$L296="",$L296=0),"",$Y296/$L296-1)</f>
        <v/>
      </c>
      <c r="AD296" s="22" t="str">
        <f aca="false">IF(OR($AA296="",$N296="",$N296=0),"",$AA296/$N296-1)</f>
        <v/>
      </c>
      <c r="AE296" s="20"/>
      <c r="AF296" s="5"/>
      <c r="AG296" s="5"/>
      <c r="AH296" s="20"/>
      <c r="AI296" s="5"/>
      <c r="AJ296" s="16"/>
      <c r="AK296" s="16"/>
      <c r="AL296" s="21" t="str">
        <f aca="false">IF(OR($AJ296="",$AI296="",$AI296=0),"",$AJ296-N($AK296)/$AI296)</f>
        <v/>
      </c>
      <c r="AM296" s="22" t="str">
        <f aca="false">IF(OR($AJ296="",$L296="",$L296=0),"",$AJ296/$L296-1)</f>
        <v/>
      </c>
      <c r="AN296" s="22" t="str">
        <f aca="false">IF(OR($AL296="",$N296="",$N296=0),"",$AL296/$N296-1)</f>
        <v/>
      </c>
      <c r="AO296" s="6"/>
    </row>
    <row r="297" customFormat="false" ht="15" hidden="false" customHeight="false" outlineLevel="0" collapsed="false">
      <c r="A297" s="23" t="s">
        <v>1170</v>
      </c>
      <c r="B297" s="23" t="s">
        <v>102</v>
      </c>
      <c r="C297" s="23" t="s">
        <v>103</v>
      </c>
      <c r="D297" s="24" t="n">
        <v>693</v>
      </c>
      <c r="E297" s="23" t="s">
        <v>1171</v>
      </c>
      <c r="F297" s="23" t="s">
        <v>1172</v>
      </c>
      <c r="G297" s="25" t="n">
        <v>45747</v>
      </c>
      <c r="H297" s="23" t="n">
        <v>15</v>
      </c>
      <c r="I297" s="25" t="n">
        <v>46203</v>
      </c>
      <c r="J297" s="23" t="s">
        <v>152</v>
      </c>
      <c r="K297" s="23" t="s">
        <v>202</v>
      </c>
      <c r="L297" s="26" t="n">
        <v>1425</v>
      </c>
      <c r="M297" s="26" t="n">
        <v>0</v>
      </c>
      <c r="N297" s="27" t="n">
        <f aca="false">IF(OR($L297="",$H297="",$H297=0),"",$L297-N($M297)/$H297)</f>
        <v>1425</v>
      </c>
      <c r="O297" s="23" t="s">
        <v>87</v>
      </c>
      <c r="P297" s="23" t="s">
        <v>202</v>
      </c>
      <c r="Q297" s="23" t="s">
        <v>127</v>
      </c>
      <c r="R297" s="23" t="s">
        <v>98</v>
      </c>
      <c r="S297" s="23" t="s">
        <v>98</v>
      </c>
      <c r="T297" s="23"/>
      <c r="U297" s="23"/>
      <c r="V297" s="23"/>
      <c r="W297" s="25" t="n">
        <v>46204</v>
      </c>
      <c r="X297" s="23" t="n">
        <v>6</v>
      </c>
      <c r="Y297" s="26" t="n">
        <v>1500</v>
      </c>
      <c r="Z297" s="26" t="n">
        <v>0</v>
      </c>
      <c r="AA297" s="27" t="n">
        <f aca="false">IF(OR($Y297="",$X297="",$X297=0),"",$Y297-N($Z297)/$X297)</f>
        <v>1500</v>
      </c>
      <c r="AB297" s="23" t="s">
        <v>98</v>
      </c>
      <c r="AC297" s="28" t="n">
        <f aca="false">IF(OR($Y297="",$L297="",$L297=0),"",$Y297/$L297-1)</f>
        <v>0.0526315789473684</v>
      </c>
      <c r="AD297" s="28" t="n">
        <f aca="false">IF(OR($AA297="",$N297="",$N297=0),"",$AA297/$N297-1)</f>
        <v>0.0526315789473684</v>
      </c>
      <c r="AE297" s="25"/>
      <c r="AF297" s="23"/>
      <c r="AG297" s="23"/>
      <c r="AH297" s="25"/>
      <c r="AI297" s="23"/>
      <c r="AJ297" s="26"/>
      <c r="AK297" s="26"/>
      <c r="AL297" s="27" t="str">
        <f aca="false">IF(OR($AJ297="",$AI297="",$AI297=0),"",$AJ297-N($AK297)/$AI297)</f>
        <v/>
      </c>
      <c r="AM297" s="28" t="str">
        <f aca="false">IF(OR($AJ297="",$L297="",$L297=0),"",$AJ297/$L297-1)</f>
        <v/>
      </c>
      <c r="AN297" s="28" t="str">
        <f aca="false">IF(OR($AL297="",$N297="",$N297=0),"",$AL297/$N297-1)</f>
        <v/>
      </c>
      <c r="AO297" s="24"/>
    </row>
    <row r="298" customFormat="false" ht="15" hidden="false" customHeight="false" outlineLevel="0" collapsed="false">
      <c r="A298" s="5" t="s">
        <v>1173</v>
      </c>
      <c r="B298" s="5" t="s">
        <v>102</v>
      </c>
      <c r="C298" s="5" t="s">
        <v>103</v>
      </c>
      <c r="D298" s="6" t="n">
        <v>693</v>
      </c>
      <c r="E298" s="5" t="s">
        <v>1174</v>
      </c>
      <c r="F298" s="5" t="s">
        <v>1175</v>
      </c>
      <c r="G298" s="20" t="n">
        <v>45692</v>
      </c>
      <c r="H298" s="5" t="n">
        <v>15</v>
      </c>
      <c r="I298" s="20" t="n">
        <v>46145</v>
      </c>
      <c r="J298" s="5" t="s">
        <v>148</v>
      </c>
      <c r="K298" s="5" t="s">
        <v>86</v>
      </c>
      <c r="L298" s="16" t="n">
        <v>1425</v>
      </c>
      <c r="M298" s="16" t="n">
        <v>495</v>
      </c>
      <c r="N298" s="21" t="n">
        <f aca="false">IF(OR($L298="",$H298="",$H298=0),"",$L298-N($M298)/$H298)</f>
        <v>1392</v>
      </c>
      <c r="O298" s="5" t="s">
        <v>87</v>
      </c>
      <c r="P298" s="5" t="s">
        <v>96</v>
      </c>
      <c r="Q298" s="5" t="s">
        <v>97</v>
      </c>
      <c r="R298" s="5" t="s">
        <v>98</v>
      </c>
      <c r="S298" s="5" t="s">
        <v>98</v>
      </c>
      <c r="T298" s="5"/>
      <c r="U298" s="5"/>
      <c r="V298" s="5"/>
      <c r="W298" s="20"/>
      <c r="X298" s="5"/>
      <c r="Y298" s="16"/>
      <c r="Z298" s="16"/>
      <c r="AA298" s="21" t="str">
        <f aca="false">IF(OR($Y298="",$X298="",$X298=0),"",$Y298-N($Z298)/$X298)</f>
        <v/>
      </c>
      <c r="AB298" s="5"/>
      <c r="AC298" s="22" t="str">
        <f aca="false">IF(OR($Y298="",$L298="",$L298=0),"",$Y298/$L298-1)</f>
        <v/>
      </c>
      <c r="AD298" s="22" t="str">
        <f aca="false">IF(OR($AA298="",$N298="",$N298=0),"",$AA298/$N298-1)</f>
        <v/>
      </c>
      <c r="AE298" s="20" t="n">
        <v>46175</v>
      </c>
      <c r="AF298" s="5" t="s">
        <v>1176</v>
      </c>
      <c r="AG298" s="5" t="s">
        <v>1177</v>
      </c>
      <c r="AH298" s="20" t="n">
        <v>46182</v>
      </c>
      <c r="AI298" s="5" t="n">
        <v>12</v>
      </c>
      <c r="AJ298" s="16" t="n">
        <v>1703</v>
      </c>
      <c r="AK298" s="16" t="n">
        <v>0</v>
      </c>
      <c r="AL298" s="21" t="n">
        <f aca="false">IF(OR($AJ298="",$AI298="",$AI298=0),"",$AJ298-N($AK298)/$AI298)</f>
        <v>1703</v>
      </c>
      <c r="AM298" s="22" t="n">
        <f aca="false">IF(OR($AJ298="",$L298="",$L298=0),"",$AJ298/$L298-1)</f>
        <v>0.195087719298246</v>
      </c>
      <c r="AN298" s="22" t="n">
        <f aca="false">IF(OR($AL298="",$N298="",$N298=0),"",$AL298/$N298-1)</f>
        <v>0.223419540229885</v>
      </c>
      <c r="AO298" s="6" t="n">
        <v>7</v>
      </c>
    </row>
    <row r="299" customFormat="false" ht="15" hidden="false" customHeight="false" outlineLevel="0" collapsed="false">
      <c r="A299" s="23" t="s">
        <v>1178</v>
      </c>
      <c r="B299" s="23" t="s">
        <v>81</v>
      </c>
      <c r="C299" s="23" t="s">
        <v>82</v>
      </c>
      <c r="D299" s="24" t="n">
        <v>1141</v>
      </c>
      <c r="E299" s="23" t="s">
        <v>1179</v>
      </c>
      <c r="F299" s="23" t="s">
        <v>1180</v>
      </c>
      <c r="G299" s="25" t="n">
        <v>45673</v>
      </c>
      <c r="H299" s="23" t="n">
        <v>12</v>
      </c>
      <c r="I299" s="25" t="n">
        <v>46068</v>
      </c>
      <c r="J299" s="23" t="s">
        <v>95</v>
      </c>
      <c r="K299" s="23" t="s">
        <v>86</v>
      </c>
      <c r="L299" s="26" t="n">
        <v>1995</v>
      </c>
      <c r="M299" s="26" t="n">
        <v>3684</v>
      </c>
      <c r="N299" s="27" t="n">
        <f aca="false">IF(OR($L299="",$H299="",$H299=0),"",$L299-N($M299)/$H299)</f>
        <v>1688</v>
      </c>
      <c r="O299" s="23" t="s">
        <v>87</v>
      </c>
      <c r="P299" s="23" t="s">
        <v>96</v>
      </c>
      <c r="Q299" s="23" t="s">
        <v>97</v>
      </c>
      <c r="R299" s="23" t="s">
        <v>98</v>
      </c>
      <c r="S299" s="23" t="s">
        <v>98</v>
      </c>
      <c r="T299" s="23"/>
      <c r="U299" s="23"/>
      <c r="V299" s="23"/>
      <c r="W299" s="25"/>
      <c r="X299" s="23"/>
      <c r="Y299" s="26"/>
      <c r="Z299" s="26"/>
      <c r="AA299" s="27" t="str">
        <f aca="false">IF(OR($Y299="",$X299="",$X299=0),"",$Y299-N($Z299)/$X299)</f>
        <v/>
      </c>
      <c r="AB299" s="23"/>
      <c r="AC299" s="28" t="str">
        <f aca="false">IF(OR($Y299="",$L299="",$L299=0),"",$Y299/$L299-1)</f>
        <v/>
      </c>
      <c r="AD299" s="28" t="str">
        <f aca="false">IF(OR($AA299="",$N299="",$N299=0),"",$AA299/$N299-1)</f>
        <v/>
      </c>
      <c r="AE299" s="25" t="n">
        <v>46068</v>
      </c>
      <c r="AF299" s="23" t="s">
        <v>1181</v>
      </c>
      <c r="AG299" s="23" t="s">
        <v>1182</v>
      </c>
      <c r="AH299" s="25" t="n">
        <v>46125</v>
      </c>
      <c r="AI299" s="23" t="n">
        <v>12</v>
      </c>
      <c r="AJ299" s="26" t="n">
        <v>1940</v>
      </c>
      <c r="AK299" s="26" t="n">
        <v>1940</v>
      </c>
      <c r="AL299" s="27" t="n">
        <f aca="false">IF(OR($AJ299="",$AI299="",$AI299=0),"",$AJ299-N($AK299)/$AI299)</f>
        <v>1778.33333333333</v>
      </c>
      <c r="AM299" s="28" t="n">
        <f aca="false">IF(OR($AJ299="",$L299="",$L299=0),"",$AJ299/$L299-1)</f>
        <v>-0.0275689223057645</v>
      </c>
      <c r="AN299" s="28" t="n">
        <f aca="false">IF(OR($AL299="",$N299="",$N299=0),"",$AL299/$N299-1)</f>
        <v>0.0535150078988942</v>
      </c>
      <c r="AO299" s="24" t="n">
        <v>57</v>
      </c>
    </row>
    <row r="300" customFormat="false" ht="15" hidden="false" customHeight="false" outlineLevel="0" collapsed="false">
      <c r="A300" s="5" t="s">
        <v>1183</v>
      </c>
      <c r="B300" s="5" t="s">
        <v>102</v>
      </c>
      <c r="C300" s="5" t="s">
        <v>103</v>
      </c>
      <c r="D300" s="6" t="n">
        <v>693</v>
      </c>
      <c r="E300" s="5" t="s">
        <v>1184</v>
      </c>
      <c r="F300" s="5" t="s">
        <v>1185</v>
      </c>
      <c r="G300" s="20" t="n">
        <v>45681</v>
      </c>
      <c r="H300" s="5" t="n">
        <v>14</v>
      </c>
      <c r="I300" s="20" t="n">
        <v>45953</v>
      </c>
      <c r="J300" s="5" t="s">
        <v>975</v>
      </c>
      <c r="K300" s="5" t="s">
        <v>126</v>
      </c>
      <c r="L300" s="16" t="n">
        <v>1385</v>
      </c>
      <c r="M300" s="16" t="n">
        <v>504</v>
      </c>
      <c r="N300" s="21" t="n">
        <f aca="false">IF(OR($L300="",$H300="",$H300=0),"",$L300-N($M300)/$H300)</f>
        <v>1349</v>
      </c>
      <c r="O300" s="5" t="s">
        <v>532</v>
      </c>
      <c r="P300" s="5" t="s">
        <v>96</v>
      </c>
      <c r="Q300" s="5" t="s">
        <v>127</v>
      </c>
      <c r="R300" s="5" t="s">
        <v>98</v>
      </c>
      <c r="S300" s="5" t="s">
        <v>98</v>
      </c>
      <c r="T300" s="5"/>
      <c r="U300" s="5"/>
      <c r="V300" s="5"/>
      <c r="W300" s="20" t="n">
        <v>45954</v>
      </c>
      <c r="X300" s="5" t="n">
        <v>12</v>
      </c>
      <c r="Y300" s="16" t="n">
        <v>1410</v>
      </c>
      <c r="Z300" s="16" t="n">
        <v>0</v>
      </c>
      <c r="AA300" s="21" t="n">
        <f aca="false">IF(OR($Y300="",$X300="",$X300=0),"",$Y300-N($Z300)/$X300)</f>
        <v>1410</v>
      </c>
      <c r="AB300" s="5"/>
      <c r="AC300" s="22" t="n">
        <f aca="false">IF(OR($Y300="",$L300="",$L300=0),"",$Y300/$L300-1)</f>
        <v>0.0180505415162455</v>
      </c>
      <c r="AD300" s="22" t="n">
        <f aca="false">IF(OR($AA300="",$N300="",$N300=0),"",$AA300/$N300-1)</f>
        <v>0.0452186805040771</v>
      </c>
      <c r="AE300" s="20"/>
      <c r="AF300" s="5"/>
      <c r="AG300" s="5"/>
      <c r="AH300" s="20"/>
      <c r="AI300" s="5"/>
      <c r="AJ300" s="16"/>
      <c r="AK300" s="16"/>
      <c r="AL300" s="21" t="str">
        <f aca="false">IF(OR($AJ300="",$AI300="",$AI300=0),"",$AJ300-N($AK300)/$AI300)</f>
        <v/>
      </c>
      <c r="AM300" s="22" t="str">
        <f aca="false">IF(OR($AJ300="",$L300="",$L300=0),"",$AJ300/$L300-1)</f>
        <v/>
      </c>
      <c r="AN300" s="22" t="str">
        <f aca="false">IF(OR($AL300="",$N300="",$N300=0),"",$AL300/$N300-1)</f>
        <v/>
      </c>
      <c r="AO300" s="6"/>
    </row>
    <row r="301" customFormat="false" ht="15" hidden="false" customHeight="false" outlineLevel="0" collapsed="false">
      <c r="A301" s="23" t="s">
        <v>1186</v>
      </c>
      <c r="B301" s="23" t="s">
        <v>113</v>
      </c>
      <c r="C301" s="23" t="s">
        <v>82</v>
      </c>
      <c r="D301" s="24" t="n">
        <v>1092</v>
      </c>
      <c r="E301" s="23" t="s">
        <v>1187</v>
      </c>
      <c r="F301" s="23" t="s">
        <v>1188</v>
      </c>
      <c r="G301" s="25" t="n">
        <v>45757</v>
      </c>
      <c r="H301" s="23" t="n">
        <v>12</v>
      </c>
      <c r="I301" s="25" t="n">
        <v>46062</v>
      </c>
      <c r="J301" s="23" t="s">
        <v>95</v>
      </c>
      <c r="K301" s="23" t="s">
        <v>86</v>
      </c>
      <c r="L301" s="26" t="n">
        <v>1715</v>
      </c>
      <c r="M301" s="26" t="n">
        <v>1716</v>
      </c>
      <c r="N301" s="27" t="n">
        <f aca="false">IF(OR($L301="",$H301="",$H301=0),"",$L301-N($M301)/$H301)</f>
        <v>1572</v>
      </c>
      <c r="O301" s="23" t="s">
        <v>87</v>
      </c>
      <c r="P301" s="23" t="s">
        <v>96</v>
      </c>
      <c r="Q301" s="23" t="s">
        <v>97</v>
      </c>
      <c r="R301" s="23" t="s">
        <v>98</v>
      </c>
      <c r="S301" s="23" t="s">
        <v>98</v>
      </c>
      <c r="T301" s="23"/>
      <c r="U301" s="23"/>
      <c r="V301" s="23"/>
      <c r="W301" s="25"/>
      <c r="X301" s="23"/>
      <c r="Y301" s="26"/>
      <c r="Z301" s="26"/>
      <c r="AA301" s="27" t="str">
        <f aca="false">IF(OR($Y301="",$X301="",$X301=0),"",$Y301-N($Z301)/$X301)</f>
        <v/>
      </c>
      <c r="AB301" s="23"/>
      <c r="AC301" s="28" t="str">
        <f aca="false">IF(OR($Y301="",$L301="",$L301=0),"",$Y301/$L301-1)</f>
        <v/>
      </c>
      <c r="AD301" s="28" t="str">
        <f aca="false">IF(OR($AA301="",$N301="",$N301=0),"",$AA301/$N301-1)</f>
        <v/>
      </c>
      <c r="AE301" s="25" t="n">
        <v>46061</v>
      </c>
      <c r="AF301" s="23" t="s">
        <v>1189</v>
      </c>
      <c r="AG301" s="23" t="s">
        <v>1190</v>
      </c>
      <c r="AH301" s="25" t="n">
        <v>46100</v>
      </c>
      <c r="AI301" s="23" t="n">
        <v>18</v>
      </c>
      <c r="AJ301" s="26" t="n">
        <v>1875</v>
      </c>
      <c r="AK301" s="26" t="n">
        <v>0</v>
      </c>
      <c r="AL301" s="27" t="n">
        <f aca="false">IF(OR($AJ301="",$AI301="",$AI301=0),"",$AJ301-N($AK301)/$AI301)</f>
        <v>1875</v>
      </c>
      <c r="AM301" s="28" t="n">
        <f aca="false">IF(OR($AJ301="",$L301="",$L301=0),"",$AJ301/$L301-1)</f>
        <v>0.0932944606413995</v>
      </c>
      <c r="AN301" s="28" t="n">
        <f aca="false">IF(OR($AL301="",$N301="",$N301=0),"",$AL301/$N301-1)</f>
        <v>0.192748091603054</v>
      </c>
      <c r="AO301" s="24" t="n">
        <v>39</v>
      </c>
    </row>
    <row r="302" customFormat="false" ht="15" hidden="false" customHeight="false" outlineLevel="0" collapsed="false">
      <c r="A302" s="5" t="s">
        <v>1191</v>
      </c>
      <c r="B302" s="5" t="s">
        <v>275</v>
      </c>
      <c r="C302" s="5" t="s">
        <v>276</v>
      </c>
      <c r="D302" s="6" t="n">
        <v>517</v>
      </c>
      <c r="E302" s="5" t="s">
        <v>1192</v>
      </c>
      <c r="F302" s="5" t="s">
        <v>1193</v>
      </c>
      <c r="G302" s="20" t="n">
        <v>45652</v>
      </c>
      <c r="H302" s="5" t="n">
        <v>14</v>
      </c>
      <c r="I302" s="20" t="n">
        <v>46078</v>
      </c>
      <c r="J302" s="5" t="s">
        <v>95</v>
      </c>
      <c r="K302" s="5" t="s">
        <v>126</v>
      </c>
      <c r="L302" s="16" t="n">
        <v>1245</v>
      </c>
      <c r="M302" s="16" t="n">
        <v>504</v>
      </c>
      <c r="N302" s="21" t="n">
        <f aca="false">IF(OR($L302="",$H302="",$H302=0),"",$L302-N($M302)/$H302)</f>
        <v>1209</v>
      </c>
      <c r="O302" s="5" t="s">
        <v>87</v>
      </c>
      <c r="P302" s="5" t="s">
        <v>96</v>
      </c>
      <c r="Q302" s="5" t="s">
        <v>127</v>
      </c>
      <c r="R302" s="5" t="s">
        <v>98</v>
      </c>
      <c r="S302" s="5" t="s">
        <v>98</v>
      </c>
      <c r="T302" s="5"/>
      <c r="U302" s="5"/>
      <c r="V302" s="5"/>
      <c r="W302" s="20" t="n">
        <v>46079</v>
      </c>
      <c r="X302" s="5" t="n">
        <v>6</v>
      </c>
      <c r="Y302" s="16" t="n">
        <v>1265</v>
      </c>
      <c r="Z302" s="16" t="n">
        <v>0</v>
      </c>
      <c r="AA302" s="21" t="n">
        <f aca="false">IF(OR($Y302="",$X302="",$X302=0),"",$Y302-N($Z302)/$X302)</f>
        <v>1265</v>
      </c>
      <c r="AB302" s="5"/>
      <c r="AC302" s="22" t="n">
        <f aca="false">IF(OR($Y302="",$L302="",$L302=0),"",$Y302/$L302-1)</f>
        <v>0.0160642570281124</v>
      </c>
      <c r="AD302" s="22" t="n">
        <f aca="false">IF(OR($AA302="",$N302="",$N302=0),"",$AA302/$N302-1)</f>
        <v>0.0463192721257237</v>
      </c>
      <c r="AE302" s="20"/>
      <c r="AF302" s="5"/>
      <c r="AG302" s="5"/>
      <c r="AH302" s="20"/>
      <c r="AI302" s="5"/>
      <c r="AJ302" s="16"/>
      <c r="AK302" s="16"/>
      <c r="AL302" s="21" t="str">
        <f aca="false">IF(OR($AJ302="",$AI302="",$AI302=0),"",$AJ302-N($AK302)/$AI302)</f>
        <v/>
      </c>
      <c r="AM302" s="22" t="str">
        <f aca="false">IF(OR($AJ302="",$L302="",$L302=0),"",$AJ302/$L302-1)</f>
        <v/>
      </c>
      <c r="AN302" s="22" t="str">
        <f aca="false">IF(OR($AL302="",$N302="",$N302=0),"",$AL302/$N302-1)</f>
        <v/>
      </c>
      <c r="AO302" s="6"/>
    </row>
    <row r="303" customFormat="false" ht="15" hidden="false" customHeight="false" outlineLevel="0" collapsed="false">
      <c r="A303" s="23" t="s">
        <v>1194</v>
      </c>
      <c r="B303" s="23" t="s">
        <v>102</v>
      </c>
      <c r="C303" s="23" t="s">
        <v>103</v>
      </c>
      <c r="D303" s="24" t="n">
        <v>693</v>
      </c>
      <c r="E303" s="23" t="s">
        <v>1195</v>
      </c>
      <c r="F303" s="23" t="s">
        <v>1196</v>
      </c>
      <c r="G303" s="25" t="n">
        <v>45670</v>
      </c>
      <c r="H303" s="23" t="n">
        <v>14</v>
      </c>
      <c r="I303" s="25" t="n">
        <v>46034</v>
      </c>
      <c r="J303" s="23" t="s">
        <v>177</v>
      </c>
      <c r="K303" s="23" t="s">
        <v>126</v>
      </c>
      <c r="L303" s="26" t="n">
        <v>1385</v>
      </c>
      <c r="M303" s="26" t="n">
        <v>504</v>
      </c>
      <c r="N303" s="27" t="n">
        <f aca="false">IF(OR($L303="",$H303="",$H303=0),"",$L303-N($M303)/$H303)</f>
        <v>1349</v>
      </c>
      <c r="O303" s="23" t="s">
        <v>87</v>
      </c>
      <c r="P303" s="23" t="s">
        <v>96</v>
      </c>
      <c r="Q303" s="23" t="s">
        <v>127</v>
      </c>
      <c r="R303" s="23" t="s">
        <v>98</v>
      </c>
      <c r="S303" s="23" t="s">
        <v>98</v>
      </c>
      <c r="T303" s="23"/>
      <c r="U303" s="23"/>
      <c r="V303" s="23"/>
      <c r="W303" s="25" t="n">
        <v>46035</v>
      </c>
      <c r="X303" s="23" t="n">
        <v>7</v>
      </c>
      <c r="Y303" s="26" t="n">
        <v>1385</v>
      </c>
      <c r="Z303" s="26" t="n">
        <v>0</v>
      </c>
      <c r="AA303" s="27" t="n">
        <f aca="false">IF(OR($Y303="",$X303="",$X303=0),"",$Y303-N($Z303)/$X303)</f>
        <v>1385</v>
      </c>
      <c r="AB303" s="23"/>
      <c r="AC303" s="28" t="n">
        <f aca="false">IF(OR($Y303="",$L303="",$L303=0),"",$Y303/$L303-1)</f>
        <v>0</v>
      </c>
      <c r="AD303" s="28" t="n">
        <f aca="false">IF(OR($AA303="",$N303="",$N303=0),"",$AA303/$N303-1)</f>
        <v>0.0266864343958488</v>
      </c>
      <c r="AE303" s="25"/>
      <c r="AF303" s="23"/>
      <c r="AG303" s="23"/>
      <c r="AH303" s="25"/>
      <c r="AI303" s="23"/>
      <c r="AJ303" s="26"/>
      <c r="AK303" s="26"/>
      <c r="AL303" s="27" t="str">
        <f aca="false">IF(OR($AJ303="",$AI303="",$AI303=0),"",$AJ303-N($AK303)/$AI303)</f>
        <v/>
      </c>
      <c r="AM303" s="28" t="str">
        <f aca="false">IF(OR($AJ303="",$L303="",$L303=0),"",$AJ303/$L303-1)</f>
        <v/>
      </c>
      <c r="AN303" s="28" t="str">
        <f aca="false">IF(OR($AL303="",$N303="",$N303=0),"",$AL303/$N303-1)</f>
        <v/>
      </c>
      <c r="AO303" s="24"/>
    </row>
    <row r="304" customFormat="false" ht="15" hidden="false" customHeight="false" outlineLevel="0" collapsed="false">
      <c r="A304" s="5" t="s">
        <v>1197</v>
      </c>
      <c r="B304" s="5" t="s">
        <v>161</v>
      </c>
      <c r="C304" s="5" t="s">
        <v>92</v>
      </c>
      <c r="D304" s="6" t="n">
        <v>1340</v>
      </c>
      <c r="E304" s="5" t="s">
        <v>1198</v>
      </c>
      <c r="F304" s="5" t="s">
        <v>1199</v>
      </c>
      <c r="G304" s="20" t="n">
        <v>45851</v>
      </c>
      <c r="H304" s="5" t="n">
        <v>12</v>
      </c>
      <c r="I304" s="20" t="n">
        <v>46215</v>
      </c>
      <c r="J304" s="5" t="s">
        <v>116</v>
      </c>
      <c r="K304" s="5" t="s">
        <v>86</v>
      </c>
      <c r="L304" s="16" t="n">
        <v>2330</v>
      </c>
      <c r="M304" s="16" t="n">
        <v>4660</v>
      </c>
      <c r="N304" s="21" t="n">
        <f aca="false">IF(OR($L304="",$H304="",$H304=0),"",$L304-N($M304)/$H304)</f>
        <v>1941.66666666667</v>
      </c>
      <c r="O304" s="5" t="s">
        <v>87</v>
      </c>
      <c r="P304" s="5" t="s">
        <v>88</v>
      </c>
      <c r="Q304" s="5" t="s">
        <v>173</v>
      </c>
      <c r="R304" s="5" t="s">
        <v>98</v>
      </c>
      <c r="S304" s="5" t="s">
        <v>98</v>
      </c>
      <c r="T304" s="5"/>
      <c r="U304" s="5" t="s">
        <v>98</v>
      </c>
      <c r="V304" s="5"/>
      <c r="W304" s="20"/>
      <c r="X304" s="5"/>
      <c r="Y304" s="16"/>
      <c r="Z304" s="16"/>
      <c r="AA304" s="21" t="str">
        <f aca="false">IF(OR($Y304="",$X304="",$X304=0),"",$Y304-N($Z304)/$X304)</f>
        <v/>
      </c>
      <c r="AB304" s="5"/>
      <c r="AC304" s="22" t="str">
        <f aca="false">IF(OR($Y304="",$L304="",$L304=0),"",$Y304/$L304-1)</f>
        <v/>
      </c>
      <c r="AD304" s="22" t="str">
        <f aca="false">IF(OR($AA304="",$N304="",$N304=0),"",$AA304/$N304-1)</f>
        <v/>
      </c>
      <c r="AE304" s="20"/>
      <c r="AF304" s="5"/>
      <c r="AG304" s="5"/>
      <c r="AH304" s="20"/>
      <c r="AI304" s="5"/>
      <c r="AJ304" s="16"/>
      <c r="AK304" s="16"/>
      <c r="AL304" s="21" t="str">
        <f aca="false">IF(OR($AJ304="",$AI304="",$AI304=0),"",$AJ304-N($AK304)/$AI304)</f>
        <v/>
      </c>
      <c r="AM304" s="22" t="str">
        <f aca="false">IF(OR($AJ304="",$L304="",$L304=0),"",$AJ304/$L304-1)</f>
        <v/>
      </c>
      <c r="AN304" s="22" t="str">
        <f aca="false">IF(OR($AL304="",$N304="",$N304=0),"",$AL304/$N304-1)</f>
        <v/>
      </c>
      <c r="AO304" s="6"/>
    </row>
    <row r="305" customFormat="false" ht="15" hidden="false" customHeight="false" outlineLevel="0" collapsed="false">
      <c r="A305" s="23" t="s">
        <v>1200</v>
      </c>
      <c r="B305" s="23" t="s">
        <v>81</v>
      </c>
      <c r="C305" s="23" t="s">
        <v>82</v>
      </c>
      <c r="D305" s="24" t="n">
        <v>1141</v>
      </c>
      <c r="E305" s="23" t="s">
        <v>1201</v>
      </c>
      <c r="F305" s="23" t="s">
        <v>1202</v>
      </c>
      <c r="G305" s="25" t="n">
        <v>45663</v>
      </c>
      <c r="H305" s="23" t="n">
        <v>14</v>
      </c>
      <c r="I305" s="25" t="n">
        <v>46086</v>
      </c>
      <c r="J305" s="23" t="s">
        <v>125</v>
      </c>
      <c r="K305" s="23" t="s">
        <v>86</v>
      </c>
      <c r="L305" s="26" t="n">
        <v>1795</v>
      </c>
      <c r="M305" s="26" t="n">
        <v>504</v>
      </c>
      <c r="N305" s="27" t="n">
        <f aca="false">IF(OR($L305="",$H305="",$H305=0),"",$L305-N($M305)/$H305)</f>
        <v>1759</v>
      </c>
      <c r="O305" s="23" t="s">
        <v>87</v>
      </c>
      <c r="P305" s="23" t="s">
        <v>96</v>
      </c>
      <c r="Q305" s="23" t="s">
        <v>97</v>
      </c>
      <c r="R305" s="23" t="s">
        <v>98</v>
      </c>
      <c r="S305" s="23" t="s">
        <v>98</v>
      </c>
      <c r="T305" s="23"/>
      <c r="U305" s="23"/>
      <c r="V305" s="23"/>
      <c r="W305" s="25"/>
      <c r="X305" s="23"/>
      <c r="Y305" s="26"/>
      <c r="Z305" s="26"/>
      <c r="AA305" s="27" t="str">
        <f aca="false">IF(OR($Y305="",$X305="",$X305=0),"",$Y305-N($Z305)/$X305)</f>
        <v/>
      </c>
      <c r="AB305" s="23"/>
      <c r="AC305" s="28" t="str">
        <f aca="false">IF(OR($Y305="",$L305="",$L305=0),"",$Y305/$L305-1)</f>
        <v/>
      </c>
      <c r="AD305" s="28" t="str">
        <f aca="false">IF(OR($AA305="",$N305="",$N305=0),"",$AA305/$N305-1)</f>
        <v/>
      </c>
      <c r="AE305" s="25" t="n">
        <v>46086</v>
      </c>
      <c r="AF305" s="23" t="s">
        <v>1203</v>
      </c>
      <c r="AG305" s="23" t="s">
        <v>1204</v>
      </c>
      <c r="AH305" s="25" t="n">
        <v>46093</v>
      </c>
      <c r="AI305" s="23" t="n">
        <v>12</v>
      </c>
      <c r="AJ305" s="26" t="n">
        <v>1799</v>
      </c>
      <c r="AK305" s="26" t="n">
        <v>0</v>
      </c>
      <c r="AL305" s="27" t="n">
        <f aca="false">IF(OR($AJ305="",$AI305="",$AI305=0),"",$AJ305-N($AK305)/$AI305)</f>
        <v>1799</v>
      </c>
      <c r="AM305" s="28" t="n">
        <f aca="false">IF(OR($AJ305="",$L305="",$L305=0),"",$AJ305/$L305-1)</f>
        <v>0.00222841225626746</v>
      </c>
      <c r="AN305" s="28" t="n">
        <f aca="false">IF(OR($AL305="",$N305="",$N305=0),"",$AL305/$N305-1)</f>
        <v>0.0227401932916429</v>
      </c>
      <c r="AO305" s="24" t="n">
        <v>7</v>
      </c>
    </row>
    <row r="306" customFormat="false" ht="15" hidden="false" customHeight="false" outlineLevel="0" collapsed="false">
      <c r="A306" s="5" t="s">
        <v>1205</v>
      </c>
      <c r="B306" s="5" t="s">
        <v>81</v>
      </c>
      <c r="C306" s="5" t="s">
        <v>82</v>
      </c>
      <c r="D306" s="6" t="n">
        <v>1141</v>
      </c>
      <c r="E306" s="5" t="s">
        <v>1206</v>
      </c>
      <c r="F306" s="5" t="s">
        <v>1207</v>
      </c>
      <c r="G306" s="20" t="n">
        <v>45896</v>
      </c>
      <c r="H306" s="5" t="n">
        <v>12</v>
      </c>
      <c r="I306" s="20" t="n">
        <v>46260</v>
      </c>
      <c r="J306" s="5" t="s">
        <v>135</v>
      </c>
      <c r="K306" s="5" t="s">
        <v>86</v>
      </c>
      <c r="L306" s="16" t="n">
        <v>1944</v>
      </c>
      <c r="M306" s="16" t="n">
        <v>1944</v>
      </c>
      <c r="N306" s="21" t="n">
        <f aca="false">IF(OR($L306="",$H306="",$H306=0),"",$L306-N($M306)/$H306)</f>
        <v>1782</v>
      </c>
      <c r="O306" s="5" t="s">
        <v>87</v>
      </c>
      <c r="P306" s="5" t="s">
        <v>88</v>
      </c>
      <c r="Q306" s="5" t="s">
        <v>89</v>
      </c>
      <c r="R306" s="5"/>
      <c r="S306" s="5"/>
      <c r="T306" s="5"/>
      <c r="U306" s="5"/>
      <c r="V306" s="5"/>
      <c r="W306" s="20"/>
      <c r="X306" s="5"/>
      <c r="Y306" s="16"/>
      <c r="Z306" s="16"/>
      <c r="AA306" s="21" t="str">
        <f aca="false">IF(OR($Y306="",$X306="",$X306=0),"",$Y306-N($Z306)/$X306)</f>
        <v/>
      </c>
      <c r="AB306" s="5"/>
      <c r="AC306" s="22" t="str">
        <f aca="false">IF(OR($Y306="",$L306="",$L306=0),"",$Y306/$L306-1)</f>
        <v/>
      </c>
      <c r="AD306" s="22" t="str">
        <f aca="false">IF(OR($AA306="",$N306="",$N306=0),"",$AA306/$N306-1)</f>
        <v/>
      </c>
      <c r="AE306" s="20"/>
      <c r="AF306" s="5"/>
      <c r="AG306" s="5"/>
      <c r="AH306" s="20"/>
      <c r="AI306" s="5"/>
      <c r="AJ306" s="16"/>
      <c r="AK306" s="16"/>
      <c r="AL306" s="21" t="str">
        <f aca="false">IF(OR($AJ306="",$AI306="",$AI306=0),"",$AJ306-N($AK306)/$AI306)</f>
        <v/>
      </c>
      <c r="AM306" s="22" t="str">
        <f aca="false">IF(OR($AJ306="",$L306="",$L306=0),"",$AJ306/$L306-1)</f>
        <v/>
      </c>
      <c r="AN306" s="22" t="str">
        <f aca="false">IF(OR($AL306="",$N306="",$N306=0),"",$AL306/$N306-1)</f>
        <v/>
      </c>
      <c r="AO306" s="6"/>
    </row>
    <row r="307" customFormat="false" ht="15" hidden="false" customHeight="false" outlineLevel="0" collapsed="false">
      <c r="A307" s="23" t="s">
        <v>1208</v>
      </c>
      <c r="B307" s="23" t="s">
        <v>204</v>
      </c>
      <c r="C307" s="23" t="s">
        <v>82</v>
      </c>
      <c r="D307" s="24" t="n">
        <v>1177</v>
      </c>
      <c r="E307" s="23" t="s">
        <v>1209</v>
      </c>
      <c r="F307" s="23" t="s">
        <v>1210</v>
      </c>
      <c r="G307" s="25" t="n">
        <v>45773</v>
      </c>
      <c r="H307" s="23" t="n">
        <v>16</v>
      </c>
      <c r="I307" s="25" t="n">
        <v>46259</v>
      </c>
      <c r="J307" s="23" t="s">
        <v>135</v>
      </c>
      <c r="K307" s="23" t="s">
        <v>86</v>
      </c>
      <c r="L307" s="26" t="n">
        <v>1970</v>
      </c>
      <c r="M307" s="26" t="n">
        <v>0</v>
      </c>
      <c r="N307" s="27" t="n">
        <f aca="false">IF(OR($L307="",$H307="",$H307=0),"",$L307-N($M307)/$H307)</f>
        <v>1970</v>
      </c>
      <c r="O307" s="23" t="s">
        <v>87</v>
      </c>
      <c r="P307" s="23" t="s">
        <v>88</v>
      </c>
      <c r="Q307" s="23" t="s">
        <v>97</v>
      </c>
      <c r="R307" s="23"/>
      <c r="S307" s="23"/>
      <c r="T307" s="23" t="s">
        <v>98</v>
      </c>
      <c r="U307" s="23"/>
      <c r="V307" s="23"/>
      <c r="W307" s="25"/>
      <c r="X307" s="23"/>
      <c r="Y307" s="26"/>
      <c r="Z307" s="26"/>
      <c r="AA307" s="27" t="str">
        <f aca="false">IF(OR($Y307="",$X307="",$X307=0),"",$Y307-N($Z307)/$X307)</f>
        <v/>
      </c>
      <c r="AB307" s="23"/>
      <c r="AC307" s="28" t="str">
        <f aca="false">IF(OR($Y307="",$L307="",$L307=0),"",$Y307/$L307-1)</f>
        <v/>
      </c>
      <c r="AD307" s="28" t="str">
        <f aca="false">IF(OR($AA307="",$N307="",$N307=0),"",$AA307/$N307-1)</f>
        <v/>
      </c>
      <c r="AE307" s="25" t="n">
        <v>46222</v>
      </c>
      <c r="AF307" s="23" t="s">
        <v>1211</v>
      </c>
      <c r="AG307" s="23" t="s">
        <v>1212</v>
      </c>
      <c r="AH307" s="25" t="n">
        <v>46229</v>
      </c>
      <c r="AI307" s="23" t="n">
        <v>12</v>
      </c>
      <c r="AJ307" s="26" t="n">
        <v>2146</v>
      </c>
      <c r="AK307" s="26" t="n">
        <v>0</v>
      </c>
      <c r="AL307" s="27" t="n">
        <f aca="false">IF(OR($AJ307="",$AI307="",$AI307=0),"",$AJ307-N($AK307)/$AI307)</f>
        <v>2146</v>
      </c>
      <c r="AM307" s="28" t="n">
        <f aca="false">IF(OR($AJ307="",$L307="",$L307=0),"",$AJ307/$L307-1)</f>
        <v>0.0893401015228426</v>
      </c>
      <c r="AN307" s="28" t="n">
        <f aca="false">IF(OR($AL307="",$N307="",$N307=0),"",$AL307/$N307-1)</f>
        <v>0.0893401015228426</v>
      </c>
      <c r="AO307" s="24" t="n">
        <v>7</v>
      </c>
    </row>
    <row r="308" customFormat="false" ht="15" hidden="false" customHeight="false" outlineLevel="0" collapsed="false">
      <c r="A308" s="5" t="s">
        <v>1213</v>
      </c>
      <c r="B308" s="5" t="s">
        <v>108</v>
      </c>
      <c r="C308" s="5" t="s">
        <v>103</v>
      </c>
      <c r="D308" s="6" t="n">
        <v>746</v>
      </c>
      <c r="E308" s="5" t="s">
        <v>1214</v>
      </c>
      <c r="F308" s="5" t="s">
        <v>1215</v>
      </c>
      <c r="G308" s="20" t="n">
        <v>45614</v>
      </c>
      <c r="H308" s="5" t="n">
        <v>12</v>
      </c>
      <c r="I308" s="20" t="n">
        <v>46039</v>
      </c>
      <c r="J308" s="5" t="s">
        <v>177</v>
      </c>
      <c r="K308" s="5" t="s">
        <v>86</v>
      </c>
      <c r="L308" s="16" t="n">
        <v>1689</v>
      </c>
      <c r="M308" s="16" t="n">
        <v>3120</v>
      </c>
      <c r="N308" s="21" t="n">
        <f aca="false">IF(OR($L308="",$H308="",$H308=0),"",$L308-N($M308)/$H308)</f>
        <v>1429</v>
      </c>
      <c r="O308" s="5" t="s">
        <v>87</v>
      </c>
      <c r="P308" s="5" t="s">
        <v>96</v>
      </c>
      <c r="Q308" s="5" t="s">
        <v>97</v>
      </c>
      <c r="R308" s="5" t="s">
        <v>98</v>
      </c>
      <c r="S308" s="5" t="s">
        <v>98</v>
      </c>
      <c r="T308" s="5"/>
      <c r="U308" s="5"/>
      <c r="V308" s="5"/>
      <c r="W308" s="20"/>
      <c r="X308" s="5"/>
      <c r="Y308" s="16"/>
      <c r="Z308" s="16"/>
      <c r="AA308" s="21" t="str">
        <f aca="false">IF(OR($Y308="",$X308="",$X308=0),"",$Y308-N($Z308)/$X308)</f>
        <v/>
      </c>
      <c r="AB308" s="5"/>
      <c r="AC308" s="22" t="str">
        <f aca="false">IF(OR($Y308="",$L308="",$L308=0),"",$Y308/$L308-1)</f>
        <v/>
      </c>
      <c r="AD308" s="22" t="str">
        <f aca="false">IF(OR($AA308="",$N308="",$N308=0),"",$AA308/$N308-1)</f>
        <v/>
      </c>
      <c r="AE308" s="20" t="n">
        <v>46039</v>
      </c>
      <c r="AF308" s="5" t="s">
        <v>1216</v>
      </c>
      <c r="AG308" s="5" t="s">
        <v>1217</v>
      </c>
      <c r="AH308" s="20" t="n">
        <v>46131</v>
      </c>
      <c r="AI308" s="5" t="n">
        <v>16</v>
      </c>
      <c r="AJ308" s="16" t="n">
        <v>1714</v>
      </c>
      <c r="AK308" s="16" t="n">
        <v>1714</v>
      </c>
      <c r="AL308" s="21" t="n">
        <f aca="false">IF(OR($AJ308="",$AI308="",$AI308=0),"",$AJ308-N($AK308)/$AI308)</f>
        <v>1606.875</v>
      </c>
      <c r="AM308" s="22" t="n">
        <f aca="false">IF(OR($AJ308="",$L308="",$L308=0),"",$AJ308/$L308-1)</f>
        <v>0.014801657785672</v>
      </c>
      <c r="AN308" s="22" t="n">
        <f aca="false">IF(OR($AL308="",$N308="",$N308=0),"",$AL308/$N308-1)</f>
        <v>0.124475157452764</v>
      </c>
      <c r="AO308" s="6" t="n">
        <v>92</v>
      </c>
    </row>
    <row r="309" customFormat="false" ht="15" hidden="false" customHeight="false" outlineLevel="0" collapsed="false">
      <c r="A309" s="23" t="s">
        <v>1218</v>
      </c>
      <c r="B309" s="23" t="s">
        <v>81</v>
      </c>
      <c r="C309" s="23" t="s">
        <v>82</v>
      </c>
      <c r="D309" s="24" t="n">
        <v>1141</v>
      </c>
      <c r="E309" s="23" t="s">
        <v>1219</v>
      </c>
      <c r="F309" s="23" t="s">
        <v>1220</v>
      </c>
      <c r="G309" s="25" t="n">
        <v>45707</v>
      </c>
      <c r="H309" s="23" t="n">
        <v>24</v>
      </c>
      <c r="I309" s="25" t="n">
        <v>46436</v>
      </c>
      <c r="J309" s="23" t="s">
        <v>251</v>
      </c>
      <c r="K309" s="23" t="s">
        <v>86</v>
      </c>
      <c r="L309" s="26" t="n">
        <v>2270</v>
      </c>
      <c r="M309" s="26" t="n">
        <v>0</v>
      </c>
      <c r="N309" s="27" t="n">
        <f aca="false">IF(OR($L309="",$H309="",$H309=0),"",$L309-N($M309)/$H309)</f>
        <v>2270</v>
      </c>
      <c r="O309" s="23" t="s">
        <v>87</v>
      </c>
      <c r="P309" s="23" t="s">
        <v>88</v>
      </c>
      <c r="Q309" s="23" t="s">
        <v>89</v>
      </c>
      <c r="R309" s="23"/>
      <c r="S309" s="23"/>
      <c r="T309" s="23"/>
      <c r="U309" s="23"/>
      <c r="V309" s="23"/>
      <c r="W309" s="25"/>
      <c r="X309" s="23"/>
      <c r="Y309" s="26"/>
      <c r="Z309" s="26"/>
      <c r="AA309" s="27" t="str">
        <f aca="false">IF(OR($Y309="",$X309="",$X309=0),"",$Y309-N($Z309)/$X309)</f>
        <v/>
      </c>
      <c r="AB309" s="23"/>
      <c r="AC309" s="28" t="str">
        <f aca="false">IF(OR($Y309="",$L309="",$L309=0),"",$Y309/$L309-1)</f>
        <v/>
      </c>
      <c r="AD309" s="28" t="str">
        <f aca="false">IF(OR($AA309="",$N309="",$N309=0),"",$AA309/$N309-1)</f>
        <v/>
      </c>
      <c r="AE309" s="25"/>
      <c r="AF309" s="23"/>
      <c r="AG309" s="23"/>
      <c r="AH309" s="25"/>
      <c r="AI309" s="23"/>
      <c r="AJ309" s="26"/>
      <c r="AK309" s="26"/>
      <c r="AL309" s="27" t="str">
        <f aca="false">IF(OR($AJ309="",$AI309="",$AI309=0),"",$AJ309-N($AK309)/$AI309)</f>
        <v/>
      </c>
      <c r="AM309" s="28" t="str">
        <f aca="false">IF(OR($AJ309="",$L309="",$L309=0),"",$AJ309/$L309-1)</f>
        <v/>
      </c>
      <c r="AN309" s="28" t="str">
        <f aca="false">IF(OR($AL309="",$N309="",$N309=0),"",$AL309/$N309-1)</f>
        <v/>
      </c>
      <c r="AO309" s="24"/>
    </row>
    <row r="310" customFormat="false" ht="15" hidden="false" customHeight="false" outlineLevel="0" collapsed="false">
      <c r="A310" s="5" t="s">
        <v>1221</v>
      </c>
      <c r="B310" s="5" t="s">
        <v>102</v>
      </c>
      <c r="C310" s="5" t="s">
        <v>103</v>
      </c>
      <c r="D310" s="6" t="n">
        <v>693</v>
      </c>
      <c r="E310" s="5" t="s">
        <v>1222</v>
      </c>
      <c r="F310" s="5" t="s">
        <v>1223</v>
      </c>
      <c r="G310" s="20" t="n">
        <v>45937</v>
      </c>
      <c r="H310" s="5" t="n">
        <v>12</v>
      </c>
      <c r="I310" s="20" t="n">
        <v>46301</v>
      </c>
      <c r="J310" s="5" t="s">
        <v>106</v>
      </c>
      <c r="K310" s="5" t="s">
        <v>86</v>
      </c>
      <c r="L310" s="16" t="n">
        <v>1349</v>
      </c>
      <c r="M310" s="16" t="n">
        <v>0</v>
      </c>
      <c r="N310" s="21" t="n">
        <f aca="false">IF(OR($L310="",$H310="",$H310=0),"",$L310-N($M310)/$H310)</f>
        <v>1349</v>
      </c>
      <c r="O310" s="5" t="s">
        <v>87</v>
      </c>
      <c r="P310" s="5" t="s">
        <v>88</v>
      </c>
      <c r="Q310" s="5" t="s">
        <v>89</v>
      </c>
      <c r="R310" s="5"/>
      <c r="S310" s="5"/>
      <c r="T310" s="5"/>
      <c r="U310" s="5"/>
      <c r="V310" s="5"/>
      <c r="W310" s="20"/>
      <c r="X310" s="5"/>
      <c r="Y310" s="16"/>
      <c r="Z310" s="16"/>
      <c r="AA310" s="21" t="str">
        <f aca="false">IF(OR($Y310="",$X310="",$X310=0),"",$Y310-N($Z310)/$X310)</f>
        <v/>
      </c>
      <c r="AB310" s="5"/>
      <c r="AC310" s="22" t="str">
        <f aca="false">IF(OR($Y310="",$L310="",$L310=0),"",$Y310/$L310-1)</f>
        <v/>
      </c>
      <c r="AD310" s="22" t="str">
        <f aca="false">IF(OR($AA310="",$N310="",$N310=0),"",$AA310/$N310-1)</f>
        <v/>
      </c>
      <c r="AE310" s="20"/>
      <c r="AF310" s="5"/>
      <c r="AG310" s="5"/>
      <c r="AH310" s="20"/>
      <c r="AI310" s="5"/>
      <c r="AJ310" s="16"/>
      <c r="AK310" s="16"/>
      <c r="AL310" s="21" t="str">
        <f aca="false">IF(OR($AJ310="",$AI310="",$AI310=0),"",$AJ310-N($AK310)/$AI310)</f>
        <v/>
      </c>
      <c r="AM310" s="22" t="str">
        <f aca="false">IF(OR($AJ310="",$L310="",$L310=0),"",$AJ310/$L310-1)</f>
        <v/>
      </c>
      <c r="AN310" s="22" t="str">
        <f aca="false">IF(OR($AL310="",$N310="",$N310=0),"",$AL310/$N310-1)</f>
        <v/>
      </c>
      <c r="AO310" s="6"/>
    </row>
    <row r="311" customFormat="false" ht="15" hidden="false" customHeight="false" outlineLevel="0" collapsed="false">
      <c r="A311" s="23" t="s">
        <v>1224</v>
      </c>
      <c r="B311" s="23" t="s">
        <v>113</v>
      </c>
      <c r="C311" s="23" t="s">
        <v>82</v>
      </c>
      <c r="D311" s="24" t="n">
        <v>1092</v>
      </c>
      <c r="E311" s="23" t="s">
        <v>1225</v>
      </c>
      <c r="F311" s="23" t="s">
        <v>1226</v>
      </c>
      <c r="G311" s="25" t="n">
        <v>45944</v>
      </c>
      <c r="H311" s="23" t="n">
        <v>12</v>
      </c>
      <c r="I311" s="25" t="n">
        <v>46308</v>
      </c>
      <c r="J311" s="23" t="s">
        <v>106</v>
      </c>
      <c r="K311" s="23" t="s">
        <v>86</v>
      </c>
      <c r="L311" s="26" t="n">
        <v>1685</v>
      </c>
      <c r="M311" s="26" t="n">
        <v>0</v>
      </c>
      <c r="N311" s="27" t="n">
        <f aca="false">IF(OR($L311="",$H311="",$H311=0),"",$L311-N($M311)/$H311)</f>
        <v>1685</v>
      </c>
      <c r="O311" s="23" t="s">
        <v>87</v>
      </c>
      <c r="P311" s="23" t="s">
        <v>88</v>
      </c>
      <c r="Q311" s="23" t="s">
        <v>89</v>
      </c>
      <c r="R311" s="23"/>
      <c r="S311" s="23"/>
      <c r="T311" s="23"/>
      <c r="U311" s="23"/>
      <c r="V311" s="23"/>
      <c r="W311" s="25"/>
      <c r="X311" s="23"/>
      <c r="Y311" s="26"/>
      <c r="Z311" s="26"/>
      <c r="AA311" s="27" t="str">
        <f aca="false">IF(OR($Y311="",$X311="",$X311=0),"",$Y311-N($Z311)/$X311)</f>
        <v/>
      </c>
      <c r="AB311" s="23"/>
      <c r="AC311" s="28" t="str">
        <f aca="false">IF(OR($Y311="",$L311="",$L311=0),"",$Y311/$L311-1)</f>
        <v/>
      </c>
      <c r="AD311" s="28" t="str">
        <f aca="false">IF(OR($AA311="",$N311="",$N311=0),"",$AA311/$N311-1)</f>
        <v/>
      </c>
      <c r="AE311" s="25"/>
      <c r="AF311" s="23"/>
      <c r="AG311" s="23"/>
      <c r="AH311" s="25"/>
      <c r="AI311" s="23"/>
      <c r="AJ311" s="26"/>
      <c r="AK311" s="26"/>
      <c r="AL311" s="27" t="str">
        <f aca="false">IF(OR($AJ311="",$AI311="",$AI311=0),"",$AJ311-N($AK311)/$AI311)</f>
        <v/>
      </c>
      <c r="AM311" s="28" t="str">
        <f aca="false">IF(OR($AJ311="",$L311="",$L311=0),"",$AJ311/$L311-1)</f>
        <v/>
      </c>
      <c r="AN311" s="28" t="str">
        <f aca="false">IF(OR($AL311="",$N311="",$N311=0),"",$AL311/$N311-1)</f>
        <v/>
      </c>
      <c r="AO311" s="24"/>
    </row>
    <row r="312" customFormat="false" ht="15" hidden="false" customHeight="false" outlineLevel="0" collapsed="false">
      <c r="A312" s="5" t="s">
        <v>1227</v>
      </c>
      <c r="B312" s="5" t="s">
        <v>275</v>
      </c>
      <c r="C312" s="5" t="s">
        <v>276</v>
      </c>
      <c r="D312" s="6" t="n">
        <v>517</v>
      </c>
      <c r="E312" s="5" t="s">
        <v>1228</v>
      </c>
      <c r="F312" s="5" t="s">
        <v>1229</v>
      </c>
      <c r="G312" s="20" t="n">
        <v>45631</v>
      </c>
      <c r="H312" s="5" t="n">
        <v>12</v>
      </c>
      <c r="I312" s="20" t="n">
        <v>46026</v>
      </c>
      <c r="J312" s="5" t="s">
        <v>177</v>
      </c>
      <c r="K312" s="5" t="s">
        <v>126</v>
      </c>
      <c r="L312" s="16" t="n">
        <v>1420</v>
      </c>
      <c r="M312" s="16" t="n">
        <v>2628</v>
      </c>
      <c r="N312" s="21" t="n">
        <f aca="false">IF(OR($L312="",$H312="",$H312=0),"",$L312-N($M312)/$H312)</f>
        <v>1201</v>
      </c>
      <c r="O312" s="5" t="s">
        <v>87</v>
      </c>
      <c r="P312" s="5" t="s">
        <v>96</v>
      </c>
      <c r="Q312" s="5" t="s">
        <v>127</v>
      </c>
      <c r="R312" s="5" t="s">
        <v>98</v>
      </c>
      <c r="S312" s="5" t="s">
        <v>98</v>
      </c>
      <c r="T312" s="5"/>
      <c r="U312" s="5"/>
      <c r="V312" s="5"/>
      <c r="W312" s="20" t="n">
        <v>46027</v>
      </c>
      <c r="X312" s="5" t="n">
        <v>12</v>
      </c>
      <c r="Y312" s="16" t="n">
        <v>1420</v>
      </c>
      <c r="Z312" s="16" t="n">
        <v>0</v>
      </c>
      <c r="AA312" s="21" t="n">
        <f aca="false">IF(OR($Y312="",$X312="",$X312=0),"",$Y312-N($Z312)/$X312)</f>
        <v>1420</v>
      </c>
      <c r="AB312" s="5"/>
      <c r="AC312" s="22" t="n">
        <f aca="false">IF(OR($Y312="",$L312="",$L312=0),"",$Y312/$L312-1)</f>
        <v>0</v>
      </c>
      <c r="AD312" s="22" t="n">
        <f aca="false">IF(OR($AA312="",$N312="",$N312=0),"",$AA312/$N312-1)</f>
        <v>0.182348043297252</v>
      </c>
      <c r="AE312" s="20"/>
      <c r="AF312" s="5"/>
      <c r="AG312" s="5"/>
      <c r="AH312" s="20"/>
      <c r="AI312" s="5"/>
      <c r="AJ312" s="16"/>
      <c r="AK312" s="16"/>
      <c r="AL312" s="21" t="str">
        <f aca="false">IF(OR($AJ312="",$AI312="",$AI312=0),"",$AJ312-N($AK312)/$AI312)</f>
        <v/>
      </c>
      <c r="AM312" s="22" t="str">
        <f aca="false">IF(OR($AJ312="",$L312="",$L312=0),"",$AJ312/$L312-1)</f>
        <v/>
      </c>
      <c r="AN312" s="22" t="str">
        <f aca="false">IF(OR($AL312="",$N312="",$N312=0),"",$AL312/$N312-1)</f>
        <v/>
      </c>
      <c r="AO312" s="6"/>
    </row>
    <row r="313" customFormat="false" ht="15" hidden="false" customHeight="false" outlineLevel="0" collapsed="false">
      <c r="A313" s="23" t="s">
        <v>1230</v>
      </c>
      <c r="B313" s="23" t="s">
        <v>102</v>
      </c>
      <c r="C313" s="23" t="s">
        <v>103</v>
      </c>
      <c r="D313" s="24" t="n">
        <v>693</v>
      </c>
      <c r="E313" s="23" t="s">
        <v>1231</v>
      </c>
      <c r="F313" s="23" t="s">
        <v>1232</v>
      </c>
      <c r="G313" s="25" t="n">
        <v>45898</v>
      </c>
      <c r="H313" s="23" t="n">
        <v>16</v>
      </c>
      <c r="I313" s="25" t="n">
        <v>46384</v>
      </c>
      <c r="J313" s="23" t="s">
        <v>85</v>
      </c>
      <c r="K313" s="23" t="s">
        <v>86</v>
      </c>
      <c r="L313" s="26" t="n">
        <v>1585</v>
      </c>
      <c r="M313" s="26" t="n">
        <v>2377</v>
      </c>
      <c r="N313" s="27" t="n">
        <f aca="false">IF(OR($L313="",$H313="",$H313=0),"",$L313-N($M313)/$H313)</f>
        <v>1436.4375</v>
      </c>
      <c r="O313" s="23" t="s">
        <v>87</v>
      </c>
      <c r="P313" s="23" t="s">
        <v>88</v>
      </c>
      <c r="Q313" s="23" t="s">
        <v>89</v>
      </c>
      <c r="R313" s="23"/>
      <c r="S313" s="23"/>
      <c r="T313" s="23"/>
      <c r="U313" s="23"/>
      <c r="V313" s="23"/>
      <c r="W313" s="25"/>
      <c r="X313" s="23"/>
      <c r="Y313" s="26"/>
      <c r="Z313" s="26"/>
      <c r="AA313" s="27" t="str">
        <f aca="false">IF(OR($Y313="",$X313="",$X313=0),"",$Y313-N($Z313)/$X313)</f>
        <v/>
      </c>
      <c r="AB313" s="23"/>
      <c r="AC313" s="28" t="str">
        <f aca="false">IF(OR($Y313="",$L313="",$L313=0),"",$Y313/$L313-1)</f>
        <v/>
      </c>
      <c r="AD313" s="28" t="str">
        <f aca="false">IF(OR($AA313="",$N313="",$N313=0),"",$AA313/$N313-1)</f>
        <v/>
      </c>
      <c r="AE313" s="25"/>
      <c r="AF313" s="23"/>
      <c r="AG313" s="23"/>
      <c r="AH313" s="25"/>
      <c r="AI313" s="23"/>
      <c r="AJ313" s="26"/>
      <c r="AK313" s="26"/>
      <c r="AL313" s="27" t="str">
        <f aca="false">IF(OR($AJ313="",$AI313="",$AI313=0),"",$AJ313-N($AK313)/$AI313)</f>
        <v/>
      </c>
      <c r="AM313" s="28" t="str">
        <f aca="false">IF(OR($AJ313="",$L313="",$L313=0),"",$AJ313/$L313-1)</f>
        <v/>
      </c>
      <c r="AN313" s="28" t="str">
        <f aca="false">IF(OR($AL313="",$N313="",$N313=0),"",$AL313/$N313-1)</f>
        <v/>
      </c>
      <c r="AO313" s="24"/>
    </row>
    <row r="314" customFormat="false" ht="15" hidden="false" customHeight="false" outlineLevel="0" collapsed="false">
      <c r="A314" s="5" t="s">
        <v>1233</v>
      </c>
      <c r="B314" s="5" t="s">
        <v>161</v>
      </c>
      <c r="C314" s="5" t="s">
        <v>92</v>
      </c>
      <c r="D314" s="6" t="n">
        <v>1340</v>
      </c>
      <c r="E314" s="5" t="s">
        <v>1234</v>
      </c>
      <c r="F314" s="5" t="s">
        <v>1235</v>
      </c>
      <c r="G314" s="20" t="n">
        <v>45969</v>
      </c>
      <c r="H314" s="5" t="n">
        <v>8</v>
      </c>
      <c r="I314" s="20" t="n">
        <v>46210</v>
      </c>
      <c r="J314" s="5" t="s">
        <v>116</v>
      </c>
      <c r="K314" s="5" t="s">
        <v>86</v>
      </c>
      <c r="L314" s="16" t="n">
        <v>2280</v>
      </c>
      <c r="M314" s="16" t="n">
        <v>0</v>
      </c>
      <c r="N314" s="21" t="n">
        <f aca="false">IF(OR($L314="",$H314="",$H314=0),"",$L314-N($M314)/$H314)</f>
        <v>2280</v>
      </c>
      <c r="O314" s="5" t="s">
        <v>87</v>
      </c>
      <c r="P314" s="5" t="s">
        <v>88</v>
      </c>
      <c r="Q314" s="5" t="s">
        <v>97</v>
      </c>
      <c r="R314" s="5" t="s">
        <v>98</v>
      </c>
      <c r="S314" s="5" t="s">
        <v>98</v>
      </c>
      <c r="T314" s="5"/>
      <c r="U314" s="5"/>
      <c r="V314" s="5"/>
      <c r="W314" s="20"/>
      <c r="X314" s="5"/>
      <c r="Y314" s="16"/>
      <c r="Z314" s="16"/>
      <c r="AA314" s="21" t="str">
        <f aca="false">IF(OR($Y314="",$X314="",$X314=0),"",$Y314-N($Z314)/$X314)</f>
        <v/>
      </c>
      <c r="AB314" s="5"/>
      <c r="AC314" s="22" t="str">
        <f aca="false">IF(OR($Y314="",$L314="",$L314=0),"",$Y314/$L314-1)</f>
        <v/>
      </c>
      <c r="AD314" s="22" t="str">
        <f aca="false">IF(OR($AA314="",$N314="",$N314=0),"",$AA314/$N314-1)</f>
        <v/>
      </c>
      <c r="AE314" s="20" t="n">
        <v>46210</v>
      </c>
      <c r="AF314" s="5" t="s">
        <v>1236</v>
      </c>
      <c r="AG314" s="5" t="s">
        <v>1210</v>
      </c>
      <c r="AH314" s="20" t="n">
        <v>46221</v>
      </c>
      <c r="AI314" s="5" t="n">
        <v>9</v>
      </c>
      <c r="AJ314" s="16" t="n">
        <v>2579</v>
      </c>
      <c r="AK314" s="16" t="n">
        <v>0</v>
      </c>
      <c r="AL314" s="21" t="n">
        <f aca="false">IF(OR($AJ314="",$AI314="",$AI314=0),"",$AJ314-N($AK314)/$AI314)</f>
        <v>2579</v>
      </c>
      <c r="AM314" s="22" t="n">
        <f aca="false">IF(OR($AJ314="",$L314="",$L314=0),"",$AJ314/$L314-1)</f>
        <v>0.131140350877193</v>
      </c>
      <c r="AN314" s="22" t="n">
        <f aca="false">IF(OR($AL314="",$N314="",$N314=0),"",$AL314/$N314-1)</f>
        <v>0.131140350877193</v>
      </c>
      <c r="AO314" s="6" t="n">
        <v>11</v>
      </c>
    </row>
    <row r="315" customFormat="false" ht="15" hidden="false" customHeight="false" outlineLevel="0" collapsed="false">
      <c r="A315" s="23" t="s">
        <v>1237</v>
      </c>
      <c r="B315" s="23" t="s">
        <v>81</v>
      </c>
      <c r="C315" s="23" t="s">
        <v>82</v>
      </c>
      <c r="D315" s="24" t="n">
        <v>1141</v>
      </c>
      <c r="E315" s="23" t="s">
        <v>1238</v>
      </c>
      <c r="F315" s="23" t="s">
        <v>1239</v>
      </c>
      <c r="G315" s="25" t="n">
        <v>45619</v>
      </c>
      <c r="H315" s="23" t="n">
        <v>12</v>
      </c>
      <c r="I315" s="25" t="n">
        <v>46013</v>
      </c>
      <c r="J315" s="23" t="s">
        <v>289</v>
      </c>
      <c r="K315" s="23" t="s">
        <v>126</v>
      </c>
      <c r="L315" s="26" t="n">
        <v>2020</v>
      </c>
      <c r="M315" s="26" t="n">
        <v>3732</v>
      </c>
      <c r="N315" s="27" t="n">
        <f aca="false">IF(OR($L315="",$H315="",$H315=0),"",$L315-N($M315)/$H315)</f>
        <v>1709</v>
      </c>
      <c r="O315" s="23" t="s">
        <v>532</v>
      </c>
      <c r="P315" s="23" t="s">
        <v>96</v>
      </c>
      <c r="Q315" s="23" t="s">
        <v>127</v>
      </c>
      <c r="R315" s="23" t="s">
        <v>98</v>
      </c>
      <c r="S315" s="23" t="s">
        <v>98</v>
      </c>
      <c r="T315" s="23"/>
      <c r="U315" s="23"/>
      <c r="V315" s="23"/>
      <c r="W315" s="25" t="n">
        <v>46014</v>
      </c>
      <c r="X315" s="23" t="n">
        <v>12</v>
      </c>
      <c r="Y315" s="26" t="n">
        <v>2020</v>
      </c>
      <c r="Z315" s="26" t="n">
        <v>0</v>
      </c>
      <c r="AA315" s="27" t="n">
        <f aca="false">IF(OR($Y315="",$X315="",$X315=0),"",$Y315-N($Z315)/$X315)</f>
        <v>2020</v>
      </c>
      <c r="AB315" s="23"/>
      <c r="AC315" s="28" t="n">
        <f aca="false">IF(OR($Y315="",$L315="",$L315=0),"",$Y315/$L315-1)</f>
        <v>0</v>
      </c>
      <c r="AD315" s="28" t="n">
        <f aca="false">IF(OR($AA315="",$N315="",$N315=0),"",$AA315/$N315-1)</f>
        <v>0.181977764774722</v>
      </c>
      <c r="AE315" s="25"/>
      <c r="AF315" s="23"/>
      <c r="AG315" s="23"/>
      <c r="AH315" s="25"/>
      <c r="AI315" s="23"/>
      <c r="AJ315" s="26"/>
      <c r="AK315" s="26"/>
      <c r="AL315" s="27" t="str">
        <f aca="false">IF(OR($AJ315="",$AI315="",$AI315=0),"",$AJ315-N($AK315)/$AI315)</f>
        <v/>
      </c>
      <c r="AM315" s="28" t="str">
        <f aca="false">IF(OR($AJ315="",$L315="",$L315=0),"",$AJ315/$L315-1)</f>
        <v/>
      </c>
      <c r="AN315" s="28" t="str">
        <f aca="false">IF(OR($AL315="",$N315="",$N315=0),"",$AL315/$N315-1)</f>
        <v/>
      </c>
      <c r="AO315" s="24"/>
    </row>
  </sheetData>
  <autoFilter ref="A1:AO3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12" min="7" style="0" width="10"/>
  </cols>
  <sheetData>
    <row r="1" customFormat="false" ht="30" hidden="false" customHeight="true" outlineLevel="0" collapsed="false">
      <c r="A1" s="19" t="s">
        <v>1240</v>
      </c>
      <c r="B1" s="19" t="s">
        <v>1241</v>
      </c>
      <c r="C1" s="19" t="s">
        <v>1242</v>
      </c>
      <c r="D1" s="19" t="s">
        <v>127</v>
      </c>
      <c r="E1" s="19" t="s">
        <v>97</v>
      </c>
      <c r="F1" s="19" t="s">
        <v>1243</v>
      </c>
      <c r="G1" s="19" t="s">
        <v>1244</v>
      </c>
      <c r="H1" s="19" t="s">
        <v>1245</v>
      </c>
      <c r="I1" s="19" t="s">
        <v>1246</v>
      </c>
      <c r="J1" s="19" t="s">
        <v>1247</v>
      </c>
      <c r="K1" s="19" t="s">
        <v>1248</v>
      </c>
      <c r="L1" s="19" t="s">
        <v>1249</v>
      </c>
    </row>
    <row r="2" customFormat="false" ht="15" hidden="false" customHeight="false" outlineLevel="0" collapsed="false">
      <c r="A2" s="5" t="s">
        <v>102</v>
      </c>
      <c r="B2" s="5" t="n">
        <f aca="false">COUNTIF('Unit Ledger'!$B$2:$B$315,"A1_Seas")</f>
        <v>108</v>
      </c>
      <c r="C2" s="5" t="n">
        <f aca="false">D2+E2+F2</f>
        <v>49</v>
      </c>
      <c r="D2" s="5" t="n">
        <f aca="false">COUNTIFS('Unit Ledger'!$B$2:$B$315,"A1_Seas",'Unit Ledger'!$S$2:$S$315,"Y",'Unit Ledger'!$Q$2:$Q$315,"Renewed")</f>
        <v>25</v>
      </c>
      <c r="E2" s="5" t="n">
        <f aca="false">COUNTIFS('Unit Ledger'!$B$2:$B$315,"A1_Seas",'Unit Ledger'!$S$2:$S$315,"Y",'Unit Ledger'!$Q$2:$Q$315,"Moved Out")</f>
        <v>23</v>
      </c>
      <c r="F2" s="5" t="n">
        <f aca="false">COUNTIFS('Unit Ledger'!$B$2:$B$315,"A1_Seas",'Unit Ledger'!$S$2:$S$315,"Y",'Unit Ledger'!$Q$2:$Q$315,"MTM Holdover")</f>
        <v>1</v>
      </c>
      <c r="G2" s="10" t="n">
        <f aca="false">IF(C2=0,"",D2/C2)</f>
        <v>0.510204081632653</v>
      </c>
      <c r="H2" s="16" t="n">
        <f aca="false">IFERROR(AVERAGEIFS('Unit Ledger'!$L$2:$L$315,'Unit Ledger'!$Q$2:$Q$315,"&lt;&gt;zz",'Unit Ledger'!$B$2:$B$315,"A1_Seas"),"")</f>
        <v>1457.2037037037</v>
      </c>
      <c r="I2" s="22" t="n">
        <f aca="false">IFERROR(AVERAGEIFS('Unit Ledger'!$AC$2:$AC$315,'Unit Ledger'!$Q$2:$Q$315,"Renewed",'Unit Ledger'!$V$2:$V$315,"&lt;&gt;Y",'Unit Ledger'!$B$2:$B$315,"A1_Seas"),"")</f>
        <v>0.0155133215665317</v>
      </c>
      <c r="J2" s="22" t="n">
        <f aca="false">IFERROR(AVERAGEIFS('Unit Ledger'!$AD$2:$AD$315,'Unit Ledger'!$Q$2:$Q$315,"Renewed",'Unit Ledger'!$V$2:$V$315,"&lt;&gt;Y",'Unit Ledger'!$B$2:$B$315,"A1_Seas"),"")</f>
        <v>0.101251429296445</v>
      </c>
      <c r="K2" s="22" t="n">
        <f aca="false">IFERROR(AVERAGEIFS('Unit Ledger'!$AM$2:$AM$315,'Unit Ledger'!$Q$2:$Q$315,"Moved Out",'Unit Ledger'!$V$2:$V$315,"&lt;&gt;Y",'Unit Ledger'!$B$2:$B$315,"A1_Seas"),"")</f>
        <v>0.0603454808237769</v>
      </c>
      <c r="L2" s="22" t="n">
        <f aca="false">IFERROR(AVERAGEIFS('Unit Ledger'!$AN$2:$AN$315,'Unit Ledger'!$Q$2:$Q$315,"Moved Out",'Unit Ledger'!$V$2:$V$315,"&lt;&gt;Y",'Unit Ledger'!$B$2:$B$315,"A1_Seas"),"")</f>
        <v>0.131332302904122</v>
      </c>
    </row>
    <row r="3" customFormat="false" ht="15" hidden="false" customHeight="false" outlineLevel="0" collapsed="false">
      <c r="A3" s="5" t="s">
        <v>108</v>
      </c>
      <c r="B3" s="5" t="n">
        <f aca="false">COUNTIF('Unit Ledger'!$B$2:$B$315,"A2_Seas")</f>
        <v>32</v>
      </c>
      <c r="C3" s="5" t="n">
        <f aca="false">D3+E3+F3</f>
        <v>14</v>
      </c>
      <c r="D3" s="5" t="n">
        <f aca="false">COUNTIFS('Unit Ledger'!$B$2:$B$315,"A2_Seas",'Unit Ledger'!$S$2:$S$315,"Y",'Unit Ledger'!$Q$2:$Q$315,"Renewed")</f>
        <v>3</v>
      </c>
      <c r="E3" s="5" t="n">
        <f aca="false">COUNTIFS('Unit Ledger'!$B$2:$B$315,"A2_Seas",'Unit Ledger'!$S$2:$S$315,"Y",'Unit Ledger'!$Q$2:$Q$315,"Moved Out")</f>
        <v>10</v>
      </c>
      <c r="F3" s="5" t="n">
        <f aca="false">COUNTIFS('Unit Ledger'!$B$2:$B$315,"A2_Seas",'Unit Ledger'!$S$2:$S$315,"Y",'Unit Ledger'!$Q$2:$Q$315,"MTM Holdover")</f>
        <v>1</v>
      </c>
      <c r="G3" s="10" t="n">
        <f aca="false">IF(C3=0,"",D3/C3)</f>
        <v>0.214285714285714</v>
      </c>
      <c r="H3" s="16" t="n">
        <f aca="false">IFERROR(AVERAGEIFS('Unit Ledger'!$L$2:$L$315,'Unit Ledger'!$Q$2:$Q$315,"&lt;&gt;zz",'Unit Ledger'!$B$2:$B$315,"A2_Seas"),"")</f>
        <v>1648.59375</v>
      </c>
      <c r="I3" s="22" t="n">
        <f aca="false">IFERROR(AVERAGEIFS('Unit Ledger'!$AC$2:$AC$315,'Unit Ledger'!$Q$2:$Q$315,"Renewed",'Unit Ledger'!$V$2:$V$315,"&lt;&gt;Y",'Unit Ledger'!$B$2:$B$315,"A2_Seas"),"")</f>
        <v>0.00199720391451967</v>
      </c>
      <c r="J3" s="22" t="n">
        <f aca="false">IFERROR(AVERAGEIFS('Unit Ledger'!$AD$2:$AD$315,'Unit Ledger'!$Q$2:$Q$315,"Renewed",'Unit Ledger'!$V$2:$V$315,"&lt;&gt;Y",'Unit Ledger'!$B$2:$B$315,"A2_Seas"),"")</f>
        <v>0.0628390397953269</v>
      </c>
      <c r="K3" s="22" t="n">
        <f aca="false">IFERROR(AVERAGEIFS('Unit Ledger'!$AM$2:$AM$315,'Unit Ledger'!$Q$2:$Q$315,"Moved Out",'Unit Ledger'!$V$2:$V$315,"&lt;&gt;Y",'Unit Ledger'!$B$2:$B$315,"A2_Seas"),"")</f>
        <v>0.0144288152474908</v>
      </c>
      <c r="L3" s="22" t="n">
        <f aca="false">IFERROR(AVERAGEIFS('Unit Ledger'!$AN$2:$AN$315,'Unit Ledger'!$Q$2:$Q$315,"Moved Out",'Unit Ledger'!$V$2:$V$315,"&lt;&gt;Y",'Unit Ledger'!$B$2:$B$315,"A2_Seas"),"")</f>
        <v>0.0793218351403738</v>
      </c>
    </row>
    <row r="4" customFormat="false" ht="15" hidden="false" customHeight="false" outlineLevel="0" collapsed="false">
      <c r="A4" s="5" t="s">
        <v>113</v>
      </c>
      <c r="B4" s="5" t="n">
        <f aca="false">COUNTIF('Unit Ledger'!$B$2:$B$315,"B1_Seas")</f>
        <v>25</v>
      </c>
      <c r="C4" s="5" t="n">
        <f aca="false">D4+E4+F4</f>
        <v>10</v>
      </c>
      <c r="D4" s="5" t="n">
        <f aca="false">COUNTIFS('Unit Ledger'!$B$2:$B$315,"B1_Seas",'Unit Ledger'!$S$2:$S$315,"Y",'Unit Ledger'!$Q$2:$Q$315,"Renewed")</f>
        <v>6</v>
      </c>
      <c r="E4" s="5" t="n">
        <f aca="false">COUNTIFS('Unit Ledger'!$B$2:$B$315,"B1_Seas",'Unit Ledger'!$S$2:$S$315,"Y",'Unit Ledger'!$Q$2:$Q$315,"Moved Out")</f>
        <v>4</v>
      </c>
      <c r="F4" s="5" t="n">
        <f aca="false">COUNTIFS('Unit Ledger'!$B$2:$B$315,"B1_Seas",'Unit Ledger'!$S$2:$S$315,"Y",'Unit Ledger'!$Q$2:$Q$315,"MTM Holdover")</f>
        <v>0</v>
      </c>
      <c r="G4" s="10" t="n">
        <f aca="false">IF(C4=0,"",D4/C4)</f>
        <v>0.6</v>
      </c>
      <c r="H4" s="16" t="n">
        <f aca="false">IFERROR(AVERAGEIFS('Unit Ledger'!$L$2:$L$315,'Unit Ledger'!$Q$2:$Q$315,"&lt;&gt;zz",'Unit Ledger'!$B$2:$B$315,"B1_Seas"),"")</f>
        <v>1782.72</v>
      </c>
      <c r="I4" s="22" t="n">
        <f aca="false">IFERROR(AVERAGEIFS('Unit Ledger'!$AC$2:$AC$315,'Unit Ledger'!$Q$2:$Q$315,"Renewed",'Unit Ledger'!$V$2:$V$315,"&lt;&gt;Y",'Unit Ledger'!$B$2:$B$315,"B1_Seas"),"")</f>
        <v>0.0167041989491858</v>
      </c>
      <c r="J4" s="22" t="n">
        <f aca="false">IFERROR(AVERAGEIFS('Unit Ledger'!$AD$2:$AD$315,'Unit Ledger'!$Q$2:$Q$315,"Renewed",'Unit Ledger'!$V$2:$V$315,"&lt;&gt;Y",'Unit Ledger'!$B$2:$B$315,"B1_Seas"),"")</f>
        <v>0.0683964700526168</v>
      </c>
      <c r="K4" s="22" t="n">
        <f aca="false">IFERROR(AVERAGEIFS('Unit Ledger'!$AM$2:$AM$315,'Unit Ledger'!$Q$2:$Q$315,"Moved Out",'Unit Ledger'!$V$2:$V$315,"&lt;&gt;Y",'Unit Ledger'!$B$2:$B$315,"B1_Seas"),"")</f>
        <v>0.0381201603215871</v>
      </c>
      <c r="L4" s="22" t="n">
        <f aca="false">IFERROR(AVERAGEIFS('Unit Ledger'!$AN$2:$AN$315,'Unit Ledger'!$Q$2:$Q$315,"Moved Out",'Unit Ledger'!$V$2:$V$315,"&lt;&gt;Y",'Unit Ledger'!$B$2:$B$315,"B1_Seas"),"")</f>
        <v>0.0451626919447704</v>
      </c>
    </row>
    <row r="5" customFormat="false" ht="15" hidden="false" customHeight="false" outlineLevel="0" collapsed="false">
      <c r="A5" s="5" t="s">
        <v>81</v>
      </c>
      <c r="B5" s="5" t="n">
        <f aca="false">COUNTIF('Unit Ledger'!$B$2:$B$315,"B2_Seas")</f>
        <v>70</v>
      </c>
      <c r="C5" s="5" t="n">
        <f aca="false">D5+E5+F5</f>
        <v>35</v>
      </c>
      <c r="D5" s="5" t="n">
        <f aca="false">COUNTIFS('Unit Ledger'!$B$2:$B$315,"B2_Seas",'Unit Ledger'!$S$2:$S$315,"Y",'Unit Ledger'!$Q$2:$Q$315,"Renewed")</f>
        <v>12</v>
      </c>
      <c r="E5" s="5" t="n">
        <f aca="false">COUNTIFS('Unit Ledger'!$B$2:$B$315,"B2_Seas",'Unit Ledger'!$S$2:$S$315,"Y",'Unit Ledger'!$Q$2:$Q$315,"Moved Out")</f>
        <v>22</v>
      </c>
      <c r="F5" s="5" t="n">
        <f aca="false">COUNTIFS('Unit Ledger'!$B$2:$B$315,"B2_Seas",'Unit Ledger'!$S$2:$S$315,"Y",'Unit Ledger'!$Q$2:$Q$315,"MTM Holdover")</f>
        <v>1</v>
      </c>
      <c r="G5" s="10" t="n">
        <f aca="false">IF(C5=0,"",D5/C5)</f>
        <v>0.342857142857143</v>
      </c>
      <c r="H5" s="16" t="n">
        <f aca="false">IFERROR(AVERAGEIFS('Unit Ledger'!$L$2:$L$315,'Unit Ledger'!$Q$2:$Q$315,"&lt;&gt;zz",'Unit Ledger'!$B$2:$B$315,"B2_Seas"),"")</f>
        <v>1959.64285714286</v>
      </c>
      <c r="I5" s="22" t="n">
        <f aca="false">IFERROR(AVERAGEIFS('Unit Ledger'!$AC$2:$AC$315,'Unit Ledger'!$Q$2:$Q$315,"Renewed",'Unit Ledger'!$V$2:$V$315,"&lt;&gt;Y",'Unit Ledger'!$B$2:$B$315,"B2_Seas"),"")</f>
        <v>0.0105334039440359</v>
      </c>
      <c r="J5" s="22" t="n">
        <f aca="false">IFERROR(AVERAGEIFS('Unit Ledger'!$AD$2:$AD$315,'Unit Ledger'!$Q$2:$Q$315,"Renewed",'Unit Ledger'!$V$2:$V$315,"&lt;&gt;Y",'Unit Ledger'!$B$2:$B$315,"B2_Seas"),"")</f>
        <v>0.107365407938019</v>
      </c>
      <c r="K5" s="22" t="n">
        <f aca="false">IFERROR(AVERAGEIFS('Unit Ledger'!$AM$2:$AM$315,'Unit Ledger'!$Q$2:$Q$315,"Moved Out",'Unit Ledger'!$V$2:$V$315,"&lt;&gt;Y",'Unit Ledger'!$B$2:$B$315,"B2_Seas"),"")</f>
        <v>0.0196744635687356</v>
      </c>
      <c r="L5" s="22" t="n">
        <f aca="false">IFERROR(AVERAGEIFS('Unit Ledger'!$AN$2:$AN$315,'Unit Ledger'!$Q$2:$Q$315,"Moved Out",'Unit Ledger'!$V$2:$V$315,"&lt;&gt;Y",'Unit Ledger'!$B$2:$B$315,"B2_Seas"),"")</f>
        <v>0.0659791972815847</v>
      </c>
    </row>
    <row r="6" customFormat="false" ht="15" hidden="false" customHeight="false" outlineLevel="0" collapsed="false">
      <c r="A6" s="5" t="s">
        <v>145</v>
      </c>
      <c r="B6" s="5" t="n">
        <f aca="false">COUNTIF('Unit Ledger'!$B$2:$B$315,"B3a_Seas")</f>
        <v>15</v>
      </c>
      <c r="C6" s="5" t="n">
        <f aca="false">D6+E6+F6</f>
        <v>9</v>
      </c>
      <c r="D6" s="5" t="n">
        <f aca="false">COUNTIFS('Unit Ledger'!$B$2:$B$315,"B3a_Seas",'Unit Ledger'!$S$2:$S$315,"Y",'Unit Ledger'!$Q$2:$Q$315,"Renewed")</f>
        <v>4</v>
      </c>
      <c r="E6" s="5" t="n">
        <f aca="false">COUNTIFS('Unit Ledger'!$B$2:$B$315,"B3a_Seas",'Unit Ledger'!$S$2:$S$315,"Y",'Unit Ledger'!$Q$2:$Q$315,"Moved Out")</f>
        <v>5</v>
      </c>
      <c r="F6" s="5" t="n">
        <f aca="false">COUNTIFS('Unit Ledger'!$B$2:$B$315,"B3a_Seas",'Unit Ledger'!$S$2:$S$315,"Y",'Unit Ledger'!$Q$2:$Q$315,"MTM Holdover")</f>
        <v>0</v>
      </c>
      <c r="G6" s="10" t="n">
        <f aca="false">IF(C6=0,"",D6/C6)</f>
        <v>0.444444444444444</v>
      </c>
      <c r="H6" s="16" t="n">
        <f aca="false">IFERROR(AVERAGEIFS('Unit Ledger'!$L$2:$L$315,'Unit Ledger'!$Q$2:$Q$315,"&lt;&gt;zz",'Unit Ledger'!$B$2:$B$315,"B3a_Seas"),"")</f>
        <v>1867.33333333333</v>
      </c>
      <c r="I6" s="22" t="n">
        <f aca="false">IFERROR(AVERAGEIFS('Unit Ledger'!$AC$2:$AC$315,'Unit Ledger'!$Q$2:$Q$315,"Renewed",'Unit Ledger'!$V$2:$V$315,"&lt;&gt;Y",'Unit Ledger'!$B$2:$B$315,"B3a_Seas"),"")</f>
        <v>0.0234911668823209</v>
      </c>
      <c r="J6" s="22" t="n">
        <f aca="false">IFERROR(AVERAGEIFS('Unit Ledger'!$AD$2:$AD$315,'Unit Ledger'!$Q$2:$Q$315,"Renewed",'Unit Ledger'!$V$2:$V$315,"&lt;&gt;Y",'Unit Ledger'!$B$2:$B$315,"B3a_Seas"),"")</f>
        <v>0.105479406699302</v>
      </c>
      <c r="K6" s="22" t="n">
        <f aca="false">IFERROR(AVERAGEIFS('Unit Ledger'!$AM$2:$AM$315,'Unit Ledger'!$Q$2:$Q$315,"Moved Out",'Unit Ledger'!$V$2:$V$315,"&lt;&gt;Y",'Unit Ledger'!$B$2:$B$315,"B3a_Seas"),"")</f>
        <v>0.0868131868131868</v>
      </c>
      <c r="L6" s="22" t="n">
        <f aca="false">IFERROR(AVERAGEIFS('Unit Ledger'!$AN$2:$AN$315,'Unit Ledger'!$Q$2:$Q$315,"Moved Out",'Unit Ledger'!$V$2:$V$315,"&lt;&gt;Y",'Unit Ledger'!$B$2:$B$315,"B3a_Seas"),"")</f>
        <v>0.219928501112872</v>
      </c>
    </row>
    <row r="7" customFormat="false" ht="15" hidden="false" customHeight="false" outlineLevel="0" collapsed="false">
      <c r="A7" s="5" t="s">
        <v>204</v>
      </c>
      <c r="B7" s="5" t="n">
        <f aca="false">COUNTIF('Unit Ledger'!$B$2:$B$315,"B3b_Seas")</f>
        <v>26</v>
      </c>
      <c r="C7" s="5" t="n">
        <f aca="false">D7+E7+F7</f>
        <v>11</v>
      </c>
      <c r="D7" s="5" t="n">
        <f aca="false">COUNTIFS('Unit Ledger'!$B$2:$B$315,"B3b_Seas",'Unit Ledger'!$S$2:$S$315,"Y",'Unit Ledger'!$Q$2:$Q$315,"Renewed")</f>
        <v>4</v>
      </c>
      <c r="E7" s="5" t="n">
        <f aca="false">COUNTIFS('Unit Ledger'!$B$2:$B$315,"B3b_Seas",'Unit Ledger'!$S$2:$S$315,"Y",'Unit Ledger'!$Q$2:$Q$315,"Moved Out")</f>
        <v>6</v>
      </c>
      <c r="F7" s="5" t="n">
        <f aca="false">COUNTIFS('Unit Ledger'!$B$2:$B$315,"B3b_Seas",'Unit Ledger'!$S$2:$S$315,"Y",'Unit Ledger'!$Q$2:$Q$315,"MTM Holdover")</f>
        <v>1</v>
      </c>
      <c r="G7" s="10" t="n">
        <f aca="false">IF(C7=0,"",D7/C7)</f>
        <v>0.363636363636364</v>
      </c>
      <c r="H7" s="16" t="n">
        <f aca="false">IFERROR(AVERAGEIFS('Unit Ledger'!$L$2:$L$315,'Unit Ledger'!$Q$2:$Q$315,"&lt;&gt;zz",'Unit Ledger'!$B$2:$B$315,"B3b_Seas"),"")</f>
        <v>1873.88461538462</v>
      </c>
      <c r="I7" s="22" t="n">
        <f aca="false">IFERROR(AVERAGEIFS('Unit Ledger'!$AC$2:$AC$315,'Unit Ledger'!$Q$2:$Q$315,"Renewed",'Unit Ledger'!$V$2:$V$315,"&lt;&gt;Y",'Unit Ledger'!$B$2:$B$315,"B3b_Seas"),"")</f>
        <v>0.0254287957606655</v>
      </c>
      <c r="J7" s="22" t="n">
        <f aca="false">IFERROR(AVERAGEIFS('Unit Ledger'!$AD$2:$AD$315,'Unit Ledger'!$Q$2:$Q$315,"Renewed",'Unit Ledger'!$V$2:$V$315,"&lt;&gt;Y",'Unit Ledger'!$B$2:$B$315,"B3b_Seas"),"")</f>
        <v>0.129916124249404</v>
      </c>
      <c r="K7" s="22" t="n">
        <f aca="false">IFERROR(AVERAGEIFS('Unit Ledger'!$AM$2:$AM$315,'Unit Ledger'!$Q$2:$Q$315,"Moved Out",'Unit Ledger'!$V$2:$V$315,"&lt;&gt;Y",'Unit Ledger'!$B$2:$B$315,"B3b_Seas"),"")</f>
        <v>0.090925762797454</v>
      </c>
      <c r="L7" s="22" t="n">
        <f aca="false">IFERROR(AVERAGEIFS('Unit Ledger'!$AN$2:$AN$315,'Unit Ledger'!$Q$2:$Q$315,"Moved Out",'Unit Ledger'!$V$2:$V$315,"&lt;&gt;Y",'Unit Ledger'!$B$2:$B$315,"B3b_Seas"),"")</f>
        <v>0.131630200367684</v>
      </c>
    </row>
    <row r="8" customFormat="false" ht="15" hidden="false" customHeight="false" outlineLevel="0" collapsed="false">
      <c r="A8" s="5" t="s">
        <v>91</v>
      </c>
      <c r="B8" s="5" t="n">
        <f aca="false">COUNTIF('Unit Ledger'!$B$2:$B$315,"C1a_Seas")</f>
        <v>10</v>
      </c>
      <c r="C8" s="5" t="n">
        <f aca="false">D8+E8+F8</f>
        <v>7</v>
      </c>
      <c r="D8" s="5" t="n">
        <f aca="false">COUNTIFS('Unit Ledger'!$B$2:$B$315,"C1a_Seas",'Unit Ledger'!$S$2:$S$315,"Y",'Unit Ledger'!$Q$2:$Q$315,"Renewed")</f>
        <v>3</v>
      </c>
      <c r="E8" s="5" t="n">
        <f aca="false">COUNTIFS('Unit Ledger'!$B$2:$B$315,"C1a_Seas",'Unit Ledger'!$S$2:$S$315,"Y",'Unit Ledger'!$Q$2:$Q$315,"Moved Out")</f>
        <v>3</v>
      </c>
      <c r="F8" s="5" t="n">
        <f aca="false">COUNTIFS('Unit Ledger'!$B$2:$B$315,"C1a_Seas",'Unit Ledger'!$S$2:$S$315,"Y",'Unit Ledger'!$Q$2:$Q$315,"MTM Holdover")</f>
        <v>1</v>
      </c>
      <c r="G8" s="10" t="n">
        <f aca="false">IF(C8=0,"",D8/C8)</f>
        <v>0.428571428571429</v>
      </c>
      <c r="H8" s="16" t="n">
        <f aca="false">IFERROR(AVERAGEIFS('Unit Ledger'!$L$2:$L$315,'Unit Ledger'!$Q$2:$Q$315,"&lt;&gt;zz",'Unit Ledger'!$B$2:$B$315,"C1a_Seas"),"")</f>
        <v>2253.1</v>
      </c>
      <c r="I8" s="22" t="n">
        <f aca="false">IFERROR(AVERAGEIFS('Unit Ledger'!$AC$2:$AC$315,'Unit Ledger'!$Q$2:$Q$315,"Renewed",'Unit Ledger'!$V$2:$V$315,"&lt;&gt;Y",'Unit Ledger'!$B$2:$B$315,"C1a_Seas"),"")</f>
        <v>0.027803047566267</v>
      </c>
      <c r="J8" s="22" t="n">
        <f aca="false">IFERROR(AVERAGEIFS('Unit Ledger'!$AD$2:$AD$315,'Unit Ledger'!$Q$2:$Q$315,"Renewed",'Unit Ledger'!$V$2:$V$315,"&lt;&gt;Y",'Unit Ledger'!$B$2:$B$315,"C1a_Seas"),"")</f>
        <v>0.127293313871649</v>
      </c>
      <c r="K8" s="22" t="n">
        <f aca="false">IFERROR(AVERAGEIFS('Unit Ledger'!$AM$2:$AM$315,'Unit Ledger'!$Q$2:$Q$315,"Moved Out",'Unit Ledger'!$V$2:$V$315,"&lt;&gt;Y",'Unit Ledger'!$B$2:$B$315,"C1a_Seas"),"")</f>
        <v>0.0883125755244696</v>
      </c>
      <c r="L8" s="22" t="n">
        <f aca="false">IFERROR(AVERAGEIFS('Unit Ledger'!$AN$2:$AN$315,'Unit Ledger'!$Q$2:$Q$315,"Moved Out",'Unit Ledger'!$V$2:$V$315,"&lt;&gt;Y",'Unit Ledger'!$B$2:$B$315,"C1a_Seas"),"")</f>
        <v>0.0927675267172089</v>
      </c>
    </row>
    <row r="9" customFormat="false" ht="15" hidden="false" customHeight="false" outlineLevel="0" collapsed="false">
      <c r="A9" s="5" t="s">
        <v>161</v>
      </c>
      <c r="B9" s="5" t="n">
        <f aca="false">COUNTIF('Unit Ledger'!$B$2:$B$315,"C1b_Seas")</f>
        <v>15</v>
      </c>
      <c r="C9" s="5" t="n">
        <f aca="false">D9+E9+F9</f>
        <v>9</v>
      </c>
      <c r="D9" s="5" t="n">
        <f aca="false">COUNTIFS('Unit Ledger'!$B$2:$B$315,"C1b_Seas",'Unit Ledger'!$S$2:$S$315,"Y",'Unit Ledger'!$Q$2:$Q$315,"Renewed")</f>
        <v>3</v>
      </c>
      <c r="E9" s="5" t="n">
        <f aca="false">COUNTIFS('Unit Ledger'!$B$2:$B$315,"C1b_Seas",'Unit Ledger'!$S$2:$S$315,"Y",'Unit Ledger'!$Q$2:$Q$315,"Moved Out")</f>
        <v>4</v>
      </c>
      <c r="F9" s="5" t="n">
        <f aca="false">COUNTIFS('Unit Ledger'!$B$2:$B$315,"C1b_Seas",'Unit Ledger'!$S$2:$S$315,"Y",'Unit Ledger'!$Q$2:$Q$315,"MTM Holdover")</f>
        <v>2</v>
      </c>
      <c r="G9" s="10" t="n">
        <f aca="false">IF(C9=0,"",D9/C9)</f>
        <v>0.333333333333333</v>
      </c>
      <c r="H9" s="16" t="n">
        <f aca="false">IFERROR(AVERAGEIFS('Unit Ledger'!$L$2:$L$315,'Unit Ledger'!$Q$2:$Q$315,"&lt;&gt;zz",'Unit Ledger'!$B$2:$B$315,"C1b_Seas"),"")</f>
        <v>2237.33333333333</v>
      </c>
      <c r="I9" s="22" t="n">
        <f aca="false">IFERROR(AVERAGEIFS('Unit Ledger'!$AC$2:$AC$315,'Unit Ledger'!$Q$2:$Q$315,"Renewed",'Unit Ledger'!$V$2:$V$315,"&lt;&gt;Y",'Unit Ledger'!$B$2:$B$315,"C1b_Seas"),"")</f>
        <v>0.0113544201135442</v>
      </c>
      <c r="J9" s="22" t="n">
        <f aca="false">IFERROR(AVERAGEIFS('Unit Ledger'!$AD$2:$AD$315,'Unit Ledger'!$Q$2:$Q$315,"Renewed",'Unit Ledger'!$V$2:$V$315,"&lt;&gt;Y",'Unit Ledger'!$B$2:$B$315,"C1b_Seas"),"")</f>
        <v>0.022940571004733</v>
      </c>
      <c r="K9" s="22" t="n">
        <f aca="false">IFERROR(AVERAGEIFS('Unit Ledger'!$AM$2:$AM$315,'Unit Ledger'!$Q$2:$Q$315,"Moved Out",'Unit Ledger'!$V$2:$V$315,"&lt;&gt;Y",'Unit Ledger'!$B$2:$B$315,"C1b_Seas"),"")</f>
        <v>0.0811097121095298</v>
      </c>
      <c r="L9" s="22" t="n">
        <f aca="false">IFERROR(AVERAGEIFS('Unit Ledger'!$AN$2:$AN$315,'Unit Ledger'!$Q$2:$Q$315,"Moved Out",'Unit Ledger'!$V$2:$V$315,"&lt;&gt;Y",'Unit Ledger'!$B$2:$B$315,"C1b_Seas"),"")</f>
        <v>0.0971886134544262</v>
      </c>
    </row>
    <row r="10" customFormat="false" ht="15" hidden="false" customHeight="false" outlineLevel="0" collapsed="false">
      <c r="A10" s="5" t="s">
        <v>275</v>
      </c>
      <c r="B10" s="5" t="n">
        <f aca="false">COUNTIF('Unit Ledger'!$B$2:$B$315,"S1_Seas")</f>
        <v>13</v>
      </c>
      <c r="C10" s="5" t="n">
        <f aca="false">D10+E10+F10</f>
        <v>10</v>
      </c>
      <c r="D10" s="5" t="n">
        <f aca="false">COUNTIFS('Unit Ledger'!$B$2:$B$315,"S1_Seas",'Unit Ledger'!$S$2:$S$315,"Y",'Unit Ledger'!$Q$2:$Q$315,"Renewed")</f>
        <v>4</v>
      </c>
      <c r="E10" s="5" t="n">
        <f aca="false">COUNTIFS('Unit Ledger'!$B$2:$B$315,"S1_Seas",'Unit Ledger'!$S$2:$S$315,"Y",'Unit Ledger'!$Q$2:$Q$315,"Moved Out")</f>
        <v>6</v>
      </c>
      <c r="F10" s="5" t="n">
        <f aca="false">COUNTIFS('Unit Ledger'!$B$2:$B$315,"S1_Seas",'Unit Ledger'!$S$2:$S$315,"Y",'Unit Ledger'!$Q$2:$Q$315,"MTM Holdover")</f>
        <v>0</v>
      </c>
      <c r="G10" s="10" t="n">
        <f aca="false">IF(C10=0,"",D10/C10)</f>
        <v>0.4</v>
      </c>
      <c r="H10" s="16" t="n">
        <f aca="false">IFERROR(AVERAGEIFS('Unit Ledger'!$L$2:$L$315,'Unit Ledger'!$Q$2:$Q$315,"&lt;&gt;zz",'Unit Ledger'!$B$2:$B$315,"S1_Seas"),"")</f>
        <v>1355</v>
      </c>
      <c r="I10" s="22" t="n">
        <f aca="false">IFERROR(AVERAGEIFS('Unit Ledger'!$AC$2:$AC$315,'Unit Ledger'!$Q$2:$Q$315,"Renewed",'Unit Ledger'!$V$2:$V$315,"&lt;&gt;Y",'Unit Ledger'!$B$2:$B$315,"S1_Seas"),"")</f>
        <v>0.0124265484739639</v>
      </c>
      <c r="J10" s="22" t="n">
        <f aca="false">IFERROR(AVERAGEIFS('Unit Ledger'!$AD$2:$AD$315,'Unit Ledger'!$Q$2:$Q$315,"Renewed",'Unit Ledger'!$V$2:$V$315,"&lt;&gt;Y",'Unit Ledger'!$B$2:$B$315,"S1_Seas"),"")</f>
        <v>0.0722407571370747</v>
      </c>
      <c r="K10" s="22" t="n">
        <f aca="false">IFERROR(AVERAGEIFS('Unit Ledger'!$AM$2:$AM$315,'Unit Ledger'!$Q$2:$Q$315,"Moved Out",'Unit Ledger'!$V$2:$V$315,"&lt;&gt;Y",'Unit Ledger'!$B$2:$B$315,"S1_Seas"),"")</f>
        <v>0.0841977835753001</v>
      </c>
      <c r="L10" s="22" t="n">
        <f aca="false">IFERROR(AVERAGEIFS('Unit Ledger'!$AN$2:$AN$315,'Unit Ledger'!$Q$2:$Q$315,"Moved Out",'Unit Ledger'!$V$2:$V$315,"&lt;&gt;Y",'Unit Ledger'!$B$2:$B$315,"S1_Seas"),"")</f>
        <v>0.159312410959358</v>
      </c>
    </row>
    <row r="12" customFormat="false" ht="15" hidden="false" customHeight="false" outlineLevel="0" collapsed="false">
      <c r="A12" s="7" t="s">
        <v>276</v>
      </c>
      <c r="B12" s="7" t="n">
        <f aca="false">COUNTIF('Unit Ledger'!$C$2:$C$315,"Studio")</f>
        <v>13</v>
      </c>
      <c r="C12" s="7" t="n">
        <f aca="false">D12+E12+F12</f>
        <v>10</v>
      </c>
      <c r="D12" s="7" t="n">
        <f aca="false">COUNTIFS('Unit Ledger'!$C$2:$C$315,"Studio",'Unit Ledger'!$S$2:$S$315,"Y",'Unit Ledger'!$Q$2:$Q$315,"Renewed")</f>
        <v>4</v>
      </c>
      <c r="E12" s="7" t="n">
        <f aca="false">COUNTIFS('Unit Ledger'!$C$2:$C$315,"Studio",'Unit Ledger'!$S$2:$S$315,"Y",'Unit Ledger'!$Q$2:$Q$315,"Moved Out")</f>
        <v>6</v>
      </c>
      <c r="F12" s="7" t="n">
        <f aca="false">COUNTIFS('Unit Ledger'!$C$2:$C$315,"Studio",'Unit Ledger'!$S$2:$S$315,"Y",'Unit Ledger'!$Q$2:$Q$315,"MTM Holdover")</f>
        <v>0</v>
      </c>
      <c r="G12" s="9" t="n">
        <f aca="false">IF(C12=0,"",D12/C12)</f>
        <v>0.4</v>
      </c>
      <c r="H12" s="29" t="n">
        <f aca="false">IFERROR(AVERAGEIFS('Unit Ledger'!$L$2:$L$315,'Unit Ledger'!$Q$2:$Q$315,"&lt;&gt;zz",'Unit Ledger'!$C$2:$C$315,"Studio"),"")</f>
        <v>1355</v>
      </c>
      <c r="I12" s="13" t="n">
        <f aca="false">IFERROR(AVERAGEIFS('Unit Ledger'!$AC$2:$AC$315,'Unit Ledger'!$Q$2:$Q$315,"Renewed",'Unit Ledger'!$V$2:$V$315,"&lt;&gt;Y",'Unit Ledger'!$C$2:$C$315,"Studio"),"")</f>
        <v>0.0124265484739639</v>
      </c>
      <c r="J12" s="13" t="n">
        <f aca="false">IFERROR(AVERAGEIFS('Unit Ledger'!$AD$2:$AD$315,'Unit Ledger'!$Q$2:$Q$315,"Renewed",'Unit Ledger'!$V$2:$V$315,"&lt;&gt;Y",'Unit Ledger'!$C$2:$C$315,"Studio"),"")</f>
        <v>0.0722407571370747</v>
      </c>
      <c r="K12" s="13" t="n">
        <f aca="false">IFERROR(AVERAGEIFS('Unit Ledger'!$AM$2:$AM$315,'Unit Ledger'!$Q$2:$Q$315,"Moved Out",'Unit Ledger'!$V$2:$V$315,"&lt;&gt;Y",'Unit Ledger'!$C$2:$C$315,"Studio"),"")</f>
        <v>0.0841977835753001</v>
      </c>
      <c r="L12" s="13" t="n">
        <f aca="false">IFERROR(AVERAGEIFS('Unit Ledger'!$AN$2:$AN$315,'Unit Ledger'!$Q$2:$Q$315,"Moved Out",'Unit Ledger'!$V$2:$V$315,"&lt;&gt;Y",'Unit Ledger'!$C$2:$C$315,"Studio"),"")</f>
        <v>0.159312410959358</v>
      </c>
    </row>
    <row r="13" customFormat="false" ht="15" hidden="false" customHeight="false" outlineLevel="0" collapsed="false">
      <c r="A13" s="7" t="s">
        <v>103</v>
      </c>
      <c r="B13" s="7" t="n">
        <f aca="false">COUNTIF('Unit Ledger'!$C$2:$C$315,"1x1")</f>
        <v>140</v>
      </c>
      <c r="C13" s="7" t="n">
        <f aca="false">D13+E13+F13</f>
        <v>63</v>
      </c>
      <c r="D13" s="7" t="n">
        <f aca="false">COUNTIFS('Unit Ledger'!$C$2:$C$315,"1x1",'Unit Ledger'!$S$2:$S$315,"Y",'Unit Ledger'!$Q$2:$Q$315,"Renewed")</f>
        <v>28</v>
      </c>
      <c r="E13" s="7" t="n">
        <f aca="false">COUNTIFS('Unit Ledger'!$C$2:$C$315,"1x1",'Unit Ledger'!$S$2:$S$315,"Y",'Unit Ledger'!$Q$2:$Q$315,"Moved Out")</f>
        <v>33</v>
      </c>
      <c r="F13" s="7" t="n">
        <f aca="false">COUNTIFS('Unit Ledger'!$C$2:$C$315,"1x1",'Unit Ledger'!$S$2:$S$315,"Y",'Unit Ledger'!$Q$2:$Q$315,"MTM Holdover")</f>
        <v>2</v>
      </c>
      <c r="G13" s="9" t="n">
        <f aca="false">IF(C13=0,"",D13/C13)</f>
        <v>0.444444444444444</v>
      </c>
      <c r="H13" s="29" t="n">
        <f aca="false">IFERROR(AVERAGEIFS('Unit Ledger'!$L$2:$L$315,'Unit Ledger'!$Q$2:$Q$315,"&lt;&gt;zz",'Unit Ledger'!$C$2:$C$315,"1x1"),"")</f>
        <v>1500.95</v>
      </c>
      <c r="I13" s="13" t="n">
        <f aca="false">IFERROR(AVERAGEIFS('Unit Ledger'!$AC$2:$AC$315,'Unit Ledger'!$Q$2:$Q$315,"Renewed",'Unit Ledger'!$V$2:$V$315,"&lt;&gt;Y",'Unit Ledger'!$C$2:$C$315,"1x1"),"")</f>
        <v>0.0140651661038161</v>
      </c>
      <c r="J13" s="13" t="n">
        <f aca="false">IFERROR(AVERAGEIFS('Unit Ledger'!$AD$2:$AD$315,'Unit Ledger'!$Q$2:$Q$315,"Renewed",'Unit Ledger'!$V$2:$V$315,"&lt;&gt;Y",'Unit Ledger'!$C$2:$C$315,"1x1"),"")</f>
        <v>0.0971358161356114</v>
      </c>
      <c r="K13" s="13" t="n">
        <f aca="false">IFERROR(AVERAGEIFS('Unit Ledger'!$AM$2:$AM$315,'Unit Ledger'!$Q$2:$Q$315,"Moved Out",'Unit Ledger'!$V$2:$V$315,"&lt;&gt;Y",'Unit Ledger'!$C$2:$C$315,"1x1"),"")</f>
        <v>0.0454225645114839</v>
      </c>
      <c r="L13" s="13" t="n">
        <f aca="false">IFERROR(AVERAGEIFS('Unit Ledger'!$AN$2:$AN$315,'Unit Ledger'!$Q$2:$Q$315,"Moved Out",'Unit Ledger'!$V$2:$V$315,"&lt;&gt;Y",'Unit Ledger'!$C$2:$C$315,"1x1"),"")</f>
        <v>0.113995480316206</v>
      </c>
    </row>
    <row r="14" customFormat="false" ht="15" hidden="false" customHeight="false" outlineLevel="0" collapsed="false">
      <c r="A14" s="7" t="s">
        <v>82</v>
      </c>
      <c r="B14" s="7" t="n">
        <f aca="false">COUNTIF('Unit Ledger'!$C$2:$C$315,"2x2")</f>
        <v>136</v>
      </c>
      <c r="C14" s="7" t="n">
        <f aca="false">D14+E14+F14</f>
        <v>65</v>
      </c>
      <c r="D14" s="7" t="n">
        <f aca="false">COUNTIFS('Unit Ledger'!$C$2:$C$315,"2x2",'Unit Ledger'!$S$2:$S$315,"Y",'Unit Ledger'!$Q$2:$Q$315,"Renewed")</f>
        <v>26</v>
      </c>
      <c r="E14" s="7" t="n">
        <f aca="false">COUNTIFS('Unit Ledger'!$C$2:$C$315,"2x2",'Unit Ledger'!$S$2:$S$315,"Y",'Unit Ledger'!$Q$2:$Q$315,"Moved Out")</f>
        <v>37</v>
      </c>
      <c r="F14" s="7" t="n">
        <f aca="false">COUNTIFS('Unit Ledger'!$C$2:$C$315,"2x2",'Unit Ledger'!$S$2:$S$315,"Y",'Unit Ledger'!$Q$2:$Q$315,"MTM Holdover")</f>
        <v>2</v>
      </c>
      <c r="G14" s="9" t="n">
        <f aca="false">IF(C14=0,"",D14/C14)</f>
        <v>0.4</v>
      </c>
      <c r="H14" s="29" t="n">
        <f aca="false">IFERROR(AVERAGEIFS('Unit Ledger'!$L$2:$L$315,'Unit Ledger'!$Q$2:$Q$315,"&lt;&gt;zz",'Unit Ledger'!$C$2:$C$315,"2x2"),"")</f>
        <v>1900.54411764706</v>
      </c>
      <c r="I14" s="13" t="n">
        <f aca="false">IFERROR(AVERAGEIFS('Unit Ledger'!$AC$2:$AC$315,'Unit Ledger'!$Q$2:$Q$315,"Renewed",'Unit Ledger'!$V$2:$V$315,"&lt;&gt;Y",'Unit Ledger'!$C$2:$C$315,"2x2"),"")</f>
        <v>0.0162425342921343</v>
      </c>
      <c r="J14" s="13" t="n">
        <f aca="false">IFERROR(AVERAGEIFS('Unit Ledger'!$AD$2:$AD$315,'Unit Ledger'!$Q$2:$Q$315,"Renewed",'Unit Ledger'!$V$2:$V$315,"&lt;&gt;Y",'Unit Ledger'!$C$2:$C$315,"2x2"),"")</f>
        <v>0.101551763052568</v>
      </c>
      <c r="K14" s="13" t="n">
        <f aca="false">IFERROR(AVERAGEIFS('Unit Ledger'!$AM$2:$AM$315,'Unit Ledger'!$Q$2:$Q$315,"Moved Out",'Unit Ledger'!$V$2:$V$315,"&lt;&gt;Y",'Unit Ledger'!$C$2:$C$315,"2x2"),"")</f>
        <v>0.046152296352546</v>
      </c>
      <c r="L14" s="13" t="n">
        <f aca="false">IFERROR(AVERAGEIFS('Unit Ledger'!$AN$2:$AN$315,'Unit Ledger'!$Q$2:$Q$315,"Moved Out",'Unit Ledger'!$V$2:$V$315,"&lt;&gt;Y",'Unit Ledger'!$C$2:$C$315,"2x2"),"")</f>
        <v>0.092329875408937</v>
      </c>
    </row>
    <row r="15" customFormat="false" ht="15" hidden="false" customHeight="false" outlineLevel="0" collapsed="false">
      <c r="A15" s="7" t="s">
        <v>92</v>
      </c>
      <c r="B15" s="7" t="n">
        <f aca="false">COUNTIF('Unit Ledger'!$C$2:$C$315,"3x2")</f>
        <v>25</v>
      </c>
      <c r="C15" s="7" t="n">
        <f aca="false">D15+E15+F15</f>
        <v>16</v>
      </c>
      <c r="D15" s="7" t="n">
        <f aca="false">COUNTIFS('Unit Ledger'!$C$2:$C$315,"3x2",'Unit Ledger'!$S$2:$S$315,"Y",'Unit Ledger'!$Q$2:$Q$315,"Renewed")</f>
        <v>6</v>
      </c>
      <c r="E15" s="7" t="n">
        <f aca="false">COUNTIFS('Unit Ledger'!$C$2:$C$315,"3x2",'Unit Ledger'!$S$2:$S$315,"Y",'Unit Ledger'!$Q$2:$Q$315,"Moved Out")</f>
        <v>7</v>
      </c>
      <c r="F15" s="7" t="n">
        <f aca="false">COUNTIFS('Unit Ledger'!$C$2:$C$315,"3x2",'Unit Ledger'!$S$2:$S$315,"Y",'Unit Ledger'!$Q$2:$Q$315,"MTM Holdover")</f>
        <v>3</v>
      </c>
      <c r="G15" s="9" t="n">
        <f aca="false">IF(C15=0,"",D15/C15)</f>
        <v>0.375</v>
      </c>
      <c r="H15" s="29" t="n">
        <f aca="false">IFERROR(AVERAGEIFS('Unit Ledger'!$L$2:$L$315,'Unit Ledger'!$Q$2:$Q$315,"&lt;&gt;zz",'Unit Ledger'!$C$2:$C$315,"3x2"),"")</f>
        <v>2243.64</v>
      </c>
      <c r="I15" s="13" t="n">
        <f aca="false">IFERROR(AVERAGEIFS('Unit Ledger'!$AC$2:$AC$315,'Unit Ledger'!$Q$2:$Q$315,"Renewed",'Unit Ledger'!$V$2:$V$315,"&lt;&gt;Y",'Unit Ledger'!$C$2:$C$315,"3x2"),"")</f>
        <v>0.0195787338399056</v>
      </c>
      <c r="J15" s="13" t="n">
        <f aca="false">IFERROR(AVERAGEIFS('Unit Ledger'!$AD$2:$AD$315,'Unit Ledger'!$Q$2:$Q$315,"Renewed",'Unit Ledger'!$V$2:$V$315,"&lt;&gt;Y",'Unit Ledger'!$C$2:$C$315,"3x2"),"")</f>
        <v>0.0751169424381912</v>
      </c>
      <c r="K15" s="13" t="n">
        <f aca="false">IFERROR(AVERAGEIFS('Unit Ledger'!$AM$2:$AM$315,'Unit Ledger'!$Q$2:$Q$315,"Moved Out",'Unit Ledger'!$V$2:$V$315,"&lt;&gt;Y",'Unit Ledger'!$C$2:$C$315,"3x2"),"")</f>
        <v>0.0856115017438672</v>
      </c>
      <c r="L15" s="13" t="n">
        <f aca="false">IFERROR(AVERAGEIFS('Unit Ledger'!$AN$2:$AN$315,'Unit Ledger'!$Q$2:$Q$315,"Moved Out",'Unit Ledger'!$V$2:$V$315,"&lt;&gt;Y",'Unit Ledger'!$C$2:$C$315,"3x2"),"")</f>
        <v>0.0946622781760163</v>
      </c>
    </row>
    <row r="17" customFormat="false" ht="15" hidden="false" customHeight="false" outlineLevel="0" collapsed="false">
      <c r="A17" s="7" t="s">
        <v>1250</v>
      </c>
      <c r="B17" s="7" t="n">
        <f aca="false">COUNTA('Unit Ledger'!$A$2:$A$315)</f>
        <v>314</v>
      </c>
      <c r="C17" s="7" t="n">
        <f aca="false">D17+E17+F17</f>
        <v>154</v>
      </c>
      <c r="D17" s="7" t="n">
        <f aca="false">COUNTIFS('Unit Ledger'!$S$2:$S$315,"Y",'Unit Ledger'!$Q$2:$Q$315,"Renewed")</f>
        <v>64</v>
      </c>
      <c r="E17" s="7" t="n">
        <f aca="false">COUNTIFS('Unit Ledger'!$S$2:$S$315,"Y",'Unit Ledger'!$Q$2:$Q$315,"Moved Out")</f>
        <v>83</v>
      </c>
      <c r="F17" s="7" t="n">
        <f aca="false">COUNTIFS('Unit Ledger'!$S$2:$S$315,"Y",'Unit Ledger'!$Q$2:$Q$315,"MTM Holdover")</f>
        <v>7</v>
      </c>
      <c r="G17" s="9" t="n">
        <f aca="false">IF(C17=0,"",D17/C17)</f>
        <v>0.415584415584416</v>
      </c>
      <c r="H17" s="29" t="n">
        <f aca="false">IFERROR(AVERAGEIFS('Unit Ledger'!$L$2:$L$315,'Unit Ledger'!$Q$2:$Q$315,"&lt;&gt;zz"),"")</f>
        <v>1727.11146496815</v>
      </c>
      <c r="I17" s="13" t="n">
        <f aca="false">IFERROR(AVERAGEIFS('Unit Ledger'!$AC$2:$AC$315,'Unit Ledger'!$Q$2:$Q$315,"Renewed",'Unit Ledger'!$V$2:$V$315,"&lt;&gt;Y"),"")</f>
        <v>0.015364205303713</v>
      </c>
      <c r="J17" s="13" t="n">
        <f aca="false">IFERROR(AVERAGEIFS('Unit Ledger'!$AD$2:$AD$315,'Unit Ledger'!$Q$2:$Q$315,"Renewed",'Unit Ledger'!$V$2:$V$315,"&lt;&gt;Y"),"")</f>
        <v>0.0953095839740832</v>
      </c>
      <c r="K17" s="13" t="n">
        <f aca="false">IFERROR(AVERAGEIFS('Unit Ledger'!$AM$2:$AM$315,'Unit Ledger'!$Q$2:$Q$315,"Moved Out",'Unit Ledger'!$V$2:$V$315,"&lt;&gt;Y"),"")</f>
        <v>0.0517474843180309</v>
      </c>
      <c r="L17" s="13" t="n">
        <f aca="false">IFERROR(AVERAGEIFS('Unit Ledger'!$AN$2:$AN$315,'Unit Ledger'!$Q$2:$Q$315,"Moved Out",'Unit Ledger'!$V$2:$V$315,"&lt;&gt;Y"),"")</f>
        <v>0.106684200682296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7"/>
    <col collapsed="false" customWidth="true" hidden="false" outlineLevel="0" max="8" min="6" style="0" width="10"/>
    <col collapsed="false" customWidth="true" hidden="false" outlineLevel="0" max="10" min="9" style="0" width="11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9" t="s">
        <v>1251</v>
      </c>
      <c r="B1" s="19" t="s">
        <v>1242</v>
      </c>
      <c r="C1" s="19" t="s">
        <v>127</v>
      </c>
      <c r="D1" s="19" t="s">
        <v>97</v>
      </c>
      <c r="E1" s="19" t="s">
        <v>1243</v>
      </c>
      <c r="F1" s="19" t="s">
        <v>1244</v>
      </c>
      <c r="G1" s="19" t="s">
        <v>1246</v>
      </c>
      <c r="H1" s="19" t="s">
        <v>1247</v>
      </c>
      <c r="I1" s="19" t="s">
        <v>1248</v>
      </c>
      <c r="J1" s="19" t="s">
        <v>1249</v>
      </c>
      <c r="K1" s="19" t="s">
        <v>1252</v>
      </c>
    </row>
    <row r="2" customFormat="false" ht="15" hidden="false" customHeight="false" outlineLevel="0" collapsed="false">
      <c r="A2" s="5" t="s">
        <v>965</v>
      </c>
      <c r="B2" s="5" t="n">
        <f aca="false">C2+D2+E2</f>
        <v>1</v>
      </c>
      <c r="C2" s="5" t="n">
        <f aca="false">COUNTIFS('Unit Ledger'!$J$2:$J$315,"2025-08",'Unit Ledger'!$S$2:$S$315,"Y",'Unit Ledger'!$Q$2:$Q$315,"Renewed")</f>
        <v>1</v>
      </c>
      <c r="D2" s="5" t="n">
        <f aca="false">COUNTIFS('Unit Ledger'!$J$2:$J$315,"2025-08",'Unit Ledger'!$S$2:$S$315,"Y",'Unit Ledger'!$Q$2:$Q$315,"Moved Out")</f>
        <v>0</v>
      </c>
      <c r="E2" s="5" t="n">
        <f aca="false">COUNTIFS('Unit Ledger'!$J$2:$J$315,"2025-08",'Unit Ledger'!$S$2:$S$315,"Y",'Unit Ledger'!$Q$2:$Q$315,"MTM Holdover")</f>
        <v>0</v>
      </c>
      <c r="F2" s="10" t="n">
        <f aca="false">IF(B2=0,"",C2/B2)</f>
        <v>1</v>
      </c>
      <c r="G2" s="22" t="n">
        <f aca="false">IFERROR(AVERAGEIFS('Unit Ledger'!$AC$2:$AC$315,'Unit Ledger'!$J$2:$J$315,"2025-08",'Unit Ledger'!$Q$2:$Q$315,"Renewed",'Unit Ledger'!$V$2:$V$315,"&lt;&gt;Y"),"")</f>
        <v>0.0143369175627239</v>
      </c>
      <c r="H2" s="22" t="n">
        <f aca="false">IFERROR(AVERAGEIFS('Unit Ledger'!$AD$2:$AD$315,'Unit Ledger'!$J$2:$J$315,"2025-08",'Unit Ledger'!$Q$2:$Q$315,"Renewed",'Unit Ledger'!$V$2:$V$315,"&lt;&gt;Y"),"")</f>
        <v>0.0143369175627239</v>
      </c>
      <c r="I2" s="22" t="str">
        <f aca="false">IFERROR(AVERAGEIFS('Unit Ledger'!$AM$2:$AM$315,'Unit Ledger'!$J$2:$J$315,"2025-08",'Unit Ledger'!$Q$2:$Q$315,"Moved Out",'Unit Ledger'!$V$2:$V$315,"&lt;&gt;Y"),"")</f>
        <v/>
      </c>
      <c r="J2" s="22" t="str">
        <f aca="false">IFERROR(AVERAGEIFS('Unit Ledger'!$AN$2:$AN$315,'Unit Ledger'!$J$2:$J$315,"2025-08",'Unit Ledger'!$Q$2:$Q$315,"Moved Out",'Unit Ledger'!$V$2:$V$315,"&lt;&gt;Y"),"")</f>
        <v/>
      </c>
      <c r="K2" s="5" t="n">
        <f aca="false">COUNTIFS('Unit Ledger'!$J$2:$J$315,"2025-08",'Unit Ledger'!$Q$2:$Q$315,"Not Yet Expired")</f>
        <v>0</v>
      </c>
    </row>
    <row r="3" customFormat="false" ht="15" hidden="false" customHeight="false" outlineLevel="0" collapsed="false">
      <c r="A3" s="5" t="s">
        <v>975</v>
      </c>
      <c r="B3" s="5" t="n">
        <f aca="false">C3+D3+E3</f>
        <v>2</v>
      </c>
      <c r="C3" s="5" t="n">
        <f aca="false">COUNTIFS('Unit Ledger'!$J$2:$J$315,"2025-10",'Unit Ledger'!$S$2:$S$315,"Y",'Unit Ledger'!$Q$2:$Q$315,"Renewed")</f>
        <v>2</v>
      </c>
      <c r="D3" s="5" t="n">
        <f aca="false">COUNTIFS('Unit Ledger'!$J$2:$J$315,"2025-10",'Unit Ledger'!$S$2:$S$315,"Y",'Unit Ledger'!$Q$2:$Q$315,"Moved Out")</f>
        <v>0</v>
      </c>
      <c r="E3" s="5" t="n">
        <f aca="false">COUNTIFS('Unit Ledger'!$J$2:$J$315,"2025-10",'Unit Ledger'!$S$2:$S$315,"Y",'Unit Ledger'!$Q$2:$Q$315,"MTM Holdover")</f>
        <v>0</v>
      </c>
      <c r="F3" s="10" t="n">
        <f aca="false">IF(B3=0,"",C3/B3)</f>
        <v>1</v>
      </c>
      <c r="G3" s="22" t="n">
        <f aca="false">IFERROR(AVERAGEIFS('Unit Ledger'!$AC$2:$AC$315,'Unit Ledger'!$J$2:$J$315,"2025-10",'Unit Ledger'!$Q$2:$Q$315,"Renewed",'Unit Ledger'!$V$2:$V$315,"&lt;&gt;Y"),"")</f>
        <v>0.00902527075812276</v>
      </c>
      <c r="H3" s="22" t="n">
        <f aca="false">IFERROR(AVERAGEIFS('Unit Ledger'!$AD$2:$AD$315,'Unit Ledger'!$J$2:$J$315,"2025-10",'Unit Ledger'!$Q$2:$Q$315,"Renewed",'Unit Ledger'!$V$2:$V$315,"&lt;&gt;Y"),"")</f>
        <v>0.113545359209384</v>
      </c>
      <c r="I3" s="22" t="str">
        <f aca="false">IFERROR(AVERAGEIFS('Unit Ledger'!$AM$2:$AM$315,'Unit Ledger'!$J$2:$J$315,"2025-10",'Unit Ledger'!$Q$2:$Q$315,"Moved Out",'Unit Ledger'!$V$2:$V$315,"&lt;&gt;Y"),"")</f>
        <v/>
      </c>
      <c r="J3" s="22" t="str">
        <f aca="false">IFERROR(AVERAGEIFS('Unit Ledger'!$AN$2:$AN$315,'Unit Ledger'!$J$2:$J$315,"2025-10",'Unit Ledger'!$Q$2:$Q$315,"Moved Out",'Unit Ledger'!$V$2:$V$315,"&lt;&gt;Y"),"")</f>
        <v/>
      </c>
      <c r="K3" s="5" t="n">
        <f aca="false">COUNTIFS('Unit Ledger'!$J$2:$J$315,"2025-10",'Unit Ledger'!$Q$2:$Q$315,"Not Yet Expired")</f>
        <v>0</v>
      </c>
    </row>
    <row r="4" customFormat="false" ht="15" hidden="false" customHeight="false" outlineLevel="0" collapsed="false">
      <c r="A4" s="5" t="s">
        <v>950</v>
      </c>
      <c r="B4" s="5" t="n">
        <f aca="false">C4+D4+E4</f>
        <v>4</v>
      </c>
      <c r="C4" s="5" t="n">
        <f aca="false">COUNTIFS('Unit Ledger'!$J$2:$J$315,"2025-11",'Unit Ledger'!$S$2:$S$315,"Y",'Unit Ledger'!$Q$2:$Q$315,"Renewed")</f>
        <v>4</v>
      </c>
      <c r="D4" s="5" t="n">
        <f aca="false">COUNTIFS('Unit Ledger'!$J$2:$J$315,"2025-11",'Unit Ledger'!$S$2:$S$315,"Y",'Unit Ledger'!$Q$2:$Q$315,"Moved Out")</f>
        <v>0</v>
      </c>
      <c r="E4" s="5" t="n">
        <f aca="false">COUNTIFS('Unit Ledger'!$J$2:$J$315,"2025-11",'Unit Ledger'!$S$2:$S$315,"Y",'Unit Ledger'!$Q$2:$Q$315,"MTM Holdover")</f>
        <v>0</v>
      </c>
      <c r="F4" s="10" t="n">
        <f aca="false">IF(B4=0,"",C4/B4)</f>
        <v>1</v>
      </c>
      <c r="G4" s="22" t="n">
        <f aca="false">IFERROR(AVERAGEIFS('Unit Ledger'!$AC$2:$AC$315,'Unit Ledger'!$J$2:$J$315,"2025-11",'Unit Ledger'!$Q$2:$Q$315,"Renewed",'Unit Ledger'!$V$2:$V$315,"&lt;&gt;Y"),"")</f>
        <v>-0.00762617409992791</v>
      </c>
      <c r="H4" s="22" t="n">
        <f aca="false">IFERROR(AVERAGEIFS('Unit Ledger'!$AD$2:$AD$315,'Unit Ledger'!$J$2:$J$315,"2025-11",'Unit Ledger'!$Q$2:$Q$315,"Renewed",'Unit Ledger'!$V$2:$V$315,"&lt;&gt;Y"),"")</f>
        <v>0.167089539712455</v>
      </c>
      <c r="I4" s="22" t="str">
        <f aca="false">IFERROR(AVERAGEIFS('Unit Ledger'!$AM$2:$AM$315,'Unit Ledger'!$J$2:$J$315,"2025-11",'Unit Ledger'!$Q$2:$Q$315,"Moved Out",'Unit Ledger'!$V$2:$V$315,"&lt;&gt;Y"),"")</f>
        <v/>
      </c>
      <c r="J4" s="22" t="str">
        <f aca="false">IFERROR(AVERAGEIFS('Unit Ledger'!$AN$2:$AN$315,'Unit Ledger'!$J$2:$J$315,"2025-11",'Unit Ledger'!$Q$2:$Q$315,"Moved Out",'Unit Ledger'!$V$2:$V$315,"&lt;&gt;Y"),"")</f>
        <v/>
      </c>
      <c r="K4" s="5" t="n">
        <f aca="false">COUNTIFS('Unit Ledger'!$J$2:$J$315,"2025-11",'Unit Ledger'!$Q$2:$Q$315,"Not Yet Expired")</f>
        <v>0</v>
      </c>
    </row>
    <row r="5" customFormat="false" ht="15" hidden="false" customHeight="false" outlineLevel="0" collapsed="false">
      <c r="A5" s="5" t="s">
        <v>289</v>
      </c>
      <c r="B5" s="5" t="n">
        <f aca="false">C5+D5+E5</f>
        <v>6</v>
      </c>
      <c r="C5" s="5" t="n">
        <f aca="false">COUNTIFS('Unit Ledger'!$J$2:$J$315,"2025-12",'Unit Ledger'!$S$2:$S$315,"Y",'Unit Ledger'!$Q$2:$Q$315,"Renewed")</f>
        <v>5</v>
      </c>
      <c r="D5" s="5" t="n">
        <f aca="false">COUNTIFS('Unit Ledger'!$J$2:$J$315,"2025-12",'Unit Ledger'!$S$2:$S$315,"Y",'Unit Ledger'!$Q$2:$Q$315,"Moved Out")</f>
        <v>1</v>
      </c>
      <c r="E5" s="5" t="n">
        <f aca="false">COUNTIFS('Unit Ledger'!$J$2:$J$315,"2025-12",'Unit Ledger'!$S$2:$S$315,"Y",'Unit Ledger'!$Q$2:$Q$315,"MTM Holdover")</f>
        <v>0</v>
      </c>
      <c r="F5" s="10" t="n">
        <f aca="false">IF(B5=0,"",C5/B5)</f>
        <v>0.833333333333333</v>
      </c>
      <c r="G5" s="22" t="n">
        <f aca="false">IFERROR(AVERAGEIFS('Unit Ledger'!$AC$2:$AC$315,'Unit Ledger'!$J$2:$J$315,"2025-12",'Unit Ledger'!$Q$2:$Q$315,"Renewed",'Unit Ledger'!$V$2:$V$315,"&lt;&gt;Y"),"")</f>
        <v>0.00646547731525224</v>
      </c>
      <c r="H5" s="22" t="n">
        <f aca="false">IFERROR(AVERAGEIFS('Unit Ledger'!$AD$2:$AD$315,'Unit Ledger'!$J$2:$J$315,"2025-12",'Unit Ledger'!$Q$2:$Q$315,"Renewed",'Unit Ledger'!$V$2:$V$315,"&lt;&gt;Y"),"")</f>
        <v>0.0923495837207306</v>
      </c>
      <c r="I5" s="22" t="n">
        <f aca="false">IFERROR(AVERAGEIFS('Unit Ledger'!$AM$2:$AM$315,'Unit Ledger'!$J$2:$J$315,"2025-12",'Unit Ledger'!$Q$2:$Q$315,"Moved Out",'Unit Ledger'!$V$2:$V$315,"&lt;&gt;Y"),"")</f>
        <v>0.106124604012672</v>
      </c>
      <c r="J5" s="22" t="n">
        <f aca="false">IFERROR(AVERAGEIFS('Unit Ledger'!$AN$2:$AN$315,'Unit Ledger'!$J$2:$J$315,"2025-12",'Unit Ledger'!$Q$2:$Q$315,"Moved Out",'Unit Ledger'!$V$2:$V$315,"&lt;&gt;Y"),"")</f>
        <v>0.206797235023041</v>
      </c>
      <c r="K5" s="5" t="n">
        <f aca="false">COUNTIFS('Unit Ledger'!$J$2:$J$315,"2025-12",'Unit Ledger'!$Q$2:$Q$315,"Not Yet Expired")</f>
        <v>0</v>
      </c>
    </row>
    <row r="6" customFormat="false" ht="15" hidden="false" customHeight="false" outlineLevel="0" collapsed="false">
      <c r="A6" s="5" t="s">
        <v>177</v>
      </c>
      <c r="B6" s="5" t="n">
        <f aca="false">C6+D6+E6</f>
        <v>5</v>
      </c>
      <c r="C6" s="5" t="n">
        <f aca="false">COUNTIFS('Unit Ledger'!$J$2:$J$315,"2026-01",'Unit Ledger'!$S$2:$S$315,"Y",'Unit Ledger'!$Q$2:$Q$315,"Renewed")</f>
        <v>2</v>
      </c>
      <c r="D6" s="5" t="n">
        <f aca="false">COUNTIFS('Unit Ledger'!$J$2:$J$315,"2026-01",'Unit Ledger'!$S$2:$S$315,"Y",'Unit Ledger'!$Q$2:$Q$315,"Moved Out")</f>
        <v>3</v>
      </c>
      <c r="E6" s="5" t="n">
        <f aca="false">COUNTIFS('Unit Ledger'!$J$2:$J$315,"2026-01",'Unit Ledger'!$S$2:$S$315,"Y",'Unit Ledger'!$Q$2:$Q$315,"MTM Holdover")</f>
        <v>0</v>
      </c>
      <c r="F6" s="10" t="n">
        <f aca="false">IF(B6=0,"",C6/B6)</f>
        <v>0.4</v>
      </c>
      <c r="G6" s="22" t="n">
        <f aca="false">IFERROR(AVERAGEIFS('Unit Ledger'!$AC$2:$AC$315,'Unit Ledger'!$J$2:$J$315,"2026-01",'Unit Ledger'!$Q$2:$Q$315,"Renewed",'Unit Ledger'!$V$2:$V$315,"&lt;&gt;Y"),"")</f>
        <v>0</v>
      </c>
      <c r="H6" s="22" t="n">
        <f aca="false">IFERROR(AVERAGEIFS('Unit Ledger'!$AD$2:$AD$315,'Unit Ledger'!$J$2:$J$315,"2026-01",'Unit Ledger'!$Q$2:$Q$315,"Renewed",'Unit Ledger'!$V$2:$V$315,"&lt;&gt;Y"),"")</f>
        <v>0.104517238846551</v>
      </c>
      <c r="I6" s="22" t="n">
        <f aca="false">IFERROR(AVERAGEIFS('Unit Ledger'!$AM$2:$AM$315,'Unit Ledger'!$J$2:$J$315,"2026-01",'Unit Ledger'!$Q$2:$Q$315,"Moved Out",'Unit Ledger'!$V$2:$V$315,"&lt;&gt;Y"),"")</f>
        <v>0.0426889879693736</v>
      </c>
      <c r="J6" s="22" t="n">
        <f aca="false">IFERROR(AVERAGEIFS('Unit Ledger'!$AN$2:$AN$315,'Unit Ledger'!$J$2:$J$315,"2026-01",'Unit Ledger'!$Q$2:$Q$315,"Moved Out",'Unit Ledger'!$V$2:$V$315,"&lt;&gt;Y"),"")</f>
        <v>0.0954701905280349</v>
      </c>
      <c r="K6" s="5" t="n">
        <f aca="false">COUNTIFS('Unit Ledger'!$J$2:$J$315,"2026-01",'Unit Ledger'!$Q$2:$Q$315,"Not Yet Expired")</f>
        <v>0</v>
      </c>
    </row>
    <row r="7" customFormat="false" ht="15" hidden="false" customHeight="false" outlineLevel="0" collapsed="false">
      <c r="A7" s="5" t="s">
        <v>95</v>
      </c>
      <c r="B7" s="5" t="n">
        <f aca="false">C7+D7+E7</f>
        <v>13</v>
      </c>
      <c r="C7" s="5" t="n">
        <f aca="false">COUNTIFS('Unit Ledger'!$J$2:$J$315,"2026-02",'Unit Ledger'!$S$2:$S$315,"Y",'Unit Ledger'!$Q$2:$Q$315,"Renewed")</f>
        <v>4</v>
      </c>
      <c r="D7" s="5" t="n">
        <f aca="false">COUNTIFS('Unit Ledger'!$J$2:$J$315,"2026-02",'Unit Ledger'!$S$2:$S$315,"Y",'Unit Ledger'!$Q$2:$Q$315,"Moved Out")</f>
        <v>8</v>
      </c>
      <c r="E7" s="5" t="n">
        <f aca="false">COUNTIFS('Unit Ledger'!$J$2:$J$315,"2026-02",'Unit Ledger'!$S$2:$S$315,"Y",'Unit Ledger'!$Q$2:$Q$315,"MTM Holdover")</f>
        <v>1</v>
      </c>
      <c r="F7" s="10" t="n">
        <f aca="false">IF(B7=0,"",C7/B7)</f>
        <v>0.307692307692308</v>
      </c>
      <c r="G7" s="22" t="n">
        <f aca="false">IFERROR(AVERAGEIFS('Unit Ledger'!$AC$2:$AC$315,'Unit Ledger'!$J$2:$J$315,"2026-02",'Unit Ledger'!$Q$2:$Q$315,"Renewed",'Unit Ledger'!$V$2:$V$315,"&lt;&gt;Y"),"")</f>
        <v>0.023464465433921</v>
      </c>
      <c r="H7" s="22" t="n">
        <f aca="false">IFERROR(AVERAGEIFS('Unit Ledger'!$AD$2:$AD$315,'Unit Ledger'!$J$2:$J$315,"2026-02",'Unit Ledger'!$Q$2:$Q$315,"Renewed",'Unit Ledger'!$V$2:$V$315,"&lt;&gt;Y"),"")</f>
        <v>0.0540514199658996</v>
      </c>
      <c r="I7" s="22" t="n">
        <f aca="false">IFERROR(AVERAGEIFS('Unit Ledger'!$AM$2:$AM$315,'Unit Ledger'!$J$2:$J$315,"2026-02",'Unit Ledger'!$Q$2:$Q$315,"Moved Out",'Unit Ledger'!$V$2:$V$315,"&lt;&gt;Y"),"")</f>
        <v>0.0871316495938331</v>
      </c>
      <c r="J7" s="22" t="n">
        <f aca="false">IFERROR(AVERAGEIFS('Unit Ledger'!$AN$2:$AN$315,'Unit Ledger'!$J$2:$J$315,"2026-02",'Unit Ledger'!$Q$2:$Q$315,"Moved Out",'Unit Ledger'!$V$2:$V$315,"&lt;&gt;Y"),"")</f>
        <v>0.155583520023613</v>
      </c>
      <c r="K7" s="5" t="n">
        <f aca="false">COUNTIFS('Unit Ledger'!$J$2:$J$315,"2026-02",'Unit Ledger'!$Q$2:$Q$315,"Not Yet Expired")</f>
        <v>0</v>
      </c>
    </row>
    <row r="8" customFormat="false" ht="15" hidden="false" customHeight="false" outlineLevel="0" collapsed="false">
      <c r="A8" s="5" t="s">
        <v>125</v>
      </c>
      <c r="B8" s="5" t="n">
        <f aca="false">C8+D8+E8</f>
        <v>17</v>
      </c>
      <c r="C8" s="5" t="n">
        <f aca="false">COUNTIFS('Unit Ledger'!$J$2:$J$315,"2026-03",'Unit Ledger'!$S$2:$S$315,"Y",'Unit Ledger'!$Q$2:$Q$315,"Renewed")</f>
        <v>5</v>
      </c>
      <c r="D8" s="5" t="n">
        <f aca="false">COUNTIFS('Unit Ledger'!$J$2:$J$315,"2026-03",'Unit Ledger'!$S$2:$S$315,"Y",'Unit Ledger'!$Q$2:$Q$315,"Moved Out")</f>
        <v>12</v>
      </c>
      <c r="E8" s="5" t="n">
        <f aca="false">COUNTIFS('Unit Ledger'!$J$2:$J$315,"2026-03",'Unit Ledger'!$S$2:$S$315,"Y",'Unit Ledger'!$Q$2:$Q$315,"MTM Holdover")</f>
        <v>0</v>
      </c>
      <c r="F8" s="10" t="n">
        <f aca="false">IF(B8=0,"",C8/B8)</f>
        <v>0.294117647058824</v>
      </c>
      <c r="G8" s="22" t="n">
        <f aca="false">IFERROR(AVERAGEIFS('Unit Ledger'!$AC$2:$AC$315,'Unit Ledger'!$J$2:$J$315,"2026-03",'Unit Ledger'!$Q$2:$Q$315,"Renewed",'Unit Ledger'!$V$2:$V$315,"&lt;&gt;Y"),"")</f>
        <v>0</v>
      </c>
      <c r="H8" s="22" t="n">
        <f aca="false">IFERROR(AVERAGEIFS('Unit Ledger'!$AD$2:$AD$315,'Unit Ledger'!$J$2:$J$315,"2026-03",'Unit Ledger'!$Q$2:$Q$315,"Renewed",'Unit Ledger'!$V$2:$V$315,"&lt;&gt;Y"),"")</f>
        <v>0.0505093280644094</v>
      </c>
      <c r="I8" s="22" t="n">
        <f aca="false">IFERROR(AVERAGEIFS('Unit Ledger'!$AM$2:$AM$315,'Unit Ledger'!$J$2:$J$315,"2026-03",'Unit Ledger'!$Q$2:$Q$315,"Moved Out",'Unit Ledger'!$V$2:$V$315,"&lt;&gt;Y"),"")</f>
        <v>0.000508702212851625</v>
      </c>
      <c r="J8" s="22" t="n">
        <f aca="false">IFERROR(AVERAGEIFS('Unit Ledger'!$AN$2:$AN$315,'Unit Ledger'!$J$2:$J$315,"2026-03",'Unit Ledger'!$Q$2:$Q$315,"Moved Out",'Unit Ledger'!$V$2:$V$315,"&lt;&gt;Y"),"")</f>
        <v>0.00396371186114042</v>
      </c>
      <c r="K8" s="5" t="n">
        <f aca="false">COUNTIFS('Unit Ledger'!$J$2:$J$315,"2026-03",'Unit Ledger'!$Q$2:$Q$315,"Not Yet Expired")</f>
        <v>0</v>
      </c>
    </row>
    <row r="9" customFormat="false" ht="15" hidden="false" customHeight="false" outlineLevel="0" collapsed="false">
      <c r="A9" s="5" t="s">
        <v>167</v>
      </c>
      <c r="B9" s="5" t="n">
        <f aca="false">C9+D9+E9</f>
        <v>18</v>
      </c>
      <c r="C9" s="5" t="n">
        <f aca="false">COUNTIFS('Unit Ledger'!$J$2:$J$315,"2026-04",'Unit Ledger'!$S$2:$S$315,"Y",'Unit Ledger'!$Q$2:$Q$315,"Renewed")</f>
        <v>10</v>
      </c>
      <c r="D9" s="5" t="n">
        <f aca="false">COUNTIFS('Unit Ledger'!$J$2:$J$315,"2026-04",'Unit Ledger'!$S$2:$S$315,"Y",'Unit Ledger'!$Q$2:$Q$315,"Moved Out")</f>
        <v>8</v>
      </c>
      <c r="E9" s="5" t="n">
        <f aca="false">COUNTIFS('Unit Ledger'!$J$2:$J$315,"2026-04",'Unit Ledger'!$S$2:$S$315,"Y",'Unit Ledger'!$Q$2:$Q$315,"MTM Holdover")</f>
        <v>0</v>
      </c>
      <c r="F9" s="10" t="n">
        <f aca="false">IF(B9=0,"",C9/B9)</f>
        <v>0.555555555555556</v>
      </c>
      <c r="G9" s="22" t="n">
        <f aca="false">IFERROR(AVERAGEIFS('Unit Ledger'!$AC$2:$AC$315,'Unit Ledger'!$J$2:$J$315,"2026-04",'Unit Ledger'!$Q$2:$Q$315,"Renewed",'Unit Ledger'!$V$2:$V$315,"&lt;&gt;Y"),"")</f>
        <v>0.0204949768511321</v>
      </c>
      <c r="H9" s="22" t="n">
        <f aca="false">IFERROR(AVERAGEIFS('Unit Ledger'!$AD$2:$AD$315,'Unit Ledger'!$J$2:$J$315,"2026-04",'Unit Ledger'!$Q$2:$Q$315,"Renewed",'Unit Ledger'!$V$2:$V$315,"&lt;&gt;Y"),"")</f>
        <v>0.071950531639504</v>
      </c>
      <c r="I9" s="22" t="n">
        <f aca="false">IFERROR(AVERAGEIFS('Unit Ledger'!$AM$2:$AM$315,'Unit Ledger'!$J$2:$J$315,"2026-04",'Unit Ledger'!$Q$2:$Q$315,"Moved Out",'Unit Ledger'!$V$2:$V$315,"&lt;&gt;Y"),"")</f>
        <v>-0.00961464290956542</v>
      </c>
      <c r="J9" s="22" t="n">
        <f aca="false">IFERROR(AVERAGEIFS('Unit Ledger'!$AN$2:$AN$315,'Unit Ledger'!$J$2:$J$315,"2026-04",'Unit Ledger'!$Q$2:$Q$315,"Moved Out",'Unit Ledger'!$V$2:$V$315,"&lt;&gt;Y"),"")</f>
        <v>0.0553126186875699</v>
      </c>
      <c r="K9" s="5" t="n">
        <f aca="false">COUNTIFS('Unit Ledger'!$J$2:$J$315,"2026-04",'Unit Ledger'!$Q$2:$Q$315,"Not Yet Expired")</f>
        <v>0</v>
      </c>
    </row>
    <row r="10" customFormat="false" ht="15" hidden="false" customHeight="false" outlineLevel="0" collapsed="false">
      <c r="A10" s="5" t="s">
        <v>148</v>
      </c>
      <c r="B10" s="5" t="n">
        <f aca="false">C10+D10+E10</f>
        <v>21</v>
      </c>
      <c r="C10" s="5" t="n">
        <f aca="false">COUNTIFS('Unit Ledger'!$J$2:$J$315,"2026-05",'Unit Ledger'!$S$2:$S$315,"Y",'Unit Ledger'!$Q$2:$Q$315,"Renewed")</f>
        <v>9</v>
      </c>
      <c r="D10" s="5" t="n">
        <f aca="false">COUNTIFS('Unit Ledger'!$J$2:$J$315,"2026-05",'Unit Ledger'!$S$2:$S$315,"Y",'Unit Ledger'!$Q$2:$Q$315,"Moved Out")</f>
        <v>11</v>
      </c>
      <c r="E10" s="5" t="n">
        <f aca="false">COUNTIFS('Unit Ledger'!$J$2:$J$315,"2026-05",'Unit Ledger'!$S$2:$S$315,"Y",'Unit Ledger'!$Q$2:$Q$315,"MTM Holdover")</f>
        <v>1</v>
      </c>
      <c r="F10" s="10" t="n">
        <f aca="false">IF(B10=0,"",C10/B10)</f>
        <v>0.428571428571429</v>
      </c>
      <c r="G10" s="22" t="n">
        <f aca="false">IFERROR(AVERAGEIFS('Unit Ledger'!$AC$2:$AC$315,'Unit Ledger'!$J$2:$J$315,"2026-05",'Unit Ledger'!$Q$2:$Q$315,"Renewed",'Unit Ledger'!$V$2:$V$315,"&lt;&gt;Y"),"")</f>
        <v>0.0225948035426665</v>
      </c>
      <c r="H10" s="22" t="n">
        <f aca="false">IFERROR(AVERAGEIFS('Unit Ledger'!$AD$2:$AD$315,'Unit Ledger'!$J$2:$J$315,"2026-05",'Unit Ledger'!$Q$2:$Q$315,"Renewed",'Unit Ledger'!$V$2:$V$315,"&lt;&gt;Y"),"")</f>
        <v>0.129040796316841</v>
      </c>
      <c r="I10" s="22" t="n">
        <f aca="false">IFERROR(AVERAGEIFS('Unit Ledger'!$AM$2:$AM$315,'Unit Ledger'!$J$2:$J$315,"2026-05",'Unit Ledger'!$Q$2:$Q$315,"Moved Out",'Unit Ledger'!$V$2:$V$315,"&lt;&gt;Y"),"")</f>
        <v>0.0445745301936001</v>
      </c>
      <c r="J10" s="22" t="n">
        <f aca="false">IFERROR(AVERAGEIFS('Unit Ledger'!$AN$2:$AN$315,'Unit Ledger'!$J$2:$J$315,"2026-05",'Unit Ledger'!$Q$2:$Q$315,"Moved Out",'Unit Ledger'!$V$2:$V$315,"&lt;&gt;Y"),"")</f>
        <v>0.12057259413902</v>
      </c>
      <c r="K10" s="5" t="n">
        <f aca="false">COUNTIFS('Unit Ledger'!$J$2:$J$315,"2026-05",'Unit Ledger'!$Q$2:$Q$315,"Not Yet Expired")</f>
        <v>0</v>
      </c>
    </row>
    <row r="11" customFormat="false" ht="15" hidden="false" customHeight="false" outlineLevel="0" collapsed="false">
      <c r="A11" s="5" t="s">
        <v>152</v>
      </c>
      <c r="B11" s="5" t="n">
        <f aca="false">C11+D11+E11</f>
        <v>28</v>
      </c>
      <c r="C11" s="5" t="n">
        <f aca="false">COUNTIFS('Unit Ledger'!$J$2:$J$315,"2026-06",'Unit Ledger'!$S$2:$S$315,"Y",'Unit Ledger'!$Q$2:$Q$315,"Renewed")</f>
        <v>14</v>
      </c>
      <c r="D11" s="5" t="n">
        <f aca="false">COUNTIFS('Unit Ledger'!$J$2:$J$315,"2026-06",'Unit Ledger'!$S$2:$S$315,"Y",'Unit Ledger'!$Q$2:$Q$315,"Moved Out")</f>
        <v>14</v>
      </c>
      <c r="E11" s="5" t="n">
        <f aca="false">COUNTIFS('Unit Ledger'!$J$2:$J$315,"2026-06",'Unit Ledger'!$S$2:$S$315,"Y",'Unit Ledger'!$Q$2:$Q$315,"MTM Holdover")</f>
        <v>0</v>
      </c>
      <c r="F11" s="10" t="n">
        <f aca="false">IF(B11=0,"",C11/B11)</f>
        <v>0.5</v>
      </c>
      <c r="G11" s="22" t="n">
        <f aca="false">IFERROR(AVERAGEIFS('Unit Ledger'!$AC$2:$AC$315,'Unit Ledger'!$J$2:$J$315,"2026-06",'Unit Ledger'!$Q$2:$Q$315,"Renewed",'Unit Ledger'!$V$2:$V$315,"&lt;&gt;Y"),"")</f>
        <v>0.0181714490797891</v>
      </c>
      <c r="H11" s="22" t="n">
        <f aca="false">IFERROR(AVERAGEIFS('Unit Ledger'!$AD$2:$AD$315,'Unit Ledger'!$J$2:$J$315,"2026-06",'Unit Ledger'!$Q$2:$Q$315,"Renewed",'Unit Ledger'!$V$2:$V$315,"&lt;&gt;Y"),"")</f>
        <v>0.0973498573750208</v>
      </c>
      <c r="I11" s="22" t="n">
        <f aca="false">IFERROR(AVERAGEIFS('Unit Ledger'!$AM$2:$AM$315,'Unit Ledger'!$J$2:$J$315,"2026-06",'Unit Ledger'!$Q$2:$Q$315,"Moved Out",'Unit Ledger'!$V$2:$V$315,"&lt;&gt;Y"),"")</f>
        <v>0.0510542965344152</v>
      </c>
      <c r="J11" s="22" t="n">
        <f aca="false">IFERROR(AVERAGEIFS('Unit Ledger'!$AN$2:$AN$315,'Unit Ledger'!$J$2:$J$315,"2026-06",'Unit Ledger'!$Q$2:$Q$315,"Moved Out",'Unit Ledger'!$V$2:$V$315,"&lt;&gt;Y"),"")</f>
        <v>0.147769179433049</v>
      </c>
      <c r="K11" s="5" t="n">
        <f aca="false">COUNTIFS('Unit Ledger'!$J$2:$J$315,"2026-06",'Unit Ledger'!$Q$2:$Q$315,"Not Yet Expired")</f>
        <v>0</v>
      </c>
    </row>
    <row r="12" customFormat="false" ht="15" hidden="false" customHeight="false" outlineLevel="0" collapsed="false">
      <c r="A12" s="5" t="s">
        <v>116</v>
      </c>
      <c r="B12" s="5" t="n">
        <f aca="false">C12+D12+E12</f>
        <v>37</v>
      </c>
      <c r="C12" s="5" t="n">
        <f aca="false">COUNTIFS('Unit Ledger'!$J$2:$J$315,"2026-07",'Unit Ledger'!$S$2:$S$315,"Y",'Unit Ledger'!$Q$2:$Q$315,"Renewed")</f>
        <v>8</v>
      </c>
      <c r="D12" s="5" t="n">
        <f aca="false">COUNTIFS('Unit Ledger'!$J$2:$J$315,"2026-07",'Unit Ledger'!$S$2:$S$315,"Y",'Unit Ledger'!$Q$2:$Q$315,"Moved Out")</f>
        <v>25</v>
      </c>
      <c r="E12" s="5" t="n">
        <f aca="false">COUNTIFS('Unit Ledger'!$J$2:$J$315,"2026-07",'Unit Ledger'!$S$2:$S$315,"Y",'Unit Ledger'!$Q$2:$Q$315,"MTM Holdover")</f>
        <v>4</v>
      </c>
      <c r="F12" s="10" t="n">
        <f aca="false">IF(B12=0,"",C12/B12)</f>
        <v>0.216216216216216</v>
      </c>
      <c r="G12" s="22" t="n">
        <f aca="false">IFERROR(AVERAGEIFS('Unit Ledger'!$AC$2:$AC$315,'Unit Ledger'!$J$2:$J$315,"2026-07",'Unit Ledger'!$Q$2:$Q$315,"Renewed",'Unit Ledger'!$V$2:$V$315,"&lt;&gt;Y"),"")</f>
        <v>0.0240672301167577</v>
      </c>
      <c r="H12" s="22" t="n">
        <f aca="false">IFERROR(AVERAGEIFS('Unit Ledger'!$AD$2:$AD$315,'Unit Ledger'!$J$2:$J$315,"2026-07",'Unit Ledger'!$Q$2:$Q$315,"Renewed",'Unit Ledger'!$V$2:$V$315,"&lt;&gt;Y"),"")</f>
        <v>0.100840297066339</v>
      </c>
      <c r="I12" s="22" t="n">
        <f aca="false">IFERROR(AVERAGEIFS('Unit Ledger'!$AM$2:$AM$315,'Unit Ledger'!$J$2:$J$315,"2026-07",'Unit Ledger'!$Q$2:$Q$315,"Moved Out",'Unit Ledger'!$V$2:$V$315,"&lt;&gt;Y"),"")</f>
        <v>0.0812179004662354</v>
      </c>
      <c r="J12" s="22" t="n">
        <f aca="false">IFERROR(AVERAGEIFS('Unit Ledger'!$AN$2:$AN$315,'Unit Ledger'!$J$2:$J$315,"2026-07",'Unit Ledger'!$Q$2:$Q$315,"Moved Out",'Unit Ledger'!$V$2:$V$315,"&lt;&gt;Y"),"")</f>
        <v>0.142990107770273</v>
      </c>
      <c r="K12" s="5" t="n">
        <f aca="false">COUNTIFS('Unit Ledger'!$J$2:$J$315,"2026-07",'Unit Ledger'!$Q$2:$Q$315,"Not Yet Expired")</f>
        <v>0</v>
      </c>
    </row>
    <row r="13" customFormat="false" ht="15" hidden="false" customHeight="false" outlineLevel="0" collapsed="false">
      <c r="A13" s="5" t="s">
        <v>135</v>
      </c>
      <c r="B13" s="5" t="n">
        <f aca="false">C13+D13+E13</f>
        <v>2</v>
      </c>
      <c r="C13" s="5" t="n">
        <f aca="false">COUNTIFS('Unit Ledger'!$J$2:$J$315,"2026-08",'Unit Ledger'!$S$2:$S$315,"Y",'Unit Ledger'!$Q$2:$Q$315,"Renewed")</f>
        <v>0</v>
      </c>
      <c r="D13" s="5" t="n">
        <f aca="false">COUNTIFS('Unit Ledger'!$J$2:$J$315,"2026-08",'Unit Ledger'!$S$2:$S$315,"Y",'Unit Ledger'!$Q$2:$Q$315,"Moved Out")</f>
        <v>1</v>
      </c>
      <c r="E13" s="5" t="n">
        <f aca="false">COUNTIFS('Unit Ledger'!$J$2:$J$315,"2026-08",'Unit Ledger'!$S$2:$S$315,"Y",'Unit Ledger'!$Q$2:$Q$315,"MTM Holdover")</f>
        <v>1</v>
      </c>
      <c r="F13" s="10" t="n">
        <f aca="false">IF(B13=0,"",C13/B13)</f>
        <v>0</v>
      </c>
      <c r="G13" s="22" t="str">
        <f aca="false">IFERROR(AVERAGEIFS('Unit Ledger'!$AC$2:$AC$315,'Unit Ledger'!$J$2:$J$315,"2026-08",'Unit Ledger'!$Q$2:$Q$315,"Renewed",'Unit Ledger'!$V$2:$V$315,"&lt;&gt;Y"),"")</f>
        <v/>
      </c>
      <c r="H13" s="22" t="str">
        <f aca="false">IFERROR(AVERAGEIFS('Unit Ledger'!$AD$2:$AD$315,'Unit Ledger'!$J$2:$J$315,"2026-08",'Unit Ledger'!$Q$2:$Q$315,"Renewed",'Unit Ledger'!$V$2:$V$315,"&lt;&gt;Y"),"")</f>
        <v/>
      </c>
      <c r="I13" s="22" t="n">
        <f aca="false">IFERROR(AVERAGEIFS('Unit Ledger'!$AM$2:$AM$315,'Unit Ledger'!$J$2:$J$315,"2026-08",'Unit Ledger'!$Q$2:$Q$315,"Moved Out",'Unit Ledger'!$V$2:$V$315,"&lt;&gt;Y"),"")</f>
        <v>0.0893401015228426</v>
      </c>
      <c r="J13" s="22" t="n">
        <f aca="false">IFERROR(AVERAGEIFS('Unit Ledger'!$AN$2:$AN$315,'Unit Ledger'!$J$2:$J$315,"2026-08",'Unit Ledger'!$Q$2:$Q$315,"Moved Out",'Unit Ledger'!$V$2:$V$315,"&lt;&gt;Y"),"")</f>
        <v>0.0893401015228426</v>
      </c>
      <c r="K13" s="5" t="n">
        <f aca="false">COUNTIFS('Unit Ledger'!$J$2:$J$315,"2026-08",'Unit Ledger'!$Q$2:$Q$315,"Not Yet Expired")</f>
        <v>30</v>
      </c>
    </row>
    <row r="14" customFormat="false" ht="15" hidden="false" customHeight="false" outlineLevel="0" collapsed="false">
      <c r="A14" s="5" t="s">
        <v>186</v>
      </c>
      <c r="B14" s="5" t="n">
        <f aca="false">C14+D14+E14</f>
        <v>0</v>
      </c>
      <c r="C14" s="5" t="n">
        <f aca="false">COUNTIFS('Unit Ledger'!$J$2:$J$315,"2026-09",'Unit Ledger'!$S$2:$S$315,"Y",'Unit Ledger'!$Q$2:$Q$315,"Renewed")</f>
        <v>0</v>
      </c>
      <c r="D14" s="5" t="n">
        <f aca="false">COUNTIFS('Unit Ledger'!$J$2:$J$315,"2026-09",'Unit Ledger'!$S$2:$S$315,"Y",'Unit Ledger'!$Q$2:$Q$315,"Moved Out")</f>
        <v>0</v>
      </c>
      <c r="E14" s="5" t="n">
        <f aca="false">COUNTIFS('Unit Ledger'!$J$2:$J$315,"2026-09",'Unit Ledger'!$S$2:$S$315,"Y",'Unit Ledger'!$Q$2:$Q$315,"MTM Holdover")</f>
        <v>0</v>
      </c>
      <c r="F14" s="10" t="str">
        <f aca="false">IF(B14=0,"",C14/B14)</f>
        <v/>
      </c>
      <c r="G14" s="22" t="str">
        <f aca="false">IFERROR(AVERAGEIFS('Unit Ledger'!$AC$2:$AC$315,'Unit Ledger'!$J$2:$J$315,"2026-09",'Unit Ledger'!$Q$2:$Q$315,"Renewed",'Unit Ledger'!$V$2:$V$315,"&lt;&gt;Y"),"")</f>
        <v/>
      </c>
      <c r="H14" s="22" t="str">
        <f aca="false">IFERROR(AVERAGEIFS('Unit Ledger'!$AD$2:$AD$315,'Unit Ledger'!$J$2:$J$315,"2026-09",'Unit Ledger'!$Q$2:$Q$315,"Renewed",'Unit Ledger'!$V$2:$V$315,"&lt;&gt;Y"),"")</f>
        <v/>
      </c>
      <c r="I14" s="22" t="n">
        <f aca="false">IFERROR(AVERAGEIFS('Unit Ledger'!$AM$2:$AM$315,'Unit Ledger'!$J$2:$J$315,"2026-09",'Unit Ledger'!$Q$2:$Q$315,"Moved Out",'Unit Ledger'!$V$2:$V$315,"&lt;&gt;Y"),"")</f>
        <v>0.0330050449464933</v>
      </c>
      <c r="J14" s="22" t="n">
        <f aca="false">IFERROR(AVERAGEIFS('Unit Ledger'!$AN$2:$AN$315,'Unit Ledger'!$J$2:$J$315,"2026-09",'Unit Ledger'!$Q$2:$Q$315,"Moved Out",'Unit Ledger'!$V$2:$V$315,"&lt;&gt;Y"),"")</f>
        <v>0.156036232053666</v>
      </c>
      <c r="K14" s="5" t="n">
        <f aca="false">COUNTIFS('Unit Ledger'!$J$2:$J$315,"2026-09",'Unit Ledger'!$Q$2:$Q$315,"Not Yet Expired")</f>
        <v>14</v>
      </c>
    </row>
    <row r="15" customFormat="false" ht="15" hidden="false" customHeight="false" outlineLevel="0" collapsed="false">
      <c r="A15" s="5" t="s">
        <v>106</v>
      </c>
      <c r="B15" s="5" t="n">
        <f aca="false">C15+D15+E15</f>
        <v>0</v>
      </c>
      <c r="C15" s="5" t="n">
        <f aca="false">COUNTIFS('Unit Ledger'!$J$2:$J$315,"2026-10",'Unit Ledger'!$S$2:$S$315,"Y",'Unit Ledger'!$Q$2:$Q$315,"Renewed")</f>
        <v>0</v>
      </c>
      <c r="D15" s="5" t="n">
        <f aca="false">COUNTIFS('Unit Ledger'!$J$2:$J$315,"2026-10",'Unit Ledger'!$S$2:$S$315,"Y",'Unit Ledger'!$Q$2:$Q$315,"Moved Out")</f>
        <v>0</v>
      </c>
      <c r="E15" s="5" t="n">
        <f aca="false">COUNTIFS('Unit Ledger'!$J$2:$J$315,"2026-10",'Unit Ledger'!$S$2:$S$315,"Y",'Unit Ledger'!$Q$2:$Q$315,"MTM Holdover")</f>
        <v>0</v>
      </c>
      <c r="F15" s="10" t="str">
        <f aca="false">IF(B15=0,"",C15/B15)</f>
        <v/>
      </c>
      <c r="G15" s="22" t="str">
        <f aca="false">IFERROR(AVERAGEIFS('Unit Ledger'!$AC$2:$AC$315,'Unit Ledger'!$J$2:$J$315,"2026-10",'Unit Ledger'!$Q$2:$Q$315,"Renewed",'Unit Ledger'!$V$2:$V$315,"&lt;&gt;Y"),"")</f>
        <v/>
      </c>
      <c r="H15" s="22" t="str">
        <f aca="false">IFERROR(AVERAGEIFS('Unit Ledger'!$AD$2:$AD$315,'Unit Ledger'!$J$2:$J$315,"2026-10",'Unit Ledger'!$Q$2:$Q$315,"Renewed",'Unit Ledger'!$V$2:$V$315,"&lt;&gt;Y"),"")</f>
        <v/>
      </c>
      <c r="I15" s="22" t="n">
        <f aca="false">IFERROR(AVERAGEIFS('Unit Ledger'!$AM$2:$AM$315,'Unit Ledger'!$J$2:$J$315,"2026-10",'Unit Ledger'!$Q$2:$Q$315,"Moved Out",'Unit Ledger'!$V$2:$V$315,"&lt;&gt;Y"),"")</f>
        <v>0.0224993915574446</v>
      </c>
      <c r="J15" s="22" t="n">
        <f aca="false">IFERROR(AVERAGEIFS('Unit Ledger'!$AN$2:$AN$315,'Unit Ledger'!$J$2:$J$315,"2026-10",'Unit Ledger'!$Q$2:$Q$315,"Moved Out",'Unit Ledger'!$V$2:$V$315,"&lt;&gt;Y"),"")</f>
        <v>0.081342594263684</v>
      </c>
      <c r="K15" s="5" t="n">
        <f aca="false">COUNTIFS('Unit Ledger'!$J$2:$J$315,"2026-10",'Unit Ledger'!$Q$2:$Q$315,"Not Yet Expired")</f>
        <v>20</v>
      </c>
    </row>
    <row r="16" customFormat="false" ht="15" hidden="false" customHeight="false" outlineLevel="0" collapsed="false">
      <c r="A16" s="5" t="s">
        <v>193</v>
      </c>
      <c r="B16" s="5" t="n">
        <f aca="false">C16+D16+E16</f>
        <v>0</v>
      </c>
      <c r="C16" s="5" t="n">
        <f aca="false">COUNTIFS('Unit Ledger'!$J$2:$J$315,"2026-11",'Unit Ledger'!$S$2:$S$315,"Y",'Unit Ledger'!$Q$2:$Q$315,"Renewed")</f>
        <v>0</v>
      </c>
      <c r="D16" s="5" t="n">
        <f aca="false">COUNTIFS('Unit Ledger'!$J$2:$J$315,"2026-11",'Unit Ledger'!$S$2:$S$315,"Y",'Unit Ledger'!$Q$2:$Q$315,"Moved Out")</f>
        <v>0</v>
      </c>
      <c r="E16" s="5" t="n">
        <f aca="false">COUNTIFS('Unit Ledger'!$J$2:$J$315,"2026-11",'Unit Ledger'!$S$2:$S$315,"Y",'Unit Ledger'!$Q$2:$Q$315,"MTM Holdover")</f>
        <v>0</v>
      </c>
      <c r="F16" s="10" t="str">
        <f aca="false">IF(B16=0,"",C16/B16)</f>
        <v/>
      </c>
      <c r="G16" s="22" t="str">
        <f aca="false">IFERROR(AVERAGEIFS('Unit Ledger'!$AC$2:$AC$315,'Unit Ledger'!$J$2:$J$315,"2026-11",'Unit Ledger'!$Q$2:$Q$315,"Renewed",'Unit Ledger'!$V$2:$V$315,"&lt;&gt;Y"),"")</f>
        <v/>
      </c>
      <c r="H16" s="22" t="str">
        <f aca="false">IFERROR(AVERAGEIFS('Unit Ledger'!$AD$2:$AD$315,'Unit Ledger'!$J$2:$J$315,"2026-11",'Unit Ledger'!$Q$2:$Q$315,"Renewed",'Unit Ledger'!$V$2:$V$315,"&lt;&gt;Y"),"")</f>
        <v/>
      </c>
      <c r="I16" s="22" t="str">
        <f aca="false">IFERROR(AVERAGEIFS('Unit Ledger'!$AM$2:$AM$315,'Unit Ledger'!$J$2:$J$315,"2026-11",'Unit Ledger'!$Q$2:$Q$315,"Moved Out",'Unit Ledger'!$V$2:$V$315,"&lt;&gt;Y"),"")</f>
        <v/>
      </c>
      <c r="J16" s="22" t="str">
        <f aca="false">IFERROR(AVERAGEIFS('Unit Ledger'!$AN$2:$AN$315,'Unit Ledger'!$J$2:$J$315,"2026-11",'Unit Ledger'!$Q$2:$Q$315,"Moved Out",'Unit Ledger'!$V$2:$V$315,"&lt;&gt;Y"),"")</f>
        <v/>
      </c>
      <c r="K16" s="5" t="n">
        <f aca="false">COUNTIFS('Unit Ledger'!$J$2:$J$315,"2026-11",'Unit Ledger'!$Q$2:$Q$315,"Not Yet Expired")</f>
        <v>15</v>
      </c>
    </row>
    <row r="17" customFormat="false" ht="15" hidden="false" customHeight="false" outlineLevel="0" collapsed="false">
      <c r="A17" s="5" t="s">
        <v>85</v>
      </c>
      <c r="B17" s="5" t="n">
        <f aca="false">C17+D17+E17</f>
        <v>0</v>
      </c>
      <c r="C17" s="5" t="n">
        <f aca="false">COUNTIFS('Unit Ledger'!$J$2:$J$315,"2026-12",'Unit Ledger'!$S$2:$S$315,"Y",'Unit Ledger'!$Q$2:$Q$315,"Renewed")</f>
        <v>0</v>
      </c>
      <c r="D17" s="5" t="n">
        <f aca="false">COUNTIFS('Unit Ledger'!$J$2:$J$315,"2026-12",'Unit Ledger'!$S$2:$S$315,"Y",'Unit Ledger'!$Q$2:$Q$315,"Moved Out")</f>
        <v>0</v>
      </c>
      <c r="E17" s="5" t="n">
        <f aca="false">COUNTIFS('Unit Ledger'!$J$2:$J$315,"2026-12",'Unit Ledger'!$S$2:$S$315,"Y",'Unit Ledger'!$Q$2:$Q$315,"MTM Holdover")</f>
        <v>0</v>
      </c>
      <c r="F17" s="10" t="str">
        <f aca="false">IF(B17=0,"",C17/B17)</f>
        <v/>
      </c>
      <c r="G17" s="22" t="str">
        <f aca="false">IFERROR(AVERAGEIFS('Unit Ledger'!$AC$2:$AC$315,'Unit Ledger'!$J$2:$J$315,"2026-12",'Unit Ledger'!$Q$2:$Q$315,"Renewed",'Unit Ledger'!$V$2:$V$315,"&lt;&gt;Y"),"")</f>
        <v/>
      </c>
      <c r="H17" s="22" t="str">
        <f aca="false">IFERROR(AVERAGEIFS('Unit Ledger'!$AD$2:$AD$315,'Unit Ledger'!$J$2:$J$315,"2026-12",'Unit Ledger'!$Q$2:$Q$315,"Renewed",'Unit Ledger'!$V$2:$V$315,"&lt;&gt;Y"),"")</f>
        <v/>
      </c>
      <c r="I17" s="22" t="n">
        <f aca="false">IFERROR(AVERAGEIFS('Unit Ledger'!$AM$2:$AM$315,'Unit Ledger'!$J$2:$J$315,"2026-12",'Unit Ledger'!$Q$2:$Q$315,"Moved Out",'Unit Ledger'!$V$2:$V$315,"&lt;&gt;Y"),"")</f>
        <v>0.125226113014122</v>
      </c>
      <c r="J17" s="22" t="n">
        <f aca="false">IFERROR(AVERAGEIFS('Unit Ledger'!$AN$2:$AN$315,'Unit Ledger'!$J$2:$J$315,"2026-12",'Unit Ledger'!$Q$2:$Q$315,"Moved Out",'Unit Ledger'!$V$2:$V$315,"&lt;&gt;Y"),"")</f>
        <v>0.138544146689404</v>
      </c>
      <c r="K17" s="5" t="n">
        <f aca="false">COUNTIFS('Unit Ledger'!$J$2:$J$315,"2026-12",'Unit Ledger'!$Q$2:$Q$315,"Not Yet Expired")</f>
        <v>12</v>
      </c>
    </row>
    <row r="18" customFormat="false" ht="15" hidden="false" customHeight="false" outlineLevel="0" collapsed="false">
      <c r="A18" s="5" t="s">
        <v>265</v>
      </c>
      <c r="B18" s="5" t="n">
        <f aca="false">C18+D18+E18</f>
        <v>0</v>
      </c>
      <c r="C18" s="5" t="n">
        <f aca="false">COUNTIFS('Unit Ledger'!$J$2:$J$315,"2027-01",'Unit Ledger'!$S$2:$S$315,"Y",'Unit Ledger'!$Q$2:$Q$315,"Renewed")</f>
        <v>0</v>
      </c>
      <c r="D18" s="5" t="n">
        <f aca="false">COUNTIFS('Unit Ledger'!$J$2:$J$315,"2027-01",'Unit Ledger'!$S$2:$S$315,"Y",'Unit Ledger'!$Q$2:$Q$315,"Moved Out")</f>
        <v>0</v>
      </c>
      <c r="E18" s="5" t="n">
        <f aca="false">COUNTIFS('Unit Ledger'!$J$2:$J$315,"2027-01",'Unit Ledger'!$S$2:$S$315,"Y",'Unit Ledger'!$Q$2:$Q$315,"MTM Holdover")</f>
        <v>0</v>
      </c>
      <c r="F18" s="10" t="str">
        <f aca="false">IF(B18=0,"",C18/B18)</f>
        <v/>
      </c>
      <c r="G18" s="22" t="str">
        <f aca="false">IFERROR(AVERAGEIFS('Unit Ledger'!$AC$2:$AC$315,'Unit Ledger'!$J$2:$J$315,"2027-01",'Unit Ledger'!$Q$2:$Q$315,"Renewed",'Unit Ledger'!$V$2:$V$315,"&lt;&gt;Y"),"")</f>
        <v/>
      </c>
      <c r="H18" s="22" t="str">
        <f aca="false">IFERROR(AVERAGEIFS('Unit Ledger'!$AD$2:$AD$315,'Unit Ledger'!$J$2:$J$315,"2027-01",'Unit Ledger'!$Q$2:$Q$315,"Renewed",'Unit Ledger'!$V$2:$V$315,"&lt;&gt;Y"),"")</f>
        <v/>
      </c>
      <c r="I18" s="22" t="str">
        <f aca="false">IFERROR(AVERAGEIFS('Unit Ledger'!$AM$2:$AM$315,'Unit Ledger'!$J$2:$J$315,"2027-01",'Unit Ledger'!$Q$2:$Q$315,"Moved Out",'Unit Ledger'!$V$2:$V$315,"&lt;&gt;Y"),"")</f>
        <v/>
      </c>
      <c r="J18" s="22" t="str">
        <f aca="false">IFERROR(AVERAGEIFS('Unit Ledger'!$AN$2:$AN$315,'Unit Ledger'!$J$2:$J$315,"2027-01",'Unit Ledger'!$Q$2:$Q$315,"Moved Out",'Unit Ledger'!$V$2:$V$315,"&lt;&gt;Y"),"")</f>
        <v/>
      </c>
      <c r="K18" s="5" t="n">
        <f aca="false">COUNTIFS('Unit Ledger'!$J$2:$J$315,"2027-01",'Unit Ledger'!$Q$2:$Q$315,"Not Yet Expired")</f>
        <v>6</v>
      </c>
    </row>
    <row r="19" customFormat="false" ht="15" hidden="false" customHeight="false" outlineLevel="0" collapsed="false">
      <c r="A19" s="5" t="s">
        <v>251</v>
      </c>
      <c r="B19" s="5" t="n">
        <f aca="false">C19+D19+E19</f>
        <v>0</v>
      </c>
      <c r="C19" s="5" t="n">
        <f aca="false">COUNTIFS('Unit Ledger'!$J$2:$J$315,"2027-02",'Unit Ledger'!$S$2:$S$315,"Y",'Unit Ledger'!$Q$2:$Q$315,"Renewed")</f>
        <v>0</v>
      </c>
      <c r="D19" s="5" t="n">
        <f aca="false">COUNTIFS('Unit Ledger'!$J$2:$J$315,"2027-02",'Unit Ledger'!$S$2:$S$315,"Y",'Unit Ledger'!$Q$2:$Q$315,"Moved Out")</f>
        <v>0</v>
      </c>
      <c r="E19" s="5" t="n">
        <f aca="false">COUNTIFS('Unit Ledger'!$J$2:$J$315,"2027-02",'Unit Ledger'!$S$2:$S$315,"Y",'Unit Ledger'!$Q$2:$Q$315,"MTM Holdover")</f>
        <v>0</v>
      </c>
      <c r="F19" s="10" t="str">
        <f aca="false">IF(B19=0,"",C19/B19)</f>
        <v/>
      </c>
      <c r="G19" s="22" t="str">
        <f aca="false">IFERROR(AVERAGEIFS('Unit Ledger'!$AC$2:$AC$315,'Unit Ledger'!$J$2:$J$315,"2027-02",'Unit Ledger'!$Q$2:$Q$315,"Renewed",'Unit Ledger'!$V$2:$V$315,"&lt;&gt;Y"),"")</f>
        <v/>
      </c>
      <c r="H19" s="22" t="str">
        <f aca="false">IFERROR(AVERAGEIFS('Unit Ledger'!$AD$2:$AD$315,'Unit Ledger'!$J$2:$J$315,"2027-02",'Unit Ledger'!$Q$2:$Q$315,"Renewed",'Unit Ledger'!$V$2:$V$315,"&lt;&gt;Y"),"")</f>
        <v/>
      </c>
      <c r="I19" s="22" t="n">
        <f aca="false">IFERROR(AVERAGEIFS('Unit Ledger'!$AM$2:$AM$315,'Unit Ledger'!$J$2:$J$315,"2027-02",'Unit Ledger'!$Q$2:$Q$315,"Moved Out",'Unit Ledger'!$V$2:$V$315,"&lt;&gt;Y"),"")</f>
        <v>0.186895282968307</v>
      </c>
      <c r="J19" s="22" t="n">
        <f aca="false">IFERROR(AVERAGEIFS('Unit Ledger'!$AN$2:$AN$315,'Unit Ledger'!$J$2:$J$315,"2027-02",'Unit Ledger'!$Q$2:$Q$315,"Moved Out",'Unit Ledger'!$V$2:$V$315,"&lt;&gt;Y"),"")</f>
        <v>0.136043360433604</v>
      </c>
      <c r="K19" s="5" t="n">
        <f aca="false">COUNTIFS('Unit Ledger'!$J$2:$J$315,"2027-02",'Unit Ledger'!$Q$2:$Q$315,"Not Yet Expired")</f>
        <v>11</v>
      </c>
    </row>
    <row r="20" customFormat="false" ht="15" hidden="false" customHeight="false" outlineLevel="0" collapsed="false">
      <c r="A20" s="5" t="s">
        <v>131</v>
      </c>
      <c r="B20" s="5" t="n">
        <f aca="false">C20+D20+E20</f>
        <v>0</v>
      </c>
      <c r="C20" s="5" t="n">
        <f aca="false">COUNTIFS('Unit Ledger'!$J$2:$J$315,"2027-03",'Unit Ledger'!$S$2:$S$315,"Y",'Unit Ledger'!$Q$2:$Q$315,"Renewed")</f>
        <v>0</v>
      </c>
      <c r="D20" s="5" t="n">
        <f aca="false">COUNTIFS('Unit Ledger'!$J$2:$J$315,"2027-03",'Unit Ledger'!$S$2:$S$315,"Y",'Unit Ledger'!$Q$2:$Q$315,"Moved Out")</f>
        <v>0</v>
      </c>
      <c r="E20" s="5" t="n">
        <f aca="false">COUNTIFS('Unit Ledger'!$J$2:$J$315,"2027-03",'Unit Ledger'!$S$2:$S$315,"Y",'Unit Ledger'!$Q$2:$Q$315,"MTM Holdover")</f>
        <v>0</v>
      </c>
      <c r="F20" s="10" t="str">
        <f aca="false">IF(B20=0,"",C20/B20)</f>
        <v/>
      </c>
      <c r="G20" s="22" t="str">
        <f aca="false">IFERROR(AVERAGEIFS('Unit Ledger'!$AC$2:$AC$315,'Unit Ledger'!$J$2:$J$315,"2027-03",'Unit Ledger'!$Q$2:$Q$315,"Renewed",'Unit Ledger'!$V$2:$V$315,"&lt;&gt;Y"),"")</f>
        <v/>
      </c>
      <c r="H20" s="22" t="str">
        <f aca="false">IFERROR(AVERAGEIFS('Unit Ledger'!$AD$2:$AD$315,'Unit Ledger'!$J$2:$J$315,"2027-03",'Unit Ledger'!$Q$2:$Q$315,"Renewed",'Unit Ledger'!$V$2:$V$315,"&lt;&gt;Y"),"")</f>
        <v/>
      </c>
      <c r="I20" s="22" t="str">
        <f aca="false">IFERROR(AVERAGEIFS('Unit Ledger'!$AM$2:$AM$315,'Unit Ledger'!$J$2:$J$315,"2027-03",'Unit Ledger'!$Q$2:$Q$315,"Moved Out",'Unit Ledger'!$V$2:$V$315,"&lt;&gt;Y"),"")</f>
        <v/>
      </c>
      <c r="J20" s="22" t="str">
        <f aca="false">IFERROR(AVERAGEIFS('Unit Ledger'!$AN$2:$AN$315,'Unit Ledger'!$J$2:$J$315,"2027-03",'Unit Ledger'!$Q$2:$Q$315,"Moved Out",'Unit Ledger'!$V$2:$V$315,"&lt;&gt;Y"),"")</f>
        <v/>
      </c>
      <c r="K20" s="5" t="n">
        <f aca="false">COUNTIFS('Unit Ledger'!$J$2:$J$315,"2027-03",'Unit Ledger'!$Q$2:$Q$315,"Not Yet Expired")</f>
        <v>12</v>
      </c>
    </row>
    <row r="21" customFormat="false" ht="15" hidden="false" customHeight="false" outlineLevel="0" collapsed="false">
      <c r="A21" s="5" t="s">
        <v>143</v>
      </c>
      <c r="B21" s="5" t="n">
        <f aca="false">C21+D21+E21</f>
        <v>0</v>
      </c>
      <c r="C21" s="5" t="n">
        <f aca="false">COUNTIFS('Unit Ledger'!$J$2:$J$315,"2027-04",'Unit Ledger'!$S$2:$S$315,"Y",'Unit Ledger'!$Q$2:$Q$315,"Renewed")</f>
        <v>0</v>
      </c>
      <c r="D21" s="5" t="n">
        <f aca="false">COUNTIFS('Unit Ledger'!$J$2:$J$315,"2027-04",'Unit Ledger'!$S$2:$S$315,"Y",'Unit Ledger'!$Q$2:$Q$315,"Moved Out")</f>
        <v>0</v>
      </c>
      <c r="E21" s="5" t="n">
        <f aca="false">COUNTIFS('Unit Ledger'!$J$2:$J$315,"2027-04",'Unit Ledger'!$S$2:$S$315,"Y",'Unit Ledger'!$Q$2:$Q$315,"MTM Holdover")</f>
        <v>0</v>
      </c>
      <c r="F21" s="10" t="str">
        <f aca="false">IF(B21=0,"",C21/B21)</f>
        <v/>
      </c>
      <c r="G21" s="22" t="str">
        <f aca="false">IFERROR(AVERAGEIFS('Unit Ledger'!$AC$2:$AC$315,'Unit Ledger'!$J$2:$J$315,"2027-04",'Unit Ledger'!$Q$2:$Q$315,"Renewed",'Unit Ledger'!$V$2:$V$315,"&lt;&gt;Y"),"")</f>
        <v/>
      </c>
      <c r="H21" s="22" t="str">
        <f aca="false">IFERROR(AVERAGEIFS('Unit Ledger'!$AD$2:$AD$315,'Unit Ledger'!$J$2:$J$315,"2027-04",'Unit Ledger'!$Q$2:$Q$315,"Renewed",'Unit Ledger'!$V$2:$V$315,"&lt;&gt;Y"),"")</f>
        <v/>
      </c>
      <c r="I21" s="22" t="n">
        <f aca="false">IFERROR(AVERAGEIFS('Unit Ledger'!$AM$2:$AM$315,'Unit Ledger'!$J$2:$J$315,"2027-04",'Unit Ledger'!$Q$2:$Q$315,"Moved Out",'Unit Ledger'!$V$2:$V$315,"&lt;&gt;Y"),"")</f>
        <v>0.000667111407605114</v>
      </c>
      <c r="J21" s="22" t="n">
        <f aca="false">IFERROR(AVERAGEIFS('Unit Ledger'!$AN$2:$AN$315,'Unit Ledger'!$J$2:$J$315,"2027-04",'Unit Ledger'!$Q$2:$Q$315,"Moved Out",'Unit Ledger'!$V$2:$V$315,"&lt;&gt;Y"),"")</f>
        <v>0.000667111407605114</v>
      </c>
      <c r="K21" s="5" t="n">
        <f aca="false">COUNTIFS('Unit Ledger'!$J$2:$J$315,"2027-04",'Unit Ledger'!$Q$2:$Q$315,"Not Yet Expired")</f>
        <v>7</v>
      </c>
    </row>
    <row r="22" customFormat="false" ht="15" hidden="false" customHeight="false" outlineLevel="0" collapsed="false">
      <c r="A22" s="5" t="s">
        <v>111</v>
      </c>
      <c r="B22" s="5" t="n">
        <f aca="false">C22+D22+E22</f>
        <v>0</v>
      </c>
      <c r="C22" s="5" t="n">
        <f aca="false">COUNTIFS('Unit Ledger'!$J$2:$J$315,"2027-05",'Unit Ledger'!$S$2:$S$315,"Y",'Unit Ledger'!$Q$2:$Q$315,"Renewed")</f>
        <v>0</v>
      </c>
      <c r="D22" s="5" t="n">
        <f aca="false">COUNTIFS('Unit Ledger'!$J$2:$J$315,"2027-05",'Unit Ledger'!$S$2:$S$315,"Y",'Unit Ledger'!$Q$2:$Q$315,"Moved Out")</f>
        <v>0</v>
      </c>
      <c r="E22" s="5" t="n">
        <f aca="false">COUNTIFS('Unit Ledger'!$J$2:$J$315,"2027-05",'Unit Ledger'!$S$2:$S$315,"Y",'Unit Ledger'!$Q$2:$Q$315,"MTM Holdover")</f>
        <v>0</v>
      </c>
      <c r="F22" s="10" t="str">
        <f aca="false">IF(B22=0,"",C22/B22)</f>
        <v/>
      </c>
      <c r="G22" s="22" t="str">
        <f aca="false">IFERROR(AVERAGEIFS('Unit Ledger'!$AC$2:$AC$315,'Unit Ledger'!$J$2:$J$315,"2027-05",'Unit Ledger'!$Q$2:$Q$315,"Renewed",'Unit Ledger'!$V$2:$V$315,"&lt;&gt;Y"),"")</f>
        <v/>
      </c>
      <c r="H22" s="22" t="str">
        <f aca="false">IFERROR(AVERAGEIFS('Unit Ledger'!$AD$2:$AD$315,'Unit Ledger'!$J$2:$J$315,"2027-05",'Unit Ledger'!$Q$2:$Q$315,"Renewed",'Unit Ledger'!$V$2:$V$315,"&lt;&gt;Y"),"")</f>
        <v/>
      </c>
      <c r="I22" s="22" t="n">
        <f aca="false">IFERROR(AVERAGEIFS('Unit Ledger'!$AM$2:$AM$315,'Unit Ledger'!$J$2:$J$315,"2027-05",'Unit Ledger'!$Q$2:$Q$315,"Moved Out",'Unit Ledger'!$V$2:$V$315,"&lt;&gt;Y"),"")</f>
        <v>0.0188679245283019</v>
      </c>
      <c r="J22" s="22" t="n">
        <f aca="false">IFERROR(AVERAGEIFS('Unit Ledger'!$AN$2:$AN$315,'Unit Ledger'!$J$2:$J$315,"2027-05",'Unit Ledger'!$Q$2:$Q$315,"Moved Out",'Unit Ledger'!$V$2:$V$315,"&lt;&gt;Y"),"")</f>
        <v>0.0188679245283019</v>
      </c>
      <c r="K22" s="5" t="n">
        <f aca="false">COUNTIFS('Unit Ledger'!$J$2:$J$315,"2027-05",'Unit Ledger'!$Q$2:$Q$315,"Not Yet Expired")</f>
        <v>6</v>
      </c>
    </row>
    <row r="23" customFormat="false" ht="15" hidden="false" customHeight="false" outlineLevel="0" collapsed="false">
      <c r="A23" s="5" t="s">
        <v>139</v>
      </c>
      <c r="B23" s="5" t="n">
        <f aca="false">C23+D23+E23</f>
        <v>0</v>
      </c>
      <c r="C23" s="5" t="n">
        <f aca="false">COUNTIFS('Unit Ledger'!$J$2:$J$315,"2027-06",'Unit Ledger'!$S$2:$S$315,"Y",'Unit Ledger'!$Q$2:$Q$315,"Renewed")</f>
        <v>0</v>
      </c>
      <c r="D23" s="5" t="n">
        <f aca="false">COUNTIFS('Unit Ledger'!$J$2:$J$315,"2027-06",'Unit Ledger'!$S$2:$S$315,"Y",'Unit Ledger'!$Q$2:$Q$315,"Moved Out")</f>
        <v>0</v>
      </c>
      <c r="E23" s="5" t="n">
        <f aca="false">COUNTIFS('Unit Ledger'!$J$2:$J$315,"2027-06",'Unit Ledger'!$S$2:$S$315,"Y",'Unit Ledger'!$Q$2:$Q$315,"MTM Holdover")</f>
        <v>0</v>
      </c>
      <c r="F23" s="10" t="str">
        <f aca="false">IF(B23=0,"",C23/B23)</f>
        <v/>
      </c>
      <c r="G23" s="22" t="str">
        <f aca="false">IFERROR(AVERAGEIFS('Unit Ledger'!$AC$2:$AC$315,'Unit Ledger'!$J$2:$J$315,"2027-06",'Unit Ledger'!$Q$2:$Q$315,"Renewed",'Unit Ledger'!$V$2:$V$315,"&lt;&gt;Y"),"")</f>
        <v/>
      </c>
      <c r="H23" s="22" t="str">
        <f aca="false">IFERROR(AVERAGEIFS('Unit Ledger'!$AD$2:$AD$315,'Unit Ledger'!$J$2:$J$315,"2027-06",'Unit Ledger'!$Q$2:$Q$315,"Renewed",'Unit Ledger'!$V$2:$V$315,"&lt;&gt;Y"),"")</f>
        <v/>
      </c>
      <c r="I23" s="22" t="str">
        <f aca="false">IFERROR(AVERAGEIFS('Unit Ledger'!$AM$2:$AM$315,'Unit Ledger'!$J$2:$J$315,"2027-06",'Unit Ledger'!$Q$2:$Q$315,"Moved Out",'Unit Ledger'!$V$2:$V$315,"&lt;&gt;Y"),"")</f>
        <v/>
      </c>
      <c r="J23" s="22" t="str">
        <f aca="false">IFERROR(AVERAGEIFS('Unit Ledger'!$AN$2:$AN$315,'Unit Ledger'!$J$2:$J$315,"2027-06",'Unit Ledger'!$Q$2:$Q$315,"Moved Out",'Unit Ledger'!$V$2:$V$315,"&lt;&gt;Y"),"")</f>
        <v/>
      </c>
      <c r="K23" s="5" t="n">
        <f aca="false">COUNTIFS('Unit Ledger'!$J$2:$J$315,"2027-06",'Unit Ledger'!$Q$2:$Q$315,"Not Yet Expired")</f>
        <v>4</v>
      </c>
    </row>
    <row r="24" customFormat="false" ht="15" hidden="false" customHeight="false" outlineLevel="0" collapsed="false">
      <c r="A24" s="5" t="s">
        <v>573</v>
      </c>
      <c r="B24" s="5" t="n">
        <f aca="false">C24+D24+E24</f>
        <v>0</v>
      </c>
      <c r="C24" s="5" t="n">
        <f aca="false">COUNTIFS('Unit Ledger'!$J$2:$J$315,"2027-07",'Unit Ledger'!$S$2:$S$315,"Y",'Unit Ledger'!$Q$2:$Q$315,"Renewed")</f>
        <v>0</v>
      </c>
      <c r="D24" s="5" t="n">
        <f aca="false">COUNTIFS('Unit Ledger'!$J$2:$J$315,"2027-07",'Unit Ledger'!$S$2:$S$315,"Y",'Unit Ledger'!$Q$2:$Q$315,"Moved Out")</f>
        <v>0</v>
      </c>
      <c r="E24" s="5" t="n">
        <f aca="false">COUNTIFS('Unit Ledger'!$J$2:$J$315,"2027-07",'Unit Ledger'!$S$2:$S$315,"Y",'Unit Ledger'!$Q$2:$Q$315,"MTM Holdover")</f>
        <v>0</v>
      </c>
      <c r="F24" s="10" t="str">
        <f aca="false">IF(B24=0,"",C24/B24)</f>
        <v/>
      </c>
      <c r="G24" s="22" t="str">
        <f aca="false">IFERROR(AVERAGEIFS('Unit Ledger'!$AC$2:$AC$315,'Unit Ledger'!$J$2:$J$315,"2027-07",'Unit Ledger'!$Q$2:$Q$315,"Renewed",'Unit Ledger'!$V$2:$V$315,"&lt;&gt;Y"),"")</f>
        <v/>
      </c>
      <c r="H24" s="22" t="str">
        <f aca="false">IFERROR(AVERAGEIFS('Unit Ledger'!$AD$2:$AD$315,'Unit Ledger'!$J$2:$J$315,"2027-07",'Unit Ledger'!$Q$2:$Q$315,"Renewed",'Unit Ledger'!$V$2:$V$315,"&lt;&gt;Y"),"")</f>
        <v/>
      </c>
      <c r="I24" s="22" t="str">
        <f aca="false">IFERROR(AVERAGEIFS('Unit Ledger'!$AM$2:$AM$315,'Unit Ledger'!$J$2:$J$315,"2027-07",'Unit Ledger'!$Q$2:$Q$315,"Moved Out",'Unit Ledger'!$V$2:$V$315,"&lt;&gt;Y"),"")</f>
        <v/>
      </c>
      <c r="J24" s="22" t="str">
        <f aca="false">IFERROR(AVERAGEIFS('Unit Ledger'!$AN$2:$AN$315,'Unit Ledger'!$J$2:$J$315,"2027-07",'Unit Ledger'!$Q$2:$Q$315,"Moved Out",'Unit Ledger'!$V$2:$V$315,"&lt;&gt;Y"),"")</f>
        <v/>
      </c>
      <c r="K24" s="5" t="n">
        <f aca="false">COUNTIFS('Unit Ledger'!$J$2:$J$315,"2027-07",'Unit Ledger'!$Q$2:$Q$315,"Not Yet Expired")</f>
        <v>2</v>
      </c>
    </row>
    <row r="25" customFormat="false" ht="15" hidden="false" customHeight="false" outlineLevel="0" collapsed="false">
      <c r="A25" s="7" t="s">
        <v>1250</v>
      </c>
      <c r="B25" s="7" t="n">
        <f aca="false">SUM(B2:B24)</f>
        <v>154</v>
      </c>
      <c r="C25" s="7" t="n">
        <f aca="false">SUM(C2:C24)</f>
        <v>64</v>
      </c>
      <c r="D25" s="7" t="n">
        <f aca="false">SUM(D2:D24)</f>
        <v>83</v>
      </c>
      <c r="E25" s="7" t="n">
        <f aca="false">SUM(E2:E24)</f>
        <v>7</v>
      </c>
      <c r="F25" s="9" t="n">
        <f aca="false">IF(B25=0,"",C25/B25)</f>
        <v>0.415584415584416</v>
      </c>
      <c r="K25" s="7" t="n">
        <f aca="false">SUM(K2:K24)</f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30" t="s">
        <v>1253</v>
      </c>
    </row>
    <row r="2" customFormat="false" ht="15" hidden="false" customHeight="false" outlineLevel="0" collapsed="false">
      <c r="A2" s="31"/>
    </row>
    <row r="3" customFormat="false" ht="15" hidden="false" customHeight="false" outlineLevel="0" collapsed="false">
      <c r="A3" s="32" t="s">
        <v>1254</v>
      </c>
    </row>
    <row r="4" customFormat="false" ht="15" hidden="false" customHeight="false" outlineLevel="0" collapsed="false">
      <c r="A4" s="31" t="s">
        <v>1255</v>
      </c>
    </row>
    <row r="5" customFormat="false" ht="15" hidden="false" customHeight="false" outlineLevel="0" collapsed="false">
      <c r="A5" s="31" t="s">
        <v>1256</v>
      </c>
    </row>
    <row r="6" customFormat="false" ht="15" hidden="false" customHeight="false" outlineLevel="0" collapsed="false">
      <c r="A6" s="31" t="s">
        <v>1257</v>
      </c>
    </row>
    <row r="7" customFormat="false" ht="15" hidden="false" customHeight="false" outlineLevel="0" collapsed="false">
      <c r="A7" s="31" t="s">
        <v>1258</v>
      </c>
    </row>
    <row r="8" customFormat="false" ht="15" hidden="false" customHeight="false" outlineLevel="0" collapsed="false">
      <c r="A8" s="31"/>
    </row>
    <row r="9" customFormat="false" ht="15" hidden="false" customHeight="false" outlineLevel="0" collapsed="false">
      <c r="A9" s="32" t="s">
        <v>1259</v>
      </c>
    </row>
    <row r="10" customFormat="false" ht="15" hidden="false" customHeight="false" outlineLevel="0" collapsed="false">
      <c r="A10" s="31" t="s">
        <v>1260</v>
      </c>
    </row>
    <row r="11" customFormat="false" ht="15" hidden="false" customHeight="false" outlineLevel="0" collapsed="false">
      <c r="A11" s="31" t="s">
        <v>1261</v>
      </c>
    </row>
    <row r="12" customFormat="false" ht="15" hidden="false" customHeight="false" outlineLevel="0" collapsed="false">
      <c r="A12" s="31" t="s">
        <v>1262</v>
      </c>
    </row>
    <row r="13" customFormat="false" ht="15" hidden="false" customHeight="false" outlineLevel="0" collapsed="false">
      <c r="A13" s="31"/>
    </row>
    <row r="14" customFormat="false" ht="15" hidden="false" customHeight="false" outlineLevel="0" collapsed="false">
      <c r="A14" s="32" t="s">
        <v>1263</v>
      </c>
    </row>
    <row r="15" customFormat="false" ht="15" hidden="false" customHeight="false" outlineLevel="0" collapsed="false">
      <c r="A15" s="31" t="s">
        <v>1264</v>
      </c>
    </row>
    <row r="16" customFormat="false" ht="23.85" hidden="false" customHeight="false" outlineLevel="0" collapsed="false">
      <c r="A16" s="31" t="s">
        <v>1265</v>
      </c>
    </row>
    <row r="17" customFormat="false" ht="15" hidden="false" customHeight="false" outlineLevel="0" collapsed="false">
      <c r="A17" s="31" t="s">
        <v>1266</v>
      </c>
    </row>
    <row r="18" customFormat="false" ht="15" hidden="false" customHeight="false" outlineLevel="0" collapsed="false">
      <c r="A18" s="31" t="s">
        <v>1267</v>
      </c>
    </row>
    <row r="19" customFormat="false" ht="15" hidden="false" customHeight="false" outlineLevel="0" collapsed="false">
      <c r="A19" s="31"/>
    </row>
    <row r="20" customFormat="false" ht="15" hidden="false" customHeight="false" outlineLevel="0" collapsed="false">
      <c r="A20" s="32" t="s">
        <v>1268</v>
      </c>
    </row>
    <row r="21" customFormat="false" ht="23.85" hidden="false" customHeight="false" outlineLevel="0" collapsed="false">
      <c r="A21" s="31" t="s">
        <v>1269</v>
      </c>
    </row>
    <row r="22" customFormat="false" ht="23.85" hidden="false" customHeight="false" outlineLevel="0" collapsed="false">
      <c r="A22" s="31" t="s">
        <v>1270</v>
      </c>
    </row>
    <row r="23" customFormat="false" ht="15" hidden="false" customHeight="false" outlineLevel="0" collapsed="false">
      <c r="A23" s="31" t="s">
        <v>1271</v>
      </c>
    </row>
    <row r="24" customFormat="false" ht="15" hidden="false" customHeight="false" outlineLevel="0" collapsed="false">
      <c r="A24" s="31" t="s">
        <v>1272</v>
      </c>
    </row>
    <row r="25" customFormat="false" ht="15" hidden="false" customHeight="false" outlineLevel="0" collapsed="false">
      <c r="A25" s="31"/>
    </row>
    <row r="26" customFormat="false" ht="15" hidden="false" customHeight="false" outlineLevel="0" collapsed="false">
      <c r="A26" s="32" t="s">
        <v>1273</v>
      </c>
    </row>
    <row r="27" customFormat="false" ht="15" hidden="false" customHeight="false" outlineLevel="0" collapsed="false">
      <c r="A27" s="31" t="s">
        <v>1274</v>
      </c>
    </row>
    <row r="28" customFormat="false" ht="15" hidden="false" customHeight="false" outlineLevel="0" collapsed="false">
      <c r="A28" s="31" t="s">
        <v>1275</v>
      </c>
    </row>
    <row r="29" customFormat="false" ht="15" hidden="false" customHeight="false" outlineLevel="0" collapsed="false">
      <c r="A29" s="31" t="s">
        <v>1276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2026-08-12T18:40:09Z</dcterms:created>
  <dc:creator>openpyxl</dc:creator>
  <dc:description/>
  <dc:language>en-US</dc:language>
  <cp:lastModifiedBy/>
  <dcterms:modified xsi:type="dcterms:W3CDTF">2026-08-12T18:40:10Z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