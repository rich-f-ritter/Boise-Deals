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se-Up 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+0.0%;-0.0%"/>
    <numFmt numFmtId="167" formatCode="#,##0.0"/>
  </numFmts>
  <fonts count="12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B6A64"/>
      <sz val="8"/>
    </font>
    <font>
      <b val="1"/>
      <color rgb="001F3864"/>
      <sz val="9"/>
    </font>
    <font>
      <b val="1"/>
      <sz val="8"/>
    </font>
    <font>
      <sz val="9"/>
    </font>
    <font>
      <b val="1"/>
      <sz val="9"/>
    </font>
    <font>
      <b val="1"/>
      <color rgb="00FFFFFF"/>
      <sz val="9"/>
    </font>
    <font>
      <b val="1"/>
      <color rgb="001F3864"/>
      <sz val="10"/>
    </font>
    <font>
      <b val="1"/>
      <color rgb="001F3864"/>
      <sz val="8"/>
    </font>
    <font>
      <b val="1"/>
      <color rgb="00BF8F00"/>
      <sz val="9"/>
    </font>
    <font>
      <b val="1"/>
      <color rgb="00BF8F0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BE4"/>
      </patternFill>
    </fill>
    <fill>
      <patternFill patternType="solid">
        <fgColor rgb="00FDF3E3"/>
      </patternFill>
    </fill>
  </fills>
  <borders count="2">
    <border>
      <left/>
      <right/>
      <top/>
      <bottom/>
      <diagonal/>
    </border>
    <border>
      <left style="thin">
        <color rgb="00D0CEC7"/>
      </left>
      <right style="thin">
        <color rgb="00D0CEC7"/>
      </right>
      <top style="thin">
        <color rgb="00D0CEC7"/>
      </top>
      <bottom style="thin">
        <color rgb="00D0CEC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bottom" wrapText="1"/>
    </xf>
    <xf numFmtId="17" fontId="5" fillId="0" borderId="1" applyAlignment="1" pivotButton="0" quotePrefix="0" xfId="0">
      <alignment horizontal="center"/>
    </xf>
    <xf numFmtId="49" fontId="5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167" fontId="5" fillId="3" borderId="1" applyAlignment="1" pivotButton="0" quotePrefix="0" xfId="0">
      <alignment horizontal="center"/>
    </xf>
    <xf numFmtId="167" fontId="5" fillId="0" borderId="1" applyAlignment="1" pivotButton="0" quotePrefix="0" xfId="0">
      <alignment horizontal="center"/>
    </xf>
    <xf numFmtId="166" fontId="5" fillId="3" borderId="1" applyAlignment="1" pivotButton="0" quotePrefix="0" xfId="0">
      <alignment horizontal="center"/>
    </xf>
    <xf numFmtId="3" fontId="0" fillId="0" borderId="0" pivotButton="0" quotePrefix="0" xfId="0"/>
    <xf numFmtId="49" fontId="5" fillId="4" borderId="1" applyAlignment="1" pivotButton="0" quotePrefix="0" xfId="0">
      <alignment horizontal="center"/>
    </xf>
    <xf numFmtId="3" fontId="5" fillId="4" borderId="1" applyAlignment="1" pivotButton="0" quotePrefix="0" xfId="0">
      <alignment horizontal="center"/>
    </xf>
    <xf numFmtId="165" fontId="5" fillId="4" borderId="1" applyAlignment="1" pivotButton="0" quotePrefix="0" xfId="0">
      <alignment horizontal="center"/>
    </xf>
    <xf numFmtId="166" fontId="5" fillId="4" borderId="1" applyAlignment="1" pivotButton="0" quotePrefix="0" xfId="0">
      <alignment horizontal="center"/>
    </xf>
    <xf numFmtId="167" fontId="5" fillId="4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5" fillId="0" borderId="0" pivotButton="0" quotePrefix="0" xfId="0"/>
    <xf numFmtId="4" fontId="5" fillId="0" borderId="1" pivotButton="0" quotePrefix="0" xfId="0"/>
    <xf numFmtId="165" fontId="5" fillId="0" borderId="1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3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Rent per unit / month — market, effective, contract</a:t>
            </a:r>
          </a:p>
        </rich>
      </tx>
    </title>
    <plotArea>
      <lineChart>
        <grouping val="standard"/>
        <ser>
          <idx val="0"/>
          <order val="0"/>
          <tx>
            <strRef>
              <f>'Lease-Up Bridge'!D10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'Lease-Up Bridge'!$B$11:$B$63</f>
            </numRef>
          </cat>
          <val>
            <numRef>
              <f>'Lease-Up Bridge'!$D$11:$D$63</f>
            </numRef>
          </val>
          <smooth val="0"/>
        </ser>
        <ser>
          <idx val="1"/>
          <order val="1"/>
          <tx>
            <strRef>
              <f>'Lease-Up Bridge'!E10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'Lease-Up Bridge'!$B$11:$B$63</f>
            </numRef>
          </cat>
          <val>
            <numRef>
              <f>'Lease-Up Bridge'!$E$11:$E$63</f>
            </numRef>
          </val>
          <smooth val="0"/>
        </ser>
        <ser>
          <idx val="2"/>
          <order val="2"/>
          <tx>
            <strRef>
              <f>'Lease-Up Bridge'!F10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'Lease-Up Bridge'!$B$11:$B$63</f>
            </numRef>
          </cat>
          <val>
            <numRef>
              <f>'Lease-Up Bridge'!$F$11:$F$63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$ / unit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Lease activity — new leases, renewals, move-outs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'Lease-Up Bridge'!I10</f>
            </strRef>
          </tx>
          <spPr>
            <a:ln>
              <a:prstDash val="solid"/>
            </a:ln>
          </spPr>
          <cat>
            <numRef>
              <f>'Lease-Up Bridge'!$B$11:$B$63</f>
            </numRef>
          </cat>
          <val>
            <numRef>
              <f>'Lease-Up Bridge'!$I$11:$I$63</f>
            </numRef>
          </val>
        </ser>
        <ser>
          <idx val="1"/>
          <order val="1"/>
          <tx>
            <strRef>
              <f>'Lease-Up Bridge'!J10</f>
            </strRef>
          </tx>
          <spPr>
            <a:ln>
              <a:prstDash val="solid"/>
            </a:ln>
          </spPr>
          <cat>
            <numRef>
              <f>'Lease-Up Bridge'!$B$11:$B$63</f>
            </numRef>
          </cat>
          <val>
            <numRef>
              <f>'Lease-Up Bridge'!$J$11:$J$63</f>
            </numRef>
          </val>
        </ser>
        <ser>
          <idx val="2"/>
          <order val="2"/>
          <tx>
            <strRef>
              <f>'Lease-Up Bridge'!K10</f>
            </strRef>
          </tx>
          <spPr>
            <a:ln>
              <a:prstDash val="solid"/>
            </a:ln>
          </spPr>
          <cat>
            <numRef>
              <f>'Lease-Up Bridge'!$B$11:$B$63</f>
            </numRef>
          </cat>
          <val>
            <numRef>
              <f>'Lease-Up Bridge'!$K$11:$K$63</f>
            </numRef>
          </val>
        </ser>
        <gapWidth val="15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Renewal increase % — achieved vs underwritten</a:t>
            </a:r>
          </a:p>
        </rich>
      </tx>
    </title>
    <plotArea>
      <lineChart>
        <grouping val="standard"/>
        <ser>
          <idx val="0"/>
          <order val="0"/>
          <tx>
            <strRef>
              <f>'Lease-Up Bridge'!O10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'Lease-Up Bridge'!$B$11:$B$63</f>
            </numRef>
          </cat>
          <val>
            <numRef>
              <f>'Lease-Up Bridge'!$O$11:$O$63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85</row>
      <rowOff>0</rowOff>
    </from>
    <ext cx="1224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101</row>
      <rowOff>0</rowOff>
    </from>
    <ext cx="12240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117</row>
      <rowOff>0</rowOff>
    </from>
    <ext cx="12240000" cy="194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O81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2" max="2"/>
    <col width="10" customWidth="1" min="3" max="3"/>
    <col width="13" customWidth="1" min="4" max="4"/>
    <col width="13" customWidth="1" min="5" max="5"/>
    <col width="13" customWidth="1" min="6" max="6"/>
    <col width="11" customWidth="1" min="7" max="7"/>
    <col width="10" customWidth="1" min="8" max="8"/>
    <col width="9" customWidth="1" min="9" max="9"/>
    <col width="9" customWidth="1" min="10" max="10"/>
    <col width="9" customWidth="1" min="11" max="11"/>
    <col width="10" customWidth="1" min="12" max="12"/>
    <col width="11" customWidth="1" min="13" max="13"/>
    <col width="11" customWidth="1" min="14" max="14"/>
    <col width="12" customWidth="1" min="15" max="15"/>
    <col width="11" customWidth="1" min="16" max="16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2">
      <c r="B2" s="1" t="inlineStr">
        <is>
          <t>Lease-Up Bridge — what happened at the property, and how it becomes Year 1 &amp; Year 2</t>
        </is>
      </c>
    </row>
    <row r="3" ht="26" customHeight="1">
      <c r="B3" s="2" t="inlineStr">
        <is>
          <t>Drop this sheet into the model, then Calculate (Ctrl+Alt+F9). Blue cells are live formulas against HD Dump, T12 Dump, RRA, RR Dump and Cash Flow (Annual). Grey cells are static reconstructed history — the model has no equivalent source for them.</t>
        </is>
      </c>
    </row>
    <row r="4" ht="34" customHeight="1">
      <c r="B4" s="2" t="inlineStr">
        <is>
          <t>Market &amp; effective rent use the SAME T90 window and mix-weighting as Cash Flow (Annual) rows 252-304, so this tab and the model agree by construction. Contract rent = (AGPR − |vacancy|) ÷ occupied units — vacant units sit in AGPR at market, which overstates contract rent by ~4% at lease-up occupancy, so they are removed.</t>
        </is>
      </c>
    </row>
    <row r="6">
      <c r="B6" s="3" t="inlineStr">
        <is>
          <t>UNIT MIX (live from tblRentRoll — drives the mix weighting)</t>
        </is>
      </c>
    </row>
    <row r="7">
      <c r="C7" s="4" t="inlineStr">
        <is>
          <t>S1_Seas</t>
        </is>
      </c>
      <c r="D7" s="4" t="inlineStr">
        <is>
          <t>A1_Seas</t>
        </is>
      </c>
      <c r="E7" s="4" t="inlineStr">
        <is>
          <t>A2_Seas</t>
        </is>
      </c>
      <c r="F7" s="4" t="inlineStr">
        <is>
          <t>B1_Seas</t>
        </is>
      </c>
      <c r="G7" s="4" t="inlineStr">
        <is>
          <t>B2_Seas</t>
        </is>
      </c>
      <c r="H7" s="4" t="inlineStr">
        <is>
          <t>B3a_Seas</t>
        </is>
      </c>
      <c r="I7" s="4" t="inlineStr">
        <is>
          <t>B3b_Seas</t>
        </is>
      </c>
      <c r="J7" s="4" t="inlineStr">
        <is>
          <t>C1a_Seas</t>
        </is>
      </c>
      <c r="K7" s="4" t="inlineStr">
        <is>
          <t>C1b_Seas</t>
        </is>
      </c>
      <c r="L7" s="4" t="inlineStr">
        <is>
          <t>total</t>
        </is>
      </c>
    </row>
    <row r="8">
      <c r="B8" s="5" t="inlineStr">
        <is>
          <t>units</t>
        </is>
      </c>
      <c r="C8" s="6">
        <f>COUNTIFS('RR Dump'!$B$2:$B$361,C7)</f>
        <v/>
      </c>
      <c r="D8" s="6">
        <f>COUNTIFS('RR Dump'!$B$2:$B$361,D7)</f>
        <v/>
      </c>
      <c r="E8" s="6">
        <f>COUNTIFS('RR Dump'!$B$2:$B$361,E7)</f>
        <v/>
      </c>
      <c r="F8" s="6">
        <f>COUNTIFS('RR Dump'!$B$2:$B$361,F7)</f>
        <v/>
      </c>
      <c r="G8" s="6">
        <f>COUNTIFS('RR Dump'!$B$2:$B$361,G7)</f>
        <v/>
      </c>
      <c r="H8" s="6">
        <f>COUNTIFS('RR Dump'!$B$2:$B$361,H7)</f>
        <v/>
      </c>
      <c r="I8" s="6">
        <f>COUNTIFS('RR Dump'!$B$2:$B$361,I7)</f>
        <v/>
      </c>
      <c r="J8" s="6">
        <f>COUNTIFS('RR Dump'!$B$2:$B$361,J7)</f>
        <v/>
      </c>
      <c r="K8" s="6">
        <f>COUNTIFS('RR Dump'!$B$2:$B$361,K7)</f>
        <v/>
      </c>
      <c r="L8" s="7">
        <f>SUM(C8:K8)</f>
        <v/>
      </c>
    </row>
    <row r="9">
      <c r="T9" s="5" t="inlineStr">
        <is>
          <t>T90 helper block — market by plan, then effective by plan (hidden)</t>
        </is>
      </c>
    </row>
    <row r="10" ht="40" customHeight="1">
      <c r="B10" s="8" t="inlineStr">
        <is>
          <t>Month</t>
        </is>
      </c>
      <c r="C10" s="8" t="inlineStr">
        <is>
          <t>Basis</t>
        </is>
      </c>
      <c r="D10" s="8" t="inlineStr">
        <is>
          <t>Market rent
(T90 HelloData)</t>
        </is>
      </c>
      <c r="E10" s="8" t="inlineStr">
        <is>
          <t>Effective rent
(T90 HelloData)</t>
        </is>
      </c>
      <c r="F10" s="8" t="inlineStr">
        <is>
          <t>Contract rent
(per occupied)</t>
        </is>
      </c>
      <c r="G10" s="8" t="inlineStr">
        <is>
          <t>Physical
occupancy</t>
        </is>
      </c>
      <c r="H10" s="8" t="inlineStr">
        <is>
          <t>(LTL)/GTL
%</t>
        </is>
      </c>
      <c r="I10" s="8" t="inlineStr">
        <is>
          <t>New
leases</t>
        </is>
      </c>
      <c r="J10" s="8" t="inlineStr">
        <is>
          <t>Renew-
als</t>
        </is>
      </c>
      <c r="K10" s="8" t="inlineStr">
        <is>
          <t>Move-
outs</t>
        </is>
      </c>
      <c r="L10" s="8" t="inlineStr">
        <is>
          <t>Leases
expiring</t>
        </is>
      </c>
      <c r="M10" s="8" t="inlineStr">
        <is>
          <t>Expiring
rent</t>
        </is>
      </c>
      <c r="N10" s="8" t="inlineStr">
        <is>
          <t>Renews
at</t>
        </is>
      </c>
      <c r="O10" s="8" t="inlineStr">
        <is>
          <t>Renewal
increase %</t>
        </is>
      </c>
      <c r="P10" s="8" t="inlineStr">
        <is>
          <t>New lease
at</t>
        </is>
      </c>
    </row>
    <row r="11">
      <c r="B11" s="9" t="n">
        <v>45504</v>
      </c>
      <c r="C11" s="10" t="inlineStr">
        <is>
          <t>Actual</t>
        </is>
      </c>
      <c r="D11" s="11">
        <f>SUMPRODUCT(T11:AB11,$C$8:$K$8)/SUM($C$8:$K$8)</f>
        <v/>
      </c>
      <c r="E11" s="11">
        <f>SUMPRODUCT(AD11:AL11,$C$8:$K$8)/SUM($C$8:$K$8)</f>
        <v/>
      </c>
      <c r="F11" s="11">
        <f>IFERROR((INDEX('T12 Dump'!$D$9:$O$9,MATCH(EOMONTH($B11,-1)+1,'T12 Dump'!$D$3:$O$3,0))-ABS(INDEX('T12 Dump'!$D$11:$O$11,MATCH(EOMONTH($B11,-1)+1,'T12 Dump'!$D$3:$O$3,0))))/($F11*360),"")</f>
        <v/>
      </c>
      <c r="G11" s="12">
        <f>IFERROR(1-ABS(INDEX('T12 Dump'!$D$11:$O$11,MATCH(EOMONTH($B11,-1)+1,'T12 Dump'!$D$3:$O$3,0)))/INDEX('T12 Dump'!$D$7:$O$7,MATCH(EOMONTH($B11,-1)+1,'T12 Dump'!$D$3:$O$3,0)),"")</f>
        <v/>
      </c>
      <c r="H11" s="13">
        <f>IFERROR($F11/$D11-1,"")</f>
        <v/>
      </c>
      <c r="I11" s="14" t="n">
        <v>2</v>
      </c>
      <c r="J11" s="15" t="n"/>
      <c r="K11" s="14" t="n"/>
      <c r="L11" s="16" t="n"/>
      <c r="M11" s="11" t="n"/>
      <c r="N11" s="11" t="n"/>
      <c r="O11" s="17" t="n"/>
      <c r="P11" s="11" t="n"/>
      <c r="T11" s="18">
        <f>IF(COUNTIFS('HD Dump'!$U$2:$U$538,C$7,'HD Dump'!$R$2:$R$538,"&gt;="&amp;$B11-90,'HD Dump'!$R$2:$R$538,"&lt;="&amp;$B11)&gt;0,AVERAGEIFS('HD Dump'!$M$2:$M$538,'HD Dump'!$U$2:$U$538,C$7,'HD Dump'!$R$2:$R$538,"&gt;="&amp;$B11-90,'HD Dump'!$R$2:$R$538,"&lt;="&amp;$B11),"")</f>
        <v/>
      </c>
      <c r="U11" s="18">
        <f>IF(COUNTIFS('HD Dump'!$U$2:$U$538,D$7,'HD Dump'!$R$2:$R$538,"&gt;="&amp;$B11-90,'HD Dump'!$R$2:$R$538,"&lt;="&amp;$B11)&gt;0,AVERAGEIFS('HD Dump'!$M$2:$M$538,'HD Dump'!$U$2:$U$538,D$7,'HD Dump'!$R$2:$R$538,"&gt;="&amp;$B11-90,'HD Dump'!$R$2:$R$538,"&lt;="&amp;$B11),"")</f>
        <v/>
      </c>
      <c r="V11" s="18">
        <f>IF(COUNTIFS('HD Dump'!$U$2:$U$538,E$7,'HD Dump'!$R$2:$R$538,"&gt;="&amp;$B11-90,'HD Dump'!$R$2:$R$538,"&lt;="&amp;$B11)&gt;0,AVERAGEIFS('HD Dump'!$M$2:$M$538,'HD Dump'!$U$2:$U$538,E$7,'HD Dump'!$R$2:$R$538,"&gt;="&amp;$B11-90,'HD Dump'!$R$2:$R$538,"&lt;="&amp;$B11),"")</f>
        <v/>
      </c>
      <c r="W11" s="18">
        <f>IF(COUNTIFS('HD Dump'!$U$2:$U$538,F$7,'HD Dump'!$R$2:$R$538,"&gt;="&amp;$B11-90,'HD Dump'!$R$2:$R$538,"&lt;="&amp;$B11)&gt;0,AVERAGEIFS('HD Dump'!$M$2:$M$538,'HD Dump'!$U$2:$U$538,F$7,'HD Dump'!$R$2:$R$538,"&gt;="&amp;$B11-90,'HD Dump'!$R$2:$R$538,"&lt;="&amp;$B11),"")</f>
        <v/>
      </c>
      <c r="X11" s="18">
        <f>IF(COUNTIFS('HD Dump'!$U$2:$U$538,G$7,'HD Dump'!$R$2:$R$538,"&gt;="&amp;$B11-90,'HD Dump'!$R$2:$R$538,"&lt;="&amp;$B11)&gt;0,AVERAGEIFS('HD Dump'!$M$2:$M$538,'HD Dump'!$U$2:$U$538,G$7,'HD Dump'!$R$2:$R$538,"&gt;="&amp;$B11-90,'HD Dump'!$R$2:$R$538,"&lt;="&amp;$B11),"")</f>
        <v/>
      </c>
      <c r="Y11" s="18">
        <f>IF(COUNTIFS('HD Dump'!$U$2:$U$538,H$7,'HD Dump'!$R$2:$R$538,"&gt;="&amp;$B11-90,'HD Dump'!$R$2:$R$538,"&lt;="&amp;$B11)&gt;0,AVERAGEIFS('HD Dump'!$M$2:$M$538,'HD Dump'!$U$2:$U$538,H$7,'HD Dump'!$R$2:$R$538,"&gt;="&amp;$B11-90,'HD Dump'!$R$2:$R$538,"&lt;="&amp;$B11),"")</f>
        <v/>
      </c>
      <c r="Z11" s="18">
        <f>IF(COUNTIFS('HD Dump'!$U$2:$U$538,I$7,'HD Dump'!$R$2:$R$538,"&gt;="&amp;$B11-90,'HD Dump'!$R$2:$R$538,"&lt;="&amp;$B11)&gt;0,AVERAGEIFS('HD Dump'!$M$2:$M$538,'HD Dump'!$U$2:$U$538,I$7,'HD Dump'!$R$2:$R$538,"&gt;="&amp;$B11-90,'HD Dump'!$R$2:$R$538,"&lt;="&amp;$B11),"")</f>
        <v/>
      </c>
      <c r="AA11" s="18">
        <f>IF(COUNTIFS('HD Dump'!$U$2:$U$538,J$7,'HD Dump'!$R$2:$R$538,"&gt;="&amp;$B11-90,'HD Dump'!$R$2:$R$538,"&lt;="&amp;$B11)&gt;0,AVERAGEIFS('HD Dump'!$M$2:$M$538,'HD Dump'!$U$2:$U$538,J$7,'HD Dump'!$R$2:$R$538,"&gt;="&amp;$B11-90,'HD Dump'!$R$2:$R$538,"&lt;="&amp;$B11),"")</f>
        <v/>
      </c>
      <c r="AB11" s="18">
        <f>IF(COUNTIFS('HD Dump'!$U$2:$U$538,K$7,'HD Dump'!$R$2:$R$538,"&gt;="&amp;$B11-90,'HD Dump'!$R$2:$R$538,"&lt;="&amp;$B11)&gt;0,AVERAGEIFS('HD Dump'!$M$2:$M$538,'HD Dump'!$U$2:$U$538,K$7,'HD Dump'!$R$2:$R$538,"&gt;="&amp;$B11-90,'HD Dump'!$R$2:$R$538,"&lt;="&amp;$B11),"")</f>
        <v/>
      </c>
      <c r="AD11" s="18">
        <f>IF(COUNTIFS('HD Dump'!$U$2:$U$538,C$7,'HD Dump'!$R$2:$R$538,"&gt;="&amp;$B11-90,'HD Dump'!$R$2:$R$538,"&lt;="&amp;$B11)&gt;0,AVERAGEIFS('HD Dump'!$O$2:$O$538,'HD Dump'!$U$2:$U$538,C$7,'HD Dump'!$R$2:$R$538,"&gt;="&amp;$B11-90,'HD Dump'!$R$2:$R$538,"&lt;="&amp;$B11),"")</f>
        <v/>
      </c>
      <c r="AE11" s="18">
        <f>IF(COUNTIFS('HD Dump'!$U$2:$U$538,D$7,'HD Dump'!$R$2:$R$538,"&gt;="&amp;$B11-90,'HD Dump'!$R$2:$R$538,"&lt;="&amp;$B11)&gt;0,AVERAGEIFS('HD Dump'!$O$2:$O$538,'HD Dump'!$U$2:$U$538,D$7,'HD Dump'!$R$2:$R$538,"&gt;="&amp;$B11-90,'HD Dump'!$R$2:$R$538,"&lt;="&amp;$B11),"")</f>
        <v/>
      </c>
      <c r="AF11" s="18">
        <f>IF(COUNTIFS('HD Dump'!$U$2:$U$538,E$7,'HD Dump'!$R$2:$R$538,"&gt;="&amp;$B11-90,'HD Dump'!$R$2:$R$538,"&lt;="&amp;$B11)&gt;0,AVERAGEIFS('HD Dump'!$O$2:$O$538,'HD Dump'!$U$2:$U$538,E$7,'HD Dump'!$R$2:$R$538,"&gt;="&amp;$B11-90,'HD Dump'!$R$2:$R$538,"&lt;="&amp;$B11),"")</f>
        <v/>
      </c>
      <c r="AG11" s="18">
        <f>IF(COUNTIFS('HD Dump'!$U$2:$U$538,F$7,'HD Dump'!$R$2:$R$538,"&gt;="&amp;$B11-90,'HD Dump'!$R$2:$R$538,"&lt;="&amp;$B11)&gt;0,AVERAGEIFS('HD Dump'!$O$2:$O$538,'HD Dump'!$U$2:$U$538,F$7,'HD Dump'!$R$2:$R$538,"&gt;="&amp;$B11-90,'HD Dump'!$R$2:$R$538,"&lt;="&amp;$B11),"")</f>
        <v/>
      </c>
      <c r="AH11" s="18">
        <f>IF(COUNTIFS('HD Dump'!$U$2:$U$538,G$7,'HD Dump'!$R$2:$R$538,"&gt;="&amp;$B11-90,'HD Dump'!$R$2:$R$538,"&lt;="&amp;$B11)&gt;0,AVERAGEIFS('HD Dump'!$O$2:$O$538,'HD Dump'!$U$2:$U$538,G$7,'HD Dump'!$R$2:$R$538,"&gt;="&amp;$B11-90,'HD Dump'!$R$2:$R$538,"&lt;="&amp;$B11),"")</f>
        <v/>
      </c>
      <c r="AI11" s="18">
        <f>IF(COUNTIFS('HD Dump'!$U$2:$U$538,H$7,'HD Dump'!$R$2:$R$538,"&gt;="&amp;$B11-90,'HD Dump'!$R$2:$R$538,"&lt;="&amp;$B11)&gt;0,AVERAGEIFS('HD Dump'!$O$2:$O$538,'HD Dump'!$U$2:$U$538,H$7,'HD Dump'!$R$2:$R$538,"&gt;="&amp;$B11-90,'HD Dump'!$R$2:$R$538,"&lt;="&amp;$B11),"")</f>
        <v/>
      </c>
      <c r="AJ11" s="18">
        <f>IF(COUNTIFS('HD Dump'!$U$2:$U$538,I$7,'HD Dump'!$R$2:$R$538,"&gt;="&amp;$B11-90,'HD Dump'!$R$2:$R$538,"&lt;="&amp;$B11)&gt;0,AVERAGEIFS('HD Dump'!$O$2:$O$538,'HD Dump'!$U$2:$U$538,I$7,'HD Dump'!$R$2:$R$538,"&gt;="&amp;$B11-90,'HD Dump'!$R$2:$R$538,"&lt;="&amp;$B11),"")</f>
        <v/>
      </c>
      <c r="AK11" s="18">
        <f>IF(COUNTIFS('HD Dump'!$U$2:$U$538,J$7,'HD Dump'!$R$2:$R$538,"&gt;="&amp;$B11-90,'HD Dump'!$R$2:$R$538,"&lt;="&amp;$B11)&gt;0,AVERAGEIFS('HD Dump'!$O$2:$O$538,'HD Dump'!$U$2:$U$538,J$7,'HD Dump'!$R$2:$R$538,"&gt;="&amp;$B11-90,'HD Dump'!$R$2:$R$538,"&lt;="&amp;$B11),"")</f>
        <v/>
      </c>
      <c r="AL11" s="18">
        <f>IF(COUNTIFS('HD Dump'!$U$2:$U$538,K$7,'HD Dump'!$R$2:$R$538,"&gt;="&amp;$B11-90,'HD Dump'!$R$2:$R$538,"&lt;="&amp;$B11)&gt;0,AVERAGEIFS('HD Dump'!$O$2:$O$538,'HD Dump'!$U$2:$U$538,K$7,'HD Dump'!$R$2:$R$538,"&gt;="&amp;$B11-90,'HD Dump'!$R$2:$R$538,"&lt;="&amp;$B11),"")</f>
        <v/>
      </c>
    </row>
    <row r="12">
      <c r="B12" s="9" t="n">
        <v>45535</v>
      </c>
      <c r="C12" s="10" t="inlineStr">
        <is>
          <t>Actual</t>
        </is>
      </c>
      <c r="D12" s="11">
        <f>SUMPRODUCT(T12:AB12,$C$8:$K$8)/SUM($C$8:$K$8)</f>
        <v/>
      </c>
      <c r="E12" s="11">
        <f>SUMPRODUCT(AD12:AL12,$C$8:$K$8)/SUM($C$8:$K$8)</f>
        <v/>
      </c>
      <c r="F12" s="11">
        <f>IFERROR((INDEX('T12 Dump'!$D$9:$O$9,MATCH(EOMONTH($B12,-1)+1,'T12 Dump'!$D$3:$O$3,0))-ABS(INDEX('T12 Dump'!$D$11:$O$11,MATCH(EOMONTH($B12,-1)+1,'T12 Dump'!$D$3:$O$3,0))))/($F12*360),"")</f>
        <v/>
      </c>
      <c r="G12" s="12">
        <f>IFERROR(1-ABS(INDEX('T12 Dump'!$D$11:$O$11,MATCH(EOMONTH($B12,-1)+1,'T12 Dump'!$D$3:$O$3,0)))/INDEX('T12 Dump'!$D$7:$O$7,MATCH(EOMONTH($B12,-1)+1,'T12 Dump'!$D$3:$O$3,0)),"")</f>
        <v/>
      </c>
      <c r="H12" s="13">
        <f>IFERROR($F12/$D12-1,"")</f>
        <v/>
      </c>
      <c r="I12" s="14" t="n">
        <v>7</v>
      </c>
      <c r="J12" s="15" t="n"/>
      <c r="K12" s="14" t="n"/>
      <c r="L12" s="16" t="n"/>
      <c r="M12" s="11" t="n"/>
      <c r="N12" s="11" t="n"/>
      <c r="O12" s="17" t="n"/>
      <c r="P12" s="11" t="n"/>
      <c r="T12" s="18">
        <f>IF(COUNTIFS('HD Dump'!$U$2:$U$538,C$7,'HD Dump'!$R$2:$R$538,"&gt;="&amp;$B12-90,'HD Dump'!$R$2:$R$538,"&lt;="&amp;$B12)&gt;0,AVERAGEIFS('HD Dump'!$M$2:$M$538,'HD Dump'!$U$2:$U$538,C$7,'HD Dump'!$R$2:$R$538,"&gt;="&amp;$B12-90,'HD Dump'!$R$2:$R$538,"&lt;="&amp;$B12),T11)</f>
        <v/>
      </c>
      <c r="U12" s="18">
        <f>IF(COUNTIFS('HD Dump'!$U$2:$U$538,D$7,'HD Dump'!$R$2:$R$538,"&gt;="&amp;$B12-90,'HD Dump'!$R$2:$R$538,"&lt;="&amp;$B12)&gt;0,AVERAGEIFS('HD Dump'!$M$2:$M$538,'HD Dump'!$U$2:$U$538,D$7,'HD Dump'!$R$2:$R$538,"&gt;="&amp;$B12-90,'HD Dump'!$R$2:$R$538,"&lt;="&amp;$B12),U11)</f>
        <v/>
      </c>
      <c r="V12" s="18">
        <f>IF(COUNTIFS('HD Dump'!$U$2:$U$538,E$7,'HD Dump'!$R$2:$R$538,"&gt;="&amp;$B12-90,'HD Dump'!$R$2:$R$538,"&lt;="&amp;$B12)&gt;0,AVERAGEIFS('HD Dump'!$M$2:$M$538,'HD Dump'!$U$2:$U$538,E$7,'HD Dump'!$R$2:$R$538,"&gt;="&amp;$B12-90,'HD Dump'!$R$2:$R$538,"&lt;="&amp;$B12),V11)</f>
        <v/>
      </c>
      <c r="W12" s="18">
        <f>IF(COUNTIFS('HD Dump'!$U$2:$U$538,F$7,'HD Dump'!$R$2:$R$538,"&gt;="&amp;$B12-90,'HD Dump'!$R$2:$R$538,"&lt;="&amp;$B12)&gt;0,AVERAGEIFS('HD Dump'!$M$2:$M$538,'HD Dump'!$U$2:$U$538,F$7,'HD Dump'!$R$2:$R$538,"&gt;="&amp;$B12-90,'HD Dump'!$R$2:$R$538,"&lt;="&amp;$B12),W11)</f>
        <v/>
      </c>
      <c r="X12" s="18">
        <f>IF(COUNTIFS('HD Dump'!$U$2:$U$538,G$7,'HD Dump'!$R$2:$R$538,"&gt;="&amp;$B12-90,'HD Dump'!$R$2:$R$538,"&lt;="&amp;$B12)&gt;0,AVERAGEIFS('HD Dump'!$M$2:$M$538,'HD Dump'!$U$2:$U$538,G$7,'HD Dump'!$R$2:$R$538,"&gt;="&amp;$B12-90,'HD Dump'!$R$2:$R$538,"&lt;="&amp;$B12),X11)</f>
        <v/>
      </c>
      <c r="Y12" s="18">
        <f>IF(COUNTIFS('HD Dump'!$U$2:$U$538,H$7,'HD Dump'!$R$2:$R$538,"&gt;="&amp;$B12-90,'HD Dump'!$R$2:$R$538,"&lt;="&amp;$B12)&gt;0,AVERAGEIFS('HD Dump'!$M$2:$M$538,'HD Dump'!$U$2:$U$538,H$7,'HD Dump'!$R$2:$R$538,"&gt;="&amp;$B12-90,'HD Dump'!$R$2:$R$538,"&lt;="&amp;$B12),Y11)</f>
        <v/>
      </c>
      <c r="Z12" s="18">
        <f>IF(COUNTIFS('HD Dump'!$U$2:$U$538,I$7,'HD Dump'!$R$2:$R$538,"&gt;="&amp;$B12-90,'HD Dump'!$R$2:$R$538,"&lt;="&amp;$B12)&gt;0,AVERAGEIFS('HD Dump'!$M$2:$M$538,'HD Dump'!$U$2:$U$538,I$7,'HD Dump'!$R$2:$R$538,"&gt;="&amp;$B12-90,'HD Dump'!$R$2:$R$538,"&lt;="&amp;$B12),Z11)</f>
        <v/>
      </c>
      <c r="AA12" s="18">
        <f>IF(COUNTIFS('HD Dump'!$U$2:$U$538,J$7,'HD Dump'!$R$2:$R$538,"&gt;="&amp;$B12-90,'HD Dump'!$R$2:$R$538,"&lt;="&amp;$B12)&gt;0,AVERAGEIFS('HD Dump'!$M$2:$M$538,'HD Dump'!$U$2:$U$538,J$7,'HD Dump'!$R$2:$R$538,"&gt;="&amp;$B12-90,'HD Dump'!$R$2:$R$538,"&lt;="&amp;$B12),AA11)</f>
        <v/>
      </c>
      <c r="AB12" s="18">
        <f>IF(COUNTIFS('HD Dump'!$U$2:$U$538,K$7,'HD Dump'!$R$2:$R$538,"&gt;="&amp;$B12-90,'HD Dump'!$R$2:$R$538,"&lt;="&amp;$B12)&gt;0,AVERAGEIFS('HD Dump'!$M$2:$M$538,'HD Dump'!$U$2:$U$538,K$7,'HD Dump'!$R$2:$R$538,"&gt;="&amp;$B12-90,'HD Dump'!$R$2:$R$538,"&lt;="&amp;$B12),AB11)</f>
        <v/>
      </c>
      <c r="AD12" s="18">
        <f>IF(COUNTIFS('HD Dump'!$U$2:$U$538,C$7,'HD Dump'!$R$2:$R$538,"&gt;="&amp;$B12-90,'HD Dump'!$R$2:$R$538,"&lt;="&amp;$B12)&gt;0,AVERAGEIFS('HD Dump'!$O$2:$O$538,'HD Dump'!$U$2:$U$538,C$7,'HD Dump'!$R$2:$R$538,"&gt;="&amp;$B12-90,'HD Dump'!$R$2:$R$538,"&lt;="&amp;$B12),AD11)</f>
        <v/>
      </c>
      <c r="AE12" s="18">
        <f>IF(COUNTIFS('HD Dump'!$U$2:$U$538,D$7,'HD Dump'!$R$2:$R$538,"&gt;="&amp;$B12-90,'HD Dump'!$R$2:$R$538,"&lt;="&amp;$B12)&gt;0,AVERAGEIFS('HD Dump'!$O$2:$O$538,'HD Dump'!$U$2:$U$538,D$7,'HD Dump'!$R$2:$R$538,"&gt;="&amp;$B12-90,'HD Dump'!$R$2:$R$538,"&lt;="&amp;$B12),AE11)</f>
        <v/>
      </c>
      <c r="AF12" s="18">
        <f>IF(COUNTIFS('HD Dump'!$U$2:$U$538,E$7,'HD Dump'!$R$2:$R$538,"&gt;="&amp;$B12-90,'HD Dump'!$R$2:$R$538,"&lt;="&amp;$B12)&gt;0,AVERAGEIFS('HD Dump'!$O$2:$O$538,'HD Dump'!$U$2:$U$538,E$7,'HD Dump'!$R$2:$R$538,"&gt;="&amp;$B12-90,'HD Dump'!$R$2:$R$538,"&lt;="&amp;$B12),AF11)</f>
        <v/>
      </c>
      <c r="AG12" s="18">
        <f>IF(COUNTIFS('HD Dump'!$U$2:$U$538,F$7,'HD Dump'!$R$2:$R$538,"&gt;="&amp;$B12-90,'HD Dump'!$R$2:$R$538,"&lt;="&amp;$B12)&gt;0,AVERAGEIFS('HD Dump'!$O$2:$O$538,'HD Dump'!$U$2:$U$538,F$7,'HD Dump'!$R$2:$R$538,"&gt;="&amp;$B12-90,'HD Dump'!$R$2:$R$538,"&lt;="&amp;$B12),AG11)</f>
        <v/>
      </c>
      <c r="AH12" s="18">
        <f>IF(COUNTIFS('HD Dump'!$U$2:$U$538,G$7,'HD Dump'!$R$2:$R$538,"&gt;="&amp;$B12-90,'HD Dump'!$R$2:$R$538,"&lt;="&amp;$B12)&gt;0,AVERAGEIFS('HD Dump'!$O$2:$O$538,'HD Dump'!$U$2:$U$538,G$7,'HD Dump'!$R$2:$R$538,"&gt;="&amp;$B12-90,'HD Dump'!$R$2:$R$538,"&lt;="&amp;$B12),AH11)</f>
        <v/>
      </c>
      <c r="AI12" s="18">
        <f>IF(COUNTIFS('HD Dump'!$U$2:$U$538,H$7,'HD Dump'!$R$2:$R$538,"&gt;="&amp;$B12-90,'HD Dump'!$R$2:$R$538,"&lt;="&amp;$B12)&gt;0,AVERAGEIFS('HD Dump'!$O$2:$O$538,'HD Dump'!$U$2:$U$538,H$7,'HD Dump'!$R$2:$R$538,"&gt;="&amp;$B12-90,'HD Dump'!$R$2:$R$538,"&lt;="&amp;$B12),AI11)</f>
        <v/>
      </c>
      <c r="AJ12" s="18">
        <f>IF(COUNTIFS('HD Dump'!$U$2:$U$538,I$7,'HD Dump'!$R$2:$R$538,"&gt;="&amp;$B12-90,'HD Dump'!$R$2:$R$538,"&lt;="&amp;$B12)&gt;0,AVERAGEIFS('HD Dump'!$O$2:$O$538,'HD Dump'!$U$2:$U$538,I$7,'HD Dump'!$R$2:$R$538,"&gt;="&amp;$B12-90,'HD Dump'!$R$2:$R$538,"&lt;="&amp;$B12),AJ11)</f>
        <v/>
      </c>
      <c r="AK12" s="18">
        <f>IF(COUNTIFS('HD Dump'!$U$2:$U$538,J$7,'HD Dump'!$R$2:$R$538,"&gt;="&amp;$B12-90,'HD Dump'!$R$2:$R$538,"&lt;="&amp;$B12)&gt;0,AVERAGEIFS('HD Dump'!$O$2:$O$538,'HD Dump'!$U$2:$U$538,J$7,'HD Dump'!$R$2:$R$538,"&gt;="&amp;$B12-90,'HD Dump'!$R$2:$R$538,"&lt;="&amp;$B12),AK11)</f>
        <v/>
      </c>
      <c r="AL12" s="18">
        <f>IF(COUNTIFS('HD Dump'!$U$2:$U$538,K$7,'HD Dump'!$R$2:$R$538,"&gt;="&amp;$B12-90,'HD Dump'!$R$2:$R$538,"&lt;="&amp;$B12)&gt;0,AVERAGEIFS('HD Dump'!$O$2:$O$538,'HD Dump'!$U$2:$U$538,K$7,'HD Dump'!$R$2:$R$538,"&gt;="&amp;$B12-90,'HD Dump'!$R$2:$R$538,"&lt;="&amp;$B12),AL11)</f>
        <v/>
      </c>
    </row>
    <row r="13">
      <c r="B13" s="9" t="n">
        <v>45565</v>
      </c>
      <c r="C13" s="10" t="inlineStr">
        <is>
          <t>Actual</t>
        </is>
      </c>
      <c r="D13" s="11">
        <f>SUMPRODUCT(T13:AB13,$C$8:$K$8)/SUM($C$8:$K$8)</f>
        <v/>
      </c>
      <c r="E13" s="11">
        <f>SUMPRODUCT(AD13:AL13,$C$8:$K$8)/SUM($C$8:$K$8)</f>
        <v/>
      </c>
      <c r="F13" s="11">
        <f>IFERROR((INDEX('T12 Dump'!$D$9:$O$9,MATCH(EOMONTH($B13,-1)+1,'T12 Dump'!$D$3:$O$3,0))-ABS(INDEX('T12 Dump'!$D$11:$O$11,MATCH(EOMONTH($B13,-1)+1,'T12 Dump'!$D$3:$O$3,0))))/($F13*360),"")</f>
        <v/>
      </c>
      <c r="G13" s="12">
        <f>IFERROR(1-ABS(INDEX('T12 Dump'!$D$11:$O$11,MATCH(EOMONTH($B13,-1)+1,'T12 Dump'!$D$3:$O$3,0)))/INDEX('T12 Dump'!$D$7:$O$7,MATCH(EOMONTH($B13,-1)+1,'T12 Dump'!$D$3:$O$3,0)),"")</f>
        <v/>
      </c>
      <c r="H13" s="13">
        <f>IFERROR($F13/$D13-1,"")</f>
        <v/>
      </c>
      <c r="I13" s="14" t="n">
        <v>47</v>
      </c>
      <c r="J13" s="15" t="n"/>
      <c r="K13" s="14" t="n"/>
      <c r="L13" s="16" t="n"/>
      <c r="M13" s="11" t="n"/>
      <c r="N13" s="11" t="n"/>
      <c r="O13" s="17" t="n"/>
      <c r="P13" s="11" t="n"/>
      <c r="T13" s="18">
        <f>IF(COUNTIFS('HD Dump'!$U$2:$U$538,C$7,'HD Dump'!$R$2:$R$538,"&gt;="&amp;$B13-90,'HD Dump'!$R$2:$R$538,"&lt;="&amp;$B13)&gt;0,AVERAGEIFS('HD Dump'!$M$2:$M$538,'HD Dump'!$U$2:$U$538,C$7,'HD Dump'!$R$2:$R$538,"&gt;="&amp;$B13-90,'HD Dump'!$R$2:$R$538,"&lt;="&amp;$B13),T12)</f>
        <v/>
      </c>
      <c r="U13" s="18">
        <f>IF(COUNTIFS('HD Dump'!$U$2:$U$538,D$7,'HD Dump'!$R$2:$R$538,"&gt;="&amp;$B13-90,'HD Dump'!$R$2:$R$538,"&lt;="&amp;$B13)&gt;0,AVERAGEIFS('HD Dump'!$M$2:$M$538,'HD Dump'!$U$2:$U$538,D$7,'HD Dump'!$R$2:$R$538,"&gt;="&amp;$B13-90,'HD Dump'!$R$2:$R$538,"&lt;="&amp;$B13),U12)</f>
        <v/>
      </c>
      <c r="V13" s="18">
        <f>IF(COUNTIFS('HD Dump'!$U$2:$U$538,E$7,'HD Dump'!$R$2:$R$538,"&gt;="&amp;$B13-90,'HD Dump'!$R$2:$R$538,"&lt;="&amp;$B13)&gt;0,AVERAGEIFS('HD Dump'!$M$2:$M$538,'HD Dump'!$U$2:$U$538,E$7,'HD Dump'!$R$2:$R$538,"&gt;="&amp;$B13-90,'HD Dump'!$R$2:$R$538,"&lt;="&amp;$B13),V12)</f>
        <v/>
      </c>
      <c r="W13" s="18">
        <f>IF(COUNTIFS('HD Dump'!$U$2:$U$538,F$7,'HD Dump'!$R$2:$R$538,"&gt;="&amp;$B13-90,'HD Dump'!$R$2:$R$538,"&lt;="&amp;$B13)&gt;0,AVERAGEIFS('HD Dump'!$M$2:$M$538,'HD Dump'!$U$2:$U$538,F$7,'HD Dump'!$R$2:$R$538,"&gt;="&amp;$B13-90,'HD Dump'!$R$2:$R$538,"&lt;="&amp;$B13),W12)</f>
        <v/>
      </c>
      <c r="X13" s="18">
        <f>IF(COUNTIFS('HD Dump'!$U$2:$U$538,G$7,'HD Dump'!$R$2:$R$538,"&gt;="&amp;$B13-90,'HD Dump'!$R$2:$R$538,"&lt;="&amp;$B13)&gt;0,AVERAGEIFS('HD Dump'!$M$2:$M$538,'HD Dump'!$U$2:$U$538,G$7,'HD Dump'!$R$2:$R$538,"&gt;="&amp;$B13-90,'HD Dump'!$R$2:$R$538,"&lt;="&amp;$B13),X12)</f>
        <v/>
      </c>
      <c r="Y13" s="18">
        <f>IF(COUNTIFS('HD Dump'!$U$2:$U$538,H$7,'HD Dump'!$R$2:$R$538,"&gt;="&amp;$B13-90,'HD Dump'!$R$2:$R$538,"&lt;="&amp;$B13)&gt;0,AVERAGEIFS('HD Dump'!$M$2:$M$538,'HD Dump'!$U$2:$U$538,H$7,'HD Dump'!$R$2:$R$538,"&gt;="&amp;$B13-90,'HD Dump'!$R$2:$R$538,"&lt;="&amp;$B13),Y12)</f>
        <v/>
      </c>
      <c r="Z13" s="18">
        <f>IF(COUNTIFS('HD Dump'!$U$2:$U$538,I$7,'HD Dump'!$R$2:$R$538,"&gt;="&amp;$B13-90,'HD Dump'!$R$2:$R$538,"&lt;="&amp;$B13)&gt;0,AVERAGEIFS('HD Dump'!$M$2:$M$538,'HD Dump'!$U$2:$U$538,I$7,'HD Dump'!$R$2:$R$538,"&gt;="&amp;$B13-90,'HD Dump'!$R$2:$R$538,"&lt;="&amp;$B13),Z12)</f>
        <v/>
      </c>
      <c r="AA13" s="18">
        <f>IF(COUNTIFS('HD Dump'!$U$2:$U$538,J$7,'HD Dump'!$R$2:$R$538,"&gt;="&amp;$B13-90,'HD Dump'!$R$2:$R$538,"&lt;="&amp;$B13)&gt;0,AVERAGEIFS('HD Dump'!$M$2:$M$538,'HD Dump'!$U$2:$U$538,J$7,'HD Dump'!$R$2:$R$538,"&gt;="&amp;$B13-90,'HD Dump'!$R$2:$R$538,"&lt;="&amp;$B13),AA12)</f>
        <v/>
      </c>
      <c r="AB13" s="18">
        <f>IF(COUNTIFS('HD Dump'!$U$2:$U$538,K$7,'HD Dump'!$R$2:$R$538,"&gt;="&amp;$B13-90,'HD Dump'!$R$2:$R$538,"&lt;="&amp;$B13)&gt;0,AVERAGEIFS('HD Dump'!$M$2:$M$538,'HD Dump'!$U$2:$U$538,K$7,'HD Dump'!$R$2:$R$538,"&gt;="&amp;$B13-90,'HD Dump'!$R$2:$R$538,"&lt;="&amp;$B13),AB12)</f>
        <v/>
      </c>
      <c r="AD13" s="18">
        <f>IF(COUNTIFS('HD Dump'!$U$2:$U$538,C$7,'HD Dump'!$R$2:$R$538,"&gt;="&amp;$B13-90,'HD Dump'!$R$2:$R$538,"&lt;="&amp;$B13)&gt;0,AVERAGEIFS('HD Dump'!$O$2:$O$538,'HD Dump'!$U$2:$U$538,C$7,'HD Dump'!$R$2:$R$538,"&gt;="&amp;$B13-90,'HD Dump'!$R$2:$R$538,"&lt;="&amp;$B13),AD12)</f>
        <v/>
      </c>
      <c r="AE13" s="18">
        <f>IF(COUNTIFS('HD Dump'!$U$2:$U$538,D$7,'HD Dump'!$R$2:$R$538,"&gt;="&amp;$B13-90,'HD Dump'!$R$2:$R$538,"&lt;="&amp;$B13)&gt;0,AVERAGEIFS('HD Dump'!$O$2:$O$538,'HD Dump'!$U$2:$U$538,D$7,'HD Dump'!$R$2:$R$538,"&gt;="&amp;$B13-90,'HD Dump'!$R$2:$R$538,"&lt;="&amp;$B13),AE12)</f>
        <v/>
      </c>
      <c r="AF13" s="18">
        <f>IF(COUNTIFS('HD Dump'!$U$2:$U$538,E$7,'HD Dump'!$R$2:$R$538,"&gt;="&amp;$B13-90,'HD Dump'!$R$2:$R$538,"&lt;="&amp;$B13)&gt;0,AVERAGEIFS('HD Dump'!$O$2:$O$538,'HD Dump'!$U$2:$U$538,E$7,'HD Dump'!$R$2:$R$538,"&gt;="&amp;$B13-90,'HD Dump'!$R$2:$R$538,"&lt;="&amp;$B13),AF12)</f>
        <v/>
      </c>
      <c r="AG13" s="18">
        <f>IF(COUNTIFS('HD Dump'!$U$2:$U$538,F$7,'HD Dump'!$R$2:$R$538,"&gt;="&amp;$B13-90,'HD Dump'!$R$2:$R$538,"&lt;="&amp;$B13)&gt;0,AVERAGEIFS('HD Dump'!$O$2:$O$538,'HD Dump'!$U$2:$U$538,F$7,'HD Dump'!$R$2:$R$538,"&gt;="&amp;$B13-90,'HD Dump'!$R$2:$R$538,"&lt;="&amp;$B13),AG12)</f>
        <v/>
      </c>
      <c r="AH13" s="18">
        <f>IF(COUNTIFS('HD Dump'!$U$2:$U$538,G$7,'HD Dump'!$R$2:$R$538,"&gt;="&amp;$B13-90,'HD Dump'!$R$2:$R$538,"&lt;="&amp;$B13)&gt;0,AVERAGEIFS('HD Dump'!$O$2:$O$538,'HD Dump'!$U$2:$U$538,G$7,'HD Dump'!$R$2:$R$538,"&gt;="&amp;$B13-90,'HD Dump'!$R$2:$R$538,"&lt;="&amp;$B13),AH12)</f>
        <v/>
      </c>
      <c r="AI13" s="18">
        <f>IF(COUNTIFS('HD Dump'!$U$2:$U$538,H$7,'HD Dump'!$R$2:$R$538,"&gt;="&amp;$B13-90,'HD Dump'!$R$2:$R$538,"&lt;="&amp;$B13)&gt;0,AVERAGEIFS('HD Dump'!$O$2:$O$538,'HD Dump'!$U$2:$U$538,H$7,'HD Dump'!$R$2:$R$538,"&gt;="&amp;$B13-90,'HD Dump'!$R$2:$R$538,"&lt;="&amp;$B13),AI12)</f>
        <v/>
      </c>
      <c r="AJ13" s="18">
        <f>IF(COUNTIFS('HD Dump'!$U$2:$U$538,I$7,'HD Dump'!$R$2:$R$538,"&gt;="&amp;$B13-90,'HD Dump'!$R$2:$R$538,"&lt;="&amp;$B13)&gt;0,AVERAGEIFS('HD Dump'!$O$2:$O$538,'HD Dump'!$U$2:$U$538,I$7,'HD Dump'!$R$2:$R$538,"&gt;="&amp;$B13-90,'HD Dump'!$R$2:$R$538,"&lt;="&amp;$B13),AJ12)</f>
        <v/>
      </c>
      <c r="AK13" s="18">
        <f>IF(COUNTIFS('HD Dump'!$U$2:$U$538,J$7,'HD Dump'!$R$2:$R$538,"&gt;="&amp;$B13-90,'HD Dump'!$R$2:$R$538,"&lt;="&amp;$B13)&gt;0,AVERAGEIFS('HD Dump'!$O$2:$O$538,'HD Dump'!$U$2:$U$538,J$7,'HD Dump'!$R$2:$R$538,"&gt;="&amp;$B13-90,'HD Dump'!$R$2:$R$538,"&lt;="&amp;$B13),AK12)</f>
        <v/>
      </c>
      <c r="AL13" s="18">
        <f>IF(COUNTIFS('HD Dump'!$U$2:$U$538,K$7,'HD Dump'!$R$2:$R$538,"&gt;="&amp;$B13-90,'HD Dump'!$R$2:$R$538,"&lt;="&amp;$B13)&gt;0,AVERAGEIFS('HD Dump'!$O$2:$O$538,'HD Dump'!$U$2:$U$538,K$7,'HD Dump'!$R$2:$R$538,"&gt;="&amp;$B13-90,'HD Dump'!$R$2:$R$538,"&lt;="&amp;$B13),AL12)</f>
        <v/>
      </c>
    </row>
    <row r="14">
      <c r="B14" s="9" t="n">
        <v>45596</v>
      </c>
      <c r="C14" s="10" t="inlineStr">
        <is>
          <t>Actual</t>
        </is>
      </c>
      <c r="D14" s="11">
        <f>SUMPRODUCT(T14:AB14,$C$8:$K$8)/SUM($C$8:$K$8)</f>
        <v/>
      </c>
      <c r="E14" s="11">
        <f>SUMPRODUCT(AD14:AL14,$C$8:$K$8)/SUM($C$8:$K$8)</f>
        <v/>
      </c>
      <c r="F14" s="11">
        <f>IFERROR((INDEX('T12 Dump'!$D$9:$O$9,MATCH(EOMONTH($B14,-1)+1,'T12 Dump'!$D$3:$O$3,0))-ABS(INDEX('T12 Dump'!$D$11:$O$11,MATCH(EOMONTH($B14,-1)+1,'T12 Dump'!$D$3:$O$3,0))))/($F14*360),"")</f>
        <v/>
      </c>
      <c r="G14" s="12">
        <f>IFERROR(1-ABS(INDEX('T12 Dump'!$D$11:$O$11,MATCH(EOMONTH($B14,-1)+1,'T12 Dump'!$D$3:$O$3,0)))/INDEX('T12 Dump'!$D$7:$O$7,MATCH(EOMONTH($B14,-1)+1,'T12 Dump'!$D$3:$O$3,0)),"")</f>
        <v/>
      </c>
      <c r="H14" s="13">
        <f>IFERROR($F14/$D14-1,"")</f>
        <v/>
      </c>
      <c r="I14" s="14" t="n">
        <v>19</v>
      </c>
      <c r="J14" s="15" t="n"/>
      <c r="K14" s="14" t="n"/>
      <c r="L14" s="16" t="n"/>
      <c r="M14" s="11" t="n"/>
      <c r="N14" s="11" t="n"/>
      <c r="O14" s="17" t="n"/>
      <c r="P14" s="11" t="n"/>
      <c r="T14" s="18">
        <f>IF(COUNTIFS('HD Dump'!$U$2:$U$538,C$7,'HD Dump'!$R$2:$R$538,"&gt;="&amp;$B14-90,'HD Dump'!$R$2:$R$538,"&lt;="&amp;$B14)&gt;0,AVERAGEIFS('HD Dump'!$M$2:$M$538,'HD Dump'!$U$2:$U$538,C$7,'HD Dump'!$R$2:$R$538,"&gt;="&amp;$B14-90,'HD Dump'!$R$2:$R$538,"&lt;="&amp;$B14),T13)</f>
        <v/>
      </c>
      <c r="U14" s="18">
        <f>IF(COUNTIFS('HD Dump'!$U$2:$U$538,D$7,'HD Dump'!$R$2:$R$538,"&gt;="&amp;$B14-90,'HD Dump'!$R$2:$R$538,"&lt;="&amp;$B14)&gt;0,AVERAGEIFS('HD Dump'!$M$2:$M$538,'HD Dump'!$U$2:$U$538,D$7,'HD Dump'!$R$2:$R$538,"&gt;="&amp;$B14-90,'HD Dump'!$R$2:$R$538,"&lt;="&amp;$B14),U13)</f>
        <v/>
      </c>
      <c r="V14" s="18">
        <f>IF(COUNTIFS('HD Dump'!$U$2:$U$538,E$7,'HD Dump'!$R$2:$R$538,"&gt;="&amp;$B14-90,'HD Dump'!$R$2:$R$538,"&lt;="&amp;$B14)&gt;0,AVERAGEIFS('HD Dump'!$M$2:$M$538,'HD Dump'!$U$2:$U$538,E$7,'HD Dump'!$R$2:$R$538,"&gt;="&amp;$B14-90,'HD Dump'!$R$2:$R$538,"&lt;="&amp;$B14),V13)</f>
        <v/>
      </c>
      <c r="W14" s="18">
        <f>IF(COUNTIFS('HD Dump'!$U$2:$U$538,F$7,'HD Dump'!$R$2:$R$538,"&gt;="&amp;$B14-90,'HD Dump'!$R$2:$R$538,"&lt;="&amp;$B14)&gt;0,AVERAGEIFS('HD Dump'!$M$2:$M$538,'HD Dump'!$U$2:$U$538,F$7,'HD Dump'!$R$2:$R$538,"&gt;="&amp;$B14-90,'HD Dump'!$R$2:$R$538,"&lt;="&amp;$B14),W13)</f>
        <v/>
      </c>
      <c r="X14" s="18">
        <f>IF(COUNTIFS('HD Dump'!$U$2:$U$538,G$7,'HD Dump'!$R$2:$R$538,"&gt;="&amp;$B14-90,'HD Dump'!$R$2:$R$538,"&lt;="&amp;$B14)&gt;0,AVERAGEIFS('HD Dump'!$M$2:$M$538,'HD Dump'!$U$2:$U$538,G$7,'HD Dump'!$R$2:$R$538,"&gt;="&amp;$B14-90,'HD Dump'!$R$2:$R$538,"&lt;="&amp;$B14),X13)</f>
        <v/>
      </c>
      <c r="Y14" s="18">
        <f>IF(COUNTIFS('HD Dump'!$U$2:$U$538,H$7,'HD Dump'!$R$2:$R$538,"&gt;="&amp;$B14-90,'HD Dump'!$R$2:$R$538,"&lt;="&amp;$B14)&gt;0,AVERAGEIFS('HD Dump'!$M$2:$M$538,'HD Dump'!$U$2:$U$538,H$7,'HD Dump'!$R$2:$R$538,"&gt;="&amp;$B14-90,'HD Dump'!$R$2:$R$538,"&lt;="&amp;$B14),Y13)</f>
        <v/>
      </c>
      <c r="Z14" s="18">
        <f>IF(COUNTIFS('HD Dump'!$U$2:$U$538,I$7,'HD Dump'!$R$2:$R$538,"&gt;="&amp;$B14-90,'HD Dump'!$R$2:$R$538,"&lt;="&amp;$B14)&gt;0,AVERAGEIFS('HD Dump'!$M$2:$M$538,'HD Dump'!$U$2:$U$538,I$7,'HD Dump'!$R$2:$R$538,"&gt;="&amp;$B14-90,'HD Dump'!$R$2:$R$538,"&lt;="&amp;$B14),Z13)</f>
        <v/>
      </c>
      <c r="AA14" s="18">
        <f>IF(COUNTIFS('HD Dump'!$U$2:$U$538,J$7,'HD Dump'!$R$2:$R$538,"&gt;="&amp;$B14-90,'HD Dump'!$R$2:$R$538,"&lt;="&amp;$B14)&gt;0,AVERAGEIFS('HD Dump'!$M$2:$M$538,'HD Dump'!$U$2:$U$538,J$7,'HD Dump'!$R$2:$R$538,"&gt;="&amp;$B14-90,'HD Dump'!$R$2:$R$538,"&lt;="&amp;$B14),AA13)</f>
        <v/>
      </c>
      <c r="AB14" s="18">
        <f>IF(COUNTIFS('HD Dump'!$U$2:$U$538,K$7,'HD Dump'!$R$2:$R$538,"&gt;="&amp;$B14-90,'HD Dump'!$R$2:$R$538,"&lt;="&amp;$B14)&gt;0,AVERAGEIFS('HD Dump'!$M$2:$M$538,'HD Dump'!$U$2:$U$538,K$7,'HD Dump'!$R$2:$R$538,"&gt;="&amp;$B14-90,'HD Dump'!$R$2:$R$538,"&lt;="&amp;$B14),AB13)</f>
        <v/>
      </c>
      <c r="AD14" s="18">
        <f>IF(COUNTIFS('HD Dump'!$U$2:$U$538,C$7,'HD Dump'!$R$2:$R$538,"&gt;="&amp;$B14-90,'HD Dump'!$R$2:$R$538,"&lt;="&amp;$B14)&gt;0,AVERAGEIFS('HD Dump'!$O$2:$O$538,'HD Dump'!$U$2:$U$538,C$7,'HD Dump'!$R$2:$R$538,"&gt;="&amp;$B14-90,'HD Dump'!$R$2:$R$538,"&lt;="&amp;$B14),AD13)</f>
        <v/>
      </c>
      <c r="AE14" s="18">
        <f>IF(COUNTIFS('HD Dump'!$U$2:$U$538,D$7,'HD Dump'!$R$2:$R$538,"&gt;="&amp;$B14-90,'HD Dump'!$R$2:$R$538,"&lt;="&amp;$B14)&gt;0,AVERAGEIFS('HD Dump'!$O$2:$O$538,'HD Dump'!$U$2:$U$538,D$7,'HD Dump'!$R$2:$R$538,"&gt;="&amp;$B14-90,'HD Dump'!$R$2:$R$538,"&lt;="&amp;$B14),AE13)</f>
        <v/>
      </c>
      <c r="AF14" s="18">
        <f>IF(COUNTIFS('HD Dump'!$U$2:$U$538,E$7,'HD Dump'!$R$2:$R$538,"&gt;="&amp;$B14-90,'HD Dump'!$R$2:$R$538,"&lt;="&amp;$B14)&gt;0,AVERAGEIFS('HD Dump'!$O$2:$O$538,'HD Dump'!$U$2:$U$538,E$7,'HD Dump'!$R$2:$R$538,"&gt;="&amp;$B14-90,'HD Dump'!$R$2:$R$538,"&lt;="&amp;$B14),AF13)</f>
        <v/>
      </c>
      <c r="AG14" s="18">
        <f>IF(COUNTIFS('HD Dump'!$U$2:$U$538,F$7,'HD Dump'!$R$2:$R$538,"&gt;="&amp;$B14-90,'HD Dump'!$R$2:$R$538,"&lt;="&amp;$B14)&gt;0,AVERAGEIFS('HD Dump'!$O$2:$O$538,'HD Dump'!$U$2:$U$538,F$7,'HD Dump'!$R$2:$R$538,"&gt;="&amp;$B14-90,'HD Dump'!$R$2:$R$538,"&lt;="&amp;$B14),AG13)</f>
        <v/>
      </c>
      <c r="AH14" s="18">
        <f>IF(COUNTIFS('HD Dump'!$U$2:$U$538,G$7,'HD Dump'!$R$2:$R$538,"&gt;="&amp;$B14-90,'HD Dump'!$R$2:$R$538,"&lt;="&amp;$B14)&gt;0,AVERAGEIFS('HD Dump'!$O$2:$O$538,'HD Dump'!$U$2:$U$538,G$7,'HD Dump'!$R$2:$R$538,"&gt;="&amp;$B14-90,'HD Dump'!$R$2:$R$538,"&lt;="&amp;$B14),AH13)</f>
        <v/>
      </c>
      <c r="AI14" s="18">
        <f>IF(COUNTIFS('HD Dump'!$U$2:$U$538,H$7,'HD Dump'!$R$2:$R$538,"&gt;="&amp;$B14-90,'HD Dump'!$R$2:$R$538,"&lt;="&amp;$B14)&gt;0,AVERAGEIFS('HD Dump'!$O$2:$O$538,'HD Dump'!$U$2:$U$538,H$7,'HD Dump'!$R$2:$R$538,"&gt;="&amp;$B14-90,'HD Dump'!$R$2:$R$538,"&lt;="&amp;$B14),AI13)</f>
        <v/>
      </c>
      <c r="AJ14" s="18">
        <f>IF(COUNTIFS('HD Dump'!$U$2:$U$538,I$7,'HD Dump'!$R$2:$R$538,"&gt;="&amp;$B14-90,'HD Dump'!$R$2:$R$538,"&lt;="&amp;$B14)&gt;0,AVERAGEIFS('HD Dump'!$O$2:$O$538,'HD Dump'!$U$2:$U$538,I$7,'HD Dump'!$R$2:$R$538,"&gt;="&amp;$B14-90,'HD Dump'!$R$2:$R$538,"&lt;="&amp;$B14),AJ13)</f>
        <v/>
      </c>
      <c r="AK14" s="18">
        <f>IF(COUNTIFS('HD Dump'!$U$2:$U$538,J$7,'HD Dump'!$R$2:$R$538,"&gt;="&amp;$B14-90,'HD Dump'!$R$2:$R$538,"&lt;="&amp;$B14)&gt;0,AVERAGEIFS('HD Dump'!$O$2:$O$538,'HD Dump'!$U$2:$U$538,J$7,'HD Dump'!$R$2:$R$538,"&gt;="&amp;$B14-90,'HD Dump'!$R$2:$R$538,"&lt;="&amp;$B14),AK13)</f>
        <v/>
      </c>
      <c r="AL14" s="18">
        <f>IF(COUNTIFS('HD Dump'!$U$2:$U$538,K$7,'HD Dump'!$R$2:$R$538,"&gt;="&amp;$B14-90,'HD Dump'!$R$2:$R$538,"&lt;="&amp;$B14)&gt;0,AVERAGEIFS('HD Dump'!$O$2:$O$538,'HD Dump'!$U$2:$U$538,K$7,'HD Dump'!$R$2:$R$538,"&gt;="&amp;$B14-90,'HD Dump'!$R$2:$R$538,"&lt;="&amp;$B14),AL13)</f>
        <v/>
      </c>
    </row>
    <row r="15">
      <c r="B15" s="9" t="n">
        <v>45626</v>
      </c>
      <c r="C15" s="10" t="inlineStr">
        <is>
          <t>Actual</t>
        </is>
      </c>
      <c r="D15" s="11">
        <f>SUMPRODUCT(T15:AB15,$C$8:$K$8)/SUM($C$8:$K$8)</f>
        <v/>
      </c>
      <c r="E15" s="11">
        <f>SUMPRODUCT(AD15:AL15,$C$8:$K$8)/SUM($C$8:$K$8)</f>
        <v/>
      </c>
      <c r="F15" s="11">
        <f>IFERROR((INDEX('T12 Dump'!$D$9:$O$9,MATCH(EOMONTH($B15,-1)+1,'T12 Dump'!$D$3:$O$3,0))-ABS(INDEX('T12 Dump'!$D$11:$O$11,MATCH(EOMONTH($B15,-1)+1,'T12 Dump'!$D$3:$O$3,0))))/($F15*360),"")</f>
        <v/>
      </c>
      <c r="G15" s="12">
        <f>IFERROR(1-ABS(INDEX('T12 Dump'!$D$11:$O$11,MATCH(EOMONTH($B15,-1)+1,'T12 Dump'!$D$3:$O$3,0)))/INDEX('T12 Dump'!$D$7:$O$7,MATCH(EOMONTH($B15,-1)+1,'T12 Dump'!$D$3:$O$3,0)),"")</f>
        <v/>
      </c>
      <c r="H15" s="13">
        <f>IFERROR($F15/$D15-1,"")</f>
        <v/>
      </c>
      <c r="I15" s="14" t="n">
        <v>13</v>
      </c>
      <c r="J15" s="15" t="n"/>
      <c r="K15" s="14" t="n"/>
      <c r="L15" s="16" t="n"/>
      <c r="M15" s="11" t="n"/>
      <c r="N15" s="11" t="n"/>
      <c r="O15" s="17" t="n"/>
      <c r="P15" s="11" t="n"/>
      <c r="T15" s="18">
        <f>IF(COUNTIFS('HD Dump'!$U$2:$U$538,C$7,'HD Dump'!$R$2:$R$538,"&gt;="&amp;$B15-90,'HD Dump'!$R$2:$R$538,"&lt;="&amp;$B15)&gt;0,AVERAGEIFS('HD Dump'!$M$2:$M$538,'HD Dump'!$U$2:$U$538,C$7,'HD Dump'!$R$2:$R$538,"&gt;="&amp;$B15-90,'HD Dump'!$R$2:$R$538,"&lt;="&amp;$B15),T14)</f>
        <v/>
      </c>
      <c r="U15" s="18">
        <f>IF(COUNTIFS('HD Dump'!$U$2:$U$538,D$7,'HD Dump'!$R$2:$R$538,"&gt;="&amp;$B15-90,'HD Dump'!$R$2:$R$538,"&lt;="&amp;$B15)&gt;0,AVERAGEIFS('HD Dump'!$M$2:$M$538,'HD Dump'!$U$2:$U$538,D$7,'HD Dump'!$R$2:$R$538,"&gt;="&amp;$B15-90,'HD Dump'!$R$2:$R$538,"&lt;="&amp;$B15),U14)</f>
        <v/>
      </c>
      <c r="V15" s="18">
        <f>IF(COUNTIFS('HD Dump'!$U$2:$U$538,E$7,'HD Dump'!$R$2:$R$538,"&gt;="&amp;$B15-90,'HD Dump'!$R$2:$R$538,"&lt;="&amp;$B15)&gt;0,AVERAGEIFS('HD Dump'!$M$2:$M$538,'HD Dump'!$U$2:$U$538,E$7,'HD Dump'!$R$2:$R$538,"&gt;="&amp;$B15-90,'HD Dump'!$R$2:$R$538,"&lt;="&amp;$B15),V14)</f>
        <v/>
      </c>
      <c r="W15" s="18">
        <f>IF(COUNTIFS('HD Dump'!$U$2:$U$538,F$7,'HD Dump'!$R$2:$R$538,"&gt;="&amp;$B15-90,'HD Dump'!$R$2:$R$538,"&lt;="&amp;$B15)&gt;0,AVERAGEIFS('HD Dump'!$M$2:$M$538,'HD Dump'!$U$2:$U$538,F$7,'HD Dump'!$R$2:$R$538,"&gt;="&amp;$B15-90,'HD Dump'!$R$2:$R$538,"&lt;="&amp;$B15),W14)</f>
        <v/>
      </c>
      <c r="X15" s="18">
        <f>IF(COUNTIFS('HD Dump'!$U$2:$U$538,G$7,'HD Dump'!$R$2:$R$538,"&gt;="&amp;$B15-90,'HD Dump'!$R$2:$R$538,"&lt;="&amp;$B15)&gt;0,AVERAGEIFS('HD Dump'!$M$2:$M$538,'HD Dump'!$U$2:$U$538,G$7,'HD Dump'!$R$2:$R$538,"&gt;="&amp;$B15-90,'HD Dump'!$R$2:$R$538,"&lt;="&amp;$B15),X14)</f>
        <v/>
      </c>
      <c r="Y15" s="18">
        <f>IF(COUNTIFS('HD Dump'!$U$2:$U$538,H$7,'HD Dump'!$R$2:$R$538,"&gt;="&amp;$B15-90,'HD Dump'!$R$2:$R$538,"&lt;="&amp;$B15)&gt;0,AVERAGEIFS('HD Dump'!$M$2:$M$538,'HD Dump'!$U$2:$U$538,H$7,'HD Dump'!$R$2:$R$538,"&gt;="&amp;$B15-90,'HD Dump'!$R$2:$R$538,"&lt;="&amp;$B15),Y14)</f>
        <v/>
      </c>
      <c r="Z15" s="18">
        <f>IF(COUNTIFS('HD Dump'!$U$2:$U$538,I$7,'HD Dump'!$R$2:$R$538,"&gt;="&amp;$B15-90,'HD Dump'!$R$2:$R$538,"&lt;="&amp;$B15)&gt;0,AVERAGEIFS('HD Dump'!$M$2:$M$538,'HD Dump'!$U$2:$U$538,I$7,'HD Dump'!$R$2:$R$538,"&gt;="&amp;$B15-90,'HD Dump'!$R$2:$R$538,"&lt;="&amp;$B15),Z14)</f>
        <v/>
      </c>
      <c r="AA15" s="18">
        <f>IF(COUNTIFS('HD Dump'!$U$2:$U$538,J$7,'HD Dump'!$R$2:$R$538,"&gt;="&amp;$B15-90,'HD Dump'!$R$2:$R$538,"&lt;="&amp;$B15)&gt;0,AVERAGEIFS('HD Dump'!$M$2:$M$538,'HD Dump'!$U$2:$U$538,J$7,'HD Dump'!$R$2:$R$538,"&gt;="&amp;$B15-90,'HD Dump'!$R$2:$R$538,"&lt;="&amp;$B15),AA14)</f>
        <v/>
      </c>
      <c r="AB15" s="18">
        <f>IF(COUNTIFS('HD Dump'!$U$2:$U$538,K$7,'HD Dump'!$R$2:$R$538,"&gt;="&amp;$B15-90,'HD Dump'!$R$2:$R$538,"&lt;="&amp;$B15)&gt;0,AVERAGEIFS('HD Dump'!$M$2:$M$538,'HD Dump'!$U$2:$U$538,K$7,'HD Dump'!$R$2:$R$538,"&gt;="&amp;$B15-90,'HD Dump'!$R$2:$R$538,"&lt;="&amp;$B15),AB14)</f>
        <v/>
      </c>
      <c r="AD15" s="18">
        <f>IF(COUNTIFS('HD Dump'!$U$2:$U$538,C$7,'HD Dump'!$R$2:$R$538,"&gt;="&amp;$B15-90,'HD Dump'!$R$2:$R$538,"&lt;="&amp;$B15)&gt;0,AVERAGEIFS('HD Dump'!$O$2:$O$538,'HD Dump'!$U$2:$U$538,C$7,'HD Dump'!$R$2:$R$538,"&gt;="&amp;$B15-90,'HD Dump'!$R$2:$R$538,"&lt;="&amp;$B15),AD14)</f>
        <v/>
      </c>
      <c r="AE15" s="18">
        <f>IF(COUNTIFS('HD Dump'!$U$2:$U$538,D$7,'HD Dump'!$R$2:$R$538,"&gt;="&amp;$B15-90,'HD Dump'!$R$2:$R$538,"&lt;="&amp;$B15)&gt;0,AVERAGEIFS('HD Dump'!$O$2:$O$538,'HD Dump'!$U$2:$U$538,D$7,'HD Dump'!$R$2:$R$538,"&gt;="&amp;$B15-90,'HD Dump'!$R$2:$R$538,"&lt;="&amp;$B15),AE14)</f>
        <v/>
      </c>
      <c r="AF15" s="18">
        <f>IF(COUNTIFS('HD Dump'!$U$2:$U$538,E$7,'HD Dump'!$R$2:$R$538,"&gt;="&amp;$B15-90,'HD Dump'!$R$2:$R$538,"&lt;="&amp;$B15)&gt;0,AVERAGEIFS('HD Dump'!$O$2:$O$538,'HD Dump'!$U$2:$U$538,E$7,'HD Dump'!$R$2:$R$538,"&gt;="&amp;$B15-90,'HD Dump'!$R$2:$R$538,"&lt;="&amp;$B15),AF14)</f>
        <v/>
      </c>
      <c r="AG15" s="18">
        <f>IF(COUNTIFS('HD Dump'!$U$2:$U$538,F$7,'HD Dump'!$R$2:$R$538,"&gt;="&amp;$B15-90,'HD Dump'!$R$2:$R$538,"&lt;="&amp;$B15)&gt;0,AVERAGEIFS('HD Dump'!$O$2:$O$538,'HD Dump'!$U$2:$U$538,F$7,'HD Dump'!$R$2:$R$538,"&gt;="&amp;$B15-90,'HD Dump'!$R$2:$R$538,"&lt;="&amp;$B15),AG14)</f>
        <v/>
      </c>
      <c r="AH15" s="18">
        <f>IF(COUNTIFS('HD Dump'!$U$2:$U$538,G$7,'HD Dump'!$R$2:$R$538,"&gt;="&amp;$B15-90,'HD Dump'!$R$2:$R$538,"&lt;="&amp;$B15)&gt;0,AVERAGEIFS('HD Dump'!$O$2:$O$538,'HD Dump'!$U$2:$U$538,G$7,'HD Dump'!$R$2:$R$538,"&gt;="&amp;$B15-90,'HD Dump'!$R$2:$R$538,"&lt;="&amp;$B15),AH14)</f>
        <v/>
      </c>
      <c r="AI15" s="18">
        <f>IF(COUNTIFS('HD Dump'!$U$2:$U$538,H$7,'HD Dump'!$R$2:$R$538,"&gt;="&amp;$B15-90,'HD Dump'!$R$2:$R$538,"&lt;="&amp;$B15)&gt;0,AVERAGEIFS('HD Dump'!$O$2:$O$538,'HD Dump'!$U$2:$U$538,H$7,'HD Dump'!$R$2:$R$538,"&gt;="&amp;$B15-90,'HD Dump'!$R$2:$R$538,"&lt;="&amp;$B15),AI14)</f>
        <v/>
      </c>
      <c r="AJ15" s="18">
        <f>IF(COUNTIFS('HD Dump'!$U$2:$U$538,I$7,'HD Dump'!$R$2:$R$538,"&gt;="&amp;$B15-90,'HD Dump'!$R$2:$R$538,"&lt;="&amp;$B15)&gt;0,AVERAGEIFS('HD Dump'!$O$2:$O$538,'HD Dump'!$U$2:$U$538,I$7,'HD Dump'!$R$2:$R$538,"&gt;="&amp;$B15-90,'HD Dump'!$R$2:$R$538,"&lt;="&amp;$B15),AJ14)</f>
        <v/>
      </c>
      <c r="AK15" s="18">
        <f>IF(COUNTIFS('HD Dump'!$U$2:$U$538,J$7,'HD Dump'!$R$2:$R$538,"&gt;="&amp;$B15-90,'HD Dump'!$R$2:$R$538,"&lt;="&amp;$B15)&gt;0,AVERAGEIFS('HD Dump'!$O$2:$O$538,'HD Dump'!$U$2:$U$538,J$7,'HD Dump'!$R$2:$R$538,"&gt;="&amp;$B15-90,'HD Dump'!$R$2:$R$538,"&lt;="&amp;$B15),AK14)</f>
        <v/>
      </c>
      <c r="AL15" s="18">
        <f>IF(COUNTIFS('HD Dump'!$U$2:$U$538,K$7,'HD Dump'!$R$2:$R$538,"&gt;="&amp;$B15-90,'HD Dump'!$R$2:$R$538,"&lt;="&amp;$B15)&gt;0,AVERAGEIFS('HD Dump'!$O$2:$O$538,'HD Dump'!$U$2:$U$538,K$7,'HD Dump'!$R$2:$R$538,"&gt;="&amp;$B15-90,'HD Dump'!$R$2:$R$538,"&lt;="&amp;$B15),AL14)</f>
        <v/>
      </c>
    </row>
    <row r="16">
      <c r="B16" s="9" t="n">
        <v>45657</v>
      </c>
      <c r="C16" s="10" t="inlineStr">
        <is>
          <t>Actual</t>
        </is>
      </c>
      <c r="D16" s="11">
        <f>SUMPRODUCT(T16:AB16,$C$8:$K$8)/SUM($C$8:$K$8)</f>
        <v/>
      </c>
      <c r="E16" s="11">
        <f>SUMPRODUCT(AD16:AL16,$C$8:$K$8)/SUM($C$8:$K$8)</f>
        <v/>
      </c>
      <c r="F16" s="11">
        <f>IFERROR((INDEX('T12 Dump'!$D$9:$O$9,MATCH(EOMONTH($B16,-1)+1,'T12 Dump'!$D$3:$O$3,0))-ABS(INDEX('T12 Dump'!$D$11:$O$11,MATCH(EOMONTH($B16,-1)+1,'T12 Dump'!$D$3:$O$3,0))))/($F16*360),"")</f>
        <v/>
      </c>
      <c r="G16" s="12">
        <f>IFERROR(1-ABS(INDEX('T12 Dump'!$D$11:$O$11,MATCH(EOMONTH($B16,-1)+1,'T12 Dump'!$D$3:$O$3,0)))/INDEX('T12 Dump'!$D$7:$O$7,MATCH(EOMONTH($B16,-1)+1,'T12 Dump'!$D$3:$O$3,0)),"")</f>
        <v/>
      </c>
      <c r="H16" s="13">
        <f>IFERROR($F16/$D16-1,"")</f>
        <v/>
      </c>
      <c r="I16" s="14" t="n">
        <v>9</v>
      </c>
      <c r="J16" s="15" t="n"/>
      <c r="K16" s="14" t="n"/>
      <c r="L16" s="16" t="n"/>
      <c r="M16" s="11" t="n"/>
      <c r="N16" s="11" t="n"/>
      <c r="O16" s="17" t="n"/>
      <c r="P16" s="11" t="n"/>
      <c r="T16" s="18">
        <f>IF(COUNTIFS('HD Dump'!$U$2:$U$538,C$7,'HD Dump'!$R$2:$R$538,"&gt;="&amp;$B16-90,'HD Dump'!$R$2:$R$538,"&lt;="&amp;$B16)&gt;0,AVERAGEIFS('HD Dump'!$M$2:$M$538,'HD Dump'!$U$2:$U$538,C$7,'HD Dump'!$R$2:$R$538,"&gt;="&amp;$B16-90,'HD Dump'!$R$2:$R$538,"&lt;="&amp;$B16),T15)</f>
        <v/>
      </c>
      <c r="U16" s="18">
        <f>IF(COUNTIFS('HD Dump'!$U$2:$U$538,D$7,'HD Dump'!$R$2:$R$538,"&gt;="&amp;$B16-90,'HD Dump'!$R$2:$R$538,"&lt;="&amp;$B16)&gt;0,AVERAGEIFS('HD Dump'!$M$2:$M$538,'HD Dump'!$U$2:$U$538,D$7,'HD Dump'!$R$2:$R$538,"&gt;="&amp;$B16-90,'HD Dump'!$R$2:$R$538,"&lt;="&amp;$B16),U15)</f>
        <v/>
      </c>
      <c r="V16" s="18">
        <f>IF(COUNTIFS('HD Dump'!$U$2:$U$538,E$7,'HD Dump'!$R$2:$R$538,"&gt;="&amp;$B16-90,'HD Dump'!$R$2:$R$538,"&lt;="&amp;$B16)&gt;0,AVERAGEIFS('HD Dump'!$M$2:$M$538,'HD Dump'!$U$2:$U$538,E$7,'HD Dump'!$R$2:$R$538,"&gt;="&amp;$B16-90,'HD Dump'!$R$2:$R$538,"&lt;="&amp;$B16),V15)</f>
        <v/>
      </c>
      <c r="W16" s="18">
        <f>IF(COUNTIFS('HD Dump'!$U$2:$U$538,F$7,'HD Dump'!$R$2:$R$538,"&gt;="&amp;$B16-90,'HD Dump'!$R$2:$R$538,"&lt;="&amp;$B16)&gt;0,AVERAGEIFS('HD Dump'!$M$2:$M$538,'HD Dump'!$U$2:$U$538,F$7,'HD Dump'!$R$2:$R$538,"&gt;="&amp;$B16-90,'HD Dump'!$R$2:$R$538,"&lt;="&amp;$B16),W15)</f>
        <v/>
      </c>
      <c r="X16" s="18">
        <f>IF(COUNTIFS('HD Dump'!$U$2:$U$538,G$7,'HD Dump'!$R$2:$R$538,"&gt;="&amp;$B16-90,'HD Dump'!$R$2:$R$538,"&lt;="&amp;$B16)&gt;0,AVERAGEIFS('HD Dump'!$M$2:$M$538,'HD Dump'!$U$2:$U$538,G$7,'HD Dump'!$R$2:$R$538,"&gt;="&amp;$B16-90,'HD Dump'!$R$2:$R$538,"&lt;="&amp;$B16),X15)</f>
        <v/>
      </c>
      <c r="Y16" s="18">
        <f>IF(COUNTIFS('HD Dump'!$U$2:$U$538,H$7,'HD Dump'!$R$2:$R$538,"&gt;="&amp;$B16-90,'HD Dump'!$R$2:$R$538,"&lt;="&amp;$B16)&gt;0,AVERAGEIFS('HD Dump'!$M$2:$M$538,'HD Dump'!$U$2:$U$538,H$7,'HD Dump'!$R$2:$R$538,"&gt;="&amp;$B16-90,'HD Dump'!$R$2:$R$538,"&lt;="&amp;$B16),Y15)</f>
        <v/>
      </c>
      <c r="Z16" s="18">
        <f>IF(COUNTIFS('HD Dump'!$U$2:$U$538,I$7,'HD Dump'!$R$2:$R$538,"&gt;="&amp;$B16-90,'HD Dump'!$R$2:$R$538,"&lt;="&amp;$B16)&gt;0,AVERAGEIFS('HD Dump'!$M$2:$M$538,'HD Dump'!$U$2:$U$538,I$7,'HD Dump'!$R$2:$R$538,"&gt;="&amp;$B16-90,'HD Dump'!$R$2:$R$538,"&lt;="&amp;$B16),Z15)</f>
        <v/>
      </c>
      <c r="AA16" s="18">
        <f>IF(COUNTIFS('HD Dump'!$U$2:$U$538,J$7,'HD Dump'!$R$2:$R$538,"&gt;="&amp;$B16-90,'HD Dump'!$R$2:$R$538,"&lt;="&amp;$B16)&gt;0,AVERAGEIFS('HD Dump'!$M$2:$M$538,'HD Dump'!$U$2:$U$538,J$7,'HD Dump'!$R$2:$R$538,"&gt;="&amp;$B16-90,'HD Dump'!$R$2:$R$538,"&lt;="&amp;$B16),AA15)</f>
        <v/>
      </c>
      <c r="AB16" s="18">
        <f>IF(COUNTIFS('HD Dump'!$U$2:$U$538,K$7,'HD Dump'!$R$2:$R$538,"&gt;="&amp;$B16-90,'HD Dump'!$R$2:$R$538,"&lt;="&amp;$B16)&gt;0,AVERAGEIFS('HD Dump'!$M$2:$M$538,'HD Dump'!$U$2:$U$538,K$7,'HD Dump'!$R$2:$R$538,"&gt;="&amp;$B16-90,'HD Dump'!$R$2:$R$538,"&lt;="&amp;$B16),AB15)</f>
        <v/>
      </c>
      <c r="AD16" s="18">
        <f>IF(COUNTIFS('HD Dump'!$U$2:$U$538,C$7,'HD Dump'!$R$2:$R$538,"&gt;="&amp;$B16-90,'HD Dump'!$R$2:$R$538,"&lt;="&amp;$B16)&gt;0,AVERAGEIFS('HD Dump'!$O$2:$O$538,'HD Dump'!$U$2:$U$538,C$7,'HD Dump'!$R$2:$R$538,"&gt;="&amp;$B16-90,'HD Dump'!$R$2:$R$538,"&lt;="&amp;$B16),AD15)</f>
        <v/>
      </c>
      <c r="AE16" s="18">
        <f>IF(COUNTIFS('HD Dump'!$U$2:$U$538,D$7,'HD Dump'!$R$2:$R$538,"&gt;="&amp;$B16-90,'HD Dump'!$R$2:$R$538,"&lt;="&amp;$B16)&gt;0,AVERAGEIFS('HD Dump'!$O$2:$O$538,'HD Dump'!$U$2:$U$538,D$7,'HD Dump'!$R$2:$R$538,"&gt;="&amp;$B16-90,'HD Dump'!$R$2:$R$538,"&lt;="&amp;$B16),AE15)</f>
        <v/>
      </c>
      <c r="AF16" s="18">
        <f>IF(COUNTIFS('HD Dump'!$U$2:$U$538,E$7,'HD Dump'!$R$2:$R$538,"&gt;="&amp;$B16-90,'HD Dump'!$R$2:$R$538,"&lt;="&amp;$B16)&gt;0,AVERAGEIFS('HD Dump'!$O$2:$O$538,'HD Dump'!$U$2:$U$538,E$7,'HD Dump'!$R$2:$R$538,"&gt;="&amp;$B16-90,'HD Dump'!$R$2:$R$538,"&lt;="&amp;$B16),AF15)</f>
        <v/>
      </c>
      <c r="AG16" s="18">
        <f>IF(COUNTIFS('HD Dump'!$U$2:$U$538,F$7,'HD Dump'!$R$2:$R$538,"&gt;="&amp;$B16-90,'HD Dump'!$R$2:$R$538,"&lt;="&amp;$B16)&gt;0,AVERAGEIFS('HD Dump'!$O$2:$O$538,'HD Dump'!$U$2:$U$538,F$7,'HD Dump'!$R$2:$R$538,"&gt;="&amp;$B16-90,'HD Dump'!$R$2:$R$538,"&lt;="&amp;$B16),AG15)</f>
        <v/>
      </c>
      <c r="AH16" s="18">
        <f>IF(COUNTIFS('HD Dump'!$U$2:$U$538,G$7,'HD Dump'!$R$2:$R$538,"&gt;="&amp;$B16-90,'HD Dump'!$R$2:$R$538,"&lt;="&amp;$B16)&gt;0,AVERAGEIFS('HD Dump'!$O$2:$O$538,'HD Dump'!$U$2:$U$538,G$7,'HD Dump'!$R$2:$R$538,"&gt;="&amp;$B16-90,'HD Dump'!$R$2:$R$538,"&lt;="&amp;$B16),AH15)</f>
        <v/>
      </c>
      <c r="AI16" s="18">
        <f>IF(COUNTIFS('HD Dump'!$U$2:$U$538,H$7,'HD Dump'!$R$2:$R$538,"&gt;="&amp;$B16-90,'HD Dump'!$R$2:$R$538,"&lt;="&amp;$B16)&gt;0,AVERAGEIFS('HD Dump'!$O$2:$O$538,'HD Dump'!$U$2:$U$538,H$7,'HD Dump'!$R$2:$R$538,"&gt;="&amp;$B16-90,'HD Dump'!$R$2:$R$538,"&lt;="&amp;$B16),AI15)</f>
        <v/>
      </c>
      <c r="AJ16" s="18">
        <f>IF(COUNTIFS('HD Dump'!$U$2:$U$538,I$7,'HD Dump'!$R$2:$R$538,"&gt;="&amp;$B16-90,'HD Dump'!$R$2:$R$538,"&lt;="&amp;$B16)&gt;0,AVERAGEIFS('HD Dump'!$O$2:$O$538,'HD Dump'!$U$2:$U$538,I$7,'HD Dump'!$R$2:$R$538,"&gt;="&amp;$B16-90,'HD Dump'!$R$2:$R$538,"&lt;="&amp;$B16),AJ15)</f>
        <v/>
      </c>
      <c r="AK16" s="18">
        <f>IF(COUNTIFS('HD Dump'!$U$2:$U$538,J$7,'HD Dump'!$R$2:$R$538,"&gt;="&amp;$B16-90,'HD Dump'!$R$2:$R$538,"&lt;="&amp;$B16)&gt;0,AVERAGEIFS('HD Dump'!$O$2:$O$538,'HD Dump'!$U$2:$U$538,J$7,'HD Dump'!$R$2:$R$538,"&gt;="&amp;$B16-90,'HD Dump'!$R$2:$R$538,"&lt;="&amp;$B16),AK15)</f>
        <v/>
      </c>
      <c r="AL16" s="18">
        <f>IF(COUNTIFS('HD Dump'!$U$2:$U$538,K$7,'HD Dump'!$R$2:$R$538,"&gt;="&amp;$B16-90,'HD Dump'!$R$2:$R$538,"&lt;="&amp;$B16)&gt;0,AVERAGEIFS('HD Dump'!$O$2:$O$538,'HD Dump'!$U$2:$U$538,K$7,'HD Dump'!$R$2:$R$538,"&gt;="&amp;$B16-90,'HD Dump'!$R$2:$R$538,"&lt;="&amp;$B16),AL15)</f>
        <v/>
      </c>
    </row>
    <row r="17">
      <c r="B17" s="9" t="n">
        <v>45688</v>
      </c>
      <c r="C17" s="10" t="inlineStr">
        <is>
          <t>Actual</t>
        </is>
      </c>
      <c r="D17" s="11">
        <f>SUMPRODUCT(T17:AB17,$C$8:$K$8)/SUM($C$8:$K$8)</f>
        <v/>
      </c>
      <c r="E17" s="11">
        <f>SUMPRODUCT(AD17:AL17,$C$8:$K$8)/SUM($C$8:$K$8)</f>
        <v/>
      </c>
      <c r="F17" s="11">
        <f>IFERROR((INDEX('T12 Dump'!$D$9:$O$9,MATCH(EOMONTH($B17,-1)+1,'T12 Dump'!$D$3:$O$3,0))-ABS(INDEX('T12 Dump'!$D$11:$O$11,MATCH(EOMONTH($B17,-1)+1,'T12 Dump'!$D$3:$O$3,0))))/($F17*360),"")</f>
        <v/>
      </c>
      <c r="G17" s="12">
        <f>IFERROR(1-ABS(INDEX('T12 Dump'!$D$11:$O$11,MATCH(EOMONTH($B17,-1)+1,'T12 Dump'!$D$3:$O$3,0)))/INDEX('T12 Dump'!$D$7:$O$7,MATCH(EOMONTH($B17,-1)+1,'T12 Dump'!$D$3:$O$3,0)),"")</f>
        <v/>
      </c>
      <c r="H17" s="13">
        <f>IFERROR($F17/$D17-1,"")</f>
        <v/>
      </c>
      <c r="I17" s="14" t="n">
        <v>28</v>
      </c>
      <c r="J17" s="15" t="n"/>
      <c r="K17" s="14" t="n"/>
      <c r="L17" s="16" t="n"/>
      <c r="M17" s="11" t="n"/>
      <c r="N17" s="11" t="n"/>
      <c r="O17" s="17" t="n"/>
      <c r="P17" s="11" t="n"/>
      <c r="T17" s="18">
        <f>IF(COUNTIFS('HD Dump'!$U$2:$U$538,C$7,'HD Dump'!$R$2:$R$538,"&gt;="&amp;$B17-90,'HD Dump'!$R$2:$R$538,"&lt;="&amp;$B17)&gt;0,AVERAGEIFS('HD Dump'!$M$2:$M$538,'HD Dump'!$U$2:$U$538,C$7,'HD Dump'!$R$2:$R$538,"&gt;="&amp;$B17-90,'HD Dump'!$R$2:$R$538,"&lt;="&amp;$B17),T16)</f>
        <v/>
      </c>
      <c r="U17" s="18">
        <f>IF(COUNTIFS('HD Dump'!$U$2:$U$538,D$7,'HD Dump'!$R$2:$R$538,"&gt;="&amp;$B17-90,'HD Dump'!$R$2:$R$538,"&lt;="&amp;$B17)&gt;0,AVERAGEIFS('HD Dump'!$M$2:$M$538,'HD Dump'!$U$2:$U$538,D$7,'HD Dump'!$R$2:$R$538,"&gt;="&amp;$B17-90,'HD Dump'!$R$2:$R$538,"&lt;="&amp;$B17),U16)</f>
        <v/>
      </c>
      <c r="V17" s="18">
        <f>IF(COUNTIFS('HD Dump'!$U$2:$U$538,E$7,'HD Dump'!$R$2:$R$538,"&gt;="&amp;$B17-90,'HD Dump'!$R$2:$R$538,"&lt;="&amp;$B17)&gt;0,AVERAGEIFS('HD Dump'!$M$2:$M$538,'HD Dump'!$U$2:$U$538,E$7,'HD Dump'!$R$2:$R$538,"&gt;="&amp;$B17-90,'HD Dump'!$R$2:$R$538,"&lt;="&amp;$B17),V16)</f>
        <v/>
      </c>
      <c r="W17" s="18">
        <f>IF(COUNTIFS('HD Dump'!$U$2:$U$538,F$7,'HD Dump'!$R$2:$R$538,"&gt;="&amp;$B17-90,'HD Dump'!$R$2:$R$538,"&lt;="&amp;$B17)&gt;0,AVERAGEIFS('HD Dump'!$M$2:$M$538,'HD Dump'!$U$2:$U$538,F$7,'HD Dump'!$R$2:$R$538,"&gt;="&amp;$B17-90,'HD Dump'!$R$2:$R$538,"&lt;="&amp;$B17),W16)</f>
        <v/>
      </c>
      <c r="X17" s="18">
        <f>IF(COUNTIFS('HD Dump'!$U$2:$U$538,G$7,'HD Dump'!$R$2:$R$538,"&gt;="&amp;$B17-90,'HD Dump'!$R$2:$R$538,"&lt;="&amp;$B17)&gt;0,AVERAGEIFS('HD Dump'!$M$2:$M$538,'HD Dump'!$U$2:$U$538,G$7,'HD Dump'!$R$2:$R$538,"&gt;="&amp;$B17-90,'HD Dump'!$R$2:$R$538,"&lt;="&amp;$B17),X16)</f>
        <v/>
      </c>
      <c r="Y17" s="18">
        <f>IF(COUNTIFS('HD Dump'!$U$2:$U$538,H$7,'HD Dump'!$R$2:$R$538,"&gt;="&amp;$B17-90,'HD Dump'!$R$2:$R$538,"&lt;="&amp;$B17)&gt;0,AVERAGEIFS('HD Dump'!$M$2:$M$538,'HD Dump'!$U$2:$U$538,H$7,'HD Dump'!$R$2:$R$538,"&gt;="&amp;$B17-90,'HD Dump'!$R$2:$R$538,"&lt;="&amp;$B17),Y16)</f>
        <v/>
      </c>
      <c r="Z17" s="18">
        <f>IF(COUNTIFS('HD Dump'!$U$2:$U$538,I$7,'HD Dump'!$R$2:$R$538,"&gt;="&amp;$B17-90,'HD Dump'!$R$2:$R$538,"&lt;="&amp;$B17)&gt;0,AVERAGEIFS('HD Dump'!$M$2:$M$538,'HD Dump'!$U$2:$U$538,I$7,'HD Dump'!$R$2:$R$538,"&gt;="&amp;$B17-90,'HD Dump'!$R$2:$R$538,"&lt;="&amp;$B17),Z16)</f>
        <v/>
      </c>
      <c r="AA17" s="18">
        <f>IF(COUNTIFS('HD Dump'!$U$2:$U$538,J$7,'HD Dump'!$R$2:$R$538,"&gt;="&amp;$B17-90,'HD Dump'!$R$2:$R$538,"&lt;="&amp;$B17)&gt;0,AVERAGEIFS('HD Dump'!$M$2:$M$538,'HD Dump'!$U$2:$U$538,J$7,'HD Dump'!$R$2:$R$538,"&gt;="&amp;$B17-90,'HD Dump'!$R$2:$R$538,"&lt;="&amp;$B17),AA16)</f>
        <v/>
      </c>
      <c r="AB17" s="18">
        <f>IF(COUNTIFS('HD Dump'!$U$2:$U$538,K$7,'HD Dump'!$R$2:$R$538,"&gt;="&amp;$B17-90,'HD Dump'!$R$2:$R$538,"&lt;="&amp;$B17)&gt;0,AVERAGEIFS('HD Dump'!$M$2:$M$538,'HD Dump'!$U$2:$U$538,K$7,'HD Dump'!$R$2:$R$538,"&gt;="&amp;$B17-90,'HD Dump'!$R$2:$R$538,"&lt;="&amp;$B17),AB16)</f>
        <v/>
      </c>
      <c r="AD17" s="18">
        <f>IF(COUNTIFS('HD Dump'!$U$2:$U$538,C$7,'HD Dump'!$R$2:$R$538,"&gt;="&amp;$B17-90,'HD Dump'!$R$2:$R$538,"&lt;="&amp;$B17)&gt;0,AVERAGEIFS('HD Dump'!$O$2:$O$538,'HD Dump'!$U$2:$U$538,C$7,'HD Dump'!$R$2:$R$538,"&gt;="&amp;$B17-90,'HD Dump'!$R$2:$R$538,"&lt;="&amp;$B17),AD16)</f>
        <v/>
      </c>
      <c r="AE17" s="18">
        <f>IF(COUNTIFS('HD Dump'!$U$2:$U$538,D$7,'HD Dump'!$R$2:$R$538,"&gt;="&amp;$B17-90,'HD Dump'!$R$2:$R$538,"&lt;="&amp;$B17)&gt;0,AVERAGEIFS('HD Dump'!$O$2:$O$538,'HD Dump'!$U$2:$U$538,D$7,'HD Dump'!$R$2:$R$538,"&gt;="&amp;$B17-90,'HD Dump'!$R$2:$R$538,"&lt;="&amp;$B17),AE16)</f>
        <v/>
      </c>
      <c r="AF17" s="18">
        <f>IF(COUNTIFS('HD Dump'!$U$2:$U$538,E$7,'HD Dump'!$R$2:$R$538,"&gt;="&amp;$B17-90,'HD Dump'!$R$2:$R$538,"&lt;="&amp;$B17)&gt;0,AVERAGEIFS('HD Dump'!$O$2:$O$538,'HD Dump'!$U$2:$U$538,E$7,'HD Dump'!$R$2:$R$538,"&gt;="&amp;$B17-90,'HD Dump'!$R$2:$R$538,"&lt;="&amp;$B17),AF16)</f>
        <v/>
      </c>
      <c r="AG17" s="18">
        <f>IF(COUNTIFS('HD Dump'!$U$2:$U$538,F$7,'HD Dump'!$R$2:$R$538,"&gt;="&amp;$B17-90,'HD Dump'!$R$2:$R$538,"&lt;="&amp;$B17)&gt;0,AVERAGEIFS('HD Dump'!$O$2:$O$538,'HD Dump'!$U$2:$U$538,F$7,'HD Dump'!$R$2:$R$538,"&gt;="&amp;$B17-90,'HD Dump'!$R$2:$R$538,"&lt;="&amp;$B17),AG16)</f>
        <v/>
      </c>
      <c r="AH17" s="18">
        <f>IF(COUNTIFS('HD Dump'!$U$2:$U$538,G$7,'HD Dump'!$R$2:$R$538,"&gt;="&amp;$B17-90,'HD Dump'!$R$2:$R$538,"&lt;="&amp;$B17)&gt;0,AVERAGEIFS('HD Dump'!$O$2:$O$538,'HD Dump'!$U$2:$U$538,G$7,'HD Dump'!$R$2:$R$538,"&gt;="&amp;$B17-90,'HD Dump'!$R$2:$R$538,"&lt;="&amp;$B17),AH16)</f>
        <v/>
      </c>
      <c r="AI17" s="18">
        <f>IF(COUNTIFS('HD Dump'!$U$2:$U$538,H$7,'HD Dump'!$R$2:$R$538,"&gt;="&amp;$B17-90,'HD Dump'!$R$2:$R$538,"&lt;="&amp;$B17)&gt;0,AVERAGEIFS('HD Dump'!$O$2:$O$538,'HD Dump'!$U$2:$U$538,H$7,'HD Dump'!$R$2:$R$538,"&gt;="&amp;$B17-90,'HD Dump'!$R$2:$R$538,"&lt;="&amp;$B17),AI16)</f>
        <v/>
      </c>
      <c r="AJ17" s="18">
        <f>IF(COUNTIFS('HD Dump'!$U$2:$U$538,I$7,'HD Dump'!$R$2:$R$538,"&gt;="&amp;$B17-90,'HD Dump'!$R$2:$R$538,"&lt;="&amp;$B17)&gt;0,AVERAGEIFS('HD Dump'!$O$2:$O$538,'HD Dump'!$U$2:$U$538,I$7,'HD Dump'!$R$2:$R$538,"&gt;="&amp;$B17-90,'HD Dump'!$R$2:$R$538,"&lt;="&amp;$B17),AJ16)</f>
        <v/>
      </c>
      <c r="AK17" s="18">
        <f>IF(COUNTIFS('HD Dump'!$U$2:$U$538,J$7,'HD Dump'!$R$2:$R$538,"&gt;="&amp;$B17-90,'HD Dump'!$R$2:$R$538,"&lt;="&amp;$B17)&gt;0,AVERAGEIFS('HD Dump'!$O$2:$O$538,'HD Dump'!$U$2:$U$538,J$7,'HD Dump'!$R$2:$R$538,"&gt;="&amp;$B17-90,'HD Dump'!$R$2:$R$538,"&lt;="&amp;$B17),AK16)</f>
        <v/>
      </c>
      <c r="AL17" s="18">
        <f>IF(COUNTIFS('HD Dump'!$U$2:$U$538,K$7,'HD Dump'!$R$2:$R$538,"&gt;="&amp;$B17-90,'HD Dump'!$R$2:$R$538,"&lt;="&amp;$B17)&gt;0,AVERAGEIFS('HD Dump'!$O$2:$O$538,'HD Dump'!$U$2:$U$538,K$7,'HD Dump'!$R$2:$R$538,"&gt;="&amp;$B17-90,'HD Dump'!$R$2:$R$538,"&lt;="&amp;$B17),AL16)</f>
        <v/>
      </c>
    </row>
    <row r="18">
      <c r="B18" s="9" t="n">
        <v>45716</v>
      </c>
      <c r="C18" s="10" t="inlineStr">
        <is>
          <t>Actual</t>
        </is>
      </c>
      <c r="D18" s="11">
        <f>SUMPRODUCT(T18:AB18,$C$8:$K$8)/SUM($C$8:$K$8)</f>
        <v/>
      </c>
      <c r="E18" s="11">
        <f>SUMPRODUCT(AD18:AL18,$C$8:$K$8)/SUM($C$8:$K$8)</f>
        <v/>
      </c>
      <c r="F18" s="11">
        <f>IFERROR((INDEX('T12 Dump'!$D$9:$O$9,MATCH(EOMONTH($B18,-1)+1,'T12 Dump'!$D$3:$O$3,0))-ABS(INDEX('T12 Dump'!$D$11:$O$11,MATCH(EOMONTH($B18,-1)+1,'T12 Dump'!$D$3:$O$3,0))))/($F18*360),"")</f>
        <v/>
      </c>
      <c r="G18" s="12">
        <f>IFERROR(1-ABS(INDEX('T12 Dump'!$D$11:$O$11,MATCH(EOMONTH($B18,-1)+1,'T12 Dump'!$D$3:$O$3,0)))/INDEX('T12 Dump'!$D$7:$O$7,MATCH(EOMONTH($B18,-1)+1,'T12 Dump'!$D$3:$O$3,0)),"")</f>
        <v/>
      </c>
      <c r="H18" s="13">
        <f>IFERROR($F18/$D18-1,"")</f>
        <v/>
      </c>
      <c r="I18" s="14" t="n">
        <v>14</v>
      </c>
      <c r="J18" s="15" t="n"/>
      <c r="K18" s="14" t="n"/>
      <c r="L18" s="16" t="n"/>
      <c r="M18" s="11" t="n"/>
      <c r="N18" s="11" t="n"/>
      <c r="O18" s="17" t="n"/>
      <c r="P18" s="11" t="n"/>
      <c r="T18" s="18">
        <f>IF(COUNTIFS('HD Dump'!$U$2:$U$538,C$7,'HD Dump'!$R$2:$R$538,"&gt;="&amp;$B18-90,'HD Dump'!$R$2:$R$538,"&lt;="&amp;$B18)&gt;0,AVERAGEIFS('HD Dump'!$M$2:$M$538,'HD Dump'!$U$2:$U$538,C$7,'HD Dump'!$R$2:$R$538,"&gt;="&amp;$B18-90,'HD Dump'!$R$2:$R$538,"&lt;="&amp;$B18),T17)</f>
        <v/>
      </c>
      <c r="U18" s="18">
        <f>IF(COUNTIFS('HD Dump'!$U$2:$U$538,D$7,'HD Dump'!$R$2:$R$538,"&gt;="&amp;$B18-90,'HD Dump'!$R$2:$R$538,"&lt;="&amp;$B18)&gt;0,AVERAGEIFS('HD Dump'!$M$2:$M$538,'HD Dump'!$U$2:$U$538,D$7,'HD Dump'!$R$2:$R$538,"&gt;="&amp;$B18-90,'HD Dump'!$R$2:$R$538,"&lt;="&amp;$B18),U17)</f>
        <v/>
      </c>
      <c r="V18" s="18">
        <f>IF(COUNTIFS('HD Dump'!$U$2:$U$538,E$7,'HD Dump'!$R$2:$R$538,"&gt;="&amp;$B18-90,'HD Dump'!$R$2:$R$538,"&lt;="&amp;$B18)&gt;0,AVERAGEIFS('HD Dump'!$M$2:$M$538,'HD Dump'!$U$2:$U$538,E$7,'HD Dump'!$R$2:$R$538,"&gt;="&amp;$B18-90,'HD Dump'!$R$2:$R$538,"&lt;="&amp;$B18),V17)</f>
        <v/>
      </c>
      <c r="W18" s="18">
        <f>IF(COUNTIFS('HD Dump'!$U$2:$U$538,F$7,'HD Dump'!$R$2:$R$538,"&gt;="&amp;$B18-90,'HD Dump'!$R$2:$R$538,"&lt;="&amp;$B18)&gt;0,AVERAGEIFS('HD Dump'!$M$2:$M$538,'HD Dump'!$U$2:$U$538,F$7,'HD Dump'!$R$2:$R$538,"&gt;="&amp;$B18-90,'HD Dump'!$R$2:$R$538,"&lt;="&amp;$B18),W17)</f>
        <v/>
      </c>
      <c r="X18" s="18">
        <f>IF(COUNTIFS('HD Dump'!$U$2:$U$538,G$7,'HD Dump'!$R$2:$R$538,"&gt;="&amp;$B18-90,'HD Dump'!$R$2:$R$538,"&lt;="&amp;$B18)&gt;0,AVERAGEIFS('HD Dump'!$M$2:$M$538,'HD Dump'!$U$2:$U$538,G$7,'HD Dump'!$R$2:$R$538,"&gt;="&amp;$B18-90,'HD Dump'!$R$2:$R$538,"&lt;="&amp;$B18),X17)</f>
        <v/>
      </c>
      <c r="Y18" s="18">
        <f>IF(COUNTIFS('HD Dump'!$U$2:$U$538,H$7,'HD Dump'!$R$2:$R$538,"&gt;="&amp;$B18-90,'HD Dump'!$R$2:$R$538,"&lt;="&amp;$B18)&gt;0,AVERAGEIFS('HD Dump'!$M$2:$M$538,'HD Dump'!$U$2:$U$538,H$7,'HD Dump'!$R$2:$R$538,"&gt;="&amp;$B18-90,'HD Dump'!$R$2:$R$538,"&lt;="&amp;$B18),Y17)</f>
        <v/>
      </c>
      <c r="Z18" s="18">
        <f>IF(COUNTIFS('HD Dump'!$U$2:$U$538,I$7,'HD Dump'!$R$2:$R$538,"&gt;="&amp;$B18-90,'HD Dump'!$R$2:$R$538,"&lt;="&amp;$B18)&gt;0,AVERAGEIFS('HD Dump'!$M$2:$M$538,'HD Dump'!$U$2:$U$538,I$7,'HD Dump'!$R$2:$R$538,"&gt;="&amp;$B18-90,'HD Dump'!$R$2:$R$538,"&lt;="&amp;$B18),Z17)</f>
        <v/>
      </c>
      <c r="AA18" s="18">
        <f>IF(COUNTIFS('HD Dump'!$U$2:$U$538,J$7,'HD Dump'!$R$2:$R$538,"&gt;="&amp;$B18-90,'HD Dump'!$R$2:$R$538,"&lt;="&amp;$B18)&gt;0,AVERAGEIFS('HD Dump'!$M$2:$M$538,'HD Dump'!$U$2:$U$538,J$7,'HD Dump'!$R$2:$R$538,"&gt;="&amp;$B18-90,'HD Dump'!$R$2:$R$538,"&lt;="&amp;$B18),AA17)</f>
        <v/>
      </c>
      <c r="AB18" s="18">
        <f>IF(COUNTIFS('HD Dump'!$U$2:$U$538,K$7,'HD Dump'!$R$2:$R$538,"&gt;="&amp;$B18-90,'HD Dump'!$R$2:$R$538,"&lt;="&amp;$B18)&gt;0,AVERAGEIFS('HD Dump'!$M$2:$M$538,'HD Dump'!$U$2:$U$538,K$7,'HD Dump'!$R$2:$R$538,"&gt;="&amp;$B18-90,'HD Dump'!$R$2:$R$538,"&lt;="&amp;$B18),AB17)</f>
        <v/>
      </c>
      <c r="AD18" s="18">
        <f>IF(COUNTIFS('HD Dump'!$U$2:$U$538,C$7,'HD Dump'!$R$2:$R$538,"&gt;="&amp;$B18-90,'HD Dump'!$R$2:$R$538,"&lt;="&amp;$B18)&gt;0,AVERAGEIFS('HD Dump'!$O$2:$O$538,'HD Dump'!$U$2:$U$538,C$7,'HD Dump'!$R$2:$R$538,"&gt;="&amp;$B18-90,'HD Dump'!$R$2:$R$538,"&lt;="&amp;$B18),AD17)</f>
        <v/>
      </c>
      <c r="AE18" s="18">
        <f>IF(COUNTIFS('HD Dump'!$U$2:$U$538,D$7,'HD Dump'!$R$2:$R$538,"&gt;="&amp;$B18-90,'HD Dump'!$R$2:$R$538,"&lt;="&amp;$B18)&gt;0,AVERAGEIFS('HD Dump'!$O$2:$O$538,'HD Dump'!$U$2:$U$538,D$7,'HD Dump'!$R$2:$R$538,"&gt;="&amp;$B18-90,'HD Dump'!$R$2:$R$538,"&lt;="&amp;$B18),AE17)</f>
        <v/>
      </c>
      <c r="AF18" s="18">
        <f>IF(COUNTIFS('HD Dump'!$U$2:$U$538,E$7,'HD Dump'!$R$2:$R$538,"&gt;="&amp;$B18-90,'HD Dump'!$R$2:$R$538,"&lt;="&amp;$B18)&gt;0,AVERAGEIFS('HD Dump'!$O$2:$O$538,'HD Dump'!$U$2:$U$538,E$7,'HD Dump'!$R$2:$R$538,"&gt;="&amp;$B18-90,'HD Dump'!$R$2:$R$538,"&lt;="&amp;$B18),AF17)</f>
        <v/>
      </c>
      <c r="AG18" s="18">
        <f>IF(COUNTIFS('HD Dump'!$U$2:$U$538,F$7,'HD Dump'!$R$2:$R$538,"&gt;="&amp;$B18-90,'HD Dump'!$R$2:$R$538,"&lt;="&amp;$B18)&gt;0,AVERAGEIFS('HD Dump'!$O$2:$O$538,'HD Dump'!$U$2:$U$538,F$7,'HD Dump'!$R$2:$R$538,"&gt;="&amp;$B18-90,'HD Dump'!$R$2:$R$538,"&lt;="&amp;$B18),AG17)</f>
        <v/>
      </c>
      <c r="AH18" s="18">
        <f>IF(COUNTIFS('HD Dump'!$U$2:$U$538,G$7,'HD Dump'!$R$2:$R$538,"&gt;="&amp;$B18-90,'HD Dump'!$R$2:$R$538,"&lt;="&amp;$B18)&gt;0,AVERAGEIFS('HD Dump'!$O$2:$O$538,'HD Dump'!$U$2:$U$538,G$7,'HD Dump'!$R$2:$R$538,"&gt;="&amp;$B18-90,'HD Dump'!$R$2:$R$538,"&lt;="&amp;$B18),AH17)</f>
        <v/>
      </c>
      <c r="AI18" s="18">
        <f>IF(COUNTIFS('HD Dump'!$U$2:$U$538,H$7,'HD Dump'!$R$2:$R$538,"&gt;="&amp;$B18-90,'HD Dump'!$R$2:$R$538,"&lt;="&amp;$B18)&gt;0,AVERAGEIFS('HD Dump'!$O$2:$O$538,'HD Dump'!$U$2:$U$538,H$7,'HD Dump'!$R$2:$R$538,"&gt;="&amp;$B18-90,'HD Dump'!$R$2:$R$538,"&lt;="&amp;$B18),AI17)</f>
        <v/>
      </c>
      <c r="AJ18" s="18">
        <f>IF(COUNTIFS('HD Dump'!$U$2:$U$538,I$7,'HD Dump'!$R$2:$R$538,"&gt;="&amp;$B18-90,'HD Dump'!$R$2:$R$538,"&lt;="&amp;$B18)&gt;0,AVERAGEIFS('HD Dump'!$O$2:$O$538,'HD Dump'!$U$2:$U$538,I$7,'HD Dump'!$R$2:$R$538,"&gt;="&amp;$B18-90,'HD Dump'!$R$2:$R$538,"&lt;="&amp;$B18),AJ17)</f>
        <v/>
      </c>
      <c r="AK18" s="18">
        <f>IF(COUNTIFS('HD Dump'!$U$2:$U$538,J$7,'HD Dump'!$R$2:$R$538,"&gt;="&amp;$B18-90,'HD Dump'!$R$2:$R$538,"&lt;="&amp;$B18)&gt;0,AVERAGEIFS('HD Dump'!$O$2:$O$538,'HD Dump'!$U$2:$U$538,J$7,'HD Dump'!$R$2:$R$538,"&gt;="&amp;$B18-90,'HD Dump'!$R$2:$R$538,"&lt;="&amp;$B18),AK17)</f>
        <v/>
      </c>
      <c r="AL18" s="18">
        <f>IF(COUNTIFS('HD Dump'!$U$2:$U$538,K$7,'HD Dump'!$R$2:$R$538,"&gt;="&amp;$B18-90,'HD Dump'!$R$2:$R$538,"&lt;="&amp;$B18)&gt;0,AVERAGEIFS('HD Dump'!$O$2:$O$538,'HD Dump'!$U$2:$U$538,K$7,'HD Dump'!$R$2:$R$538,"&gt;="&amp;$B18-90,'HD Dump'!$R$2:$R$538,"&lt;="&amp;$B18),AL17)</f>
        <v/>
      </c>
    </row>
    <row r="19">
      <c r="B19" s="9" t="n">
        <v>45747</v>
      </c>
      <c r="C19" s="10" t="inlineStr">
        <is>
          <t>Actual</t>
        </is>
      </c>
      <c r="D19" s="11">
        <f>SUMPRODUCT(T19:AB19,$C$8:$K$8)/SUM($C$8:$K$8)</f>
        <v/>
      </c>
      <c r="E19" s="11">
        <f>SUMPRODUCT(AD19:AL19,$C$8:$K$8)/SUM($C$8:$K$8)</f>
        <v/>
      </c>
      <c r="F19" s="11">
        <f>IFERROR((INDEX('T12 Dump'!$D$9:$O$9,MATCH(EOMONTH($B19,-1)+1,'T12 Dump'!$D$3:$O$3,0))-ABS(INDEX('T12 Dump'!$D$11:$O$11,MATCH(EOMONTH($B19,-1)+1,'T12 Dump'!$D$3:$O$3,0))))/($F19*360),"")</f>
        <v/>
      </c>
      <c r="G19" s="12">
        <f>IFERROR(1-ABS(INDEX('T12 Dump'!$D$11:$O$11,MATCH(EOMONTH($B19,-1)+1,'T12 Dump'!$D$3:$O$3,0)))/INDEX('T12 Dump'!$D$7:$O$7,MATCH(EOMONTH($B19,-1)+1,'T12 Dump'!$D$3:$O$3,0)),"")</f>
        <v/>
      </c>
      <c r="H19" s="13">
        <f>IFERROR($F19/$D19-1,"")</f>
        <v/>
      </c>
      <c r="I19" s="14" t="n">
        <v>29</v>
      </c>
      <c r="J19" s="15" t="n"/>
      <c r="K19" s="14" t="n"/>
      <c r="L19" s="16" t="n"/>
      <c r="M19" s="11" t="n"/>
      <c r="N19" s="11" t="n"/>
      <c r="O19" s="17" t="n"/>
      <c r="P19" s="11" t="n"/>
      <c r="T19" s="18">
        <f>IF(COUNTIFS('HD Dump'!$U$2:$U$538,C$7,'HD Dump'!$R$2:$R$538,"&gt;="&amp;$B19-90,'HD Dump'!$R$2:$R$538,"&lt;="&amp;$B19)&gt;0,AVERAGEIFS('HD Dump'!$M$2:$M$538,'HD Dump'!$U$2:$U$538,C$7,'HD Dump'!$R$2:$R$538,"&gt;="&amp;$B19-90,'HD Dump'!$R$2:$R$538,"&lt;="&amp;$B19),T18)</f>
        <v/>
      </c>
      <c r="U19" s="18">
        <f>IF(COUNTIFS('HD Dump'!$U$2:$U$538,D$7,'HD Dump'!$R$2:$R$538,"&gt;="&amp;$B19-90,'HD Dump'!$R$2:$R$538,"&lt;="&amp;$B19)&gt;0,AVERAGEIFS('HD Dump'!$M$2:$M$538,'HD Dump'!$U$2:$U$538,D$7,'HD Dump'!$R$2:$R$538,"&gt;="&amp;$B19-90,'HD Dump'!$R$2:$R$538,"&lt;="&amp;$B19),U18)</f>
        <v/>
      </c>
      <c r="V19" s="18">
        <f>IF(COUNTIFS('HD Dump'!$U$2:$U$538,E$7,'HD Dump'!$R$2:$R$538,"&gt;="&amp;$B19-90,'HD Dump'!$R$2:$R$538,"&lt;="&amp;$B19)&gt;0,AVERAGEIFS('HD Dump'!$M$2:$M$538,'HD Dump'!$U$2:$U$538,E$7,'HD Dump'!$R$2:$R$538,"&gt;="&amp;$B19-90,'HD Dump'!$R$2:$R$538,"&lt;="&amp;$B19),V18)</f>
        <v/>
      </c>
      <c r="W19" s="18">
        <f>IF(COUNTIFS('HD Dump'!$U$2:$U$538,F$7,'HD Dump'!$R$2:$R$538,"&gt;="&amp;$B19-90,'HD Dump'!$R$2:$R$538,"&lt;="&amp;$B19)&gt;0,AVERAGEIFS('HD Dump'!$M$2:$M$538,'HD Dump'!$U$2:$U$538,F$7,'HD Dump'!$R$2:$R$538,"&gt;="&amp;$B19-90,'HD Dump'!$R$2:$R$538,"&lt;="&amp;$B19),W18)</f>
        <v/>
      </c>
      <c r="X19" s="18">
        <f>IF(COUNTIFS('HD Dump'!$U$2:$U$538,G$7,'HD Dump'!$R$2:$R$538,"&gt;="&amp;$B19-90,'HD Dump'!$R$2:$R$538,"&lt;="&amp;$B19)&gt;0,AVERAGEIFS('HD Dump'!$M$2:$M$538,'HD Dump'!$U$2:$U$538,G$7,'HD Dump'!$R$2:$R$538,"&gt;="&amp;$B19-90,'HD Dump'!$R$2:$R$538,"&lt;="&amp;$B19),X18)</f>
        <v/>
      </c>
      <c r="Y19" s="18">
        <f>IF(COUNTIFS('HD Dump'!$U$2:$U$538,H$7,'HD Dump'!$R$2:$R$538,"&gt;="&amp;$B19-90,'HD Dump'!$R$2:$R$538,"&lt;="&amp;$B19)&gt;0,AVERAGEIFS('HD Dump'!$M$2:$M$538,'HD Dump'!$U$2:$U$538,H$7,'HD Dump'!$R$2:$R$538,"&gt;="&amp;$B19-90,'HD Dump'!$R$2:$R$538,"&lt;="&amp;$B19),Y18)</f>
        <v/>
      </c>
      <c r="Z19" s="18">
        <f>IF(COUNTIFS('HD Dump'!$U$2:$U$538,I$7,'HD Dump'!$R$2:$R$538,"&gt;="&amp;$B19-90,'HD Dump'!$R$2:$R$538,"&lt;="&amp;$B19)&gt;0,AVERAGEIFS('HD Dump'!$M$2:$M$538,'HD Dump'!$U$2:$U$538,I$7,'HD Dump'!$R$2:$R$538,"&gt;="&amp;$B19-90,'HD Dump'!$R$2:$R$538,"&lt;="&amp;$B19),Z18)</f>
        <v/>
      </c>
      <c r="AA19" s="18">
        <f>IF(COUNTIFS('HD Dump'!$U$2:$U$538,J$7,'HD Dump'!$R$2:$R$538,"&gt;="&amp;$B19-90,'HD Dump'!$R$2:$R$538,"&lt;="&amp;$B19)&gt;0,AVERAGEIFS('HD Dump'!$M$2:$M$538,'HD Dump'!$U$2:$U$538,J$7,'HD Dump'!$R$2:$R$538,"&gt;="&amp;$B19-90,'HD Dump'!$R$2:$R$538,"&lt;="&amp;$B19),AA18)</f>
        <v/>
      </c>
      <c r="AB19" s="18">
        <f>IF(COUNTIFS('HD Dump'!$U$2:$U$538,K$7,'HD Dump'!$R$2:$R$538,"&gt;="&amp;$B19-90,'HD Dump'!$R$2:$R$538,"&lt;="&amp;$B19)&gt;0,AVERAGEIFS('HD Dump'!$M$2:$M$538,'HD Dump'!$U$2:$U$538,K$7,'HD Dump'!$R$2:$R$538,"&gt;="&amp;$B19-90,'HD Dump'!$R$2:$R$538,"&lt;="&amp;$B19),AB18)</f>
        <v/>
      </c>
      <c r="AD19" s="18">
        <f>IF(COUNTIFS('HD Dump'!$U$2:$U$538,C$7,'HD Dump'!$R$2:$R$538,"&gt;="&amp;$B19-90,'HD Dump'!$R$2:$R$538,"&lt;="&amp;$B19)&gt;0,AVERAGEIFS('HD Dump'!$O$2:$O$538,'HD Dump'!$U$2:$U$538,C$7,'HD Dump'!$R$2:$R$538,"&gt;="&amp;$B19-90,'HD Dump'!$R$2:$R$538,"&lt;="&amp;$B19),AD18)</f>
        <v/>
      </c>
      <c r="AE19" s="18">
        <f>IF(COUNTIFS('HD Dump'!$U$2:$U$538,D$7,'HD Dump'!$R$2:$R$538,"&gt;="&amp;$B19-90,'HD Dump'!$R$2:$R$538,"&lt;="&amp;$B19)&gt;0,AVERAGEIFS('HD Dump'!$O$2:$O$538,'HD Dump'!$U$2:$U$538,D$7,'HD Dump'!$R$2:$R$538,"&gt;="&amp;$B19-90,'HD Dump'!$R$2:$R$538,"&lt;="&amp;$B19),AE18)</f>
        <v/>
      </c>
      <c r="AF19" s="18">
        <f>IF(COUNTIFS('HD Dump'!$U$2:$U$538,E$7,'HD Dump'!$R$2:$R$538,"&gt;="&amp;$B19-90,'HD Dump'!$R$2:$R$538,"&lt;="&amp;$B19)&gt;0,AVERAGEIFS('HD Dump'!$O$2:$O$538,'HD Dump'!$U$2:$U$538,E$7,'HD Dump'!$R$2:$R$538,"&gt;="&amp;$B19-90,'HD Dump'!$R$2:$R$538,"&lt;="&amp;$B19),AF18)</f>
        <v/>
      </c>
      <c r="AG19" s="18">
        <f>IF(COUNTIFS('HD Dump'!$U$2:$U$538,F$7,'HD Dump'!$R$2:$R$538,"&gt;="&amp;$B19-90,'HD Dump'!$R$2:$R$538,"&lt;="&amp;$B19)&gt;0,AVERAGEIFS('HD Dump'!$O$2:$O$538,'HD Dump'!$U$2:$U$538,F$7,'HD Dump'!$R$2:$R$538,"&gt;="&amp;$B19-90,'HD Dump'!$R$2:$R$538,"&lt;="&amp;$B19),AG18)</f>
        <v/>
      </c>
      <c r="AH19" s="18">
        <f>IF(COUNTIFS('HD Dump'!$U$2:$U$538,G$7,'HD Dump'!$R$2:$R$538,"&gt;="&amp;$B19-90,'HD Dump'!$R$2:$R$538,"&lt;="&amp;$B19)&gt;0,AVERAGEIFS('HD Dump'!$O$2:$O$538,'HD Dump'!$U$2:$U$538,G$7,'HD Dump'!$R$2:$R$538,"&gt;="&amp;$B19-90,'HD Dump'!$R$2:$R$538,"&lt;="&amp;$B19),AH18)</f>
        <v/>
      </c>
      <c r="AI19" s="18">
        <f>IF(COUNTIFS('HD Dump'!$U$2:$U$538,H$7,'HD Dump'!$R$2:$R$538,"&gt;="&amp;$B19-90,'HD Dump'!$R$2:$R$538,"&lt;="&amp;$B19)&gt;0,AVERAGEIFS('HD Dump'!$O$2:$O$538,'HD Dump'!$U$2:$U$538,H$7,'HD Dump'!$R$2:$R$538,"&gt;="&amp;$B19-90,'HD Dump'!$R$2:$R$538,"&lt;="&amp;$B19),AI18)</f>
        <v/>
      </c>
      <c r="AJ19" s="18">
        <f>IF(COUNTIFS('HD Dump'!$U$2:$U$538,I$7,'HD Dump'!$R$2:$R$538,"&gt;="&amp;$B19-90,'HD Dump'!$R$2:$R$538,"&lt;="&amp;$B19)&gt;0,AVERAGEIFS('HD Dump'!$O$2:$O$538,'HD Dump'!$U$2:$U$538,I$7,'HD Dump'!$R$2:$R$538,"&gt;="&amp;$B19-90,'HD Dump'!$R$2:$R$538,"&lt;="&amp;$B19),AJ18)</f>
        <v/>
      </c>
      <c r="AK19" s="18">
        <f>IF(COUNTIFS('HD Dump'!$U$2:$U$538,J$7,'HD Dump'!$R$2:$R$538,"&gt;="&amp;$B19-90,'HD Dump'!$R$2:$R$538,"&lt;="&amp;$B19)&gt;0,AVERAGEIFS('HD Dump'!$O$2:$O$538,'HD Dump'!$U$2:$U$538,J$7,'HD Dump'!$R$2:$R$538,"&gt;="&amp;$B19-90,'HD Dump'!$R$2:$R$538,"&lt;="&amp;$B19),AK18)</f>
        <v/>
      </c>
      <c r="AL19" s="18">
        <f>IF(COUNTIFS('HD Dump'!$U$2:$U$538,K$7,'HD Dump'!$R$2:$R$538,"&gt;="&amp;$B19-90,'HD Dump'!$R$2:$R$538,"&lt;="&amp;$B19)&gt;0,AVERAGEIFS('HD Dump'!$O$2:$O$538,'HD Dump'!$U$2:$U$538,K$7,'HD Dump'!$R$2:$R$538,"&gt;="&amp;$B19-90,'HD Dump'!$R$2:$R$538,"&lt;="&amp;$B19),AL18)</f>
        <v/>
      </c>
    </row>
    <row r="20">
      <c r="B20" s="9" t="n">
        <v>45777</v>
      </c>
      <c r="C20" s="10" t="inlineStr">
        <is>
          <t>Actual</t>
        </is>
      </c>
      <c r="D20" s="11">
        <f>SUMPRODUCT(T20:AB20,$C$8:$K$8)/SUM($C$8:$K$8)</f>
        <v/>
      </c>
      <c r="E20" s="11">
        <f>SUMPRODUCT(AD20:AL20,$C$8:$K$8)/SUM($C$8:$K$8)</f>
        <v/>
      </c>
      <c r="F20" s="11">
        <f>IFERROR((INDEX('T12 Dump'!$D$9:$O$9,MATCH(EOMONTH($B20,-1)+1,'T12 Dump'!$D$3:$O$3,0))-ABS(INDEX('T12 Dump'!$D$11:$O$11,MATCH(EOMONTH($B20,-1)+1,'T12 Dump'!$D$3:$O$3,0))))/($F20*360),"")</f>
        <v/>
      </c>
      <c r="G20" s="12">
        <f>IFERROR(1-ABS(INDEX('T12 Dump'!$D$11:$O$11,MATCH(EOMONTH($B20,-1)+1,'T12 Dump'!$D$3:$O$3,0)))/INDEX('T12 Dump'!$D$7:$O$7,MATCH(EOMONTH($B20,-1)+1,'T12 Dump'!$D$3:$O$3,0)),"")</f>
        <v/>
      </c>
      <c r="H20" s="13">
        <f>IFERROR($F20/$D20-1,"")</f>
        <v/>
      </c>
      <c r="I20" s="14" t="n">
        <v>27</v>
      </c>
      <c r="J20" s="15" t="n"/>
      <c r="K20" s="14" t="n"/>
      <c r="L20" s="16" t="n"/>
      <c r="M20" s="11" t="n"/>
      <c r="N20" s="11" t="n"/>
      <c r="O20" s="17" t="n"/>
      <c r="P20" s="11" t="n"/>
      <c r="T20" s="18">
        <f>IF(COUNTIFS('HD Dump'!$U$2:$U$538,C$7,'HD Dump'!$R$2:$R$538,"&gt;="&amp;$B20-90,'HD Dump'!$R$2:$R$538,"&lt;="&amp;$B20)&gt;0,AVERAGEIFS('HD Dump'!$M$2:$M$538,'HD Dump'!$U$2:$U$538,C$7,'HD Dump'!$R$2:$R$538,"&gt;="&amp;$B20-90,'HD Dump'!$R$2:$R$538,"&lt;="&amp;$B20),T19)</f>
        <v/>
      </c>
      <c r="U20" s="18">
        <f>IF(COUNTIFS('HD Dump'!$U$2:$U$538,D$7,'HD Dump'!$R$2:$R$538,"&gt;="&amp;$B20-90,'HD Dump'!$R$2:$R$538,"&lt;="&amp;$B20)&gt;0,AVERAGEIFS('HD Dump'!$M$2:$M$538,'HD Dump'!$U$2:$U$538,D$7,'HD Dump'!$R$2:$R$538,"&gt;="&amp;$B20-90,'HD Dump'!$R$2:$R$538,"&lt;="&amp;$B20),U19)</f>
        <v/>
      </c>
      <c r="V20" s="18">
        <f>IF(COUNTIFS('HD Dump'!$U$2:$U$538,E$7,'HD Dump'!$R$2:$R$538,"&gt;="&amp;$B20-90,'HD Dump'!$R$2:$R$538,"&lt;="&amp;$B20)&gt;0,AVERAGEIFS('HD Dump'!$M$2:$M$538,'HD Dump'!$U$2:$U$538,E$7,'HD Dump'!$R$2:$R$538,"&gt;="&amp;$B20-90,'HD Dump'!$R$2:$R$538,"&lt;="&amp;$B20),V19)</f>
        <v/>
      </c>
      <c r="W20" s="18">
        <f>IF(COUNTIFS('HD Dump'!$U$2:$U$538,F$7,'HD Dump'!$R$2:$R$538,"&gt;="&amp;$B20-90,'HD Dump'!$R$2:$R$538,"&lt;="&amp;$B20)&gt;0,AVERAGEIFS('HD Dump'!$M$2:$M$538,'HD Dump'!$U$2:$U$538,F$7,'HD Dump'!$R$2:$R$538,"&gt;="&amp;$B20-90,'HD Dump'!$R$2:$R$538,"&lt;="&amp;$B20),W19)</f>
        <v/>
      </c>
      <c r="X20" s="18">
        <f>IF(COUNTIFS('HD Dump'!$U$2:$U$538,G$7,'HD Dump'!$R$2:$R$538,"&gt;="&amp;$B20-90,'HD Dump'!$R$2:$R$538,"&lt;="&amp;$B20)&gt;0,AVERAGEIFS('HD Dump'!$M$2:$M$538,'HD Dump'!$U$2:$U$538,G$7,'HD Dump'!$R$2:$R$538,"&gt;="&amp;$B20-90,'HD Dump'!$R$2:$R$538,"&lt;="&amp;$B20),X19)</f>
        <v/>
      </c>
      <c r="Y20" s="18">
        <f>IF(COUNTIFS('HD Dump'!$U$2:$U$538,H$7,'HD Dump'!$R$2:$R$538,"&gt;="&amp;$B20-90,'HD Dump'!$R$2:$R$538,"&lt;="&amp;$B20)&gt;0,AVERAGEIFS('HD Dump'!$M$2:$M$538,'HD Dump'!$U$2:$U$538,H$7,'HD Dump'!$R$2:$R$538,"&gt;="&amp;$B20-90,'HD Dump'!$R$2:$R$538,"&lt;="&amp;$B20),Y19)</f>
        <v/>
      </c>
      <c r="Z20" s="18">
        <f>IF(COUNTIFS('HD Dump'!$U$2:$U$538,I$7,'HD Dump'!$R$2:$R$538,"&gt;="&amp;$B20-90,'HD Dump'!$R$2:$R$538,"&lt;="&amp;$B20)&gt;0,AVERAGEIFS('HD Dump'!$M$2:$M$538,'HD Dump'!$U$2:$U$538,I$7,'HD Dump'!$R$2:$R$538,"&gt;="&amp;$B20-90,'HD Dump'!$R$2:$R$538,"&lt;="&amp;$B20),Z19)</f>
        <v/>
      </c>
      <c r="AA20" s="18">
        <f>IF(COUNTIFS('HD Dump'!$U$2:$U$538,J$7,'HD Dump'!$R$2:$R$538,"&gt;="&amp;$B20-90,'HD Dump'!$R$2:$R$538,"&lt;="&amp;$B20)&gt;0,AVERAGEIFS('HD Dump'!$M$2:$M$538,'HD Dump'!$U$2:$U$538,J$7,'HD Dump'!$R$2:$R$538,"&gt;="&amp;$B20-90,'HD Dump'!$R$2:$R$538,"&lt;="&amp;$B20),AA19)</f>
        <v/>
      </c>
      <c r="AB20" s="18">
        <f>IF(COUNTIFS('HD Dump'!$U$2:$U$538,K$7,'HD Dump'!$R$2:$R$538,"&gt;="&amp;$B20-90,'HD Dump'!$R$2:$R$538,"&lt;="&amp;$B20)&gt;0,AVERAGEIFS('HD Dump'!$M$2:$M$538,'HD Dump'!$U$2:$U$538,K$7,'HD Dump'!$R$2:$R$538,"&gt;="&amp;$B20-90,'HD Dump'!$R$2:$R$538,"&lt;="&amp;$B20),AB19)</f>
        <v/>
      </c>
      <c r="AD20" s="18">
        <f>IF(COUNTIFS('HD Dump'!$U$2:$U$538,C$7,'HD Dump'!$R$2:$R$538,"&gt;="&amp;$B20-90,'HD Dump'!$R$2:$R$538,"&lt;="&amp;$B20)&gt;0,AVERAGEIFS('HD Dump'!$O$2:$O$538,'HD Dump'!$U$2:$U$538,C$7,'HD Dump'!$R$2:$R$538,"&gt;="&amp;$B20-90,'HD Dump'!$R$2:$R$538,"&lt;="&amp;$B20),AD19)</f>
        <v/>
      </c>
      <c r="AE20" s="18">
        <f>IF(COUNTIFS('HD Dump'!$U$2:$U$538,D$7,'HD Dump'!$R$2:$R$538,"&gt;="&amp;$B20-90,'HD Dump'!$R$2:$R$538,"&lt;="&amp;$B20)&gt;0,AVERAGEIFS('HD Dump'!$O$2:$O$538,'HD Dump'!$U$2:$U$538,D$7,'HD Dump'!$R$2:$R$538,"&gt;="&amp;$B20-90,'HD Dump'!$R$2:$R$538,"&lt;="&amp;$B20),AE19)</f>
        <v/>
      </c>
      <c r="AF20" s="18">
        <f>IF(COUNTIFS('HD Dump'!$U$2:$U$538,E$7,'HD Dump'!$R$2:$R$538,"&gt;="&amp;$B20-90,'HD Dump'!$R$2:$R$538,"&lt;="&amp;$B20)&gt;0,AVERAGEIFS('HD Dump'!$O$2:$O$538,'HD Dump'!$U$2:$U$538,E$7,'HD Dump'!$R$2:$R$538,"&gt;="&amp;$B20-90,'HD Dump'!$R$2:$R$538,"&lt;="&amp;$B20),AF19)</f>
        <v/>
      </c>
      <c r="AG20" s="18">
        <f>IF(COUNTIFS('HD Dump'!$U$2:$U$538,F$7,'HD Dump'!$R$2:$R$538,"&gt;="&amp;$B20-90,'HD Dump'!$R$2:$R$538,"&lt;="&amp;$B20)&gt;0,AVERAGEIFS('HD Dump'!$O$2:$O$538,'HD Dump'!$U$2:$U$538,F$7,'HD Dump'!$R$2:$R$538,"&gt;="&amp;$B20-90,'HD Dump'!$R$2:$R$538,"&lt;="&amp;$B20),AG19)</f>
        <v/>
      </c>
      <c r="AH20" s="18">
        <f>IF(COUNTIFS('HD Dump'!$U$2:$U$538,G$7,'HD Dump'!$R$2:$R$538,"&gt;="&amp;$B20-90,'HD Dump'!$R$2:$R$538,"&lt;="&amp;$B20)&gt;0,AVERAGEIFS('HD Dump'!$O$2:$O$538,'HD Dump'!$U$2:$U$538,G$7,'HD Dump'!$R$2:$R$538,"&gt;="&amp;$B20-90,'HD Dump'!$R$2:$R$538,"&lt;="&amp;$B20),AH19)</f>
        <v/>
      </c>
      <c r="AI20" s="18">
        <f>IF(COUNTIFS('HD Dump'!$U$2:$U$538,H$7,'HD Dump'!$R$2:$R$538,"&gt;="&amp;$B20-90,'HD Dump'!$R$2:$R$538,"&lt;="&amp;$B20)&gt;0,AVERAGEIFS('HD Dump'!$O$2:$O$538,'HD Dump'!$U$2:$U$538,H$7,'HD Dump'!$R$2:$R$538,"&gt;="&amp;$B20-90,'HD Dump'!$R$2:$R$538,"&lt;="&amp;$B20),AI19)</f>
        <v/>
      </c>
      <c r="AJ20" s="18">
        <f>IF(COUNTIFS('HD Dump'!$U$2:$U$538,I$7,'HD Dump'!$R$2:$R$538,"&gt;="&amp;$B20-90,'HD Dump'!$R$2:$R$538,"&lt;="&amp;$B20)&gt;0,AVERAGEIFS('HD Dump'!$O$2:$O$538,'HD Dump'!$U$2:$U$538,I$7,'HD Dump'!$R$2:$R$538,"&gt;="&amp;$B20-90,'HD Dump'!$R$2:$R$538,"&lt;="&amp;$B20),AJ19)</f>
        <v/>
      </c>
      <c r="AK20" s="18">
        <f>IF(COUNTIFS('HD Dump'!$U$2:$U$538,J$7,'HD Dump'!$R$2:$R$538,"&gt;="&amp;$B20-90,'HD Dump'!$R$2:$R$538,"&lt;="&amp;$B20)&gt;0,AVERAGEIFS('HD Dump'!$O$2:$O$538,'HD Dump'!$U$2:$U$538,J$7,'HD Dump'!$R$2:$R$538,"&gt;="&amp;$B20-90,'HD Dump'!$R$2:$R$538,"&lt;="&amp;$B20),AK19)</f>
        <v/>
      </c>
      <c r="AL20" s="18">
        <f>IF(COUNTIFS('HD Dump'!$U$2:$U$538,K$7,'HD Dump'!$R$2:$R$538,"&gt;="&amp;$B20-90,'HD Dump'!$R$2:$R$538,"&lt;="&amp;$B20)&gt;0,AVERAGEIFS('HD Dump'!$O$2:$O$538,'HD Dump'!$U$2:$U$538,K$7,'HD Dump'!$R$2:$R$538,"&gt;="&amp;$B20-90,'HD Dump'!$R$2:$R$538,"&lt;="&amp;$B20),AL19)</f>
        <v/>
      </c>
    </row>
    <row r="21">
      <c r="B21" s="9" t="n">
        <v>45808</v>
      </c>
      <c r="C21" s="10" t="inlineStr">
        <is>
          <t>Actual</t>
        </is>
      </c>
      <c r="D21" s="11">
        <f>SUMPRODUCT(T21:AB21,$C$8:$K$8)/SUM($C$8:$K$8)</f>
        <v/>
      </c>
      <c r="E21" s="11">
        <f>SUMPRODUCT(AD21:AL21,$C$8:$K$8)/SUM($C$8:$K$8)</f>
        <v/>
      </c>
      <c r="F21" s="11">
        <f>IFERROR((INDEX('T12 Dump'!$D$9:$O$9,MATCH(EOMONTH($B21,-1)+1,'T12 Dump'!$D$3:$O$3,0))-ABS(INDEX('T12 Dump'!$D$11:$O$11,MATCH(EOMONTH($B21,-1)+1,'T12 Dump'!$D$3:$O$3,0))))/($F21*360),"")</f>
        <v/>
      </c>
      <c r="G21" s="12">
        <f>IFERROR(1-ABS(INDEX('T12 Dump'!$D$11:$O$11,MATCH(EOMONTH($B21,-1)+1,'T12 Dump'!$D$3:$O$3,0)))/INDEX('T12 Dump'!$D$7:$O$7,MATCH(EOMONTH($B21,-1)+1,'T12 Dump'!$D$3:$O$3,0)),"")</f>
        <v/>
      </c>
      <c r="H21" s="13">
        <f>IFERROR($F21/$D21-1,"")</f>
        <v/>
      </c>
      <c r="I21" s="14" t="n">
        <v>26</v>
      </c>
      <c r="J21" s="15" t="n"/>
      <c r="K21" s="14" t="n"/>
      <c r="L21" s="16" t="n"/>
      <c r="M21" s="11" t="n"/>
      <c r="N21" s="11" t="n"/>
      <c r="O21" s="17" t="n"/>
      <c r="P21" s="11" t="n"/>
      <c r="T21" s="18">
        <f>IF(COUNTIFS('HD Dump'!$U$2:$U$538,C$7,'HD Dump'!$R$2:$R$538,"&gt;="&amp;$B21-90,'HD Dump'!$R$2:$R$538,"&lt;="&amp;$B21)&gt;0,AVERAGEIFS('HD Dump'!$M$2:$M$538,'HD Dump'!$U$2:$U$538,C$7,'HD Dump'!$R$2:$R$538,"&gt;="&amp;$B21-90,'HD Dump'!$R$2:$R$538,"&lt;="&amp;$B21),T20)</f>
        <v/>
      </c>
      <c r="U21" s="18">
        <f>IF(COUNTIFS('HD Dump'!$U$2:$U$538,D$7,'HD Dump'!$R$2:$R$538,"&gt;="&amp;$B21-90,'HD Dump'!$R$2:$R$538,"&lt;="&amp;$B21)&gt;0,AVERAGEIFS('HD Dump'!$M$2:$M$538,'HD Dump'!$U$2:$U$538,D$7,'HD Dump'!$R$2:$R$538,"&gt;="&amp;$B21-90,'HD Dump'!$R$2:$R$538,"&lt;="&amp;$B21),U20)</f>
        <v/>
      </c>
      <c r="V21" s="18">
        <f>IF(COUNTIFS('HD Dump'!$U$2:$U$538,E$7,'HD Dump'!$R$2:$R$538,"&gt;="&amp;$B21-90,'HD Dump'!$R$2:$R$538,"&lt;="&amp;$B21)&gt;0,AVERAGEIFS('HD Dump'!$M$2:$M$538,'HD Dump'!$U$2:$U$538,E$7,'HD Dump'!$R$2:$R$538,"&gt;="&amp;$B21-90,'HD Dump'!$R$2:$R$538,"&lt;="&amp;$B21),V20)</f>
        <v/>
      </c>
      <c r="W21" s="18">
        <f>IF(COUNTIFS('HD Dump'!$U$2:$U$538,F$7,'HD Dump'!$R$2:$R$538,"&gt;="&amp;$B21-90,'HD Dump'!$R$2:$R$538,"&lt;="&amp;$B21)&gt;0,AVERAGEIFS('HD Dump'!$M$2:$M$538,'HD Dump'!$U$2:$U$538,F$7,'HD Dump'!$R$2:$R$538,"&gt;="&amp;$B21-90,'HD Dump'!$R$2:$R$538,"&lt;="&amp;$B21),W20)</f>
        <v/>
      </c>
      <c r="X21" s="18">
        <f>IF(COUNTIFS('HD Dump'!$U$2:$U$538,G$7,'HD Dump'!$R$2:$R$538,"&gt;="&amp;$B21-90,'HD Dump'!$R$2:$R$538,"&lt;="&amp;$B21)&gt;0,AVERAGEIFS('HD Dump'!$M$2:$M$538,'HD Dump'!$U$2:$U$538,G$7,'HD Dump'!$R$2:$R$538,"&gt;="&amp;$B21-90,'HD Dump'!$R$2:$R$538,"&lt;="&amp;$B21),X20)</f>
        <v/>
      </c>
      <c r="Y21" s="18">
        <f>IF(COUNTIFS('HD Dump'!$U$2:$U$538,H$7,'HD Dump'!$R$2:$R$538,"&gt;="&amp;$B21-90,'HD Dump'!$R$2:$R$538,"&lt;="&amp;$B21)&gt;0,AVERAGEIFS('HD Dump'!$M$2:$M$538,'HD Dump'!$U$2:$U$538,H$7,'HD Dump'!$R$2:$R$538,"&gt;="&amp;$B21-90,'HD Dump'!$R$2:$R$538,"&lt;="&amp;$B21),Y20)</f>
        <v/>
      </c>
      <c r="Z21" s="18">
        <f>IF(COUNTIFS('HD Dump'!$U$2:$U$538,I$7,'HD Dump'!$R$2:$R$538,"&gt;="&amp;$B21-90,'HD Dump'!$R$2:$R$538,"&lt;="&amp;$B21)&gt;0,AVERAGEIFS('HD Dump'!$M$2:$M$538,'HD Dump'!$U$2:$U$538,I$7,'HD Dump'!$R$2:$R$538,"&gt;="&amp;$B21-90,'HD Dump'!$R$2:$R$538,"&lt;="&amp;$B21),Z20)</f>
        <v/>
      </c>
      <c r="AA21" s="18">
        <f>IF(COUNTIFS('HD Dump'!$U$2:$U$538,J$7,'HD Dump'!$R$2:$R$538,"&gt;="&amp;$B21-90,'HD Dump'!$R$2:$R$538,"&lt;="&amp;$B21)&gt;0,AVERAGEIFS('HD Dump'!$M$2:$M$538,'HD Dump'!$U$2:$U$538,J$7,'HD Dump'!$R$2:$R$538,"&gt;="&amp;$B21-90,'HD Dump'!$R$2:$R$538,"&lt;="&amp;$B21),AA20)</f>
        <v/>
      </c>
      <c r="AB21" s="18">
        <f>IF(COUNTIFS('HD Dump'!$U$2:$U$538,K$7,'HD Dump'!$R$2:$R$538,"&gt;="&amp;$B21-90,'HD Dump'!$R$2:$R$538,"&lt;="&amp;$B21)&gt;0,AVERAGEIFS('HD Dump'!$M$2:$M$538,'HD Dump'!$U$2:$U$538,K$7,'HD Dump'!$R$2:$R$538,"&gt;="&amp;$B21-90,'HD Dump'!$R$2:$R$538,"&lt;="&amp;$B21),AB20)</f>
        <v/>
      </c>
      <c r="AD21" s="18">
        <f>IF(COUNTIFS('HD Dump'!$U$2:$U$538,C$7,'HD Dump'!$R$2:$R$538,"&gt;="&amp;$B21-90,'HD Dump'!$R$2:$R$538,"&lt;="&amp;$B21)&gt;0,AVERAGEIFS('HD Dump'!$O$2:$O$538,'HD Dump'!$U$2:$U$538,C$7,'HD Dump'!$R$2:$R$538,"&gt;="&amp;$B21-90,'HD Dump'!$R$2:$R$538,"&lt;="&amp;$B21),AD20)</f>
        <v/>
      </c>
      <c r="AE21" s="18">
        <f>IF(COUNTIFS('HD Dump'!$U$2:$U$538,D$7,'HD Dump'!$R$2:$R$538,"&gt;="&amp;$B21-90,'HD Dump'!$R$2:$R$538,"&lt;="&amp;$B21)&gt;0,AVERAGEIFS('HD Dump'!$O$2:$O$538,'HD Dump'!$U$2:$U$538,D$7,'HD Dump'!$R$2:$R$538,"&gt;="&amp;$B21-90,'HD Dump'!$R$2:$R$538,"&lt;="&amp;$B21),AE20)</f>
        <v/>
      </c>
      <c r="AF21" s="18">
        <f>IF(COUNTIFS('HD Dump'!$U$2:$U$538,E$7,'HD Dump'!$R$2:$R$538,"&gt;="&amp;$B21-90,'HD Dump'!$R$2:$R$538,"&lt;="&amp;$B21)&gt;0,AVERAGEIFS('HD Dump'!$O$2:$O$538,'HD Dump'!$U$2:$U$538,E$7,'HD Dump'!$R$2:$R$538,"&gt;="&amp;$B21-90,'HD Dump'!$R$2:$R$538,"&lt;="&amp;$B21),AF20)</f>
        <v/>
      </c>
      <c r="AG21" s="18">
        <f>IF(COUNTIFS('HD Dump'!$U$2:$U$538,F$7,'HD Dump'!$R$2:$R$538,"&gt;="&amp;$B21-90,'HD Dump'!$R$2:$R$538,"&lt;="&amp;$B21)&gt;0,AVERAGEIFS('HD Dump'!$O$2:$O$538,'HD Dump'!$U$2:$U$538,F$7,'HD Dump'!$R$2:$R$538,"&gt;="&amp;$B21-90,'HD Dump'!$R$2:$R$538,"&lt;="&amp;$B21),AG20)</f>
        <v/>
      </c>
      <c r="AH21" s="18">
        <f>IF(COUNTIFS('HD Dump'!$U$2:$U$538,G$7,'HD Dump'!$R$2:$R$538,"&gt;="&amp;$B21-90,'HD Dump'!$R$2:$R$538,"&lt;="&amp;$B21)&gt;0,AVERAGEIFS('HD Dump'!$O$2:$O$538,'HD Dump'!$U$2:$U$538,G$7,'HD Dump'!$R$2:$R$538,"&gt;="&amp;$B21-90,'HD Dump'!$R$2:$R$538,"&lt;="&amp;$B21),AH20)</f>
        <v/>
      </c>
      <c r="AI21" s="18">
        <f>IF(COUNTIFS('HD Dump'!$U$2:$U$538,H$7,'HD Dump'!$R$2:$R$538,"&gt;="&amp;$B21-90,'HD Dump'!$R$2:$R$538,"&lt;="&amp;$B21)&gt;0,AVERAGEIFS('HD Dump'!$O$2:$O$538,'HD Dump'!$U$2:$U$538,H$7,'HD Dump'!$R$2:$R$538,"&gt;="&amp;$B21-90,'HD Dump'!$R$2:$R$538,"&lt;="&amp;$B21),AI20)</f>
        <v/>
      </c>
      <c r="AJ21" s="18">
        <f>IF(COUNTIFS('HD Dump'!$U$2:$U$538,I$7,'HD Dump'!$R$2:$R$538,"&gt;="&amp;$B21-90,'HD Dump'!$R$2:$R$538,"&lt;="&amp;$B21)&gt;0,AVERAGEIFS('HD Dump'!$O$2:$O$538,'HD Dump'!$U$2:$U$538,I$7,'HD Dump'!$R$2:$R$538,"&gt;="&amp;$B21-90,'HD Dump'!$R$2:$R$538,"&lt;="&amp;$B21),AJ20)</f>
        <v/>
      </c>
      <c r="AK21" s="18">
        <f>IF(COUNTIFS('HD Dump'!$U$2:$U$538,J$7,'HD Dump'!$R$2:$R$538,"&gt;="&amp;$B21-90,'HD Dump'!$R$2:$R$538,"&lt;="&amp;$B21)&gt;0,AVERAGEIFS('HD Dump'!$O$2:$O$538,'HD Dump'!$U$2:$U$538,J$7,'HD Dump'!$R$2:$R$538,"&gt;="&amp;$B21-90,'HD Dump'!$R$2:$R$538,"&lt;="&amp;$B21),AK20)</f>
        <v/>
      </c>
      <c r="AL21" s="18">
        <f>IF(COUNTIFS('HD Dump'!$U$2:$U$538,K$7,'HD Dump'!$R$2:$R$538,"&gt;="&amp;$B21-90,'HD Dump'!$R$2:$R$538,"&lt;="&amp;$B21)&gt;0,AVERAGEIFS('HD Dump'!$O$2:$O$538,'HD Dump'!$U$2:$U$538,K$7,'HD Dump'!$R$2:$R$538,"&gt;="&amp;$B21-90,'HD Dump'!$R$2:$R$538,"&lt;="&amp;$B21),AL20)</f>
        <v/>
      </c>
    </row>
    <row r="22">
      <c r="B22" s="9" t="n">
        <v>45838</v>
      </c>
      <c r="C22" s="10" t="inlineStr">
        <is>
          <t>Actual</t>
        </is>
      </c>
      <c r="D22" s="11">
        <f>SUMPRODUCT(T22:AB22,$C$8:$K$8)/SUM($C$8:$K$8)</f>
        <v/>
      </c>
      <c r="E22" s="11">
        <f>SUMPRODUCT(AD22:AL22,$C$8:$K$8)/SUM($C$8:$K$8)</f>
        <v/>
      </c>
      <c r="F22" s="11">
        <f>IFERROR((INDEX('T12 Dump'!$D$9:$O$9,MATCH(EOMONTH($B22,-1)+1,'T12 Dump'!$D$3:$O$3,0))-ABS(INDEX('T12 Dump'!$D$11:$O$11,MATCH(EOMONTH($B22,-1)+1,'T12 Dump'!$D$3:$O$3,0))))/($F22*360),"")</f>
        <v/>
      </c>
      <c r="G22" s="12">
        <f>IFERROR(1-ABS(INDEX('T12 Dump'!$D$11:$O$11,MATCH(EOMONTH($B22,-1)+1,'T12 Dump'!$D$3:$O$3,0)))/INDEX('T12 Dump'!$D$7:$O$7,MATCH(EOMONTH($B22,-1)+1,'T12 Dump'!$D$3:$O$3,0)),"")</f>
        <v/>
      </c>
      <c r="H22" s="13">
        <f>IFERROR($F22/$D22-1,"")</f>
        <v/>
      </c>
      <c r="I22" s="14" t="n">
        <v>22</v>
      </c>
      <c r="J22" s="15" t="n"/>
      <c r="K22" s="14" t="n"/>
      <c r="L22" s="16" t="n"/>
      <c r="M22" s="11" t="n"/>
      <c r="N22" s="11" t="n"/>
      <c r="O22" s="17" t="n"/>
      <c r="P22" s="11" t="n"/>
      <c r="T22" s="18">
        <f>IF(COUNTIFS('HD Dump'!$U$2:$U$538,C$7,'HD Dump'!$R$2:$R$538,"&gt;="&amp;$B22-90,'HD Dump'!$R$2:$R$538,"&lt;="&amp;$B22)&gt;0,AVERAGEIFS('HD Dump'!$M$2:$M$538,'HD Dump'!$U$2:$U$538,C$7,'HD Dump'!$R$2:$R$538,"&gt;="&amp;$B22-90,'HD Dump'!$R$2:$R$538,"&lt;="&amp;$B22),T21)</f>
        <v/>
      </c>
      <c r="U22" s="18">
        <f>IF(COUNTIFS('HD Dump'!$U$2:$U$538,D$7,'HD Dump'!$R$2:$R$538,"&gt;="&amp;$B22-90,'HD Dump'!$R$2:$R$538,"&lt;="&amp;$B22)&gt;0,AVERAGEIFS('HD Dump'!$M$2:$M$538,'HD Dump'!$U$2:$U$538,D$7,'HD Dump'!$R$2:$R$538,"&gt;="&amp;$B22-90,'HD Dump'!$R$2:$R$538,"&lt;="&amp;$B22),U21)</f>
        <v/>
      </c>
      <c r="V22" s="18">
        <f>IF(COUNTIFS('HD Dump'!$U$2:$U$538,E$7,'HD Dump'!$R$2:$R$538,"&gt;="&amp;$B22-90,'HD Dump'!$R$2:$R$538,"&lt;="&amp;$B22)&gt;0,AVERAGEIFS('HD Dump'!$M$2:$M$538,'HD Dump'!$U$2:$U$538,E$7,'HD Dump'!$R$2:$R$538,"&gt;="&amp;$B22-90,'HD Dump'!$R$2:$R$538,"&lt;="&amp;$B22),V21)</f>
        <v/>
      </c>
      <c r="W22" s="18">
        <f>IF(COUNTIFS('HD Dump'!$U$2:$U$538,F$7,'HD Dump'!$R$2:$R$538,"&gt;="&amp;$B22-90,'HD Dump'!$R$2:$R$538,"&lt;="&amp;$B22)&gt;0,AVERAGEIFS('HD Dump'!$M$2:$M$538,'HD Dump'!$U$2:$U$538,F$7,'HD Dump'!$R$2:$R$538,"&gt;="&amp;$B22-90,'HD Dump'!$R$2:$R$538,"&lt;="&amp;$B22),W21)</f>
        <v/>
      </c>
      <c r="X22" s="18">
        <f>IF(COUNTIFS('HD Dump'!$U$2:$U$538,G$7,'HD Dump'!$R$2:$R$538,"&gt;="&amp;$B22-90,'HD Dump'!$R$2:$R$538,"&lt;="&amp;$B22)&gt;0,AVERAGEIFS('HD Dump'!$M$2:$M$538,'HD Dump'!$U$2:$U$538,G$7,'HD Dump'!$R$2:$R$538,"&gt;="&amp;$B22-90,'HD Dump'!$R$2:$R$538,"&lt;="&amp;$B22),X21)</f>
        <v/>
      </c>
      <c r="Y22" s="18">
        <f>IF(COUNTIFS('HD Dump'!$U$2:$U$538,H$7,'HD Dump'!$R$2:$R$538,"&gt;="&amp;$B22-90,'HD Dump'!$R$2:$R$538,"&lt;="&amp;$B22)&gt;0,AVERAGEIFS('HD Dump'!$M$2:$M$538,'HD Dump'!$U$2:$U$538,H$7,'HD Dump'!$R$2:$R$538,"&gt;="&amp;$B22-90,'HD Dump'!$R$2:$R$538,"&lt;="&amp;$B22),Y21)</f>
        <v/>
      </c>
      <c r="Z22" s="18">
        <f>IF(COUNTIFS('HD Dump'!$U$2:$U$538,I$7,'HD Dump'!$R$2:$R$538,"&gt;="&amp;$B22-90,'HD Dump'!$R$2:$R$538,"&lt;="&amp;$B22)&gt;0,AVERAGEIFS('HD Dump'!$M$2:$M$538,'HD Dump'!$U$2:$U$538,I$7,'HD Dump'!$R$2:$R$538,"&gt;="&amp;$B22-90,'HD Dump'!$R$2:$R$538,"&lt;="&amp;$B22),Z21)</f>
        <v/>
      </c>
      <c r="AA22" s="18">
        <f>IF(COUNTIFS('HD Dump'!$U$2:$U$538,J$7,'HD Dump'!$R$2:$R$538,"&gt;="&amp;$B22-90,'HD Dump'!$R$2:$R$538,"&lt;="&amp;$B22)&gt;0,AVERAGEIFS('HD Dump'!$M$2:$M$538,'HD Dump'!$U$2:$U$538,J$7,'HD Dump'!$R$2:$R$538,"&gt;="&amp;$B22-90,'HD Dump'!$R$2:$R$538,"&lt;="&amp;$B22),AA21)</f>
        <v/>
      </c>
      <c r="AB22" s="18">
        <f>IF(COUNTIFS('HD Dump'!$U$2:$U$538,K$7,'HD Dump'!$R$2:$R$538,"&gt;="&amp;$B22-90,'HD Dump'!$R$2:$R$538,"&lt;="&amp;$B22)&gt;0,AVERAGEIFS('HD Dump'!$M$2:$M$538,'HD Dump'!$U$2:$U$538,K$7,'HD Dump'!$R$2:$R$538,"&gt;="&amp;$B22-90,'HD Dump'!$R$2:$R$538,"&lt;="&amp;$B22),AB21)</f>
        <v/>
      </c>
      <c r="AD22" s="18">
        <f>IF(COUNTIFS('HD Dump'!$U$2:$U$538,C$7,'HD Dump'!$R$2:$R$538,"&gt;="&amp;$B22-90,'HD Dump'!$R$2:$R$538,"&lt;="&amp;$B22)&gt;0,AVERAGEIFS('HD Dump'!$O$2:$O$538,'HD Dump'!$U$2:$U$538,C$7,'HD Dump'!$R$2:$R$538,"&gt;="&amp;$B22-90,'HD Dump'!$R$2:$R$538,"&lt;="&amp;$B22),AD21)</f>
        <v/>
      </c>
      <c r="AE22" s="18">
        <f>IF(COUNTIFS('HD Dump'!$U$2:$U$538,D$7,'HD Dump'!$R$2:$R$538,"&gt;="&amp;$B22-90,'HD Dump'!$R$2:$R$538,"&lt;="&amp;$B22)&gt;0,AVERAGEIFS('HD Dump'!$O$2:$O$538,'HD Dump'!$U$2:$U$538,D$7,'HD Dump'!$R$2:$R$538,"&gt;="&amp;$B22-90,'HD Dump'!$R$2:$R$538,"&lt;="&amp;$B22),AE21)</f>
        <v/>
      </c>
      <c r="AF22" s="18">
        <f>IF(COUNTIFS('HD Dump'!$U$2:$U$538,E$7,'HD Dump'!$R$2:$R$538,"&gt;="&amp;$B22-90,'HD Dump'!$R$2:$R$538,"&lt;="&amp;$B22)&gt;0,AVERAGEIFS('HD Dump'!$O$2:$O$538,'HD Dump'!$U$2:$U$538,E$7,'HD Dump'!$R$2:$R$538,"&gt;="&amp;$B22-90,'HD Dump'!$R$2:$R$538,"&lt;="&amp;$B22),AF21)</f>
        <v/>
      </c>
      <c r="AG22" s="18">
        <f>IF(COUNTIFS('HD Dump'!$U$2:$U$538,F$7,'HD Dump'!$R$2:$R$538,"&gt;="&amp;$B22-90,'HD Dump'!$R$2:$R$538,"&lt;="&amp;$B22)&gt;0,AVERAGEIFS('HD Dump'!$O$2:$O$538,'HD Dump'!$U$2:$U$538,F$7,'HD Dump'!$R$2:$R$538,"&gt;="&amp;$B22-90,'HD Dump'!$R$2:$R$538,"&lt;="&amp;$B22),AG21)</f>
        <v/>
      </c>
      <c r="AH22" s="18">
        <f>IF(COUNTIFS('HD Dump'!$U$2:$U$538,G$7,'HD Dump'!$R$2:$R$538,"&gt;="&amp;$B22-90,'HD Dump'!$R$2:$R$538,"&lt;="&amp;$B22)&gt;0,AVERAGEIFS('HD Dump'!$O$2:$O$538,'HD Dump'!$U$2:$U$538,G$7,'HD Dump'!$R$2:$R$538,"&gt;="&amp;$B22-90,'HD Dump'!$R$2:$R$538,"&lt;="&amp;$B22),AH21)</f>
        <v/>
      </c>
      <c r="AI22" s="18">
        <f>IF(COUNTIFS('HD Dump'!$U$2:$U$538,H$7,'HD Dump'!$R$2:$R$538,"&gt;="&amp;$B22-90,'HD Dump'!$R$2:$R$538,"&lt;="&amp;$B22)&gt;0,AVERAGEIFS('HD Dump'!$O$2:$O$538,'HD Dump'!$U$2:$U$538,H$7,'HD Dump'!$R$2:$R$538,"&gt;="&amp;$B22-90,'HD Dump'!$R$2:$R$538,"&lt;="&amp;$B22),AI21)</f>
        <v/>
      </c>
      <c r="AJ22" s="18">
        <f>IF(COUNTIFS('HD Dump'!$U$2:$U$538,I$7,'HD Dump'!$R$2:$R$538,"&gt;="&amp;$B22-90,'HD Dump'!$R$2:$R$538,"&lt;="&amp;$B22)&gt;0,AVERAGEIFS('HD Dump'!$O$2:$O$538,'HD Dump'!$U$2:$U$538,I$7,'HD Dump'!$R$2:$R$538,"&gt;="&amp;$B22-90,'HD Dump'!$R$2:$R$538,"&lt;="&amp;$B22),AJ21)</f>
        <v/>
      </c>
      <c r="AK22" s="18">
        <f>IF(COUNTIFS('HD Dump'!$U$2:$U$538,J$7,'HD Dump'!$R$2:$R$538,"&gt;="&amp;$B22-90,'HD Dump'!$R$2:$R$538,"&lt;="&amp;$B22)&gt;0,AVERAGEIFS('HD Dump'!$O$2:$O$538,'HD Dump'!$U$2:$U$538,J$7,'HD Dump'!$R$2:$R$538,"&gt;="&amp;$B22-90,'HD Dump'!$R$2:$R$538,"&lt;="&amp;$B22),AK21)</f>
        <v/>
      </c>
      <c r="AL22" s="18">
        <f>IF(COUNTIFS('HD Dump'!$U$2:$U$538,K$7,'HD Dump'!$R$2:$R$538,"&gt;="&amp;$B22-90,'HD Dump'!$R$2:$R$538,"&lt;="&amp;$B22)&gt;0,AVERAGEIFS('HD Dump'!$O$2:$O$538,'HD Dump'!$U$2:$U$538,K$7,'HD Dump'!$R$2:$R$538,"&gt;="&amp;$B22-90,'HD Dump'!$R$2:$R$538,"&lt;="&amp;$B22),AL21)</f>
        <v/>
      </c>
    </row>
    <row r="23">
      <c r="B23" s="9" t="n">
        <v>45869</v>
      </c>
      <c r="C23" s="10" t="inlineStr">
        <is>
          <t>Actual</t>
        </is>
      </c>
      <c r="D23" s="11">
        <f>SUMPRODUCT(T23:AB23,$C$8:$K$8)/SUM($C$8:$K$8)</f>
        <v/>
      </c>
      <c r="E23" s="11">
        <f>SUMPRODUCT(AD23:AL23,$C$8:$K$8)/SUM($C$8:$K$8)</f>
        <v/>
      </c>
      <c r="F23" s="11">
        <f>IFERROR((INDEX('T12 Dump'!$D$9:$O$9,MATCH(EOMONTH($B23,-1)+1,'T12 Dump'!$D$3:$O$3,0))-ABS(INDEX('T12 Dump'!$D$11:$O$11,MATCH(EOMONTH($B23,-1)+1,'T12 Dump'!$D$3:$O$3,0))))/($F23*360),"")</f>
        <v/>
      </c>
      <c r="G23" s="12">
        <f>IFERROR(1-ABS(INDEX('T12 Dump'!$D$11:$O$11,MATCH(EOMONTH($B23,-1)+1,'T12 Dump'!$D$3:$O$3,0)))/INDEX('T12 Dump'!$D$7:$O$7,MATCH(EOMONTH($B23,-1)+1,'T12 Dump'!$D$3:$O$3,0)),"")</f>
        <v/>
      </c>
      <c r="H23" s="13">
        <f>IFERROR($F23/$D23-1,"")</f>
        <v/>
      </c>
      <c r="I23" s="14" t="n">
        <v>38</v>
      </c>
      <c r="J23" s="15" t="n"/>
      <c r="K23" s="14" t="n"/>
      <c r="L23" s="16" t="n"/>
      <c r="M23" s="11" t="n"/>
      <c r="N23" s="11" t="n"/>
      <c r="O23" s="17" t="n"/>
      <c r="P23" s="11" t="n"/>
      <c r="T23" s="18">
        <f>IF(COUNTIFS('HD Dump'!$U$2:$U$538,C$7,'HD Dump'!$R$2:$R$538,"&gt;="&amp;$B23-90,'HD Dump'!$R$2:$R$538,"&lt;="&amp;$B23)&gt;0,AVERAGEIFS('HD Dump'!$M$2:$M$538,'HD Dump'!$U$2:$U$538,C$7,'HD Dump'!$R$2:$R$538,"&gt;="&amp;$B23-90,'HD Dump'!$R$2:$R$538,"&lt;="&amp;$B23),T22)</f>
        <v/>
      </c>
      <c r="U23" s="18">
        <f>IF(COUNTIFS('HD Dump'!$U$2:$U$538,D$7,'HD Dump'!$R$2:$R$538,"&gt;="&amp;$B23-90,'HD Dump'!$R$2:$R$538,"&lt;="&amp;$B23)&gt;0,AVERAGEIFS('HD Dump'!$M$2:$M$538,'HD Dump'!$U$2:$U$538,D$7,'HD Dump'!$R$2:$R$538,"&gt;="&amp;$B23-90,'HD Dump'!$R$2:$R$538,"&lt;="&amp;$B23),U22)</f>
        <v/>
      </c>
      <c r="V23" s="18">
        <f>IF(COUNTIFS('HD Dump'!$U$2:$U$538,E$7,'HD Dump'!$R$2:$R$538,"&gt;="&amp;$B23-90,'HD Dump'!$R$2:$R$538,"&lt;="&amp;$B23)&gt;0,AVERAGEIFS('HD Dump'!$M$2:$M$538,'HD Dump'!$U$2:$U$538,E$7,'HD Dump'!$R$2:$R$538,"&gt;="&amp;$B23-90,'HD Dump'!$R$2:$R$538,"&lt;="&amp;$B23),V22)</f>
        <v/>
      </c>
      <c r="W23" s="18">
        <f>IF(COUNTIFS('HD Dump'!$U$2:$U$538,F$7,'HD Dump'!$R$2:$R$538,"&gt;="&amp;$B23-90,'HD Dump'!$R$2:$R$538,"&lt;="&amp;$B23)&gt;0,AVERAGEIFS('HD Dump'!$M$2:$M$538,'HD Dump'!$U$2:$U$538,F$7,'HD Dump'!$R$2:$R$538,"&gt;="&amp;$B23-90,'HD Dump'!$R$2:$R$538,"&lt;="&amp;$B23),W22)</f>
        <v/>
      </c>
      <c r="X23" s="18">
        <f>IF(COUNTIFS('HD Dump'!$U$2:$U$538,G$7,'HD Dump'!$R$2:$R$538,"&gt;="&amp;$B23-90,'HD Dump'!$R$2:$R$538,"&lt;="&amp;$B23)&gt;0,AVERAGEIFS('HD Dump'!$M$2:$M$538,'HD Dump'!$U$2:$U$538,G$7,'HD Dump'!$R$2:$R$538,"&gt;="&amp;$B23-90,'HD Dump'!$R$2:$R$538,"&lt;="&amp;$B23),X22)</f>
        <v/>
      </c>
      <c r="Y23" s="18">
        <f>IF(COUNTIFS('HD Dump'!$U$2:$U$538,H$7,'HD Dump'!$R$2:$R$538,"&gt;="&amp;$B23-90,'HD Dump'!$R$2:$R$538,"&lt;="&amp;$B23)&gt;0,AVERAGEIFS('HD Dump'!$M$2:$M$538,'HD Dump'!$U$2:$U$538,H$7,'HD Dump'!$R$2:$R$538,"&gt;="&amp;$B23-90,'HD Dump'!$R$2:$R$538,"&lt;="&amp;$B23),Y22)</f>
        <v/>
      </c>
      <c r="Z23" s="18">
        <f>IF(COUNTIFS('HD Dump'!$U$2:$U$538,I$7,'HD Dump'!$R$2:$R$538,"&gt;="&amp;$B23-90,'HD Dump'!$R$2:$R$538,"&lt;="&amp;$B23)&gt;0,AVERAGEIFS('HD Dump'!$M$2:$M$538,'HD Dump'!$U$2:$U$538,I$7,'HD Dump'!$R$2:$R$538,"&gt;="&amp;$B23-90,'HD Dump'!$R$2:$R$538,"&lt;="&amp;$B23),Z22)</f>
        <v/>
      </c>
      <c r="AA23" s="18">
        <f>IF(COUNTIFS('HD Dump'!$U$2:$U$538,J$7,'HD Dump'!$R$2:$R$538,"&gt;="&amp;$B23-90,'HD Dump'!$R$2:$R$538,"&lt;="&amp;$B23)&gt;0,AVERAGEIFS('HD Dump'!$M$2:$M$538,'HD Dump'!$U$2:$U$538,J$7,'HD Dump'!$R$2:$R$538,"&gt;="&amp;$B23-90,'HD Dump'!$R$2:$R$538,"&lt;="&amp;$B23),AA22)</f>
        <v/>
      </c>
      <c r="AB23" s="18">
        <f>IF(COUNTIFS('HD Dump'!$U$2:$U$538,K$7,'HD Dump'!$R$2:$R$538,"&gt;="&amp;$B23-90,'HD Dump'!$R$2:$R$538,"&lt;="&amp;$B23)&gt;0,AVERAGEIFS('HD Dump'!$M$2:$M$538,'HD Dump'!$U$2:$U$538,K$7,'HD Dump'!$R$2:$R$538,"&gt;="&amp;$B23-90,'HD Dump'!$R$2:$R$538,"&lt;="&amp;$B23),AB22)</f>
        <v/>
      </c>
      <c r="AD23" s="18">
        <f>IF(COUNTIFS('HD Dump'!$U$2:$U$538,C$7,'HD Dump'!$R$2:$R$538,"&gt;="&amp;$B23-90,'HD Dump'!$R$2:$R$538,"&lt;="&amp;$B23)&gt;0,AVERAGEIFS('HD Dump'!$O$2:$O$538,'HD Dump'!$U$2:$U$538,C$7,'HD Dump'!$R$2:$R$538,"&gt;="&amp;$B23-90,'HD Dump'!$R$2:$R$538,"&lt;="&amp;$B23),AD22)</f>
        <v/>
      </c>
      <c r="AE23" s="18">
        <f>IF(COUNTIFS('HD Dump'!$U$2:$U$538,D$7,'HD Dump'!$R$2:$R$538,"&gt;="&amp;$B23-90,'HD Dump'!$R$2:$R$538,"&lt;="&amp;$B23)&gt;0,AVERAGEIFS('HD Dump'!$O$2:$O$538,'HD Dump'!$U$2:$U$538,D$7,'HD Dump'!$R$2:$R$538,"&gt;="&amp;$B23-90,'HD Dump'!$R$2:$R$538,"&lt;="&amp;$B23),AE22)</f>
        <v/>
      </c>
      <c r="AF23" s="18">
        <f>IF(COUNTIFS('HD Dump'!$U$2:$U$538,E$7,'HD Dump'!$R$2:$R$538,"&gt;="&amp;$B23-90,'HD Dump'!$R$2:$R$538,"&lt;="&amp;$B23)&gt;0,AVERAGEIFS('HD Dump'!$O$2:$O$538,'HD Dump'!$U$2:$U$538,E$7,'HD Dump'!$R$2:$R$538,"&gt;="&amp;$B23-90,'HD Dump'!$R$2:$R$538,"&lt;="&amp;$B23),AF22)</f>
        <v/>
      </c>
      <c r="AG23" s="18">
        <f>IF(COUNTIFS('HD Dump'!$U$2:$U$538,F$7,'HD Dump'!$R$2:$R$538,"&gt;="&amp;$B23-90,'HD Dump'!$R$2:$R$538,"&lt;="&amp;$B23)&gt;0,AVERAGEIFS('HD Dump'!$O$2:$O$538,'HD Dump'!$U$2:$U$538,F$7,'HD Dump'!$R$2:$R$538,"&gt;="&amp;$B23-90,'HD Dump'!$R$2:$R$538,"&lt;="&amp;$B23),AG22)</f>
        <v/>
      </c>
      <c r="AH23" s="18">
        <f>IF(COUNTIFS('HD Dump'!$U$2:$U$538,G$7,'HD Dump'!$R$2:$R$538,"&gt;="&amp;$B23-90,'HD Dump'!$R$2:$R$538,"&lt;="&amp;$B23)&gt;0,AVERAGEIFS('HD Dump'!$O$2:$O$538,'HD Dump'!$U$2:$U$538,G$7,'HD Dump'!$R$2:$R$538,"&gt;="&amp;$B23-90,'HD Dump'!$R$2:$R$538,"&lt;="&amp;$B23),AH22)</f>
        <v/>
      </c>
      <c r="AI23" s="18">
        <f>IF(COUNTIFS('HD Dump'!$U$2:$U$538,H$7,'HD Dump'!$R$2:$R$538,"&gt;="&amp;$B23-90,'HD Dump'!$R$2:$R$538,"&lt;="&amp;$B23)&gt;0,AVERAGEIFS('HD Dump'!$O$2:$O$538,'HD Dump'!$U$2:$U$538,H$7,'HD Dump'!$R$2:$R$538,"&gt;="&amp;$B23-90,'HD Dump'!$R$2:$R$538,"&lt;="&amp;$B23),AI22)</f>
        <v/>
      </c>
      <c r="AJ23" s="18">
        <f>IF(COUNTIFS('HD Dump'!$U$2:$U$538,I$7,'HD Dump'!$R$2:$R$538,"&gt;="&amp;$B23-90,'HD Dump'!$R$2:$R$538,"&lt;="&amp;$B23)&gt;0,AVERAGEIFS('HD Dump'!$O$2:$O$538,'HD Dump'!$U$2:$U$538,I$7,'HD Dump'!$R$2:$R$538,"&gt;="&amp;$B23-90,'HD Dump'!$R$2:$R$538,"&lt;="&amp;$B23),AJ22)</f>
        <v/>
      </c>
      <c r="AK23" s="18">
        <f>IF(COUNTIFS('HD Dump'!$U$2:$U$538,J$7,'HD Dump'!$R$2:$R$538,"&gt;="&amp;$B23-90,'HD Dump'!$R$2:$R$538,"&lt;="&amp;$B23)&gt;0,AVERAGEIFS('HD Dump'!$O$2:$O$538,'HD Dump'!$U$2:$U$538,J$7,'HD Dump'!$R$2:$R$538,"&gt;="&amp;$B23-90,'HD Dump'!$R$2:$R$538,"&lt;="&amp;$B23),AK22)</f>
        <v/>
      </c>
      <c r="AL23" s="18">
        <f>IF(COUNTIFS('HD Dump'!$U$2:$U$538,K$7,'HD Dump'!$R$2:$R$538,"&gt;="&amp;$B23-90,'HD Dump'!$R$2:$R$538,"&lt;="&amp;$B23)&gt;0,AVERAGEIFS('HD Dump'!$O$2:$O$538,'HD Dump'!$U$2:$U$538,K$7,'HD Dump'!$R$2:$R$538,"&gt;="&amp;$B23-90,'HD Dump'!$R$2:$R$538,"&lt;="&amp;$B23),AL22)</f>
        <v/>
      </c>
    </row>
    <row r="24">
      <c r="B24" s="9" t="n">
        <v>45900</v>
      </c>
      <c r="C24" s="10" t="inlineStr">
        <is>
          <t>Actual</t>
        </is>
      </c>
      <c r="D24" s="11">
        <f>SUMPRODUCT(T24:AB24,$C$8:$K$8)/SUM($C$8:$K$8)</f>
        <v/>
      </c>
      <c r="E24" s="11">
        <f>SUMPRODUCT(AD24:AL24,$C$8:$K$8)/SUM($C$8:$K$8)</f>
        <v/>
      </c>
      <c r="F24" s="11">
        <f>IFERROR((INDEX('T12 Dump'!$D$9:$O$9,MATCH(EOMONTH($B24,-1)+1,'T12 Dump'!$D$3:$O$3,0))-ABS(INDEX('T12 Dump'!$D$11:$O$11,MATCH(EOMONTH($B24,-1)+1,'T12 Dump'!$D$3:$O$3,0))))/($F24*360),"")</f>
        <v/>
      </c>
      <c r="G24" s="12">
        <f>IFERROR(1-ABS(INDEX('T12 Dump'!$D$11:$O$11,MATCH(EOMONTH($B24,-1)+1,'T12 Dump'!$D$3:$O$3,0)))/INDEX('T12 Dump'!$D$7:$O$7,MATCH(EOMONTH($B24,-1)+1,'T12 Dump'!$D$3:$O$3,0)),"")</f>
        <v/>
      </c>
      <c r="H24" s="13">
        <f>IFERROR($F24/$D24-1,"")</f>
        <v/>
      </c>
      <c r="I24" s="14" t="n">
        <v>27</v>
      </c>
      <c r="J24" s="15" t="n"/>
      <c r="K24" s="14" t="n"/>
      <c r="L24" s="16" t="n"/>
      <c r="M24" s="11" t="n"/>
      <c r="N24" s="11" t="n"/>
      <c r="O24" s="17" t="n"/>
      <c r="P24" s="11" t="n"/>
      <c r="T24" s="18">
        <f>IF(COUNTIFS('HD Dump'!$U$2:$U$538,C$7,'HD Dump'!$R$2:$R$538,"&gt;="&amp;$B24-90,'HD Dump'!$R$2:$R$538,"&lt;="&amp;$B24)&gt;0,AVERAGEIFS('HD Dump'!$M$2:$M$538,'HD Dump'!$U$2:$U$538,C$7,'HD Dump'!$R$2:$R$538,"&gt;="&amp;$B24-90,'HD Dump'!$R$2:$R$538,"&lt;="&amp;$B24),T23)</f>
        <v/>
      </c>
      <c r="U24" s="18">
        <f>IF(COUNTIFS('HD Dump'!$U$2:$U$538,D$7,'HD Dump'!$R$2:$R$538,"&gt;="&amp;$B24-90,'HD Dump'!$R$2:$R$538,"&lt;="&amp;$B24)&gt;0,AVERAGEIFS('HD Dump'!$M$2:$M$538,'HD Dump'!$U$2:$U$538,D$7,'HD Dump'!$R$2:$R$538,"&gt;="&amp;$B24-90,'HD Dump'!$R$2:$R$538,"&lt;="&amp;$B24),U23)</f>
        <v/>
      </c>
      <c r="V24" s="18">
        <f>IF(COUNTIFS('HD Dump'!$U$2:$U$538,E$7,'HD Dump'!$R$2:$R$538,"&gt;="&amp;$B24-90,'HD Dump'!$R$2:$R$538,"&lt;="&amp;$B24)&gt;0,AVERAGEIFS('HD Dump'!$M$2:$M$538,'HD Dump'!$U$2:$U$538,E$7,'HD Dump'!$R$2:$R$538,"&gt;="&amp;$B24-90,'HD Dump'!$R$2:$R$538,"&lt;="&amp;$B24),V23)</f>
        <v/>
      </c>
      <c r="W24" s="18">
        <f>IF(COUNTIFS('HD Dump'!$U$2:$U$538,F$7,'HD Dump'!$R$2:$R$538,"&gt;="&amp;$B24-90,'HD Dump'!$R$2:$R$538,"&lt;="&amp;$B24)&gt;0,AVERAGEIFS('HD Dump'!$M$2:$M$538,'HD Dump'!$U$2:$U$538,F$7,'HD Dump'!$R$2:$R$538,"&gt;="&amp;$B24-90,'HD Dump'!$R$2:$R$538,"&lt;="&amp;$B24),W23)</f>
        <v/>
      </c>
      <c r="X24" s="18">
        <f>IF(COUNTIFS('HD Dump'!$U$2:$U$538,G$7,'HD Dump'!$R$2:$R$538,"&gt;="&amp;$B24-90,'HD Dump'!$R$2:$R$538,"&lt;="&amp;$B24)&gt;0,AVERAGEIFS('HD Dump'!$M$2:$M$538,'HD Dump'!$U$2:$U$538,G$7,'HD Dump'!$R$2:$R$538,"&gt;="&amp;$B24-90,'HD Dump'!$R$2:$R$538,"&lt;="&amp;$B24),X23)</f>
        <v/>
      </c>
      <c r="Y24" s="18">
        <f>IF(COUNTIFS('HD Dump'!$U$2:$U$538,H$7,'HD Dump'!$R$2:$R$538,"&gt;="&amp;$B24-90,'HD Dump'!$R$2:$R$538,"&lt;="&amp;$B24)&gt;0,AVERAGEIFS('HD Dump'!$M$2:$M$538,'HD Dump'!$U$2:$U$538,H$7,'HD Dump'!$R$2:$R$538,"&gt;="&amp;$B24-90,'HD Dump'!$R$2:$R$538,"&lt;="&amp;$B24),Y23)</f>
        <v/>
      </c>
      <c r="Z24" s="18">
        <f>IF(COUNTIFS('HD Dump'!$U$2:$U$538,I$7,'HD Dump'!$R$2:$R$538,"&gt;="&amp;$B24-90,'HD Dump'!$R$2:$R$538,"&lt;="&amp;$B24)&gt;0,AVERAGEIFS('HD Dump'!$M$2:$M$538,'HD Dump'!$U$2:$U$538,I$7,'HD Dump'!$R$2:$R$538,"&gt;="&amp;$B24-90,'HD Dump'!$R$2:$R$538,"&lt;="&amp;$B24),Z23)</f>
        <v/>
      </c>
      <c r="AA24" s="18">
        <f>IF(COUNTIFS('HD Dump'!$U$2:$U$538,J$7,'HD Dump'!$R$2:$R$538,"&gt;="&amp;$B24-90,'HD Dump'!$R$2:$R$538,"&lt;="&amp;$B24)&gt;0,AVERAGEIFS('HD Dump'!$M$2:$M$538,'HD Dump'!$U$2:$U$538,J$7,'HD Dump'!$R$2:$R$538,"&gt;="&amp;$B24-90,'HD Dump'!$R$2:$R$538,"&lt;="&amp;$B24),AA23)</f>
        <v/>
      </c>
      <c r="AB24" s="18">
        <f>IF(COUNTIFS('HD Dump'!$U$2:$U$538,K$7,'HD Dump'!$R$2:$R$538,"&gt;="&amp;$B24-90,'HD Dump'!$R$2:$R$538,"&lt;="&amp;$B24)&gt;0,AVERAGEIFS('HD Dump'!$M$2:$M$538,'HD Dump'!$U$2:$U$538,K$7,'HD Dump'!$R$2:$R$538,"&gt;="&amp;$B24-90,'HD Dump'!$R$2:$R$538,"&lt;="&amp;$B24),AB23)</f>
        <v/>
      </c>
      <c r="AD24" s="18">
        <f>IF(COUNTIFS('HD Dump'!$U$2:$U$538,C$7,'HD Dump'!$R$2:$R$538,"&gt;="&amp;$B24-90,'HD Dump'!$R$2:$R$538,"&lt;="&amp;$B24)&gt;0,AVERAGEIFS('HD Dump'!$O$2:$O$538,'HD Dump'!$U$2:$U$538,C$7,'HD Dump'!$R$2:$R$538,"&gt;="&amp;$B24-90,'HD Dump'!$R$2:$R$538,"&lt;="&amp;$B24),AD23)</f>
        <v/>
      </c>
      <c r="AE24" s="18">
        <f>IF(COUNTIFS('HD Dump'!$U$2:$U$538,D$7,'HD Dump'!$R$2:$R$538,"&gt;="&amp;$B24-90,'HD Dump'!$R$2:$R$538,"&lt;="&amp;$B24)&gt;0,AVERAGEIFS('HD Dump'!$O$2:$O$538,'HD Dump'!$U$2:$U$538,D$7,'HD Dump'!$R$2:$R$538,"&gt;="&amp;$B24-90,'HD Dump'!$R$2:$R$538,"&lt;="&amp;$B24),AE23)</f>
        <v/>
      </c>
      <c r="AF24" s="18">
        <f>IF(COUNTIFS('HD Dump'!$U$2:$U$538,E$7,'HD Dump'!$R$2:$R$538,"&gt;="&amp;$B24-90,'HD Dump'!$R$2:$R$538,"&lt;="&amp;$B24)&gt;0,AVERAGEIFS('HD Dump'!$O$2:$O$538,'HD Dump'!$U$2:$U$538,E$7,'HD Dump'!$R$2:$R$538,"&gt;="&amp;$B24-90,'HD Dump'!$R$2:$R$538,"&lt;="&amp;$B24),AF23)</f>
        <v/>
      </c>
      <c r="AG24" s="18">
        <f>IF(COUNTIFS('HD Dump'!$U$2:$U$538,F$7,'HD Dump'!$R$2:$R$538,"&gt;="&amp;$B24-90,'HD Dump'!$R$2:$R$538,"&lt;="&amp;$B24)&gt;0,AVERAGEIFS('HD Dump'!$O$2:$O$538,'HD Dump'!$U$2:$U$538,F$7,'HD Dump'!$R$2:$R$538,"&gt;="&amp;$B24-90,'HD Dump'!$R$2:$R$538,"&lt;="&amp;$B24),AG23)</f>
        <v/>
      </c>
      <c r="AH24" s="18">
        <f>IF(COUNTIFS('HD Dump'!$U$2:$U$538,G$7,'HD Dump'!$R$2:$R$538,"&gt;="&amp;$B24-90,'HD Dump'!$R$2:$R$538,"&lt;="&amp;$B24)&gt;0,AVERAGEIFS('HD Dump'!$O$2:$O$538,'HD Dump'!$U$2:$U$538,G$7,'HD Dump'!$R$2:$R$538,"&gt;="&amp;$B24-90,'HD Dump'!$R$2:$R$538,"&lt;="&amp;$B24),AH23)</f>
        <v/>
      </c>
      <c r="AI24" s="18">
        <f>IF(COUNTIFS('HD Dump'!$U$2:$U$538,H$7,'HD Dump'!$R$2:$R$538,"&gt;="&amp;$B24-90,'HD Dump'!$R$2:$R$538,"&lt;="&amp;$B24)&gt;0,AVERAGEIFS('HD Dump'!$O$2:$O$538,'HD Dump'!$U$2:$U$538,H$7,'HD Dump'!$R$2:$R$538,"&gt;="&amp;$B24-90,'HD Dump'!$R$2:$R$538,"&lt;="&amp;$B24),AI23)</f>
        <v/>
      </c>
      <c r="AJ24" s="18">
        <f>IF(COUNTIFS('HD Dump'!$U$2:$U$538,I$7,'HD Dump'!$R$2:$R$538,"&gt;="&amp;$B24-90,'HD Dump'!$R$2:$R$538,"&lt;="&amp;$B24)&gt;0,AVERAGEIFS('HD Dump'!$O$2:$O$538,'HD Dump'!$U$2:$U$538,I$7,'HD Dump'!$R$2:$R$538,"&gt;="&amp;$B24-90,'HD Dump'!$R$2:$R$538,"&lt;="&amp;$B24),AJ23)</f>
        <v/>
      </c>
      <c r="AK24" s="18">
        <f>IF(COUNTIFS('HD Dump'!$U$2:$U$538,J$7,'HD Dump'!$R$2:$R$538,"&gt;="&amp;$B24-90,'HD Dump'!$R$2:$R$538,"&lt;="&amp;$B24)&gt;0,AVERAGEIFS('HD Dump'!$O$2:$O$538,'HD Dump'!$U$2:$U$538,J$7,'HD Dump'!$R$2:$R$538,"&gt;="&amp;$B24-90,'HD Dump'!$R$2:$R$538,"&lt;="&amp;$B24),AK23)</f>
        <v/>
      </c>
      <c r="AL24" s="18">
        <f>IF(COUNTIFS('HD Dump'!$U$2:$U$538,K$7,'HD Dump'!$R$2:$R$538,"&gt;="&amp;$B24-90,'HD Dump'!$R$2:$R$538,"&lt;="&amp;$B24)&gt;0,AVERAGEIFS('HD Dump'!$O$2:$O$538,'HD Dump'!$U$2:$U$538,K$7,'HD Dump'!$R$2:$R$538,"&gt;="&amp;$B24-90,'HD Dump'!$R$2:$R$538,"&lt;="&amp;$B24),AL23)</f>
        <v/>
      </c>
    </row>
    <row r="25">
      <c r="B25" s="9" t="n">
        <v>45930</v>
      </c>
      <c r="C25" s="10" t="inlineStr">
        <is>
          <t>Actual</t>
        </is>
      </c>
      <c r="D25" s="11">
        <f>SUMPRODUCT(T25:AB25,$C$8:$K$8)/SUM($C$8:$K$8)</f>
        <v/>
      </c>
      <c r="E25" s="11">
        <f>SUMPRODUCT(AD25:AL25,$C$8:$K$8)/SUM($C$8:$K$8)</f>
        <v/>
      </c>
      <c r="F25" s="11">
        <f>IFERROR((INDEX('T12 Dump'!$D$9:$O$9,MATCH(EOMONTH($B25,-1)+1,'T12 Dump'!$D$3:$O$3,0))-ABS(INDEX('T12 Dump'!$D$11:$O$11,MATCH(EOMONTH($B25,-1)+1,'T12 Dump'!$D$3:$O$3,0))))/($F25*360),"")</f>
        <v/>
      </c>
      <c r="G25" s="12">
        <f>IFERROR(1-ABS(INDEX('T12 Dump'!$D$11:$O$11,MATCH(EOMONTH($B25,-1)+1,'T12 Dump'!$D$3:$O$3,0)))/INDEX('T12 Dump'!$D$7:$O$7,MATCH(EOMONTH($B25,-1)+1,'T12 Dump'!$D$3:$O$3,0)),"")</f>
        <v/>
      </c>
      <c r="H25" s="13">
        <f>IFERROR($F25/$D25-1,"")</f>
        <v/>
      </c>
      <c r="I25" s="14" t="n">
        <v>12</v>
      </c>
      <c r="J25" s="15" t="n"/>
      <c r="K25" s="14" t="n"/>
      <c r="L25" s="16" t="n"/>
      <c r="M25" s="11" t="n"/>
      <c r="N25" s="11" t="n"/>
      <c r="O25" s="17" t="n"/>
      <c r="P25" s="11" t="n"/>
      <c r="T25" s="18">
        <f>IF(COUNTIFS('HD Dump'!$U$2:$U$538,C$7,'HD Dump'!$R$2:$R$538,"&gt;="&amp;$B25-90,'HD Dump'!$R$2:$R$538,"&lt;="&amp;$B25)&gt;0,AVERAGEIFS('HD Dump'!$M$2:$M$538,'HD Dump'!$U$2:$U$538,C$7,'HD Dump'!$R$2:$R$538,"&gt;="&amp;$B25-90,'HD Dump'!$R$2:$R$538,"&lt;="&amp;$B25),T24)</f>
        <v/>
      </c>
      <c r="U25" s="18">
        <f>IF(COUNTIFS('HD Dump'!$U$2:$U$538,D$7,'HD Dump'!$R$2:$R$538,"&gt;="&amp;$B25-90,'HD Dump'!$R$2:$R$538,"&lt;="&amp;$B25)&gt;0,AVERAGEIFS('HD Dump'!$M$2:$M$538,'HD Dump'!$U$2:$U$538,D$7,'HD Dump'!$R$2:$R$538,"&gt;="&amp;$B25-90,'HD Dump'!$R$2:$R$538,"&lt;="&amp;$B25),U24)</f>
        <v/>
      </c>
      <c r="V25" s="18">
        <f>IF(COUNTIFS('HD Dump'!$U$2:$U$538,E$7,'HD Dump'!$R$2:$R$538,"&gt;="&amp;$B25-90,'HD Dump'!$R$2:$R$538,"&lt;="&amp;$B25)&gt;0,AVERAGEIFS('HD Dump'!$M$2:$M$538,'HD Dump'!$U$2:$U$538,E$7,'HD Dump'!$R$2:$R$538,"&gt;="&amp;$B25-90,'HD Dump'!$R$2:$R$538,"&lt;="&amp;$B25),V24)</f>
        <v/>
      </c>
      <c r="W25" s="18">
        <f>IF(COUNTIFS('HD Dump'!$U$2:$U$538,F$7,'HD Dump'!$R$2:$R$538,"&gt;="&amp;$B25-90,'HD Dump'!$R$2:$R$538,"&lt;="&amp;$B25)&gt;0,AVERAGEIFS('HD Dump'!$M$2:$M$538,'HD Dump'!$U$2:$U$538,F$7,'HD Dump'!$R$2:$R$538,"&gt;="&amp;$B25-90,'HD Dump'!$R$2:$R$538,"&lt;="&amp;$B25),W24)</f>
        <v/>
      </c>
      <c r="X25" s="18">
        <f>IF(COUNTIFS('HD Dump'!$U$2:$U$538,G$7,'HD Dump'!$R$2:$R$538,"&gt;="&amp;$B25-90,'HD Dump'!$R$2:$R$538,"&lt;="&amp;$B25)&gt;0,AVERAGEIFS('HD Dump'!$M$2:$M$538,'HD Dump'!$U$2:$U$538,G$7,'HD Dump'!$R$2:$R$538,"&gt;="&amp;$B25-90,'HD Dump'!$R$2:$R$538,"&lt;="&amp;$B25),X24)</f>
        <v/>
      </c>
      <c r="Y25" s="18">
        <f>IF(COUNTIFS('HD Dump'!$U$2:$U$538,H$7,'HD Dump'!$R$2:$R$538,"&gt;="&amp;$B25-90,'HD Dump'!$R$2:$R$538,"&lt;="&amp;$B25)&gt;0,AVERAGEIFS('HD Dump'!$M$2:$M$538,'HD Dump'!$U$2:$U$538,H$7,'HD Dump'!$R$2:$R$538,"&gt;="&amp;$B25-90,'HD Dump'!$R$2:$R$538,"&lt;="&amp;$B25),Y24)</f>
        <v/>
      </c>
      <c r="Z25" s="18">
        <f>IF(COUNTIFS('HD Dump'!$U$2:$U$538,I$7,'HD Dump'!$R$2:$R$538,"&gt;="&amp;$B25-90,'HD Dump'!$R$2:$R$538,"&lt;="&amp;$B25)&gt;0,AVERAGEIFS('HD Dump'!$M$2:$M$538,'HD Dump'!$U$2:$U$538,I$7,'HD Dump'!$R$2:$R$538,"&gt;="&amp;$B25-90,'HD Dump'!$R$2:$R$538,"&lt;="&amp;$B25),Z24)</f>
        <v/>
      </c>
      <c r="AA25" s="18">
        <f>IF(COUNTIFS('HD Dump'!$U$2:$U$538,J$7,'HD Dump'!$R$2:$R$538,"&gt;="&amp;$B25-90,'HD Dump'!$R$2:$R$538,"&lt;="&amp;$B25)&gt;0,AVERAGEIFS('HD Dump'!$M$2:$M$538,'HD Dump'!$U$2:$U$538,J$7,'HD Dump'!$R$2:$R$538,"&gt;="&amp;$B25-90,'HD Dump'!$R$2:$R$538,"&lt;="&amp;$B25),AA24)</f>
        <v/>
      </c>
      <c r="AB25" s="18">
        <f>IF(COUNTIFS('HD Dump'!$U$2:$U$538,K$7,'HD Dump'!$R$2:$R$538,"&gt;="&amp;$B25-90,'HD Dump'!$R$2:$R$538,"&lt;="&amp;$B25)&gt;0,AVERAGEIFS('HD Dump'!$M$2:$M$538,'HD Dump'!$U$2:$U$538,K$7,'HD Dump'!$R$2:$R$538,"&gt;="&amp;$B25-90,'HD Dump'!$R$2:$R$538,"&lt;="&amp;$B25),AB24)</f>
        <v/>
      </c>
      <c r="AD25" s="18">
        <f>IF(COUNTIFS('HD Dump'!$U$2:$U$538,C$7,'HD Dump'!$R$2:$R$538,"&gt;="&amp;$B25-90,'HD Dump'!$R$2:$R$538,"&lt;="&amp;$B25)&gt;0,AVERAGEIFS('HD Dump'!$O$2:$O$538,'HD Dump'!$U$2:$U$538,C$7,'HD Dump'!$R$2:$R$538,"&gt;="&amp;$B25-90,'HD Dump'!$R$2:$R$538,"&lt;="&amp;$B25),AD24)</f>
        <v/>
      </c>
      <c r="AE25" s="18">
        <f>IF(COUNTIFS('HD Dump'!$U$2:$U$538,D$7,'HD Dump'!$R$2:$R$538,"&gt;="&amp;$B25-90,'HD Dump'!$R$2:$R$538,"&lt;="&amp;$B25)&gt;0,AVERAGEIFS('HD Dump'!$O$2:$O$538,'HD Dump'!$U$2:$U$538,D$7,'HD Dump'!$R$2:$R$538,"&gt;="&amp;$B25-90,'HD Dump'!$R$2:$R$538,"&lt;="&amp;$B25),AE24)</f>
        <v/>
      </c>
      <c r="AF25" s="18">
        <f>IF(COUNTIFS('HD Dump'!$U$2:$U$538,E$7,'HD Dump'!$R$2:$R$538,"&gt;="&amp;$B25-90,'HD Dump'!$R$2:$R$538,"&lt;="&amp;$B25)&gt;0,AVERAGEIFS('HD Dump'!$O$2:$O$538,'HD Dump'!$U$2:$U$538,E$7,'HD Dump'!$R$2:$R$538,"&gt;="&amp;$B25-90,'HD Dump'!$R$2:$R$538,"&lt;="&amp;$B25),AF24)</f>
        <v/>
      </c>
      <c r="AG25" s="18">
        <f>IF(COUNTIFS('HD Dump'!$U$2:$U$538,F$7,'HD Dump'!$R$2:$R$538,"&gt;="&amp;$B25-90,'HD Dump'!$R$2:$R$538,"&lt;="&amp;$B25)&gt;0,AVERAGEIFS('HD Dump'!$O$2:$O$538,'HD Dump'!$U$2:$U$538,F$7,'HD Dump'!$R$2:$R$538,"&gt;="&amp;$B25-90,'HD Dump'!$R$2:$R$538,"&lt;="&amp;$B25),AG24)</f>
        <v/>
      </c>
      <c r="AH25" s="18">
        <f>IF(COUNTIFS('HD Dump'!$U$2:$U$538,G$7,'HD Dump'!$R$2:$R$538,"&gt;="&amp;$B25-90,'HD Dump'!$R$2:$R$538,"&lt;="&amp;$B25)&gt;0,AVERAGEIFS('HD Dump'!$O$2:$O$538,'HD Dump'!$U$2:$U$538,G$7,'HD Dump'!$R$2:$R$538,"&gt;="&amp;$B25-90,'HD Dump'!$R$2:$R$538,"&lt;="&amp;$B25),AH24)</f>
        <v/>
      </c>
      <c r="AI25" s="18">
        <f>IF(COUNTIFS('HD Dump'!$U$2:$U$538,H$7,'HD Dump'!$R$2:$R$538,"&gt;="&amp;$B25-90,'HD Dump'!$R$2:$R$538,"&lt;="&amp;$B25)&gt;0,AVERAGEIFS('HD Dump'!$O$2:$O$538,'HD Dump'!$U$2:$U$538,H$7,'HD Dump'!$R$2:$R$538,"&gt;="&amp;$B25-90,'HD Dump'!$R$2:$R$538,"&lt;="&amp;$B25),AI24)</f>
        <v/>
      </c>
      <c r="AJ25" s="18">
        <f>IF(COUNTIFS('HD Dump'!$U$2:$U$538,I$7,'HD Dump'!$R$2:$R$538,"&gt;="&amp;$B25-90,'HD Dump'!$R$2:$R$538,"&lt;="&amp;$B25)&gt;0,AVERAGEIFS('HD Dump'!$O$2:$O$538,'HD Dump'!$U$2:$U$538,I$7,'HD Dump'!$R$2:$R$538,"&gt;="&amp;$B25-90,'HD Dump'!$R$2:$R$538,"&lt;="&amp;$B25),AJ24)</f>
        <v/>
      </c>
      <c r="AK25" s="18">
        <f>IF(COUNTIFS('HD Dump'!$U$2:$U$538,J$7,'HD Dump'!$R$2:$R$538,"&gt;="&amp;$B25-90,'HD Dump'!$R$2:$R$538,"&lt;="&amp;$B25)&gt;0,AVERAGEIFS('HD Dump'!$O$2:$O$538,'HD Dump'!$U$2:$U$538,J$7,'HD Dump'!$R$2:$R$538,"&gt;="&amp;$B25-90,'HD Dump'!$R$2:$R$538,"&lt;="&amp;$B25),AK24)</f>
        <v/>
      </c>
      <c r="AL25" s="18">
        <f>IF(COUNTIFS('HD Dump'!$U$2:$U$538,K$7,'HD Dump'!$R$2:$R$538,"&gt;="&amp;$B25-90,'HD Dump'!$R$2:$R$538,"&lt;="&amp;$B25)&gt;0,AVERAGEIFS('HD Dump'!$O$2:$O$538,'HD Dump'!$U$2:$U$538,K$7,'HD Dump'!$R$2:$R$538,"&gt;="&amp;$B25-90,'HD Dump'!$R$2:$R$538,"&lt;="&amp;$B25),AL24)</f>
        <v/>
      </c>
    </row>
    <row r="26">
      <c r="B26" s="9" t="n">
        <v>45961</v>
      </c>
      <c r="C26" s="10" t="inlineStr">
        <is>
          <t>Actual</t>
        </is>
      </c>
      <c r="D26" s="11">
        <f>SUMPRODUCT(T26:AB26,$C$8:$K$8)/SUM($C$8:$K$8)</f>
        <v/>
      </c>
      <c r="E26" s="11">
        <f>SUMPRODUCT(AD26:AL26,$C$8:$K$8)/SUM($C$8:$K$8)</f>
        <v/>
      </c>
      <c r="F26" s="11">
        <f>IFERROR((INDEX('T12 Dump'!$D$9:$O$9,MATCH(EOMONTH($B26,-1)+1,'T12 Dump'!$D$3:$O$3,0))-ABS(INDEX('T12 Dump'!$D$11:$O$11,MATCH(EOMONTH($B26,-1)+1,'T12 Dump'!$D$3:$O$3,0))))/($F26*360),"")</f>
        <v/>
      </c>
      <c r="G26" s="12">
        <f>IFERROR(1-ABS(INDEX('T12 Dump'!$D$11:$O$11,MATCH(EOMONTH($B26,-1)+1,'T12 Dump'!$D$3:$O$3,0)))/INDEX('T12 Dump'!$D$7:$O$7,MATCH(EOMONTH($B26,-1)+1,'T12 Dump'!$D$3:$O$3,0)),"")</f>
        <v/>
      </c>
      <c r="H26" s="13">
        <f>IFERROR($F26/$D26-1,"")</f>
        <v/>
      </c>
      <c r="I26" s="14" t="n">
        <v>32</v>
      </c>
      <c r="J26" s="15" t="n"/>
      <c r="K26" s="14" t="n"/>
      <c r="L26" s="16" t="n"/>
      <c r="M26" s="11" t="n"/>
      <c r="N26" s="11" t="n"/>
      <c r="O26" s="17" t="n"/>
      <c r="P26" s="11" t="n"/>
      <c r="T26" s="18">
        <f>IF(COUNTIFS('HD Dump'!$U$2:$U$538,C$7,'HD Dump'!$R$2:$R$538,"&gt;="&amp;$B26-90,'HD Dump'!$R$2:$R$538,"&lt;="&amp;$B26)&gt;0,AVERAGEIFS('HD Dump'!$M$2:$M$538,'HD Dump'!$U$2:$U$538,C$7,'HD Dump'!$R$2:$R$538,"&gt;="&amp;$B26-90,'HD Dump'!$R$2:$R$538,"&lt;="&amp;$B26),T25)</f>
        <v/>
      </c>
      <c r="U26" s="18">
        <f>IF(COUNTIFS('HD Dump'!$U$2:$U$538,D$7,'HD Dump'!$R$2:$R$538,"&gt;="&amp;$B26-90,'HD Dump'!$R$2:$R$538,"&lt;="&amp;$B26)&gt;0,AVERAGEIFS('HD Dump'!$M$2:$M$538,'HD Dump'!$U$2:$U$538,D$7,'HD Dump'!$R$2:$R$538,"&gt;="&amp;$B26-90,'HD Dump'!$R$2:$R$538,"&lt;="&amp;$B26),U25)</f>
        <v/>
      </c>
      <c r="V26" s="18">
        <f>IF(COUNTIFS('HD Dump'!$U$2:$U$538,E$7,'HD Dump'!$R$2:$R$538,"&gt;="&amp;$B26-90,'HD Dump'!$R$2:$R$538,"&lt;="&amp;$B26)&gt;0,AVERAGEIFS('HD Dump'!$M$2:$M$538,'HD Dump'!$U$2:$U$538,E$7,'HD Dump'!$R$2:$R$538,"&gt;="&amp;$B26-90,'HD Dump'!$R$2:$R$538,"&lt;="&amp;$B26),V25)</f>
        <v/>
      </c>
      <c r="W26" s="18">
        <f>IF(COUNTIFS('HD Dump'!$U$2:$U$538,F$7,'HD Dump'!$R$2:$R$538,"&gt;="&amp;$B26-90,'HD Dump'!$R$2:$R$538,"&lt;="&amp;$B26)&gt;0,AVERAGEIFS('HD Dump'!$M$2:$M$538,'HD Dump'!$U$2:$U$538,F$7,'HD Dump'!$R$2:$R$538,"&gt;="&amp;$B26-90,'HD Dump'!$R$2:$R$538,"&lt;="&amp;$B26),W25)</f>
        <v/>
      </c>
      <c r="X26" s="18">
        <f>IF(COUNTIFS('HD Dump'!$U$2:$U$538,G$7,'HD Dump'!$R$2:$R$538,"&gt;="&amp;$B26-90,'HD Dump'!$R$2:$R$538,"&lt;="&amp;$B26)&gt;0,AVERAGEIFS('HD Dump'!$M$2:$M$538,'HD Dump'!$U$2:$U$538,G$7,'HD Dump'!$R$2:$R$538,"&gt;="&amp;$B26-90,'HD Dump'!$R$2:$R$538,"&lt;="&amp;$B26),X25)</f>
        <v/>
      </c>
      <c r="Y26" s="18">
        <f>IF(COUNTIFS('HD Dump'!$U$2:$U$538,H$7,'HD Dump'!$R$2:$R$538,"&gt;="&amp;$B26-90,'HD Dump'!$R$2:$R$538,"&lt;="&amp;$B26)&gt;0,AVERAGEIFS('HD Dump'!$M$2:$M$538,'HD Dump'!$U$2:$U$538,H$7,'HD Dump'!$R$2:$R$538,"&gt;="&amp;$B26-90,'HD Dump'!$R$2:$R$538,"&lt;="&amp;$B26),Y25)</f>
        <v/>
      </c>
      <c r="Z26" s="18">
        <f>IF(COUNTIFS('HD Dump'!$U$2:$U$538,I$7,'HD Dump'!$R$2:$R$538,"&gt;="&amp;$B26-90,'HD Dump'!$R$2:$R$538,"&lt;="&amp;$B26)&gt;0,AVERAGEIFS('HD Dump'!$M$2:$M$538,'HD Dump'!$U$2:$U$538,I$7,'HD Dump'!$R$2:$R$538,"&gt;="&amp;$B26-90,'HD Dump'!$R$2:$R$538,"&lt;="&amp;$B26),Z25)</f>
        <v/>
      </c>
      <c r="AA26" s="18">
        <f>IF(COUNTIFS('HD Dump'!$U$2:$U$538,J$7,'HD Dump'!$R$2:$R$538,"&gt;="&amp;$B26-90,'HD Dump'!$R$2:$R$538,"&lt;="&amp;$B26)&gt;0,AVERAGEIFS('HD Dump'!$M$2:$M$538,'HD Dump'!$U$2:$U$538,J$7,'HD Dump'!$R$2:$R$538,"&gt;="&amp;$B26-90,'HD Dump'!$R$2:$R$538,"&lt;="&amp;$B26),AA25)</f>
        <v/>
      </c>
      <c r="AB26" s="18">
        <f>IF(COUNTIFS('HD Dump'!$U$2:$U$538,K$7,'HD Dump'!$R$2:$R$538,"&gt;="&amp;$B26-90,'HD Dump'!$R$2:$R$538,"&lt;="&amp;$B26)&gt;0,AVERAGEIFS('HD Dump'!$M$2:$M$538,'HD Dump'!$U$2:$U$538,K$7,'HD Dump'!$R$2:$R$538,"&gt;="&amp;$B26-90,'HD Dump'!$R$2:$R$538,"&lt;="&amp;$B26),AB25)</f>
        <v/>
      </c>
      <c r="AD26" s="18">
        <f>IF(COUNTIFS('HD Dump'!$U$2:$U$538,C$7,'HD Dump'!$R$2:$R$538,"&gt;="&amp;$B26-90,'HD Dump'!$R$2:$R$538,"&lt;="&amp;$B26)&gt;0,AVERAGEIFS('HD Dump'!$O$2:$O$538,'HD Dump'!$U$2:$U$538,C$7,'HD Dump'!$R$2:$R$538,"&gt;="&amp;$B26-90,'HD Dump'!$R$2:$R$538,"&lt;="&amp;$B26),AD25)</f>
        <v/>
      </c>
      <c r="AE26" s="18">
        <f>IF(COUNTIFS('HD Dump'!$U$2:$U$538,D$7,'HD Dump'!$R$2:$R$538,"&gt;="&amp;$B26-90,'HD Dump'!$R$2:$R$538,"&lt;="&amp;$B26)&gt;0,AVERAGEIFS('HD Dump'!$O$2:$O$538,'HD Dump'!$U$2:$U$538,D$7,'HD Dump'!$R$2:$R$538,"&gt;="&amp;$B26-90,'HD Dump'!$R$2:$R$538,"&lt;="&amp;$B26),AE25)</f>
        <v/>
      </c>
      <c r="AF26" s="18">
        <f>IF(COUNTIFS('HD Dump'!$U$2:$U$538,E$7,'HD Dump'!$R$2:$R$538,"&gt;="&amp;$B26-90,'HD Dump'!$R$2:$R$538,"&lt;="&amp;$B26)&gt;0,AVERAGEIFS('HD Dump'!$O$2:$O$538,'HD Dump'!$U$2:$U$538,E$7,'HD Dump'!$R$2:$R$538,"&gt;="&amp;$B26-90,'HD Dump'!$R$2:$R$538,"&lt;="&amp;$B26),AF25)</f>
        <v/>
      </c>
      <c r="AG26" s="18">
        <f>IF(COUNTIFS('HD Dump'!$U$2:$U$538,F$7,'HD Dump'!$R$2:$R$538,"&gt;="&amp;$B26-90,'HD Dump'!$R$2:$R$538,"&lt;="&amp;$B26)&gt;0,AVERAGEIFS('HD Dump'!$O$2:$O$538,'HD Dump'!$U$2:$U$538,F$7,'HD Dump'!$R$2:$R$538,"&gt;="&amp;$B26-90,'HD Dump'!$R$2:$R$538,"&lt;="&amp;$B26),AG25)</f>
        <v/>
      </c>
      <c r="AH26" s="18">
        <f>IF(COUNTIFS('HD Dump'!$U$2:$U$538,G$7,'HD Dump'!$R$2:$R$538,"&gt;="&amp;$B26-90,'HD Dump'!$R$2:$R$538,"&lt;="&amp;$B26)&gt;0,AVERAGEIFS('HD Dump'!$O$2:$O$538,'HD Dump'!$U$2:$U$538,G$7,'HD Dump'!$R$2:$R$538,"&gt;="&amp;$B26-90,'HD Dump'!$R$2:$R$538,"&lt;="&amp;$B26),AH25)</f>
        <v/>
      </c>
      <c r="AI26" s="18">
        <f>IF(COUNTIFS('HD Dump'!$U$2:$U$538,H$7,'HD Dump'!$R$2:$R$538,"&gt;="&amp;$B26-90,'HD Dump'!$R$2:$R$538,"&lt;="&amp;$B26)&gt;0,AVERAGEIFS('HD Dump'!$O$2:$O$538,'HD Dump'!$U$2:$U$538,H$7,'HD Dump'!$R$2:$R$538,"&gt;="&amp;$B26-90,'HD Dump'!$R$2:$R$538,"&lt;="&amp;$B26),AI25)</f>
        <v/>
      </c>
      <c r="AJ26" s="18">
        <f>IF(COUNTIFS('HD Dump'!$U$2:$U$538,I$7,'HD Dump'!$R$2:$R$538,"&gt;="&amp;$B26-90,'HD Dump'!$R$2:$R$538,"&lt;="&amp;$B26)&gt;0,AVERAGEIFS('HD Dump'!$O$2:$O$538,'HD Dump'!$U$2:$U$538,I$7,'HD Dump'!$R$2:$R$538,"&gt;="&amp;$B26-90,'HD Dump'!$R$2:$R$538,"&lt;="&amp;$B26),AJ25)</f>
        <v/>
      </c>
      <c r="AK26" s="18">
        <f>IF(COUNTIFS('HD Dump'!$U$2:$U$538,J$7,'HD Dump'!$R$2:$R$538,"&gt;="&amp;$B26-90,'HD Dump'!$R$2:$R$538,"&lt;="&amp;$B26)&gt;0,AVERAGEIFS('HD Dump'!$O$2:$O$538,'HD Dump'!$U$2:$U$538,J$7,'HD Dump'!$R$2:$R$538,"&gt;="&amp;$B26-90,'HD Dump'!$R$2:$R$538,"&lt;="&amp;$B26),AK25)</f>
        <v/>
      </c>
      <c r="AL26" s="18">
        <f>IF(COUNTIFS('HD Dump'!$U$2:$U$538,K$7,'HD Dump'!$R$2:$R$538,"&gt;="&amp;$B26-90,'HD Dump'!$R$2:$R$538,"&lt;="&amp;$B26)&gt;0,AVERAGEIFS('HD Dump'!$O$2:$O$538,'HD Dump'!$U$2:$U$538,K$7,'HD Dump'!$R$2:$R$538,"&gt;="&amp;$B26-90,'HD Dump'!$R$2:$R$538,"&lt;="&amp;$B26),AL25)</f>
        <v/>
      </c>
    </row>
    <row r="27">
      <c r="B27" s="9" t="n">
        <v>45991</v>
      </c>
      <c r="C27" s="10" t="inlineStr">
        <is>
          <t>Actual</t>
        </is>
      </c>
      <c r="D27" s="11">
        <f>SUMPRODUCT(T27:AB27,$C$8:$K$8)/SUM($C$8:$K$8)</f>
        <v/>
      </c>
      <c r="E27" s="11">
        <f>SUMPRODUCT(AD27:AL27,$C$8:$K$8)/SUM($C$8:$K$8)</f>
        <v/>
      </c>
      <c r="F27" s="11">
        <f>IFERROR((INDEX('T12 Dump'!$D$9:$O$9,MATCH(EOMONTH($B27,-1)+1,'T12 Dump'!$D$3:$O$3,0))-ABS(INDEX('T12 Dump'!$D$11:$O$11,MATCH(EOMONTH($B27,-1)+1,'T12 Dump'!$D$3:$O$3,0))))/($F27*360),"")</f>
        <v/>
      </c>
      <c r="G27" s="12">
        <f>IFERROR(1-ABS(INDEX('T12 Dump'!$D$11:$O$11,MATCH(EOMONTH($B27,-1)+1,'T12 Dump'!$D$3:$O$3,0)))/INDEX('T12 Dump'!$D$7:$O$7,MATCH(EOMONTH($B27,-1)+1,'T12 Dump'!$D$3:$O$3,0)),"")</f>
        <v/>
      </c>
      <c r="H27" s="13">
        <f>IFERROR($F27/$D27-1,"")</f>
        <v/>
      </c>
      <c r="I27" s="14" t="n">
        <v>21</v>
      </c>
      <c r="J27" s="15" t="n"/>
      <c r="K27" s="14" t="n"/>
      <c r="L27" s="16" t="n"/>
      <c r="M27" s="11" t="n"/>
      <c r="N27" s="11" t="n"/>
      <c r="O27" s="17" t="n"/>
      <c r="P27" s="11" t="n"/>
      <c r="T27" s="18">
        <f>IF(COUNTIFS('HD Dump'!$U$2:$U$538,C$7,'HD Dump'!$R$2:$R$538,"&gt;="&amp;$B27-90,'HD Dump'!$R$2:$R$538,"&lt;="&amp;$B27)&gt;0,AVERAGEIFS('HD Dump'!$M$2:$M$538,'HD Dump'!$U$2:$U$538,C$7,'HD Dump'!$R$2:$R$538,"&gt;="&amp;$B27-90,'HD Dump'!$R$2:$R$538,"&lt;="&amp;$B27),T26)</f>
        <v/>
      </c>
      <c r="U27" s="18">
        <f>IF(COUNTIFS('HD Dump'!$U$2:$U$538,D$7,'HD Dump'!$R$2:$R$538,"&gt;="&amp;$B27-90,'HD Dump'!$R$2:$R$538,"&lt;="&amp;$B27)&gt;0,AVERAGEIFS('HD Dump'!$M$2:$M$538,'HD Dump'!$U$2:$U$538,D$7,'HD Dump'!$R$2:$R$538,"&gt;="&amp;$B27-90,'HD Dump'!$R$2:$R$538,"&lt;="&amp;$B27),U26)</f>
        <v/>
      </c>
      <c r="V27" s="18">
        <f>IF(COUNTIFS('HD Dump'!$U$2:$U$538,E$7,'HD Dump'!$R$2:$R$538,"&gt;="&amp;$B27-90,'HD Dump'!$R$2:$R$538,"&lt;="&amp;$B27)&gt;0,AVERAGEIFS('HD Dump'!$M$2:$M$538,'HD Dump'!$U$2:$U$538,E$7,'HD Dump'!$R$2:$R$538,"&gt;="&amp;$B27-90,'HD Dump'!$R$2:$R$538,"&lt;="&amp;$B27),V26)</f>
        <v/>
      </c>
      <c r="W27" s="18">
        <f>IF(COUNTIFS('HD Dump'!$U$2:$U$538,F$7,'HD Dump'!$R$2:$R$538,"&gt;="&amp;$B27-90,'HD Dump'!$R$2:$R$538,"&lt;="&amp;$B27)&gt;0,AVERAGEIFS('HD Dump'!$M$2:$M$538,'HD Dump'!$U$2:$U$538,F$7,'HD Dump'!$R$2:$R$538,"&gt;="&amp;$B27-90,'HD Dump'!$R$2:$R$538,"&lt;="&amp;$B27),W26)</f>
        <v/>
      </c>
      <c r="X27" s="18">
        <f>IF(COUNTIFS('HD Dump'!$U$2:$U$538,G$7,'HD Dump'!$R$2:$R$538,"&gt;="&amp;$B27-90,'HD Dump'!$R$2:$R$538,"&lt;="&amp;$B27)&gt;0,AVERAGEIFS('HD Dump'!$M$2:$M$538,'HD Dump'!$U$2:$U$538,G$7,'HD Dump'!$R$2:$R$538,"&gt;="&amp;$B27-90,'HD Dump'!$R$2:$R$538,"&lt;="&amp;$B27),X26)</f>
        <v/>
      </c>
      <c r="Y27" s="18">
        <f>IF(COUNTIFS('HD Dump'!$U$2:$U$538,H$7,'HD Dump'!$R$2:$R$538,"&gt;="&amp;$B27-90,'HD Dump'!$R$2:$R$538,"&lt;="&amp;$B27)&gt;0,AVERAGEIFS('HD Dump'!$M$2:$M$538,'HD Dump'!$U$2:$U$538,H$7,'HD Dump'!$R$2:$R$538,"&gt;="&amp;$B27-90,'HD Dump'!$R$2:$R$538,"&lt;="&amp;$B27),Y26)</f>
        <v/>
      </c>
      <c r="Z27" s="18">
        <f>IF(COUNTIFS('HD Dump'!$U$2:$U$538,I$7,'HD Dump'!$R$2:$R$538,"&gt;="&amp;$B27-90,'HD Dump'!$R$2:$R$538,"&lt;="&amp;$B27)&gt;0,AVERAGEIFS('HD Dump'!$M$2:$M$538,'HD Dump'!$U$2:$U$538,I$7,'HD Dump'!$R$2:$R$538,"&gt;="&amp;$B27-90,'HD Dump'!$R$2:$R$538,"&lt;="&amp;$B27),Z26)</f>
        <v/>
      </c>
      <c r="AA27" s="18">
        <f>IF(COUNTIFS('HD Dump'!$U$2:$U$538,J$7,'HD Dump'!$R$2:$R$538,"&gt;="&amp;$B27-90,'HD Dump'!$R$2:$R$538,"&lt;="&amp;$B27)&gt;0,AVERAGEIFS('HD Dump'!$M$2:$M$538,'HD Dump'!$U$2:$U$538,J$7,'HD Dump'!$R$2:$R$538,"&gt;="&amp;$B27-90,'HD Dump'!$R$2:$R$538,"&lt;="&amp;$B27),AA26)</f>
        <v/>
      </c>
      <c r="AB27" s="18">
        <f>IF(COUNTIFS('HD Dump'!$U$2:$U$538,K$7,'HD Dump'!$R$2:$R$538,"&gt;="&amp;$B27-90,'HD Dump'!$R$2:$R$538,"&lt;="&amp;$B27)&gt;0,AVERAGEIFS('HD Dump'!$M$2:$M$538,'HD Dump'!$U$2:$U$538,K$7,'HD Dump'!$R$2:$R$538,"&gt;="&amp;$B27-90,'HD Dump'!$R$2:$R$538,"&lt;="&amp;$B27),AB26)</f>
        <v/>
      </c>
      <c r="AD27" s="18">
        <f>IF(COUNTIFS('HD Dump'!$U$2:$U$538,C$7,'HD Dump'!$R$2:$R$538,"&gt;="&amp;$B27-90,'HD Dump'!$R$2:$R$538,"&lt;="&amp;$B27)&gt;0,AVERAGEIFS('HD Dump'!$O$2:$O$538,'HD Dump'!$U$2:$U$538,C$7,'HD Dump'!$R$2:$R$538,"&gt;="&amp;$B27-90,'HD Dump'!$R$2:$R$538,"&lt;="&amp;$B27),AD26)</f>
        <v/>
      </c>
      <c r="AE27" s="18">
        <f>IF(COUNTIFS('HD Dump'!$U$2:$U$538,D$7,'HD Dump'!$R$2:$R$538,"&gt;="&amp;$B27-90,'HD Dump'!$R$2:$R$538,"&lt;="&amp;$B27)&gt;0,AVERAGEIFS('HD Dump'!$O$2:$O$538,'HD Dump'!$U$2:$U$538,D$7,'HD Dump'!$R$2:$R$538,"&gt;="&amp;$B27-90,'HD Dump'!$R$2:$R$538,"&lt;="&amp;$B27),AE26)</f>
        <v/>
      </c>
      <c r="AF27" s="18">
        <f>IF(COUNTIFS('HD Dump'!$U$2:$U$538,E$7,'HD Dump'!$R$2:$R$538,"&gt;="&amp;$B27-90,'HD Dump'!$R$2:$R$538,"&lt;="&amp;$B27)&gt;0,AVERAGEIFS('HD Dump'!$O$2:$O$538,'HD Dump'!$U$2:$U$538,E$7,'HD Dump'!$R$2:$R$538,"&gt;="&amp;$B27-90,'HD Dump'!$R$2:$R$538,"&lt;="&amp;$B27),AF26)</f>
        <v/>
      </c>
      <c r="AG27" s="18">
        <f>IF(COUNTIFS('HD Dump'!$U$2:$U$538,F$7,'HD Dump'!$R$2:$R$538,"&gt;="&amp;$B27-90,'HD Dump'!$R$2:$R$538,"&lt;="&amp;$B27)&gt;0,AVERAGEIFS('HD Dump'!$O$2:$O$538,'HD Dump'!$U$2:$U$538,F$7,'HD Dump'!$R$2:$R$538,"&gt;="&amp;$B27-90,'HD Dump'!$R$2:$R$538,"&lt;="&amp;$B27),AG26)</f>
        <v/>
      </c>
      <c r="AH27" s="18">
        <f>IF(COUNTIFS('HD Dump'!$U$2:$U$538,G$7,'HD Dump'!$R$2:$R$538,"&gt;="&amp;$B27-90,'HD Dump'!$R$2:$R$538,"&lt;="&amp;$B27)&gt;0,AVERAGEIFS('HD Dump'!$O$2:$O$538,'HD Dump'!$U$2:$U$538,G$7,'HD Dump'!$R$2:$R$538,"&gt;="&amp;$B27-90,'HD Dump'!$R$2:$R$538,"&lt;="&amp;$B27),AH26)</f>
        <v/>
      </c>
      <c r="AI27" s="18">
        <f>IF(COUNTIFS('HD Dump'!$U$2:$U$538,H$7,'HD Dump'!$R$2:$R$538,"&gt;="&amp;$B27-90,'HD Dump'!$R$2:$R$538,"&lt;="&amp;$B27)&gt;0,AVERAGEIFS('HD Dump'!$O$2:$O$538,'HD Dump'!$U$2:$U$538,H$7,'HD Dump'!$R$2:$R$538,"&gt;="&amp;$B27-90,'HD Dump'!$R$2:$R$538,"&lt;="&amp;$B27),AI26)</f>
        <v/>
      </c>
      <c r="AJ27" s="18">
        <f>IF(COUNTIFS('HD Dump'!$U$2:$U$538,I$7,'HD Dump'!$R$2:$R$538,"&gt;="&amp;$B27-90,'HD Dump'!$R$2:$R$538,"&lt;="&amp;$B27)&gt;0,AVERAGEIFS('HD Dump'!$O$2:$O$538,'HD Dump'!$U$2:$U$538,I$7,'HD Dump'!$R$2:$R$538,"&gt;="&amp;$B27-90,'HD Dump'!$R$2:$R$538,"&lt;="&amp;$B27),AJ26)</f>
        <v/>
      </c>
      <c r="AK27" s="18">
        <f>IF(COUNTIFS('HD Dump'!$U$2:$U$538,J$7,'HD Dump'!$R$2:$R$538,"&gt;="&amp;$B27-90,'HD Dump'!$R$2:$R$538,"&lt;="&amp;$B27)&gt;0,AVERAGEIFS('HD Dump'!$O$2:$O$538,'HD Dump'!$U$2:$U$538,J$7,'HD Dump'!$R$2:$R$538,"&gt;="&amp;$B27-90,'HD Dump'!$R$2:$R$538,"&lt;="&amp;$B27),AK26)</f>
        <v/>
      </c>
      <c r="AL27" s="18">
        <f>IF(COUNTIFS('HD Dump'!$U$2:$U$538,K$7,'HD Dump'!$R$2:$R$538,"&gt;="&amp;$B27-90,'HD Dump'!$R$2:$R$538,"&lt;="&amp;$B27)&gt;0,AVERAGEIFS('HD Dump'!$O$2:$O$538,'HD Dump'!$U$2:$U$538,K$7,'HD Dump'!$R$2:$R$538,"&gt;="&amp;$B27-90,'HD Dump'!$R$2:$R$538,"&lt;="&amp;$B27),AL26)</f>
        <v/>
      </c>
    </row>
    <row r="28">
      <c r="B28" s="9" t="n">
        <v>46022</v>
      </c>
      <c r="C28" s="10" t="inlineStr">
        <is>
          <t>Actual</t>
        </is>
      </c>
      <c r="D28" s="11">
        <f>SUMPRODUCT(T28:AB28,$C$8:$K$8)/SUM($C$8:$K$8)</f>
        <v/>
      </c>
      <c r="E28" s="11">
        <f>SUMPRODUCT(AD28:AL28,$C$8:$K$8)/SUM($C$8:$K$8)</f>
        <v/>
      </c>
      <c r="F28" s="11">
        <f>IFERROR((INDEX('T12 Dump'!$D$9:$O$9,MATCH(EOMONTH($B28,-1)+1,'T12 Dump'!$D$3:$O$3,0))-ABS(INDEX('T12 Dump'!$D$11:$O$11,MATCH(EOMONTH($B28,-1)+1,'T12 Dump'!$D$3:$O$3,0))))/($F28*360),"")</f>
        <v/>
      </c>
      <c r="G28" s="12">
        <f>IFERROR(1-ABS(INDEX('T12 Dump'!$D$11:$O$11,MATCH(EOMONTH($B28,-1)+1,'T12 Dump'!$D$3:$O$3,0)))/INDEX('T12 Dump'!$D$7:$O$7,MATCH(EOMONTH($B28,-1)+1,'T12 Dump'!$D$3:$O$3,0)),"")</f>
        <v/>
      </c>
      <c r="H28" s="13">
        <f>IFERROR($F28/$D28-1,"")</f>
        <v/>
      </c>
      <c r="I28" s="14" t="n">
        <v>23</v>
      </c>
      <c r="J28" s="15" t="n"/>
      <c r="K28" s="14" t="n"/>
      <c r="L28" s="16" t="n"/>
      <c r="M28" s="11" t="n"/>
      <c r="N28" s="11" t="n"/>
      <c r="O28" s="17" t="n"/>
      <c r="P28" s="11" t="n"/>
      <c r="T28" s="18">
        <f>IF(COUNTIFS('HD Dump'!$U$2:$U$538,C$7,'HD Dump'!$R$2:$R$538,"&gt;="&amp;$B28-90,'HD Dump'!$R$2:$R$538,"&lt;="&amp;$B28)&gt;0,AVERAGEIFS('HD Dump'!$M$2:$M$538,'HD Dump'!$U$2:$U$538,C$7,'HD Dump'!$R$2:$R$538,"&gt;="&amp;$B28-90,'HD Dump'!$R$2:$R$538,"&lt;="&amp;$B28),T27)</f>
        <v/>
      </c>
      <c r="U28" s="18">
        <f>IF(COUNTIFS('HD Dump'!$U$2:$U$538,D$7,'HD Dump'!$R$2:$R$538,"&gt;="&amp;$B28-90,'HD Dump'!$R$2:$R$538,"&lt;="&amp;$B28)&gt;0,AVERAGEIFS('HD Dump'!$M$2:$M$538,'HD Dump'!$U$2:$U$538,D$7,'HD Dump'!$R$2:$R$538,"&gt;="&amp;$B28-90,'HD Dump'!$R$2:$R$538,"&lt;="&amp;$B28),U27)</f>
        <v/>
      </c>
      <c r="V28" s="18">
        <f>IF(COUNTIFS('HD Dump'!$U$2:$U$538,E$7,'HD Dump'!$R$2:$R$538,"&gt;="&amp;$B28-90,'HD Dump'!$R$2:$R$538,"&lt;="&amp;$B28)&gt;0,AVERAGEIFS('HD Dump'!$M$2:$M$538,'HD Dump'!$U$2:$U$538,E$7,'HD Dump'!$R$2:$R$538,"&gt;="&amp;$B28-90,'HD Dump'!$R$2:$R$538,"&lt;="&amp;$B28),V27)</f>
        <v/>
      </c>
      <c r="W28" s="18">
        <f>IF(COUNTIFS('HD Dump'!$U$2:$U$538,F$7,'HD Dump'!$R$2:$R$538,"&gt;="&amp;$B28-90,'HD Dump'!$R$2:$R$538,"&lt;="&amp;$B28)&gt;0,AVERAGEIFS('HD Dump'!$M$2:$M$538,'HD Dump'!$U$2:$U$538,F$7,'HD Dump'!$R$2:$R$538,"&gt;="&amp;$B28-90,'HD Dump'!$R$2:$R$538,"&lt;="&amp;$B28),W27)</f>
        <v/>
      </c>
      <c r="X28" s="18">
        <f>IF(COUNTIFS('HD Dump'!$U$2:$U$538,G$7,'HD Dump'!$R$2:$R$538,"&gt;="&amp;$B28-90,'HD Dump'!$R$2:$R$538,"&lt;="&amp;$B28)&gt;0,AVERAGEIFS('HD Dump'!$M$2:$M$538,'HD Dump'!$U$2:$U$538,G$7,'HD Dump'!$R$2:$R$538,"&gt;="&amp;$B28-90,'HD Dump'!$R$2:$R$538,"&lt;="&amp;$B28),X27)</f>
        <v/>
      </c>
      <c r="Y28" s="18">
        <f>IF(COUNTIFS('HD Dump'!$U$2:$U$538,H$7,'HD Dump'!$R$2:$R$538,"&gt;="&amp;$B28-90,'HD Dump'!$R$2:$R$538,"&lt;="&amp;$B28)&gt;0,AVERAGEIFS('HD Dump'!$M$2:$M$538,'HD Dump'!$U$2:$U$538,H$7,'HD Dump'!$R$2:$R$538,"&gt;="&amp;$B28-90,'HD Dump'!$R$2:$R$538,"&lt;="&amp;$B28),Y27)</f>
        <v/>
      </c>
      <c r="Z28" s="18">
        <f>IF(COUNTIFS('HD Dump'!$U$2:$U$538,I$7,'HD Dump'!$R$2:$R$538,"&gt;="&amp;$B28-90,'HD Dump'!$R$2:$R$538,"&lt;="&amp;$B28)&gt;0,AVERAGEIFS('HD Dump'!$M$2:$M$538,'HD Dump'!$U$2:$U$538,I$7,'HD Dump'!$R$2:$R$538,"&gt;="&amp;$B28-90,'HD Dump'!$R$2:$R$538,"&lt;="&amp;$B28),Z27)</f>
        <v/>
      </c>
      <c r="AA28" s="18">
        <f>IF(COUNTIFS('HD Dump'!$U$2:$U$538,J$7,'HD Dump'!$R$2:$R$538,"&gt;="&amp;$B28-90,'HD Dump'!$R$2:$R$538,"&lt;="&amp;$B28)&gt;0,AVERAGEIFS('HD Dump'!$M$2:$M$538,'HD Dump'!$U$2:$U$538,J$7,'HD Dump'!$R$2:$R$538,"&gt;="&amp;$B28-90,'HD Dump'!$R$2:$R$538,"&lt;="&amp;$B28),AA27)</f>
        <v/>
      </c>
      <c r="AB28" s="18">
        <f>IF(COUNTIFS('HD Dump'!$U$2:$U$538,K$7,'HD Dump'!$R$2:$R$538,"&gt;="&amp;$B28-90,'HD Dump'!$R$2:$R$538,"&lt;="&amp;$B28)&gt;0,AVERAGEIFS('HD Dump'!$M$2:$M$538,'HD Dump'!$U$2:$U$538,K$7,'HD Dump'!$R$2:$R$538,"&gt;="&amp;$B28-90,'HD Dump'!$R$2:$R$538,"&lt;="&amp;$B28),AB27)</f>
        <v/>
      </c>
      <c r="AD28" s="18">
        <f>IF(COUNTIFS('HD Dump'!$U$2:$U$538,C$7,'HD Dump'!$R$2:$R$538,"&gt;="&amp;$B28-90,'HD Dump'!$R$2:$R$538,"&lt;="&amp;$B28)&gt;0,AVERAGEIFS('HD Dump'!$O$2:$O$538,'HD Dump'!$U$2:$U$538,C$7,'HD Dump'!$R$2:$R$538,"&gt;="&amp;$B28-90,'HD Dump'!$R$2:$R$538,"&lt;="&amp;$B28),AD27)</f>
        <v/>
      </c>
      <c r="AE28" s="18">
        <f>IF(COUNTIFS('HD Dump'!$U$2:$U$538,D$7,'HD Dump'!$R$2:$R$538,"&gt;="&amp;$B28-90,'HD Dump'!$R$2:$R$538,"&lt;="&amp;$B28)&gt;0,AVERAGEIFS('HD Dump'!$O$2:$O$538,'HD Dump'!$U$2:$U$538,D$7,'HD Dump'!$R$2:$R$538,"&gt;="&amp;$B28-90,'HD Dump'!$R$2:$R$538,"&lt;="&amp;$B28),AE27)</f>
        <v/>
      </c>
      <c r="AF28" s="18">
        <f>IF(COUNTIFS('HD Dump'!$U$2:$U$538,E$7,'HD Dump'!$R$2:$R$538,"&gt;="&amp;$B28-90,'HD Dump'!$R$2:$R$538,"&lt;="&amp;$B28)&gt;0,AVERAGEIFS('HD Dump'!$O$2:$O$538,'HD Dump'!$U$2:$U$538,E$7,'HD Dump'!$R$2:$R$538,"&gt;="&amp;$B28-90,'HD Dump'!$R$2:$R$538,"&lt;="&amp;$B28),AF27)</f>
        <v/>
      </c>
      <c r="AG28" s="18">
        <f>IF(COUNTIFS('HD Dump'!$U$2:$U$538,F$7,'HD Dump'!$R$2:$R$538,"&gt;="&amp;$B28-90,'HD Dump'!$R$2:$R$538,"&lt;="&amp;$B28)&gt;0,AVERAGEIFS('HD Dump'!$O$2:$O$538,'HD Dump'!$U$2:$U$538,F$7,'HD Dump'!$R$2:$R$538,"&gt;="&amp;$B28-90,'HD Dump'!$R$2:$R$538,"&lt;="&amp;$B28),AG27)</f>
        <v/>
      </c>
      <c r="AH28" s="18">
        <f>IF(COUNTIFS('HD Dump'!$U$2:$U$538,G$7,'HD Dump'!$R$2:$R$538,"&gt;="&amp;$B28-90,'HD Dump'!$R$2:$R$538,"&lt;="&amp;$B28)&gt;0,AVERAGEIFS('HD Dump'!$O$2:$O$538,'HD Dump'!$U$2:$U$538,G$7,'HD Dump'!$R$2:$R$538,"&gt;="&amp;$B28-90,'HD Dump'!$R$2:$R$538,"&lt;="&amp;$B28),AH27)</f>
        <v/>
      </c>
      <c r="AI28" s="18">
        <f>IF(COUNTIFS('HD Dump'!$U$2:$U$538,H$7,'HD Dump'!$R$2:$R$538,"&gt;="&amp;$B28-90,'HD Dump'!$R$2:$R$538,"&lt;="&amp;$B28)&gt;0,AVERAGEIFS('HD Dump'!$O$2:$O$538,'HD Dump'!$U$2:$U$538,H$7,'HD Dump'!$R$2:$R$538,"&gt;="&amp;$B28-90,'HD Dump'!$R$2:$R$538,"&lt;="&amp;$B28),AI27)</f>
        <v/>
      </c>
      <c r="AJ28" s="18">
        <f>IF(COUNTIFS('HD Dump'!$U$2:$U$538,I$7,'HD Dump'!$R$2:$R$538,"&gt;="&amp;$B28-90,'HD Dump'!$R$2:$R$538,"&lt;="&amp;$B28)&gt;0,AVERAGEIFS('HD Dump'!$O$2:$O$538,'HD Dump'!$U$2:$U$538,I$7,'HD Dump'!$R$2:$R$538,"&gt;="&amp;$B28-90,'HD Dump'!$R$2:$R$538,"&lt;="&amp;$B28),AJ27)</f>
        <v/>
      </c>
      <c r="AK28" s="18">
        <f>IF(COUNTIFS('HD Dump'!$U$2:$U$538,J$7,'HD Dump'!$R$2:$R$538,"&gt;="&amp;$B28-90,'HD Dump'!$R$2:$R$538,"&lt;="&amp;$B28)&gt;0,AVERAGEIFS('HD Dump'!$O$2:$O$538,'HD Dump'!$U$2:$U$538,J$7,'HD Dump'!$R$2:$R$538,"&gt;="&amp;$B28-90,'HD Dump'!$R$2:$R$538,"&lt;="&amp;$B28),AK27)</f>
        <v/>
      </c>
      <c r="AL28" s="18">
        <f>IF(COUNTIFS('HD Dump'!$U$2:$U$538,K$7,'HD Dump'!$R$2:$R$538,"&gt;="&amp;$B28-90,'HD Dump'!$R$2:$R$538,"&lt;="&amp;$B28)&gt;0,AVERAGEIFS('HD Dump'!$O$2:$O$538,'HD Dump'!$U$2:$U$538,K$7,'HD Dump'!$R$2:$R$538,"&gt;="&amp;$B28-90,'HD Dump'!$R$2:$R$538,"&lt;="&amp;$B28),AL27)</f>
        <v/>
      </c>
    </row>
    <row r="29">
      <c r="B29" s="9" t="n">
        <v>46053</v>
      </c>
      <c r="C29" s="10" t="inlineStr">
        <is>
          <t>Actual</t>
        </is>
      </c>
      <c r="D29" s="11">
        <f>SUMPRODUCT(T29:AB29,$C$8:$K$8)/SUM($C$8:$K$8)</f>
        <v/>
      </c>
      <c r="E29" s="11">
        <f>SUMPRODUCT(AD29:AL29,$C$8:$K$8)/SUM($C$8:$K$8)</f>
        <v/>
      </c>
      <c r="F29" s="11">
        <f>IFERROR((INDEX('T12 Dump'!$D$9:$O$9,MATCH(EOMONTH($B29,-1)+1,'T12 Dump'!$D$3:$O$3,0))-ABS(INDEX('T12 Dump'!$D$11:$O$11,MATCH(EOMONTH($B29,-1)+1,'T12 Dump'!$D$3:$O$3,0))))/($F29*360),"")</f>
        <v/>
      </c>
      <c r="G29" s="12">
        <f>IFERROR(1-ABS(INDEX('T12 Dump'!$D$11:$O$11,MATCH(EOMONTH($B29,-1)+1,'T12 Dump'!$D$3:$O$3,0)))/INDEX('T12 Dump'!$D$7:$O$7,MATCH(EOMONTH($B29,-1)+1,'T12 Dump'!$D$3:$O$3,0)),"")</f>
        <v/>
      </c>
      <c r="H29" s="13">
        <f>IFERROR($F29/$D29-1,"")</f>
        <v/>
      </c>
      <c r="I29" s="14" t="n">
        <v>6</v>
      </c>
      <c r="J29" s="15" t="n">
        <v>2</v>
      </c>
      <c r="K29" s="14" t="n">
        <v>8</v>
      </c>
      <c r="L29" s="16" t="n"/>
      <c r="M29" s="11" t="n"/>
      <c r="N29" s="11" t="n"/>
      <c r="O29" s="17" t="n">
        <v>0</v>
      </c>
      <c r="P29" s="11" t="n"/>
      <c r="T29" s="18">
        <f>IF(COUNTIFS('HD Dump'!$U$2:$U$538,C$7,'HD Dump'!$R$2:$R$538,"&gt;="&amp;$B29-90,'HD Dump'!$R$2:$R$538,"&lt;="&amp;$B29)&gt;0,AVERAGEIFS('HD Dump'!$M$2:$M$538,'HD Dump'!$U$2:$U$538,C$7,'HD Dump'!$R$2:$R$538,"&gt;="&amp;$B29-90,'HD Dump'!$R$2:$R$538,"&lt;="&amp;$B29),T28)</f>
        <v/>
      </c>
      <c r="U29" s="18">
        <f>IF(COUNTIFS('HD Dump'!$U$2:$U$538,D$7,'HD Dump'!$R$2:$R$538,"&gt;="&amp;$B29-90,'HD Dump'!$R$2:$R$538,"&lt;="&amp;$B29)&gt;0,AVERAGEIFS('HD Dump'!$M$2:$M$538,'HD Dump'!$U$2:$U$538,D$7,'HD Dump'!$R$2:$R$538,"&gt;="&amp;$B29-90,'HD Dump'!$R$2:$R$538,"&lt;="&amp;$B29),U28)</f>
        <v/>
      </c>
      <c r="V29" s="18">
        <f>IF(COUNTIFS('HD Dump'!$U$2:$U$538,E$7,'HD Dump'!$R$2:$R$538,"&gt;="&amp;$B29-90,'HD Dump'!$R$2:$R$538,"&lt;="&amp;$B29)&gt;0,AVERAGEIFS('HD Dump'!$M$2:$M$538,'HD Dump'!$U$2:$U$538,E$7,'HD Dump'!$R$2:$R$538,"&gt;="&amp;$B29-90,'HD Dump'!$R$2:$R$538,"&lt;="&amp;$B29),V28)</f>
        <v/>
      </c>
      <c r="W29" s="18">
        <f>IF(COUNTIFS('HD Dump'!$U$2:$U$538,F$7,'HD Dump'!$R$2:$R$538,"&gt;="&amp;$B29-90,'HD Dump'!$R$2:$R$538,"&lt;="&amp;$B29)&gt;0,AVERAGEIFS('HD Dump'!$M$2:$M$538,'HD Dump'!$U$2:$U$538,F$7,'HD Dump'!$R$2:$R$538,"&gt;="&amp;$B29-90,'HD Dump'!$R$2:$R$538,"&lt;="&amp;$B29),W28)</f>
        <v/>
      </c>
      <c r="X29" s="18">
        <f>IF(COUNTIFS('HD Dump'!$U$2:$U$538,G$7,'HD Dump'!$R$2:$R$538,"&gt;="&amp;$B29-90,'HD Dump'!$R$2:$R$538,"&lt;="&amp;$B29)&gt;0,AVERAGEIFS('HD Dump'!$M$2:$M$538,'HD Dump'!$U$2:$U$538,G$7,'HD Dump'!$R$2:$R$538,"&gt;="&amp;$B29-90,'HD Dump'!$R$2:$R$538,"&lt;="&amp;$B29),X28)</f>
        <v/>
      </c>
      <c r="Y29" s="18">
        <f>IF(COUNTIFS('HD Dump'!$U$2:$U$538,H$7,'HD Dump'!$R$2:$R$538,"&gt;="&amp;$B29-90,'HD Dump'!$R$2:$R$538,"&lt;="&amp;$B29)&gt;0,AVERAGEIFS('HD Dump'!$M$2:$M$538,'HD Dump'!$U$2:$U$538,H$7,'HD Dump'!$R$2:$R$538,"&gt;="&amp;$B29-90,'HD Dump'!$R$2:$R$538,"&lt;="&amp;$B29),Y28)</f>
        <v/>
      </c>
      <c r="Z29" s="18">
        <f>IF(COUNTIFS('HD Dump'!$U$2:$U$538,I$7,'HD Dump'!$R$2:$R$538,"&gt;="&amp;$B29-90,'HD Dump'!$R$2:$R$538,"&lt;="&amp;$B29)&gt;0,AVERAGEIFS('HD Dump'!$M$2:$M$538,'HD Dump'!$U$2:$U$538,I$7,'HD Dump'!$R$2:$R$538,"&gt;="&amp;$B29-90,'HD Dump'!$R$2:$R$538,"&lt;="&amp;$B29),Z28)</f>
        <v/>
      </c>
      <c r="AA29" s="18">
        <f>IF(COUNTIFS('HD Dump'!$U$2:$U$538,J$7,'HD Dump'!$R$2:$R$538,"&gt;="&amp;$B29-90,'HD Dump'!$R$2:$R$538,"&lt;="&amp;$B29)&gt;0,AVERAGEIFS('HD Dump'!$M$2:$M$538,'HD Dump'!$U$2:$U$538,J$7,'HD Dump'!$R$2:$R$538,"&gt;="&amp;$B29-90,'HD Dump'!$R$2:$R$538,"&lt;="&amp;$B29),AA28)</f>
        <v/>
      </c>
      <c r="AB29" s="18">
        <f>IF(COUNTIFS('HD Dump'!$U$2:$U$538,K$7,'HD Dump'!$R$2:$R$538,"&gt;="&amp;$B29-90,'HD Dump'!$R$2:$R$538,"&lt;="&amp;$B29)&gt;0,AVERAGEIFS('HD Dump'!$M$2:$M$538,'HD Dump'!$U$2:$U$538,K$7,'HD Dump'!$R$2:$R$538,"&gt;="&amp;$B29-90,'HD Dump'!$R$2:$R$538,"&lt;="&amp;$B29),AB28)</f>
        <v/>
      </c>
      <c r="AD29" s="18">
        <f>IF(COUNTIFS('HD Dump'!$U$2:$U$538,C$7,'HD Dump'!$R$2:$R$538,"&gt;="&amp;$B29-90,'HD Dump'!$R$2:$R$538,"&lt;="&amp;$B29)&gt;0,AVERAGEIFS('HD Dump'!$O$2:$O$538,'HD Dump'!$U$2:$U$538,C$7,'HD Dump'!$R$2:$R$538,"&gt;="&amp;$B29-90,'HD Dump'!$R$2:$R$538,"&lt;="&amp;$B29),AD28)</f>
        <v/>
      </c>
      <c r="AE29" s="18">
        <f>IF(COUNTIFS('HD Dump'!$U$2:$U$538,D$7,'HD Dump'!$R$2:$R$538,"&gt;="&amp;$B29-90,'HD Dump'!$R$2:$R$538,"&lt;="&amp;$B29)&gt;0,AVERAGEIFS('HD Dump'!$O$2:$O$538,'HD Dump'!$U$2:$U$538,D$7,'HD Dump'!$R$2:$R$538,"&gt;="&amp;$B29-90,'HD Dump'!$R$2:$R$538,"&lt;="&amp;$B29),AE28)</f>
        <v/>
      </c>
      <c r="AF29" s="18">
        <f>IF(COUNTIFS('HD Dump'!$U$2:$U$538,E$7,'HD Dump'!$R$2:$R$538,"&gt;="&amp;$B29-90,'HD Dump'!$R$2:$R$538,"&lt;="&amp;$B29)&gt;0,AVERAGEIFS('HD Dump'!$O$2:$O$538,'HD Dump'!$U$2:$U$538,E$7,'HD Dump'!$R$2:$R$538,"&gt;="&amp;$B29-90,'HD Dump'!$R$2:$R$538,"&lt;="&amp;$B29),AF28)</f>
        <v/>
      </c>
      <c r="AG29" s="18">
        <f>IF(COUNTIFS('HD Dump'!$U$2:$U$538,F$7,'HD Dump'!$R$2:$R$538,"&gt;="&amp;$B29-90,'HD Dump'!$R$2:$R$538,"&lt;="&amp;$B29)&gt;0,AVERAGEIFS('HD Dump'!$O$2:$O$538,'HD Dump'!$U$2:$U$538,F$7,'HD Dump'!$R$2:$R$538,"&gt;="&amp;$B29-90,'HD Dump'!$R$2:$R$538,"&lt;="&amp;$B29),AG28)</f>
        <v/>
      </c>
      <c r="AH29" s="18">
        <f>IF(COUNTIFS('HD Dump'!$U$2:$U$538,G$7,'HD Dump'!$R$2:$R$538,"&gt;="&amp;$B29-90,'HD Dump'!$R$2:$R$538,"&lt;="&amp;$B29)&gt;0,AVERAGEIFS('HD Dump'!$O$2:$O$538,'HD Dump'!$U$2:$U$538,G$7,'HD Dump'!$R$2:$R$538,"&gt;="&amp;$B29-90,'HD Dump'!$R$2:$R$538,"&lt;="&amp;$B29),AH28)</f>
        <v/>
      </c>
      <c r="AI29" s="18">
        <f>IF(COUNTIFS('HD Dump'!$U$2:$U$538,H$7,'HD Dump'!$R$2:$R$538,"&gt;="&amp;$B29-90,'HD Dump'!$R$2:$R$538,"&lt;="&amp;$B29)&gt;0,AVERAGEIFS('HD Dump'!$O$2:$O$538,'HD Dump'!$U$2:$U$538,H$7,'HD Dump'!$R$2:$R$538,"&gt;="&amp;$B29-90,'HD Dump'!$R$2:$R$538,"&lt;="&amp;$B29),AI28)</f>
        <v/>
      </c>
      <c r="AJ29" s="18">
        <f>IF(COUNTIFS('HD Dump'!$U$2:$U$538,I$7,'HD Dump'!$R$2:$R$538,"&gt;="&amp;$B29-90,'HD Dump'!$R$2:$R$538,"&lt;="&amp;$B29)&gt;0,AVERAGEIFS('HD Dump'!$O$2:$O$538,'HD Dump'!$U$2:$U$538,I$7,'HD Dump'!$R$2:$R$538,"&gt;="&amp;$B29-90,'HD Dump'!$R$2:$R$538,"&lt;="&amp;$B29),AJ28)</f>
        <v/>
      </c>
      <c r="AK29" s="18">
        <f>IF(COUNTIFS('HD Dump'!$U$2:$U$538,J$7,'HD Dump'!$R$2:$R$538,"&gt;="&amp;$B29-90,'HD Dump'!$R$2:$R$538,"&lt;="&amp;$B29)&gt;0,AVERAGEIFS('HD Dump'!$O$2:$O$538,'HD Dump'!$U$2:$U$538,J$7,'HD Dump'!$R$2:$R$538,"&gt;="&amp;$B29-90,'HD Dump'!$R$2:$R$538,"&lt;="&amp;$B29),AK28)</f>
        <v/>
      </c>
      <c r="AL29" s="18">
        <f>IF(COUNTIFS('HD Dump'!$U$2:$U$538,K$7,'HD Dump'!$R$2:$R$538,"&gt;="&amp;$B29-90,'HD Dump'!$R$2:$R$538,"&lt;="&amp;$B29)&gt;0,AVERAGEIFS('HD Dump'!$O$2:$O$538,'HD Dump'!$U$2:$U$538,K$7,'HD Dump'!$R$2:$R$538,"&gt;="&amp;$B29-90,'HD Dump'!$R$2:$R$538,"&lt;="&amp;$B29),AL28)</f>
        <v/>
      </c>
    </row>
    <row r="30">
      <c r="B30" s="9" t="n">
        <v>46081</v>
      </c>
      <c r="C30" s="10" t="inlineStr">
        <is>
          <t>Actual</t>
        </is>
      </c>
      <c r="D30" s="11">
        <f>SUMPRODUCT(T30:AB30,$C$8:$K$8)/SUM($C$8:$K$8)</f>
        <v/>
      </c>
      <c r="E30" s="11">
        <f>SUMPRODUCT(AD30:AL30,$C$8:$K$8)/SUM($C$8:$K$8)</f>
        <v/>
      </c>
      <c r="F30" s="11">
        <f>IFERROR((INDEX('T12 Dump'!$D$9:$O$9,MATCH(EOMONTH($B30,-1)+1,'T12 Dump'!$D$3:$O$3,0))-ABS(INDEX('T12 Dump'!$D$11:$O$11,MATCH(EOMONTH($B30,-1)+1,'T12 Dump'!$D$3:$O$3,0))))/($F30*360),"")</f>
        <v/>
      </c>
      <c r="G30" s="12">
        <f>IFERROR(1-ABS(INDEX('T12 Dump'!$D$11:$O$11,MATCH(EOMONTH($B30,-1)+1,'T12 Dump'!$D$3:$O$3,0)))/INDEX('T12 Dump'!$D$7:$O$7,MATCH(EOMONTH($B30,-1)+1,'T12 Dump'!$D$3:$O$3,0)),"")</f>
        <v/>
      </c>
      <c r="H30" s="13">
        <f>IFERROR($F30/$D30-1,"")</f>
        <v/>
      </c>
      <c r="I30" s="14" t="n">
        <v>26</v>
      </c>
      <c r="J30" s="15" t="n">
        <v>3</v>
      </c>
      <c r="K30" s="14" t="n">
        <v>12</v>
      </c>
      <c r="L30" s="16" t="n"/>
      <c r="M30" s="11" t="n"/>
      <c r="N30" s="11" t="n"/>
      <c r="O30" s="17" t="n">
        <v>0.02694567613411694</v>
      </c>
      <c r="P30" s="11" t="n"/>
      <c r="T30" s="18">
        <f>IF(COUNTIFS('HD Dump'!$U$2:$U$538,C$7,'HD Dump'!$R$2:$R$538,"&gt;="&amp;$B30-90,'HD Dump'!$R$2:$R$538,"&lt;="&amp;$B30)&gt;0,AVERAGEIFS('HD Dump'!$M$2:$M$538,'HD Dump'!$U$2:$U$538,C$7,'HD Dump'!$R$2:$R$538,"&gt;="&amp;$B30-90,'HD Dump'!$R$2:$R$538,"&lt;="&amp;$B30),T29)</f>
        <v/>
      </c>
      <c r="U30" s="18">
        <f>IF(COUNTIFS('HD Dump'!$U$2:$U$538,D$7,'HD Dump'!$R$2:$R$538,"&gt;="&amp;$B30-90,'HD Dump'!$R$2:$R$538,"&lt;="&amp;$B30)&gt;0,AVERAGEIFS('HD Dump'!$M$2:$M$538,'HD Dump'!$U$2:$U$538,D$7,'HD Dump'!$R$2:$R$538,"&gt;="&amp;$B30-90,'HD Dump'!$R$2:$R$538,"&lt;="&amp;$B30),U29)</f>
        <v/>
      </c>
      <c r="V30" s="18">
        <f>IF(COUNTIFS('HD Dump'!$U$2:$U$538,E$7,'HD Dump'!$R$2:$R$538,"&gt;="&amp;$B30-90,'HD Dump'!$R$2:$R$538,"&lt;="&amp;$B30)&gt;0,AVERAGEIFS('HD Dump'!$M$2:$M$538,'HD Dump'!$U$2:$U$538,E$7,'HD Dump'!$R$2:$R$538,"&gt;="&amp;$B30-90,'HD Dump'!$R$2:$R$538,"&lt;="&amp;$B30),V29)</f>
        <v/>
      </c>
      <c r="W30" s="18">
        <f>IF(COUNTIFS('HD Dump'!$U$2:$U$538,F$7,'HD Dump'!$R$2:$R$538,"&gt;="&amp;$B30-90,'HD Dump'!$R$2:$R$538,"&lt;="&amp;$B30)&gt;0,AVERAGEIFS('HD Dump'!$M$2:$M$538,'HD Dump'!$U$2:$U$538,F$7,'HD Dump'!$R$2:$R$538,"&gt;="&amp;$B30-90,'HD Dump'!$R$2:$R$538,"&lt;="&amp;$B30),W29)</f>
        <v/>
      </c>
      <c r="X30" s="18">
        <f>IF(COUNTIFS('HD Dump'!$U$2:$U$538,G$7,'HD Dump'!$R$2:$R$538,"&gt;="&amp;$B30-90,'HD Dump'!$R$2:$R$538,"&lt;="&amp;$B30)&gt;0,AVERAGEIFS('HD Dump'!$M$2:$M$538,'HD Dump'!$U$2:$U$538,G$7,'HD Dump'!$R$2:$R$538,"&gt;="&amp;$B30-90,'HD Dump'!$R$2:$R$538,"&lt;="&amp;$B30),X29)</f>
        <v/>
      </c>
      <c r="Y30" s="18">
        <f>IF(COUNTIFS('HD Dump'!$U$2:$U$538,H$7,'HD Dump'!$R$2:$R$538,"&gt;="&amp;$B30-90,'HD Dump'!$R$2:$R$538,"&lt;="&amp;$B30)&gt;0,AVERAGEIFS('HD Dump'!$M$2:$M$538,'HD Dump'!$U$2:$U$538,H$7,'HD Dump'!$R$2:$R$538,"&gt;="&amp;$B30-90,'HD Dump'!$R$2:$R$538,"&lt;="&amp;$B30),Y29)</f>
        <v/>
      </c>
      <c r="Z30" s="18">
        <f>IF(COUNTIFS('HD Dump'!$U$2:$U$538,I$7,'HD Dump'!$R$2:$R$538,"&gt;="&amp;$B30-90,'HD Dump'!$R$2:$R$538,"&lt;="&amp;$B30)&gt;0,AVERAGEIFS('HD Dump'!$M$2:$M$538,'HD Dump'!$U$2:$U$538,I$7,'HD Dump'!$R$2:$R$538,"&gt;="&amp;$B30-90,'HD Dump'!$R$2:$R$538,"&lt;="&amp;$B30),Z29)</f>
        <v/>
      </c>
      <c r="AA30" s="18">
        <f>IF(COUNTIFS('HD Dump'!$U$2:$U$538,J$7,'HD Dump'!$R$2:$R$538,"&gt;="&amp;$B30-90,'HD Dump'!$R$2:$R$538,"&lt;="&amp;$B30)&gt;0,AVERAGEIFS('HD Dump'!$M$2:$M$538,'HD Dump'!$U$2:$U$538,J$7,'HD Dump'!$R$2:$R$538,"&gt;="&amp;$B30-90,'HD Dump'!$R$2:$R$538,"&lt;="&amp;$B30),AA29)</f>
        <v/>
      </c>
      <c r="AB30" s="18">
        <f>IF(COUNTIFS('HD Dump'!$U$2:$U$538,K$7,'HD Dump'!$R$2:$R$538,"&gt;="&amp;$B30-90,'HD Dump'!$R$2:$R$538,"&lt;="&amp;$B30)&gt;0,AVERAGEIFS('HD Dump'!$M$2:$M$538,'HD Dump'!$U$2:$U$538,K$7,'HD Dump'!$R$2:$R$538,"&gt;="&amp;$B30-90,'HD Dump'!$R$2:$R$538,"&lt;="&amp;$B30),AB29)</f>
        <v/>
      </c>
      <c r="AD30" s="18">
        <f>IF(COUNTIFS('HD Dump'!$U$2:$U$538,C$7,'HD Dump'!$R$2:$R$538,"&gt;="&amp;$B30-90,'HD Dump'!$R$2:$R$538,"&lt;="&amp;$B30)&gt;0,AVERAGEIFS('HD Dump'!$O$2:$O$538,'HD Dump'!$U$2:$U$538,C$7,'HD Dump'!$R$2:$R$538,"&gt;="&amp;$B30-90,'HD Dump'!$R$2:$R$538,"&lt;="&amp;$B30),AD29)</f>
        <v/>
      </c>
      <c r="AE30" s="18">
        <f>IF(COUNTIFS('HD Dump'!$U$2:$U$538,D$7,'HD Dump'!$R$2:$R$538,"&gt;="&amp;$B30-90,'HD Dump'!$R$2:$R$538,"&lt;="&amp;$B30)&gt;0,AVERAGEIFS('HD Dump'!$O$2:$O$538,'HD Dump'!$U$2:$U$538,D$7,'HD Dump'!$R$2:$R$538,"&gt;="&amp;$B30-90,'HD Dump'!$R$2:$R$538,"&lt;="&amp;$B30),AE29)</f>
        <v/>
      </c>
      <c r="AF30" s="18">
        <f>IF(COUNTIFS('HD Dump'!$U$2:$U$538,E$7,'HD Dump'!$R$2:$R$538,"&gt;="&amp;$B30-90,'HD Dump'!$R$2:$R$538,"&lt;="&amp;$B30)&gt;0,AVERAGEIFS('HD Dump'!$O$2:$O$538,'HD Dump'!$U$2:$U$538,E$7,'HD Dump'!$R$2:$R$538,"&gt;="&amp;$B30-90,'HD Dump'!$R$2:$R$538,"&lt;="&amp;$B30),AF29)</f>
        <v/>
      </c>
      <c r="AG30" s="18">
        <f>IF(COUNTIFS('HD Dump'!$U$2:$U$538,F$7,'HD Dump'!$R$2:$R$538,"&gt;="&amp;$B30-90,'HD Dump'!$R$2:$R$538,"&lt;="&amp;$B30)&gt;0,AVERAGEIFS('HD Dump'!$O$2:$O$538,'HD Dump'!$U$2:$U$538,F$7,'HD Dump'!$R$2:$R$538,"&gt;="&amp;$B30-90,'HD Dump'!$R$2:$R$538,"&lt;="&amp;$B30),AG29)</f>
        <v/>
      </c>
      <c r="AH30" s="18">
        <f>IF(COUNTIFS('HD Dump'!$U$2:$U$538,G$7,'HD Dump'!$R$2:$R$538,"&gt;="&amp;$B30-90,'HD Dump'!$R$2:$R$538,"&lt;="&amp;$B30)&gt;0,AVERAGEIFS('HD Dump'!$O$2:$O$538,'HD Dump'!$U$2:$U$538,G$7,'HD Dump'!$R$2:$R$538,"&gt;="&amp;$B30-90,'HD Dump'!$R$2:$R$538,"&lt;="&amp;$B30),AH29)</f>
        <v/>
      </c>
      <c r="AI30" s="18">
        <f>IF(COUNTIFS('HD Dump'!$U$2:$U$538,H$7,'HD Dump'!$R$2:$R$538,"&gt;="&amp;$B30-90,'HD Dump'!$R$2:$R$538,"&lt;="&amp;$B30)&gt;0,AVERAGEIFS('HD Dump'!$O$2:$O$538,'HD Dump'!$U$2:$U$538,H$7,'HD Dump'!$R$2:$R$538,"&gt;="&amp;$B30-90,'HD Dump'!$R$2:$R$538,"&lt;="&amp;$B30),AI29)</f>
        <v/>
      </c>
      <c r="AJ30" s="18">
        <f>IF(COUNTIFS('HD Dump'!$U$2:$U$538,I$7,'HD Dump'!$R$2:$R$538,"&gt;="&amp;$B30-90,'HD Dump'!$R$2:$R$538,"&lt;="&amp;$B30)&gt;0,AVERAGEIFS('HD Dump'!$O$2:$O$538,'HD Dump'!$U$2:$U$538,I$7,'HD Dump'!$R$2:$R$538,"&gt;="&amp;$B30-90,'HD Dump'!$R$2:$R$538,"&lt;="&amp;$B30),AJ29)</f>
        <v/>
      </c>
      <c r="AK30" s="18">
        <f>IF(COUNTIFS('HD Dump'!$U$2:$U$538,J$7,'HD Dump'!$R$2:$R$538,"&gt;="&amp;$B30-90,'HD Dump'!$R$2:$R$538,"&lt;="&amp;$B30)&gt;0,AVERAGEIFS('HD Dump'!$O$2:$O$538,'HD Dump'!$U$2:$U$538,J$7,'HD Dump'!$R$2:$R$538,"&gt;="&amp;$B30-90,'HD Dump'!$R$2:$R$538,"&lt;="&amp;$B30),AK29)</f>
        <v/>
      </c>
      <c r="AL30" s="18">
        <f>IF(COUNTIFS('HD Dump'!$U$2:$U$538,K$7,'HD Dump'!$R$2:$R$538,"&gt;="&amp;$B30-90,'HD Dump'!$R$2:$R$538,"&lt;="&amp;$B30)&gt;0,AVERAGEIFS('HD Dump'!$O$2:$O$538,'HD Dump'!$U$2:$U$538,K$7,'HD Dump'!$R$2:$R$538,"&gt;="&amp;$B30-90,'HD Dump'!$R$2:$R$538,"&lt;="&amp;$B30),AL29)</f>
        <v/>
      </c>
    </row>
    <row r="31">
      <c r="B31" s="9" t="n">
        <v>46112</v>
      </c>
      <c r="C31" s="10" t="inlineStr">
        <is>
          <t>Actual</t>
        </is>
      </c>
      <c r="D31" s="11">
        <f>SUMPRODUCT(T31:AB31,$C$8:$K$8)/SUM($C$8:$K$8)</f>
        <v/>
      </c>
      <c r="E31" s="11">
        <f>SUMPRODUCT(AD31:AL31,$C$8:$K$8)/SUM($C$8:$K$8)</f>
        <v/>
      </c>
      <c r="F31" s="11">
        <f>IFERROR((INDEX('T12 Dump'!$D$9:$O$9,MATCH(EOMONTH($B31,-1)+1,'T12 Dump'!$D$3:$O$3,0))-ABS(INDEX('T12 Dump'!$D$11:$O$11,MATCH(EOMONTH($B31,-1)+1,'T12 Dump'!$D$3:$O$3,0))))/($F31*360),"")</f>
        <v/>
      </c>
      <c r="G31" s="12">
        <f>IFERROR(1-ABS(INDEX('T12 Dump'!$D$11:$O$11,MATCH(EOMONTH($B31,-1)+1,'T12 Dump'!$D$3:$O$3,0)))/INDEX('T12 Dump'!$D$7:$O$7,MATCH(EOMONTH($B31,-1)+1,'T12 Dump'!$D$3:$O$3,0)),"")</f>
        <v/>
      </c>
      <c r="H31" s="13">
        <f>IFERROR($F31/$D31-1,"")</f>
        <v/>
      </c>
      <c r="I31" s="14" t="n">
        <v>29</v>
      </c>
      <c r="J31" s="15" t="n">
        <v>6</v>
      </c>
      <c r="K31" s="14" t="n">
        <v>14</v>
      </c>
      <c r="L31" s="16" t="n"/>
      <c r="M31" s="11" t="n"/>
      <c r="N31" s="11" t="n"/>
      <c r="O31" s="17" t="n">
        <v>0.002170138888888889</v>
      </c>
      <c r="P31" s="11" t="n"/>
      <c r="T31" s="18">
        <f>IF(COUNTIFS('HD Dump'!$U$2:$U$538,C$7,'HD Dump'!$R$2:$R$538,"&gt;="&amp;$B31-90,'HD Dump'!$R$2:$R$538,"&lt;="&amp;$B31)&gt;0,AVERAGEIFS('HD Dump'!$M$2:$M$538,'HD Dump'!$U$2:$U$538,C$7,'HD Dump'!$R$2:$R$538,"&gt;="&amp;$B31-90,'HD Dump'!$R$2:$R$538,"&lt;="&amp;$B31),T30)</f>
        <v/>
      </c>
      <c r="U31" s="18">
        <f>IF(COUNTIFS('HD Dump'!$U$2:$U$538,D$7,'HD Dump'!$R$2:$R$538,"&gt;="&amp;$B31-90,'HD Dump'!$R$2:$R$538,"&lt;="&amp;$B31)&gt;0,AVERAGEIFS('HD Dump'!$M$2:$M$538,'HD Dump'!$U$2:$U$538,D$7,'HD Dump'!$R$2:$R$538,"&gt;="&amp;$B31-90,'HD Dump'!$R$2:$R$538,"&lt;="&amp;$B31),U30)</f>
        <v/>
      </c>
      <c r="V31" s="18">
        <f>IF(COUNTIFS('HD Dump'!$U$2:$U$538,E$7,'HD Dump'!$R$2:$R$538,"&gt;="&amp;$B31-90,'HD Dump'!$R$2:$R$538,"&lt;="&amp;$B31)&gt;0,AVERAGEIFS('HD Dump'!$M$2:$M$538,'HD Dump'!$U$2:$U$538,E$7,'HD Dump'!$R$2:$R$538,"&gt;="&amp;$B31-90,'HD Dump'!$R$2:$R$538,"&lt;="&amp;$B31),V30)</f>
        <v/>
      </c>
      <c r="W31" s="18">
        <f>IF(COUNTIFS('HD Dump'!$U$2:$U$538,F$7,'HD Dump'!$R$2:$R$538,"&gt;="&amp;$B31-90,'HD Dump'!$R$2:$R$538,"&lt;="&amp;$B31)&gt;0,AVERAGEIFS('HD Dump'!$M$2:$M$538,'HD Dump'!$U$2:$U$538,F$7,'HD Dump'!$R$2:$R$538,"&gt;="&amp;$B31-90,'HD Dump'!$R$2:$R$538,"&lt;="&amp;$B31),W30)</f>
        <v/>
      </c>
      <c r="X31" s="18">
        <f>IF(COUNTIFS('HD Dump'!$U$2:$U$538,G$7,'HD Dump'!$R$2:$R$538,"&gt;="&amp;$B31-90,'HD Dump'!$R$2:$R$538,"&lt;="&amp;$B31)&gt;0,AVERAGEIFS('HD Dump'!$M$2:$M$538,'HD Dump'!$U$2:$U$538,G$7,'HD Dump'!$R$2:$R$538,"&gt;="&amp;$B31-90,'HD Dump'!$R$2:$R$538,"&lt;="&amp;$B31),X30)</f>
        <v/>
      </c>
      <c r="Y31" s="18">
        <f>IF(COUNTIFS('HD Dump'!$U$2:$U$538,H$7,'HD Dump'!$R$2:$R$538,"&gt;="&amp;$B31-90,'HD Dump'!$R$2:$R$538,"&lt;="&amp;$B31)&gt;0,AVERAGEIFS('HD Dump'!$M$2:$M$538,'HD Dump'!$U$2:$U$538,H$7,'HD Dump'!$R$2:$R$538,"&gt;="&amp;$B31-90,'HD Dump'!$R$2:$R$538,"&lt;="&amp;$B31),Y30)</f>
        <v/>
      </c>
      <c r="Z31" s="18">
        <f>IF(COUNTIFS('HD Dump'!$U$2:$U$538,I$7,'HD Dump'!$R$2:$R$538,"&gt;="&amp;$B31-90,'HD Dump'!$R$2:$R$538,"&lt;="&amp;$B31)&gt;0,AVERAGEIFS('HD Dump'!$M$2:$M$538,'HD Dump'!$U$2:$U$538,I$7,'HD Dump'!$R$2:$R$538,"&gt;="&amp;$B31-90,'HD Dump'!$R$2:$R$538,"&lt;="&amp;$B31),Z30)</f>
        <v/>
      </c>
      <c r="AA31" s="18">
        <f>IF(COUNTIFS('HD Dump'!$U$2:$U$538,J$7,'HD Dump'!$R$2:$R$538,"&gt;="&amp;$B31-90,'HD Dump'!$R$2:$R$538,"&lt;="&amp;$B31)&gt;0,AVERAGEIFS('HD Dump'!$M$2:$M$538,'HD Dump'!$U$2:$U$538,J$7,'HD Dump'!$R$2:$R$538,"&gt;="&amp;$B31-90,'HD Dump'!$R$2:$R$538,"&lt;="&amp;$B31),AA30)</f>
        <v/>
      </c>
      <c r="AB31" s="18">
        <f>IF(COUNTIFS('HD Dump'!$U$2:$U$538,K$7,'HD Dump'!$R$2:$R$538,"&gt;="&amp;$B31-90,'HD Dump'!$R$2:$R$538,"&lt;="&amp;$B31)&gt;0,AVERAGEIFS('HD Dump'!$M$2:$M$538,'HD Dump'!$U$2:$U$538,K$7,'HD Dump'!$R$2:$R$538,"&gt;="&amp;$B31-90,'HD Dump'!$R$2:$R$538,"&lt;="&amp;$B31),AB30)</f>
        <v/>
      </c>
      <c r="AD31" s="18">
        <f>IF(COUNTIFS('HD Dump'!$U$2:$U$538,C$7,'HD Dump'!$R$2:$R$538,"&gt;="&amp;$B31-90,'HD Dump'!$R$2:$R$538,"&lt;="&amp;$B31)&gt;0,AVERAGEIFS('HD Dump'!$O$2:$O$538,'HD Dump'!$U$2:$U$538,C$7,'HD Dump'!$R$2:$R$538,"&gt;="&amp;$B31-90,'HD Dump'!$R$2:$R$538,"&lt;="&amp;$B31),AD30)</f>
        <v/>
      </c>
      <c r="AE31" s="18">
        <f>IF(COUNTIFS('HD Dump'!$U$2:$U$538,D$7,'HD Dump'!$R$2:$R$538,"&gt;="&amp;$B31-90,'HD Dump'!$R$2:$R$538,"&lt;="&amp;$B31)&gt;0,AVERAGEIFS('HD Dump'!$O$2:$O$538,'HD Dump'!$U$2:$U$538,D$7,'HD Dump'!$R$2:$R$538,"&gt;="&amp;$B31-90,'HD Dump'!$R$2:$R$538,"&lt;="&amp;$B31),AE30)</f>
        <v/>
      </c>
      <c r="AF31" s="18">
        <f>IF(COUNTIFS('HD Dump'!$U$2:$U$538,E$7,'HD Dump'!$R$2:$R$538,"&gt;="&amp;$B31-90,'HD Dump'!$R$2:$R$538,"&lt;="&amp;$B31)&gt;0,AVERAGEIFS('HD Dump'!$O$2:$O$538,'HD Dump'!$U$2:$U$538,E$7,'HD Dump'!$R$2:$R$538,"&gt;="&amp;$B31-90,'HD Dump'!$R$2:$R$538,"&lt;="&amp;$B31),AF30)</f>
        <v/>
      </c>
      <c r="AG31" s="18">
        <f>IF(COUNTIFS('HD Dump'!$U$2:$U$538,F$7,'HD Dump'!$R$2:$R$538,"&gt;="&amp;$B31-90,'HD Dump'!$R$2:$R$538,"&lt;="&amp;$B31)&gt;0,AVERAGEIFS('HD Dump'!$O$2:$O$538,'HD Dump'!$U$2:$U$538,F$7,'HD Dump'!$R$2:$R$538,"&gt;="&amp;$B31-90,'HD Dump'!$R$2:$R$538,"&lt;="&amp;$B31),AG30)</f>
        <v/>
      </c>
      <c r="AH31" s="18">
        <f>IF(COUNTIFS('HD Dump'!$U$2:$U$538,G$7,'HD Dump'!$R$2:$R$538,"&gt;="&amp;$B31-90,'HD Dump'!$R$2:$R$538,"&lt;="&amp;$B31)&gt;0,AVERAGEIFS('HD Dump'!$O$2:$O$538,'HD Dump'!$U$2:$U$538,G$7,'HD Dump'!$R$2:$R$538,"&gt;="&amp;$B31-90,'HD Dump'!$R$2:$R$538,"&lt;="&amp;$B31),AH30)</f>
        <v/>
      </c>
      <c r="AI31" s="18">
        <f>IF(COUNTIFS('HD Dump'!$U$2:$U$538,H$7,'HD Dump'!$R$2:$R$538,"&gt;="&amp;$B31-90,'HD Dump'!$R$2:$R$538,"&lt;="&amp;$B31)&gt;0,AVERAGEIFS('HD Dump'!$O$2:$O$538,'HD Dump'!$U$2:$U$538,H$7,'HD Dump'!$R$2:$R$538,"&gt;="&amp;$B31-90,'HD Dump'!$R$2:$R$538,"&lt;="&amp;$B31),AI30)</f>
        <v/>
      </c>
      <c r="AJ31" s="18">
        <f>IF(COUNTIFS('HD Dump'!$U$2:$U$538,I$7,'HD Dump'!$R$2:$R$538,"&gt;="&amp;$B31-90,'HD Dump'!$R$2:$R$538,"&lt;="&amp;$B31)&gt;0,AVERAGEIFS('HD Dump'!$O$2:$O$538,'HD Dump'!$U$2:$U$538,I$7,'HD Dump'!$R$2:$R$538,"&gt;="&amp;$B31-90,'HD Dump'!$R$2:$R$538,"&lt;="&amp;$B31),AJ30)</f>
        <v/>
      </c>
      <c r="AK31" s="18">
        <f>IF(COUNTIFS('HD Dump'!$U$2:$U$538,J$7,'HD Dump'!$R$2:$R$538,"&gt;="&amp;$B31-90,'HD Dump'!$R$2:$R$538,"&lt;="&amp;$B31)&gt;0,AVERAGEIFS('HD Dump'!$O$2:$O$538,'HD Dump'!$U$2:$U$538,J$7,'HD Dump'!$R$2:$R$538,"&gt;="&amp;$B31-90,'HD Dump'!$R$2:$R$538,"&lt;="&amp;$B31),AK30)</f>
        <v/>
      </c>
      <c r="AL31" s="18">
        <f>IF(COUNTIFS('HD Dump'!$U$2:$U$538,K$7,'HD Dump'!$R$2:$R$538,"&gt;="&amp;$B31-90,'HD Dump'!$R$2:$R$538,"&lt;="&amp;$B31)&gt;0,AVERAGEIFS('HD Dump'!$O$2:$O$538,'HD Dump'!$U$2:$U$538,K$7,'HD Dump'!$R$2:$R$538,"&gt;="&amp;$B31-90,'HD Dump'!$R$2:$R$538,"&lt;="&amp;$B31),AL30)</f>
        <v/>
      </c>
    </row>
    <row r="32">
      <c r="B32" s="9" t="n">
        <v>46142</v>
      </c>
      <c r="C32" s="10" t="inlineStr">
        <is>
          <t>Actual</t>
        </is>
      </c>
      <c r="D32" s="11">
        <f>SUMPRODUCT(T32:AB32,$C$8:$K$8)/SUM($C$8:$K$8)</f>
        <v/>
      </c>
      <c r="E32" s="11">
        <f>SUMPRODUCT(AD32:AL32,$C$8:$K$8)/SUM($C$8:$K$8)</f>
        <v/>
      </c>
      <c r="F32" s="11">
        <f>IFERROR((INDEX('T12 Dump'!$D$9:$O$9,MATCH(EOMONTH($B32,-1)+1,'T12 Dump'!$D$3:$O$3,0))-ABS(INDEX('T12 Dump'!$D$11:$O$11,MATCH(EOMONTH($B32,-1)+1,'T12 Dump'!$D$3:$O$3,0))))/($F32*360),"")</f>
        <v/>
      </c>
      <c r="G32" s="12">
        <f>IFERROR(1-ABS(INDEX('T12 Dump'!$D$11:$O$11,MATCH(EOMONTH($B32,-1)+1,'T12 Dump'!$D$3:$O$3,0)))/INDEX('T12 Dump'!$D$7:$O$7,MATCH(EOMONTH($B32,-1)+1,'T12 Dump'!$D$3:$O$3,0)),"")</f>
        <v/>
      </c>
      <c r="H32" s="13">
        <f>IFERROR($F32/$D32-1,"")</f>
        <v/>
      </c>
      <c r="I32" s="14" t="n">
        <v>17</v>
      </c>
      <c r="J32" s="15" t="n">
        <v>9</v>
      </c>
      <c r="K32" s="14" t="n">
        <v>11</v>
      </c>
      <c r="L32" s="16" t="n"/>
      <c r="M32" s="11" t="n"/>
      <c r="N32" s="11" t="n"/>
      <c r="O32" s="17" t="n">
        <v>0.01799753580020763</v>
      </c>
      <c r="P32" s="11" t="n"/>
      <c r="T32" s="18">
        <f>IF(COUNTIFS('HD Dump'!$U$2:$U$538,C$7,'HD Dump'!$R$2:$R$538,"&gt;="&amp;$B32-90,'HD Dump'!$R$2:$R$538,"&lt;="&amp;$B32)&gt;0,AVERAGEIFS('HD Dump'!$M$2:$M$538,'HD Dump'!$U$2:$U$538,C$7,'HD Dump'!$R$2:$R$538,"&gt;="&amp;$B32-90,'HD Dump'!$R$2:$R$538,"&lt;="&amp;$B32),T31)</f>
        <v/>
      </c>
      <c r="U32" s="18">
        <f>IF(COUNTIFS('HD Dump'!$U$2:$U$538,D$7,'HD Dump'!$R$2:$R$538,"&gt;="&amp;$B32-90,'HD Dump'!$R$2:$R$538,"&lt;="&amp;$B32)&gt;0,AVERAGEIFS('HD Dump'!$M$2:$M$538,'HD Dump'!$U$2:$U$538,D$7,'HD Dump'!$R$2:$R$538,"&gt;="&amp;$B32-90,'HD Dump'!$R$2:$R$538,"&lt;="&amp;$B32),U31)</f>
        <v/>
      </c>
      <c r="V32" s="18">
        <f>IF(COUNTIFS('HD Dump'!$U$2:$U$538,E$7,'HD Dump'!$R$2:$R$538,"&gt;="&amp;$B32-90,'HD Dump'!$R$2:$R$538,"&lt;="&amp;$B32)&gt;0,AVERAGEIFS('HD Dump'!$M$2:$M$538,'HD Dump'!$U$2:$U$538,E$7,'HD Dump'!$R$2:$R$538,"&gt;="&amp;$B32-90,'HD Dump'!$R$2:$R$538,"&lt;="&amp;$B32),V31)</f>
        <v/>
      </c>
      <c r="W32" s="18">
        <f>IF(COUNTIFS('HD Dump'!$U$2:$U$538,F$7,'HD Dump'!$R$2:$R$538,"&gt;="&amp;$B32-90,'HD Dump'!$R$2:$R$538,"&lt;="&amp;$B32)&gt;0,AVERAGEIFS('HD Dump'!$M$2:$M$538,'HD Dump'!$U$2:$U$538,F$7,'HD Dump'!$R$2:$R$538,"&gt;="&amp;$B32-90,'HD Dump'!$R$2:$R$538,"&lt;="&amp;$B32),W31)</f>
        <v/>
      </c>
      <c r="X32" s="18">
        <f>IF(COUNTIFS('HD Dump'!$U$2:$U$538,G$7,'HD Dump'!$R$2:$R$538,"&gt;="&amp;$B32-90,'HD Dump'!$R$2:$R$538,"&lt;="&amp;$B32)&gt;0,AVERAGEIFS('HD Dump'!$M$2:$M$538,'HD Dump'!$U$2:$U$538,G$7,'HD Dump'!$R$2:$R$538,"&gt;="&amp;$B32-90,'HD Dump'!$R$2:$R$538,"&lt;="&amp;$B32),X31)</f>
        <v/>
      </c>
      <c r="Y32" s="18">
        <f>IF(COUNTIFS('HD Dump'!$U$2:$U$538,H$7,'HD Dump'!$R$2:$R$538,"&gt;="&amp;$B32-90,'HD Dump'!$R$2:$R$538,"&lt;="&amp;$B32)&gt;0,AVERAGEIFS('HD Dump'!$M$2:$M$538,'HD Dump'!$U$2:$U$538,H$7,'HD Dump'!$R$2:$R$538,"&gt;="&amp;$B32-90,'HD Dump'!$R$2:$R$538,"&lt;="&amp;$B32),Y31)</f>
        <v/>
      </c>
      <c r="Z32" s="18">
        <f>IF(COUNTIFS('HD Dump'!$U$2:$U$538,I$7,'HD Dump'!$R$2:$R$538,"&gt;="&amp;$B32-90,'HD Dump'!$R$2:$R$538,"&lt;="&amp;$B32)&gt;0,AVERAGEIFS('HD Dump'!$M$2:$M$538,'HD Dump'!$U$2:$U$538,I$7,'HD Dump'!$R$2:$R$538,"&gt;="&amp;$B32-90,'HD Dump'!$R$2:$R$538,"&lt;="&amp;$B32),Z31)</f>
        <v/>
      </c>
      <c r="AA32" s="18">
        <f>IF(COUNTIFS('HD Dump'!$U$2:$U$538,J$7,'HD Dump'!$R$2:$R$538,"&gt;="&amp;$B32-90,'HD Dump'!$R$2:$R$538,"&lt;="&amp;$B32)&gt;0,AVERAGEIFS('HD Dump'!$M$2:$M$538,'HD Dump'!$U$2:$U$538,J$7,'HD Dump'!$R$2:$R$538,"&gt;="&amp;$B32-90,'HD Dump'!$R$2:$R$538,"&lt;="&amp;$B32),AA31)</f>
        <v/>
      </c>
      <c r="AB32" s="18">
        <f>IF(COUNTIFS('HD Dump'!$U$2:$U$538,K$7,'HD Dump'!$R$2:$R$538,"&gt;="&amp;$B32-90,'HD Dump'!$R$2:$R$538,"&lt;="&amp;$B32)&gt;0,AVERAGEIFS('HD Dump'!$M$2:$M$538,'HD Dump'!$U$2:$U$538,K$7,'HD Dump'!$R$2:$R$538,"&gt;="&amp;$B32-90,'HD Dump'!$R$2:$R$538,"&lt;="&amp;$B32),AB31)</f>
        <v/>
      </c>
      <c r="AD32" s="18">
        <f>IF(COUNTIFS('HD Dump'!$U$2:$U$538,C$7,'HD Dump'!$R$2:$R$538,"&gt;="&amp;$B32-90,'HD Dump'!$R$2:$R$538,"&lt;="&amp;$B32)&gt;0,AVERAGEIFS('HD Dump'!$O$2:$O$538,'HD Dump'!$U$2:$U$538,C$7,'HD Dump'!$R$2:$R$538,"&gt;="&amp;$B32-90,'HD Dump'!$R$2:$R$538,"&lt;="&amp;$B32),AD31)</f>
        <v/>
      </c>
      <c r="AE32" s="18">
        <f>IF(COUNTIFS('HD Dump'!$U$2:$U$538,D$7,'HD Dump'!$R$2:$R$538,"&gt;="&amp;$B32-90,'HD Dump'!$R$2:$R$538,"&lt;="&amp;$B32)&gt;0,AVERAGEIFS('HD Dump'!$O$2:$O$538,'HD Dump'!$U$2:$U$538,D$7,'HD Dump'!$R$2:$R$538,"&gt;="&amp;$B32-90,'HD Dump'!$R$2:$R$538,"&lt;="&amp;$B32),AE31)</f>
        <v/>
      </c>
      <c r="AF32" s="18">
        <f>IF(COUNTIFS('HD Dump'!$U$2:$U$538,E$7,'HD Dump'!$R$2:$R$538,"&gt;="&amp;$B32-90,'HD Dump'!$R$2:$R$538,"&lt;="&amp;$B32)&gt;0,AVERAGEIFS('HD Dump'!$O$2:$O$538,'HD Dump'!$U$2:$U$538,E$7,'HD Dump'!$R$2:$R$538,"&gt;="&amp;$B32-90,'HD Dump'!$R$2:$R$538,"&lt;="&amp;$B32),AF31)</f>
        <v/>
      </c>
      <c r="AG32" s="18">
        <f>IF(COUNTIFS('HD Dump'!$U$2:$U$538,F$7,'HD Dump'!$R$2:$R$538,"&gt;="&amp;$B32-90,'HD Dump'!$R$2:$R$538,"&lt;="&amp;$B32)&gt;0,AVERAGEIFS('HD Dump'!$O$2:$O$538,'HD Dump'!$U$2:$U$538,F$7,'HD Dump'!$R$2:$R$538,"&gt;="&amp;$B32-90,'HD Dump'!$R$2:$R$538,"&lt;="&amp;$B32),AG31)</f>
        <v/>
      </c>
      <c r="AH32" s="18">
        <f>IF(COUNTIFS('HD Dump'!$U$2:$U$538,G$7,'HD Dump'!$R$2:$R$538,"&gt;="&amp;$B32-90,'HD Dump'!$R$2:$R$538,"&lt;="&amp;$B32)&gt;0,AVERAGEIFS('HD Dump'!$O$2:$O$538,'HD Dump'!$U$2:$U$538,G$7,'HD Dump'!$R$2:$R$538,"&gt;="&amp;$B32-90,'HD Dump'!$R$2:$R$538,"&lt;="&amp;$B32),AH31)</f>
        <v/>
      </c>
      <c r="AI32" s="18">
        <f>IF(COUNTIFS('HD Dump'!$U$2:$U$538,H$7,'HD Dump'!$R$2:$R$538,"&gt;="&amp;$B32-90,'HD Dump'!$R$2:$R$538,"&lt;="&amp;$B32)&gt;0,AVERAGEIFS('HD Dump'!$O$2:$O$538,'HD Dump'!$U$2:$U$538,H$7,'HD Dump'!$R$2:$R$538,"&gt;="&amp;$B32-90,'HD Dump'!$R$2:$R$538,"&lt;="&amp;$B32),AI31)</f>
        <v/>
      </c>
      <c r="AJ32" s="18">
        <f>IF(COUNTIFS('HD Dump'!$U$2:$U$538,I$7,'HD Dump'!$R$2:$R$538,"&gt;="&amp;$B32-90,'HD Dump'!$R$2:$R$538,"&lt;="&amp;$B32)&gt;0,AVERAGEIFS('HD Dump'!$O$2:$O$538,'HD Dump'!$U$2:$U$538,I$7,'HD Dump'!$R$2:$R$538,"&gt;="&amp;$B32-90,'HD Dump'!$R$2:$R$538,"&lt;="&amp;$B32),AJ31)</f>
        <v/>
      </c>
      <c r="AK32" s="18">
        <f>IF(COUNTIFS('HD Dump'!$U$2:$U$538,J$7,'HD Dump'!$R$2:$R$538,"&gt;="&amp;$B32-90,'HD Dump'!$R$2:$R$538,"&lt;="&amp;$B32)&gt;0,AVERAGEIFS('HD Dump'!$O$2:$O$538,'HD Dump'!$U$2:$U$538,J$7,'HD Dump'!$R$2:$R$538,"&gt;="&amp;$B32-90,'HD Dump'!$R$2:$R$538,"&lt;="&amp;$B32),AK31)</f>
        <v/>
      </c>
      <c r="AL32" s="18">
        <f>IF(COUNTIFS('HD Dump'!$U$2:$U$538,K$7,'HD Dump'!$R$2:$R$538,"&gt;="&amp;$B32-90,'HD Dump'!$R$2:$R$538,"&lt;="&amp;$B32)&gt;0,AVERAGEIFS('HD Dump'!$O$2:$O$538,'HD Dump'!$U$2:$U$538,K$7,'HD Dump'!$R$2:$R$538,"&gt;="&amp;$B32-90,'HD Dump'!$R$2:$R$538,"&lt;="&amp;$B32),AL31)</f>
        <v/>
      </c>
    </row>
    <row r="33">
      <c r="B33" s="9" t="n">
        <v>46173</v>
      </c>
      <c r="C33" s="10" t="inlineStr">
        <is>
          <t>Actual</t>
        </is>
      </c>
      <c r="D33" s="11">
        <f>SUMPRODUCT(T33:AB33,$C$8:$K$8)/SUM($C$8:$K$8)</f>
        <v/>
      </c>
      <c r="E33" s="11">
        <f>SUMPRODUCT(AD33:AL33,$C$8:$K$8)/SUM($C$8:$K$8)</f>
        <v/>
      </c>
      <c r="F33" s="11">
        <f>IFERROR((INDEX('T12 Dump'!$D$9:$O$9,MATCH(EOMONTH($B33,-1)+1,'T12 Dump'!$D$3:$O$3,0))-ABS(INDEX('T12 Dump'!$D$11:$O$11,MATCH(EOMONTH($B33,-1)+1,'T12 Dump'!$D$3:$O$3,0))))/($F33*360),"")</f>
        <v/>
      </c>
      <c r="G33" s="12">
        <f>IFERROR(1-ABS(INDEX('T12 Dump'!$D$11:$O$11,MATCH(EOMONTH($B33,-1)+1,'T12 Dump'!$D$3:$O$3,0)))/INDEX('T12 Dump'!$D$7:$O$7,MATCH(EOMONTH($B33,-1)+1,'T12 Dump'!$D$3:$O$3,0)),"")</f>
        <v/>
      </c>
      <c r="H33" s="13">
        <f>IFERROR($F33/$D33-1,"")</f>
        <v/>
      </c>
      <c r="I33" s="14" t="n">
        <v>9</v>
      </c>
      <c r="J33" s="15" t="n">
        <v>10</v>
      </c>
      <c r="K33" s="14" t="n">
        <v>12</v>
      </c>
      <c r="L33" s="16" t="n"/>
      <c r="M33" s="11" t="n"/>
      <c r="N33" s="11" t="n"/>
      <c r="O33" s="17" t="n">
        <v>0.02122619178528182</v>
      </c>
      <c r="P33" s="11" t="n"/>
      <c r="T33" s="18">
        <f>IF(COUNTIFS('HD Dump'!$U$2:$U$538,C$7,'HD Dump'!$R$2:$R$538,"&gt;="&amp;$B33-90,'HD Dump'!$R$2:$R$538,"&lt;="&amp;$B33)&gt;0,AVERAGEIFS('HD Dump'!$M$2:$M$538,'HD Dump'!$U$2:$U$538,C$7,'HD Dump'!$R$2:$R$538,"&gt;="&amp;$B33-90,'HD Dump'!$R$2:$R$538,"&lt;="&amp;$B33),T32)</f>
        <v/>
      </c>
      <c r="U33" s="18">
        <f>IF(COUNTIFS('HD Dump'!$U$2:$U$538,D$7,'HD Dump'!$R$2:$R$538,"&gt;="&amp;$B33-90,'HD Dump'!$R$2:$R$538,"&lt;="&amp;$B33)&gt;0,AVERAGEIFS('HD Dump'!$M$2:$M$538,'HD Dump'!$U$2:$U$538,D$7,'HD Dump'!$R$2:$R$538,"&gt;="&amp;$B33-90,'HD Dump'!$R$2:$R$538,"&lt;="&amp;$B33),U32)</f>
        <v/>
      </c>
      <c r="V33" s="18">
        <f>IF(COUNTIFS('HD Dump'!$U$2:$U$538,E$7,'HD Dump'!$R$2:$R$538,"&gt;="&amp;$B33-90,'HD Dump'!$R$2:$R$538,"&lt;="&amp;$B33)&gt;0,AVERAGEIFS('HD Dump'!$M$2:$M$538,'HD Dump'!$U$2:$U$538,E$7,'HD Dump'!$R$2:$R$538,"&gt;="&amp;$B33-90,'HD Dump'!$R$2:$R$538,"&lt;="&amp;$B33),V32)</f>
        <v/>
      </c>
      <c r="W33" s="18">
        <f>IF(COUNTIFS('HD Dump'!$U$2:$U$538,F$7,'HD Dump'!$R$2:$R$538,"&gt;="&amp;$B33-90,'HD Dump'!$R$2:$R$538,"&lt;="&amp;$B33)&gt;0,AVERAGEIFS('HD Dump'!$M$2:$M$538,'HD Dump'!$U$2:$U$538,F$7,'HD Dump'!$R$2:$R$538,"&gt;="&amp;$B33-90,'HD Dump'!$R$2:$R$538,"&lt;="&amp;$B33),W32)</f>
        <v/>
      </c>
      <c r="X33" s="18">
        <f>IF(COUNTIFS('HD Dump'!$U$2:$U$538,G$7,'HD Dump'!$R$2:$R$538,"&gt;="&amp;$B33-90,'HD Dump'!$R$2:$R$538,"&lt;="&amp;$B33)&gt;0,AVERAGEIFS('HD Dump'!$M$2:$M$538,'HD Dump'!$U$2:$U$538,G$7,'HD Dump'!$R$2:$R$538,"&gt;="&amp;$B33-90,'HD Dump'!$R$2:$R$538,"&lt;="&amp;$B33),X32)</f>
        <v/>
      </c>
      <c r="Y33" s="18">
        <f>IF(COUNTIFS('HD Dump'!$U$2:$U$538,H$7,'HD Dump'!$R$2:$R$538,"&gt;="&amp;$B33-90,'HD Dump'!$R$2:$R$538,"&lt;="&amp;$B33)&gt;0,AVERAGEIFS('HD Dump'!$M$2:$M$538,'HD Dump'!$U$2:$U$538,H$7,'HD Dump'!$R$2:$R$538,"&gt;="&amp;$B33-90,'HD Dump'!$R$2:$R$538,"&lt;="&amp;$B33),Y32)</f>
        <v/>
      </c>
      <c r="Z33" s="18">
        <f>IF(COUNTIFS('HD Dump'!$U$2:$U$538,I$7,'HD Dump'!$R$2:$R$538,"&gt;="&amp;$B33-90,'HD Dump'!$R$2:$R$538,"&lt;="&amp;$B33)&gt;0,AVERAGEIFS('HD Dump'!$M$2:$M$538,'HD Dump'!$U$2:$U$538,I$7,'HD Dump'!$R$2:$R$538,"&gt;="&amp;$B33-90,'HD Dump'!$R$2:$R$538,"&lt;="&amp;$B33),Z32)</f>
        <v/>
      </c>
      <c r="AA33" s="18">
        <f>IF(COUNTIFS('HD Dump'!$U$2:$U$538,J$7,'HD Dump'!$R$2:$R$538,"&gt;="&amp;$B33-90,'HD Dump'!$R$2:$R$538,"&lt;="&amp;$B33)&gt;0,AVERAGEIFS('HD Dump'!$M$2:$M$538,'HD Dump'!$U$2:$U$538,J$7,'HD Dump'!$R$2:$R$538,"&gt;="&amp;$B33-90,'HD Dump'!$R$2:$R$538,"&lt;="&amp;$B33),AA32)</f>
        <v/>
      </c>
      <c r="AB33" s="18">
        <f>IF(COUNTIFS('HD Dump'!$U$2:$U$538,K$7,'HD Dump'!$R$2:$R$538,"&gt;="&amp;$B33-90,'HD Dump'!$R$2:$R$538,"&lt;="&amp;$B33)&gt;0,AVERAGEIFS('HD Dump'!$M$2:$M$538,'HD Dump'!$U$2:$U$538,K$7,'HD Dump'!$R$2:$R$538,"&gt;="&amp;$B33-90,'HD Dump'!$R$2:$R$538,"&lt;="&amp;$B33),AB32)</f>
        <v/>
      </c>
      <c r="AD33" s="18">
        <f>IF(COUNTIFS('HD Dump'!$U$2:$U$538,C$7,'HD Dump'!$R$2:$R$538,"&gt;="&amp;$B33-90,'HD Dump'!$R$2:$R$538,"&lt;="&amp;$B33)&gt;0,AVERAGEIFS('HD Dump'!$O$2:$O$538,'HD Dump'!$U$2:$U$538,C$7,'HD Dump'!$R$2:$R$538,"&gt;="&amp;$B33-90,'HD Dump'!$R$2:$R$538,"&lt;="&amp;$B33),AD32)</f>
        <v/>
      </c>
      <c r="AE33" s="18">
        <f>IF(COUNTIFS('HD Dump'!$U$2:$U$538,D$7,'HD Dump'!$R$2:$R$538,"&gt;="&amp;$B33-90,'HD Dump'!$R$2:$R$538,"&lt;="&amp;$B33)&gt;0,AVERAGEIFS('HD Dump'!$O$2:$O$538,'HD Dump'!$U$2:$U$538,D$7,'HD Dump'!$R$2:$R$538,"&gt;="&amp;$B33-90,'HD Dump'!$R$2:$R$538,"&lt;="&amp;$B33),AE32)</f>
        <v/>
      </c>
      <c r="AF33" s="18">
        <f>IF(COUNTIFS('HD Dump'!$U$2:$U$538,E$7,'HD Dump'!$R$2:$R$538,"&gt;="&amp;$B33-90,'HD Dump'!$R$2:$R$538,"&lt;="&amp;$B33)&gt;0,AVERAGEIFS('HD Dump'!$O$2:$O$538,'HD Dump'!$U$2:$U$538,E$7,'HD Dump'!$R$2:$R$538,"&gt;="&amp;$B33-90,'HD Dump'!$R$2:$R$538,"&lt;="&amp;$B33),AF32)</f>
        <v/>
      </c>
      <c r="AG33" s="18">
        <f>IF(COUNTIFS('HD Dump'!$U$2:$U$538,F$7,'HD Dump'!$R$2:$R$538,"&gt;="&amp;$B33-90,'HD Dump'!$R$2:$R$538,"&lt;="&amp;$B33)&gt;0,AVERAGEIFS('HD Dump'!$O$2:$O$538,'HD Dump'!$U$2:$U$538,F$7,'HD Dump'!$R$2:$R$538,"&gt;="&amp;$B33-90,'HD Dump'!$R$2:$R$538,"&lt;="&amp;$B33),AG32)</f>
        <v/>
      </c>
      <c r="AH33" s="18">
        <f>IF(COUNTIFS('HD Dump'!$U$2:$U$538,G$7,'HD Dump'!$R$2:$R$538,"&gt;="&amp;$B33-90,'HD Dump'!$R$2:$R$538,"&lt;="&amp;$B33)&gt;0,AVERAGEIFS('HD Dump'!$O$2:$O$538,'HD Dump'!$U$2:$U$538,G$7,'HD Dump'!$R$2:$R$538,"&gt;="&amp;$B33-90,'HD Dump'!$R$2:$R$538,"&lt;="&amp;$B33),AH32)</f>
        <v/>
      </c>
      <c r="AI33" s="18">
        <f>IF(COUNTIFS('HD Dump'!$U$2:$U$538,H$7,'HD Dump'!$R$2:$R$538,"&gt;="&amp;$B33-90,'HD Dump'!$R$2:$R$538,"&lt;="&amp;$B33)&gt;0,AVERAGEIFS('HD Dump'!$O$2:$O$538,'HD Dump'!$U$2:$U$538,H$7,'HD Dump'!$R$2:$R$538,"&gt;="&amp;$B33-90,'HD Dump'!$R$2:$R$538,"&lt;="&amp;$B33),AI32)</f>
        <v/>
      </c>
      <c r="AJ33" s="18">
        <f>IF(COUNTIFS('HD Dump'!$U$2:$U$538,I$7,'HD Dump'!$R$2:$R$538,"&gt;="&amp;$B33-90,'HD Dump'!$R$2:$R$538,"&lt;="&amp;$B33)&gt;0,AVERAGEIFS('HD Dump'!$O$2:$O$538,'HD Dump'!$U$2:$U$538,I$7,'HD Dump'!$R$2:$R$538,"&gt;="&amp;$B33-90,'HD Dump'!$R$2:$R$538,"&lt;="&amp;$B33),AJ32)</f>
        <v/>
      </c>
      <c r="AK33" s="18">
        <f>IF(COUNTIFS('HD Dump'!$U$2:$U$538,J$7,'HD Dump'!$R$2:$R$538,"&gt;="&amp;$B33-90,'HD Dump'!$R$2:$R$538,"&lt;="&amp;$B33)&gt;0,AVERAGEIFS('HD Dump'!$O$2:$O$538,'HD Dump'!$U$2:$U$538,J$7,'HD Dump'!$R$2:$R$538,"&gt;="&amp;$B33-90,'HD Dump'!$R$2:$R$538,"&lt;="&amp;$B33),AK32)</f>
        <v/>
      </c>
      <c r="AL33" s="18">
        <f>IF(COUNTIFS('HD Dump'!$U$2:$U$538,K$7,'HD Dump'!$R$2:$R$538,"&gt;="&amp;$B33-90,'HD Dump'!$R$2:$R$538,"&lt;="&amp;$B33)&gt;0,AVERAGEIFS('HD Dump'!$O$2:$O$538,'HD Dump'!$U$2:$U$538,K$7,'HD Dump'!$R$2:$R$538,"&gt;="&amp;$B33-90,'HD Dump'!$R$2:$R$538,"&lt;="&amp;$B33),AL32)</f>
        <v/>
      </c>
    </row>
    <row r="34">
      <c r="B34" s="9" t="n">
        <v>46203</v>
      </c>
      <c r="C34" s="10" t="inlineStr">
        <is>
          <t>Actual</t>
        </is>
      </c>
      <c r="D34" s="11">
        <f>SUMPRODUCT(T34:AB34,$C$8:$K$8)/SUM($C$8:$K$8)</f>
        <v/>
      </c>
      <c r="E34" s="11">
        <f>SUMPRODUCT(AD34:AL34,$C$8:$K$8)/SUM($C$8:$K$8)</f>
        <v/>
      </c>
      <c r="F34" s="11">
        <f>IFERROR((INDEX('T12 Dump'!$D$9:$O$9,MATCH(EOMONTH($B34,-1)+1,'T12 Dump'!$D$3:$O$3,0))-ABS(INDEX('T12 Dump'!$D$11:$O$11,MATCH(EOMONTH($B34,-1)+1,'T12 Dump'!$D$3:$O$3,0))))/($F34*360),"")</f>
        <v/>
      </c>
      <c r="G34" s="12">
        <f>IFERROR(1-ABS(INDEX('T12 Dump'!$D$11:$O$11,MATCH(EOMONTH($B34,-1)+1,'T12 Dump'!$D$3:$O$3,0)))/INDEX('T12 Dump'!$D$7:$O$7,MATCH(EOMONTH($B34,-1)+1,'T12 Dump'!$D$3:$O$3,0)),"")</f>
        <v/>
      </c>
      <c r="H34" s="13">
        <f>IFERROR($F34/$D34-1,"")</f>
        <v/>
      </c>
      <c r="I34" s="14" t="n">
        <v>16</v>
      </c>
      <c r="J34" s="15" t="n">
        <v>13</v>
      </c>
      <c r="K34" s="14" t="n">
        <v>17</v>
      </c>
      <c r="L34" s="16" t="n"/>
      <c r="M34" s="11" t="n"/>
      <c r="N34" s="11" t="n"/>
      <c r="O34" s="17" t="n">
        <v>0.0166578642382167</v>
      </c>
      <c r="P34" s="11" t="n"/>
      <c r="T34" s="18">
        <f>IF(COUNTIFS('HD Dump'!$U$2:$U$538,C$7,'HD Dump'!$R$2:$R$538,"&gt;="&amp;$B34-90,'HD Dump'!$R$2:$R$538,"&lt;="&amp;$B34)&gt;0,AVERAGEIFS('HD Dump'!$M$2:$M$538,'HD Dump'!$U$2:$U$538,C$7,'HD Dump'!$R$2:$R$538,"&gt;="&amp;$B34-90,'HD Dump'!$R$2:$R$538,"&lt;="&amp;$B34),T33)</f>
        <v/>
      </c>
      <c r="U34" s="18">
        <f>IF(COUNTIFS('HD Dump'!$U$2:$U$538,D$7,'HD Dump'!$R$2:$R$538,"&gt;="&amp;$B34-90,'HD Dump'!$R$2:$R$538,"&lt;="&amp;$B34)&gt;0,AVERAGEIFS('HD Dump'!$M$2:$M$538,'HD Dump'!$U$2:$U$538,D$7,'HD Dump'!$R$2:$R$538,"&gt;="&amp;$B34-90,'HD Dump'!$R$2:$R$538,"&lt;="&amp;$B34),U33)</f>
        <v/>
      </c>
      <c r="V34" s="18">
        <f>IF(COUNTIFS('HD Dump'!$U$2:$U$538,E$7,'HD Dump'!$R$2:$R$538,"&gt;="&amp;$B34-90,'HD Dump'!$R$2:$R$538,"&lt;="&amp;$B34)&gt;0,AVERAGEIFS('HD Dump'!$M$2:$M$538,'HD Dump'!$U$2:$U$538,E$7,'HD Dump'!$R$2:$R$538,"&gt;="&amp;$B34-90,'HD Dump'!$R$2:$R$538,"&lt;="&amp;$B34),V33)</f>
        <v/>
      </c>
      <c r="W34" s="18">
        <f>IF(COUNTIFS('HD Dump'!$U$2:$U$538,F$7,'HD Dump'!$R$2:$R$538,"&gt;="&amp;$B34-90,'HD Dump'!$R$2:$R$538,"&lt;="&amp;$B34)&gt;0,AVERAGEIFS('HD Dump'!$M$2:$M$538,'HD Dump'!$U$2:$U$538,F$7,'HD Dump'!$R$2:$R$538,"&gt;="&amp;$B34-90,'HD Dump'!$R$2:$R$538,"&lt;="&amp;$B34),W33)</f>
        <v/>
      </c>
      <c r="X34" s="18">
        <f>IF(COUNTIFS('HD Dump'!$U$2:$U$538,G$7,'HD Dump'!$R$2:$R$538,"&gt;="&amp;$B34-90,'HD Dump'!$R$2:$R$538,"&lt;="&amp;$B34)&gt;0,AVERAGEIFS('HD Dump'!$M$2:$M$538,'HD Dump'!$U$2:$U$538,G$7,'HD Dump'!$R$2:$R$538,"&gt;="&amp;$B34-90,'HD Dump'!$R$2:$R$538,"&lt;="&amp;$B34),X33)</f>
        <v/>
      </c>
      <c r="Y34" s="18">
        <f>IF(COUNTIFS('HD Dump'!$U$2:$U$538,H$7,'HD Dump'!$R$2:$R$538,"&gt;="&amp;$B34-90,'HD Dump'!$R$2:$R$538,"&lt;="&amp;$B34)&gt;0,AVERAGEIFS('HD Dump'!$M$2:$M$538,'HD Dump'!$U$2:$U$538,H$7,'HD Dump'!$R$2:$R$538,"&gt;="&amp;$B34-90,'HD Dump'!$R$2:$R$538,"&lt;="&amp;$B34),Y33)</f>
        <v/>
      </c>
      <c r="Z34" s="18">
        <f>IF(COUNTIFS('HD Dump'!$U$2:$U$538,I$7,'HD Dump'!$R$2:$R$538,"&gt;="&amp;$B34-90,'HD Dump'!$R$2:$R$538,"&lt;="&amp;$B34)&gt;0,AVERAGEIFS('HD Dump'!$M$2:$M$538,'HD Dump'!$U$2:$U$538,I$7,'HD Dump'!$R$2:$R$538,"&gt;="&amp;$B34-90,'HD Dump'!$R$2:$R$538,"&lt;="&amp;$B34),Z33)</f>
        <v/>
      </c>
      <c r="AA34" s="18">
        <f>IF(COUNTIFS('HD Dump'!$U$2:$U$538,J$7,'HD Dump'!$R$2:$R$538,"&gt;="&amp;$B34-90,'HD Dump'!$R$2:$R$538,"&lt;="&amp;$B34)&gt;0,AVERAGEIFS('HD Dump'!$M$2:$M$538,'HD Dump'!$U$2:$U$538,J$7,'HD Dump'!$R$2:$R$538,"&gt;="&amp;$B34-90,'HD Dump'!$R$2:$R$538,"&lt;="&amp;$B34),AA33)</f>
        <v/>
      </c>
      <c r="AB34" s="18">
        <f>IF(COUNTIFS('HD Dump'!$U$2:$U$538,K$7,'HD Dump'!$R$2:$R$538,"&gt;="&amp;$B34-90,'HD Dump'!$R$2:$R$538,"&lt;="&amp;$B34)&gt;0,AVERAGEIFS('HD Dump'!$M$2:$M$538,'HD Dump'!$U$2:$U$538,K$7,'HD Dump'!$R$2:$R$538,"&gt;="&amp;$B34-90,'HD Dump'!$R$2:$R$538,"&lt;="&amp;$B34),AB33)</f>
        <v/>
      </c>
      <c r="AD34" s="18">
        <f>IF(COUNTIFS('HD Dump'!$U$2:$U$538,C$7,'HD Dump'!$R$2:$R$538,"&gt;="&amp;$B34-90,'HD Dump'!$R$2:$R$538,"&lt;="&amp;$B34)&gt;0,AVERAGEIFS('HD Dump'!$O$2:$O$538,'HD Dump'!$U$2:$U$538,C$7,'HD Dump'!$R$2:$R$538,"&gt;="&amp;$B34-90,'HD Dump'!$R$2:$R$538,"&lt;="&amp;$B34),AD33)</f>
        <v/>
      </c>
      <c r="AE34" s="18">
        <f>IF(COUNTIFS('HD Dump'!$U$2:$U$538,D$7,'HD Dump'!$R$2:$R$538,"&gt;="&amp;$B34-90,'HD Dump'!$R$2:$R$538,"&lt;="&amp;$B34)&gt;0,AVERAGEIFS('HD Dump'!$O$2:$O$538,'HD Dump'!$U$2:$U$538,D$7,'HD Dump'!$R$2:$R$538,"&gt;="&amp;$B34-90,'HD Dump'!$R$2:$R$538,"&lt;="&amp;$B34),AE33)</f>
        <v/>
      </c>
      <c r="AF34" s="18">
        <f>IF(COUNTIFS('HD Dump'!$U$2:$U$538,E$7,'HD Dump'!$R$2:$R$538,"&gt;="&amp;$B34-90,'HD Dump'!$R$2:$R$538,"&lt;="&amp;$B34)&gt;0,AVERAGEIFS('HD Dump'!$O$2:$O$538,'HD Dump'!$U$2:$U$538,E$7,'HD Dump'!$R$2:$R$538,"&gt;="&amp;$B34-90,'HD Dump'!$R$2:$R$538,"&lt;="&amp;$B34),AF33)</f>
        <v/>
      </c>
      <c r="AG34" s="18">
        <f>IF(COUNTIFS('HD Dump'!$U$2:$U$538,F$7,'HD Dump'!$R$2:$R$538,"&gt;="&amp;$B34-90,'HD Dump'!$R$2:$R$538,"&lt;="&amp;$B34)&gt;0,AVERAGEIFS('HD Dump'!$O$2:$O$538,'HD Dump'!$U$2:$U$538,F$7,'HD Dump'!$R$2:$R$538,"&gt;="&amp;$B34-90,'HD Dump'!$R$2:$R$538,"&lt;="&amp;$B34),AG33)</f>
        <v/>
      </c>
      <c r="AH34" s="18">
        <f>IF(COUNTIFS('HD Dump'!$U$2:$U$538,G$7,'HD Dump'!$R$2:$R$538,"&gt;="&amp;$B34-90,'HD Dump'!$R$2:$R$538,"&lt;="&amp;$B34)&gt;0,AVERAGEIFS('HD Dump'!$O$2:$O$538,'HD Dump'!$U$2:$U$538,G$7,'HD Dump'!$R$2:$R$538,"&gt;="&amp;$B34-90,'HD Dump'!$R$2:$R$538,"&lt;="&amp;$B34),AH33)</f>
        <v/>
      </c>
      <c r="AI34" s="18">
        <f>IF(COUNTIFS('HD Dump'!$U$2:$U$538,H$7,'HD Dump'!$R$2:$R$538,"&gt;="&amp;$B34-90,'HD Dump'!$R$2:$R$538,"&lt;="&amp;$B34)&gt;0,AVERAGEIFS('HD Dump'!$O$2:$O$538,'HD Dump'!$U$2:$U$538,H$7,'HD Dump'!$R$2:$R$538,"&gt;="&amp;$B34-90,'HD Dump'!$R$2:$R$538,"&lt;="&amp;$B34),AI33)</f>
        <v/>
      </c>
      <c r="AJ34" s="18">
        <f>IF(COUNTIFS('HD Dump'!$U$2:$U$538,I$7,'HD Dump'!$R$2:$R$538,"&gt;="&amp;$B34-90,'HD Dump'!$R$2:$R$538,"&lt;="&amp;$B34)&gt;0,AVERAGEIFS('HD Dump'!$O$2:$O$538,'HD Dump'!$U$2:$U$538,I$7,'HD Dump'!$R$2:$R$538,"&gt;="&amp;$B34-90,'HD Dump'!$R$2:$R$538,"&lt;="&amp;$B34),AJ33)</f>
        <v/>
      </c>
      <c r="AK34" s="18">
        <f>IF(COUNTIFS('HD Dump'!$U$2:$U$538,J$7,'HD Dump'!$R$2:$R$538,"&gt;="&amp;$B34-90,'HD Dump'!$R$2:$R$538,"&lt;="&amp;$B34)&gt;0,AVERAGEIFS('HD Dump'!$O$2:$O$538,'HD Dump'!$U$2:$U$538,J$7,'HD Dump'!$R$2:$R$538,"&gt;="&amp;$B34-90,'HD Dump'!$R$2:$R$538,"&lt;="&amp;$B34),AK33)</f>
        <v/>
      </c>
      <c r="AL34" s="18">
        <f>IF(COUNTIFS('HD Dump'!$U$2:$U$538,K$7,'HD Dump'!$R$2:$R$538,"&gt;="&amp;$B34-90,'HD Dump'!$R$2:$R$538,"&lt;="&amp;$B34)&gt;0,AVERAGEIFS('HD Dump'!$O$2:$O$538,'HD Dump'!$U$2:$U$538,K$7,'HD Dump'!$R$2:$R$538,"&gt;="&amp;$B34-90,'HD Dump'!$R$2:$R$538,"&lt;="&amp;$B34),AL33)</f>
        <v/>
      </c>
    </row>
    <row r="35">
      <c r="B35" s="9" t="n">
        <v>46234</v>
      </c>
      <c r="C35" s="10" t="inlineStr">
        <is>
          <t>Actual</t>
        </is>
      </c>
      <c r="D35" s="11">
        <f>SUMPRODUCT(T35:AB35,$C$8:$K$8)/SUM($C$8:$K$8)</f>
        <v/>
      </c>
      <c r="E35" s="11">
        <f>SUMPRODUCT(AD35:AL35,$C$8:$K$8)/SUM($C$8:$K$8)</f>
        <v/>
      </c>
      <c r="F35" s="11">
        <f>IFERROR((INDEX('T12 Dump'!$D$9:$O$9,MATCH(EOMONTH($B35,-1)+1,'T12 Dump'!$D$3:$O$3,0))-ABS(INDEX('T12 Dump'!$D$11:$O$11,MATCH(EOMONTH($B35,-1)+1,'T12 Dump'!$D$3:$O$3,0))))/($F35*360),"")</f>
        <v/>
      </c>
      <c r="G35" s="12">
        <f>IFERROR(1-ABS(INDEX('T12 Dump'!$D$11:$O$11,MATCH(EOMONTH($B35,-1)+1,'T12 Dump'!$D$3:$O$3,0)))/INDEX('T12 Dump'!$D$7:$O$7,MATCH(EOMONTH($B35,-1)+1,'T12 Dump'!$D$3:$O$3,0)),"")</f>
        <v/>
      </c>
      <c r="H35" s="13">
        <f>IFERROR($F35/$D35-1,"")</f>
        <v/>
      </c>
      <c r="I35" s="14" t="n">
        <v>31</v>
      </c>
      <c r="J35" s="15" t="n">
        <v>12</v>
      </c>
      <c r="K35" s="14" t="n">
        <v>27</v>
      </c>
      <c r="L35" s="16" t="n"/>
      <c r="M35" s="11" t="n"/>
      <c r="N35" s="11" t="n"/>
      <c r="O35" s="17" t="n">
        <v>0.02130613513017518</v>
      </c>
      <c r="P35" s="11" t="n"/>
      <c r="T35" s="18">
        <f>IF(COUNTIFS('HD Dump'!$U$2:$U$538,C$7,'HD Dump'!$R$2:$R$538,"&gt;="&amp;$B35-90,'HD Dump'!$R$2:$R$538,"&lt;="&amp;$B35)&gt;0,AVERAGEIFS('HD Dump'!$M$2:$M$538,'HD Dump'!$U$2:$U$538,C$7,'HD Dump'!$R$2:$R$538,"&gt;="&amp;$B35-90,'HD Dump'!$R$2:$R$538,"&lt;="&amp;$B35),T34)</f>
        <v/>
      </c>
      <c r="U35" s="18">
        <f>IF(COUNTIFS('HD Dump'!$U$2:$U$538,D$7,'HD Dump'!$R$2:$R$538,"&gt;="&amp;$B35-90,'HD Dump'!$R$2:$R$538,"&lt;="&amp;$B35)&gt;0,AVERAGEIFS('HD Dump'!$M$2:$M$538,'HD Dump'!$U$2:$U$538,D$7,'HD Dump'!$R$2:$R$538,"&gt;="&amp;$B35-90,'HD Dump'!$R$2:$R$538,"&lt;="&amp;$B35),U34)</f>
        <v/>
      </c>
      <c r="V35" s="18">
        <f>IF(COUNTIFS('HD Dump'!$U$2:$U$538,E$7,'HD Dump'!$R$2:$R$538,"&gt;="&amp;$B35-90,'HD Dump'!$R$2:$R$538,"&lt;="&amp;$B35)&gt;0,AVERAGEIFS('HD Dump'!$M$2:$M$538,'HD Dump'!$U$2:$U$538,E$7,'HD Dump'!$R$2:$R$538,"&gt;="&amp;$B35-90,'HD Dump'!$R$2:$R$538,"&lt;="&amp;$B35),V34)</f>
        <v/>
      </c>
      <c r="W35" s="18">
        <f>IF(COUNTIFS('HD Dump'!$U$2:$U$538,F$7,'HD Dump'!$R$2:$R$538,"&gt;="&amp;$B35-90,'HD Dump'!$R$2:$R$538,"&lt;="&amp;$B35)&gt;0,AVERAGEIFS('HD Dump'!$M$2:$M$538,'HD Dump'!$U$2:$U$538,F$7,'HD Dump'!$R$2:$R$538,"&gt;="&amp;$B35-90,'HD Dump'!$R$2:$R$538,"&lt;="&amp;$B35),W34)</f>
        <v/>
      </c>
      <c r="X35" s="18">
        <f>IF(COUNTIFS('HD Dump'!$U$2:$U$538,G$7,'HD Dump'!$R$2:$R$538,"&gt;="&amp;$B35-90,'HD Dump'!$R$2:$R$538,"&lt;="&amp;$B35)&gt;0,AVERAGEIFS('HD Dump'!$M$2:$M$538,'HD Dump'!$U$2:$U$538,G$7,'HD Dump'!$R$2:$R$538,"&gt;="&amp;$B35-90,'HD Dump'!$R$2:$R$538,"&lt;="&amp;$B35),X34)</f>
        <v/>
      </c>
      <c r="Y35" s="18">
        <f>IF(COUNTIFS('HD Dump'!$U$2:$U$538,H$7,'HD Dump'!$R$2:$R$538,"&gt;="&amp;$B35-90,'HD Dump'!$R$2:$R$538,"&lt;="&amp;$B35)&gt;0,AVERAGEIFS('HD Dump'!$M$2:$M$538,'HD Dump'!$U$2:$U$538,H$7,'HD Dump'!$R$2:$R$538,"&gt;="&amp;$B35-90,'HD Dump'!$R$2:$R$538,"&lt;="&amp;$B35),Y34)</f>
        <v/>
      </c>
      <c r="Z35" s="18">
        <f>IF(COUNTIFS('HD Dump'!$U$2:$U$538,I$7,'HD Dump'!$R$2:$R$538,"&gt;="&amp;$B35-90,'HD Dump'!$R$2:$R$538,"&lt;="&amp;$B35)&gt;0,AVERAGEIFS('HD Dump'!$M$2:$M$538,'HD Dump'!$U$2:$U$538,I$7,'HD Dump'!$R$2:$R$538,"&gt;="&amp;$B35-90,'HD Dump'!$R$2:$R$538,"&lt;="&amp;$B35),Z34)</f>
        <v/>
      </c>
      <c r="AA35" s="18">
        <f>IF(COUNTIFS('HD Dump'!$U$2:$U$538,J$7,'HD Dump'!$R$2:$R$538,"&gt;="&amp;$B35-90,'HD Dump'!$R$2:$R$538,"&lt;="&amp;$B35)&gt;0,AVERAGEIFS('HD Dump'!$M$2:$M$538,'HD Dump'!$U$2:$U$538,J$7,'HD Dump'!$R$2:$R$538,"&gt;="&amp;$B35-90,'HD Dump'!$R$2:$R$538,"&lt;="&amp;$B35),AA34)</f>
        <v/>
      </c>
      <c r="AB35" s="18">
        <f>IF(COUNTIFS('HD Dump'!$U$2:$U$538,K$7,'HD Dump'!$R$2:$R$538,"&gt;="&amp;$B35-90,'HD Dump'!$R$2:$R$538,"&lt;="&amp;$B35)&gt;0,AVERAGEIFS('HD Dump'!$M$2:$M$538,'HD Dump'!$U$2:$U$538,K$7,'HD Dump'!$R$2:$R$538,"&gt;="&amp;$B35-90,'HD Dump'!$R$2:$R$538,"&lt;="&amp;$B35),AB34)</f>
        <v/>
      </c>
      <c r="AD35" s="18">
        <f>IF(COUNTIFS('HD Dump'!$U$2:$U$538,C$7,'HD Dump'!$R$2:$R$538,"&gt;="&amp;$B35-90,'HD Dump'!$R$2:$R$538,"&lt;="&amp;$B35)&gt;0,AVERAGEIFS('HD Dump'!$O$2:$O$538,'HD Dump'!$U$2:$U$538,C$7,'HD Dump'!$R$2:$R$538,"&gt;="&amp;$B35-90,'HD Dump'!$R$2:$R$538,"&lt;="&amp;$B35),AD34)</f>
        <v/>
      </c>
      <c r="AE35" s="18">
        <f>IF(COUNTIFS('HD Dump'!$U$2:$U$538,D$7,'HD Dump'!$R$2:$R$538,"&gt;="&amp;$B35-90,'HD Dump'!$R$2:$R$538,"&lt;="&amp;$B35)&gt;0,AVERAGEIFS('HD Dump'!$O$2:$O$538,'HD Dump'!$U$2:$U$538,D$7,'HD Dump'!$R$2:$R$538,"&gt;="&amp;$B35-90,'HD Dump'!$R$2:$R$538,"&lt;="&amp;$B35),AE34)</f>
        <v/>
      </c>
      <c r="AF35" s="18">
        <f>IF(COUNTIFS('HD Dump'!$U$2:$U$538,E$7,'HD Dump'!$R$2:$R$538,"&gt;="&amp;$B35-90,'HD Dump'!$R$2:$R$538,"&lt;="&amp;$B35)&gt;0,AVERAGEIFS('HD Dump'!$O$2:$O$538,'HD Dump'!$U$2:$U$538,E$7,'HD Dump'!$R$2:$R$538,"&gt;="&amp;$B35-90,'HD Dump'!$R$2:$R$538,"&lt;="&amp;$B35),AF34)</f>
        <v/>
      </c>
      <c r="AG35" s="18">
        <f>IF(COUNTIFS('HD Dump'!$U$2:$U$538,F$7,'HD Dump'!$R$2:$R$538,"&gt;="&amp;$B35-90,'HD Dump'!$R$2:$R$538,"&lt;="&amp;$B35)&gt;0,AVERAGEIFS('HD Dump'!$O$2:$O$538,'HD Dump'!$U$2:$U$538,F$7,'HD Dump'!$R$2:$R$538,"&gt;="&amp;$B35-90,'HD Dump'!$R$2:$R$538,"&lt;="&amp;$B35),AG34)</f>
        <v/>
      </c>
      <c r="AH35" s="18">
        <f>IF(COUNTIFS('HD Dump'!$U$2:$U$538,G$7,'HD Dump'!$R$2:$R$538,"&gt;="&amp;$B35-90,'HD Dump'!$R$2:$R$538,"&lt;="&amp;$B35)&gt;0,AVERAGEIFS('HD Dump'!$O$2:$O$538,'HD Dump'!$U$2:$U$538,G$7,'HD Dump'!$R$2:$R$538,"&gt;="&amp;$B35-90,'HD Dump'!$R$2:$R$538,"&lt;="&amp;$B35),AH34)</f>
        <v/>
      </c>
      <c r="AI35" s="18">
        <f>IF(COUNTIFS('HD Dump'!$U$2:$U$538,H$7,'HD Dump'!$R$2:$R$538,"&gt;="&amp;$B35-90,'HD Dump'!$R$2:$R$538,"&lt;="&amp;$B35)&gt;0,AVERAGEIFS('HD Dump'!$O$2:$O$538,'HD Dump'!$U$2:$U$538,H$7,'HD Dump'!$R$2:$R$538,"&gt;="&amp;$B35-90,'HD Dump'!$R$2:$R$538,"&lt;="&amp;$B35),AI34)</f>
        <v/>
      </c>
      <c r="AJ35" s="18">
        <f>IF(COUNTIFS('HD Dump'!$U$2:$U$538,I$7,'HD Dump'!$R$2:$R$538,"&gt;="&amp;$B35-90,'HD Dump'!$R$2:$R$538,"&lt;="&amp;$B35)&gt;0,AVERAGEIFS('HD Dump'!$O$2:$O$538,'HD Dump'!$U$2:$U$538,I$7,'HD Dump'!$R$2:$R$538,"&gt;="&amp;$B35-90,'HD Dump'!$R$2:$R$538,"&lt;="&amp;$B35),AJ34)</f>
        <v/>
      </c>
      <c r="AK35" s="18">
        <f>IF(COUNTIFS('HD Dump'!$U$2:$U$538,J$7,'HD Dump'!$R$2:$R$538,"&gt;="&amp;$B35-90,'HD Dump'!$R$2:$R$538,"&lt;="&amp;$B35)&gt;0,AVERAGEIFS('HD Dump'!$O$2:$O$538,'HD Dump'!$U$2:$U$538,J$7,'HD Dump'!$R$2:$R$538,"&gt;="&amp;$B35-90,'HD Dump'!$R$2:$R$538,"&lt;="&amp;$B35),AK34)</f>
        <v/>
      </c>
      <c r="AL35" s="18">
        <f>IF(COUNTIFS('HD Dump'!$U$2:$U$538,K$7,'HD Dump'!$R$2:$R$538,"&gt;="&amp;$B35-90,'HD Dump'!$R$2:$R$538,"&lt;="&amp;$B35)&gt;0,AVERAGEIFS('HD Dump'!$O$2:$O$538,'HD Dump'!$U$2:$U$538,K$7,'HD Dump'!$R$2:$R$538,"&gt;="&amp;$B35-90,'HD Dump'!$R$2:$R$538,"&lt;="&amp;$B35),AL34)</f>
        <v/>
      </c>
    </row>
    <row r="36">
      <c r="B36" s="9" t="n">
        <v>46265</v>
      </c>
      <c r="C36" s="10" t="inlineStr">
        <is>
          <t>Actual</t>
        </is>
      </c>
      <c r="D36" s="11">
        <f>SUMPRODUCT(T36:AB36,$C$8:$K$8)/SUM($C$8:$K$8)</f>
        <v/>
      </c>
      <c r="E36" s="11">
        <f>SUMPRODUCT(AD36:AL36,$C$8:$K$8)/SUM($C$8:$K$8)</f>
        <v/>
      </c>
      <c r="F36" s="11">
        <f>IFERROR((INDEX('T12 Dump'!$D$9:$O$9,MATCH(EOMONTH($B36,-1)+1,'T12 Dump'!$D$3:$O$3,0))-ABS(INDEX('T12 Dump'!$D$11:$O$11,MATCH(EOMONTH($B36,-1)+1,'T12 Dump'!$D$3:$O$3,0))))/($F36*360),"")</f>
        <v/>
      </c>
      <c r="G36" s="12">
        <f>IFERROR(1-ABS(INDEX('T12 Dump'!$D$11:$O$11,MATCH(EOMONTH($B36,-1)+1,'T12 Dump'!$D$3:$O$3,0)))/INDEX('T12 Dump'!$D$7:$O$7,MATCH(EOMONTH($B36,-1)+1,'T12 Dump'!$D$3:$O$3,0)),"")</f>
        <v/>
      </c>
      <c r="H36" s="13">
        <f>IFERROR($F36/$D36-1,"")</f>
        <v/>
      </c>
      <c r="I36" s="14" t="n">
        <v>17</v>
      </c>
      <c r="J36" s="15" t="n">
        <v>9</v>
      </c>
      <c r="K36" s="14" t="n">
        <v>14</v>
      </c>
      <c r="L36" s="16" t="n"/>
      <c r="M36" s="11" t="n"/>
      <c r="N36" s="11" t="n"/>
      <c r="O36" s="17" t="n">
        <v>0.03388435903977594</v>
      </c>
      <c r="P36" s="11" t="n"/>
      <c r="T36" s="18">
        <f>IF(COUNTIFS('HD Dump'!$U$2:$U$538,C$7,'HD Dump'!$R$2:$R$538,"&gt;="&amp;$B36-90,'HD Dump'!$R$2:$R$538,"&lt;="&amp;$B36)&gt;0,AVERAGEIFS('HD Dump'!$M$2:$M$538,'HD Dump'!$U$2:$U$538,C$7,'HD Dump'!$R$2:$R$538,"&gt;="&amp;$B36-90,'HD Dump'!$R$2:$R$538,"&lt;="&amp;$B36),T35)</f>
        <v/>
      </c>
      <c r="U36" s="18">
        <f>IF(COUNTIFS('HD Dump'!$U$2:$U$538,D$7,'HD Dump'!$R$2:$R$538,"&gt;="&amp;$B36-90,'HD Dump'!$R$2:$R$538,"&lt;="&amp;$B36)&gt;0,AVERAGEIFS('HD Dump'!$M$2:$M$538,'HD Dump'!$U$2:$U$538,D$7,'HD Dump'!$R$2:$R$538,"&gt;="&amp;$B36-90,'HD Dump'!$R$2:$R$538,"&lt;="&amp;$B36),U35)</f>
        <v/>
      </c>
      <c r="V36" s="18">
        <f>IF(COUNTIFS('HD Dump'!$U$2:$U$538,E$7,'HD Dump'!$R$2:$R$538,"&gt;="&amp;$B36-90,'HD Dump'!$R$2:$R$538,"&lt;="&amp;$B36)&gt;0,AVERAGEIFS('HD Dump'!$M$2:$M$538,'HD Dump'!$U$2:$U$538,E$7,'HD Dump'!$R$2:$R$538,"&gt;="&amp;$B36-90,'HD Dump'!$R$2:$R$538,"&lt;="&amp;$B36),V35)</f>
        <v/>
      </c>
      <c r="W36" s="18">
        <f>IF(COUNTIFS('HD Dump'!$U$2:$U$538,F$7,'HD Dump'!$R$2:$R$538,"&gt;="&amp;$B36-90,'HD Dump'!$R$2:$R$538,"&lt;="&amp;$B36)&gt;0,AVERAGEIFS('HD Dump'!$M$2:$M$538,'HD Dump'!$U$2:$U$538,F$7,'HD Dump'!$R$2:$R$538,"&gt;="&amp;$B36-90,'HD Dump'!$R$2:$R$538,"&lt;="&amp;$B36),W35)</f>
        <v/>
      </c>
      <c r="X36" s="18">
        <f>IF(COUNTIFS('HD Dump'!$U$2:$U$538,G$7,'HD Dump'!$R$2:$R$538,"&gt;="&amp;$B36-90,'HD Dump'!$R$2:$R$538,"&lt;="&amp;$B36)&gt;0,AVERAGEIFS('HD Dump'!$M$2:$M$538,'HD Dump'!$U$2:$U$538,G$7,'HD Dump'!$R$2:$R$538,"&gt;="&amp;$B36-90,'HD Dump'!$R$2:$R$538,"&lt;="&amp;$B36),X35)</f>
        <v/>
      </c>
      <c r="Y36" s="18">
        <f>IF(COUNTIFS('HD Dump'!$U$2:$U$538,H$7,'HD Dump'!$R$2:$R$538,"&gt;="&amp;$B36-90,'HD Dump'!$R$2:$R$538,"&lt;="&amp;$B36)&gt;0,AVERAGEIFS('HD Dump'!$M$2:$M$538,'HD Dump'!$U$2:$U$538,H$7,'HD Dump'!$R$2:$R$538,"&gt;="&amp;$B36-90,'HD Dump'!$R$2:$R$538,"&lt;="&amp;$B36),Y35)</f>
        <v/>
      </c>
      <c r="Z36" s="18">
        <f>IF(COUNTIFS('HD Dump'!$U$2:$U$538,I$7,'HD Dump'!$R$2:$R$538,"&gt;="&amp;$B36-90,'HD Dump'!$R$2:$R$538,"&lt;="&amp;$B36)&gt;0,AVERAGEIFS('HD Dump'!$M$2:$M$538,'HD Dump'!$U$2:$U$538,I$7,'HD Dump'!$R$2:$R$538,"&gt;="&amp;$B36-90,'HD Dump'!$R$2:$R$538,"&lt;="&amp;$B36),Z35)</f>
        <v/>
      </c>
      <c r="AA36" s="18">
        <f>IF(COUNTIFS('HD Dump'!$U$2:$U$538,J$7,'HD Dump'!$R$2:$R$538,"&gt;="&amp;$B36-90,'HD Dump'!$R$2:$R$538,"&lt;="&amp;$B36)&gt;0,AVERAGEIFS('HD Dump'!$M$2:$M$538,'HD Dump'!$U$2:$U$538,J$7,'HD Dump'!$R$2:$R$538,"&gt;="&amp;$B36-90,'HD Dump'!$R$2:$R$538,"&lt;="&amp;$B36),AA35)</f>
        <v/>
      </c>
      <c r="AB36" s="18">
        <f>IF(COUNTIFS('HD Dump'!$U$2:$U$538,K$7,'HD Dump'!$R$2:$R$538,"&gt;="&amp;$B36-90,'HD Dump'!$R$2:$R$538,"&lt;="&amp;$B36)&gt;0,AVERAGEIFS('HD Dump'!$M$2:$M$538,'HD Dump'!$U$2:$U$538,K$7,'HD Dump'!$R$2:$R$538,"&gt;="&amp;$B36-90,'HD Dump'!$R$2:$R$538,"&lt;="&amp;$B36),AB35)</f>
        <v/>
      </c>
      <c r="AD36" s="18">
        <f>IF(COUNTIFS('HD Dump'!$U$2:$U$538,C$7,'HD Dump'!$R$2:$R$538,"&gt;="&amp;$B36-90,'HD Dump'!$R$2:$R$538,"&lt;="&amp;$B36)&gt;0,AVERAGEIFS('HD Dump'!$O$2:$O$538,'HD Dump'!$U$2:$U$538,C$7,'HD Dump'!$R$2:$R$538,"&gt;="&amp;$B36-90,'HD Dump'!$R$2:$R$538,"&lt;="&amp;$B36),AD35)</f>
        <v/>
      </c>
      <c r="AE36" s="18">
        <f>IF(COUNTIFS('HD Dump'!$U$2:$U$538,D$7,'HD Dump'!$R$2:$R$538,"&gt;="&amp;$B36-90,'HD Dump'!$R$2:$R$538,"&lt;="&amp;$B36)&gt;0,AVERAGEIFS('HD Dump'!$O$2:$O$538,'HD Dump'!$U$2:$U$538,D$7,'HD Dump'!$R$2:$R$538,"&gt;="&amp;$B36-90,'HD Dump'!$R$2:$R$538,"&lt;="&amp;$B36),AE35)</f>
        <v/>
      </c>
      <c r="AF36" s="18">
        <f>IF(COUNTIFS('HD Dump'!$U$2:$U$538,E$7,'HD Dump'!$R$2:$R$538,"&gt;="&amp;$B36-90,'HD Dump'!$R$2:$R$538,"&lt;="&amp;$B36)&gt;0,AVERAGEIFS('HD Dump'!$O$2:$O$538,'HD Dump'!$U$2:$U$538,E$7,'HD Dump'!$R$2:$R$538,"&gt;="&amp;$B36-90,'HD Dump'!$R$2:$R$538,"&lt;="&amp;$B36),AF35)</f>
        <v/>
      </c>
      <c r="AG36" s="18">
        <f>IF(COUNTIFS('HD Dump'!$U$2:$U$538,F$7,'HD Dump'!$R$2:$R$538,"&gt;="&amp;$B36-90,'HD Dump'!$R$2:$R$538,"&lt;="&amp;$B36)&gt;0,AVERAGEIFS('HD Dump'!$O$2:$O$538,'HD Dump'!$U$2:$U$538,F$7,'HD Dump'!$R$2:$R$538,"&gt;="&amp;$B36-90,'HD Dump'!$R$2:$R$538,"&lt;="&amp;$B36),AG35)</f>
        <v/>
      </c>
      <c r="AH36" s="18">
        <f>IF(COUNTIFS('HD Dump'!$U$2:$U$538,G$7,'HD Dump'!$R$2:$R$538,"&gt;="&amp;$B36-90,'HD Dump'!$R$2:$R$538,"&lt;="&amp;$B36)&gt;0,AVERAGEIFS('HD Dump'!$O$2:$O$538,'HD Dump'!$U$2:$U$538,G$7,'HD Dump'!$R$2:$R$538,"&gt;="&amp;$B36-90,'HD Dump'!$R$2:$R$538,"&lt;="&amp;$B36),AH35)</f>
        <v/>
      </c>
      <c r="AI36" s="18">
        <f>IF(COUNTIFS('HD Dump'!$U$2:$U$538,H$7,'HD Dump'!$R$2:$R$538,"&gt;="&amp;$B36-90,'HD Dump'!$R$2:$R$538,"&lt;="&amp;$B36)&gt;0,AVERAGEIFS('HD Dump'!$O$2:$O$538,'HD Dump'!$U$2:$U$538,H$7,'HD Dump'!$R$2:$R$538,"&gt;="&amp;$B36-90,'HD Dump'!$R$2:$R$538,"&lt;="&amp;$B36),AI35)</f>
        <v/>
      </c>
      <c r="AJ36" s="18">
        <f>IF(COUNTIFS('HD Dump'!$U$2:$U$538,I$7,'HD Dump'!$R$2:$R$538,"&gt;="&amp;$B36-90,'HD Dump'!$R$2:$R$538,"&lt;="&amp;$B36)&gt;0,AVERAGEIFS('HD Dump'!$O$2:$O$538,'HD Dump'!$U$2:$U$538,I$7,'HD Dump'!$R$2:$R$538,"&gt;="&amp;$B36-90,'HD Dump'!$R$2:$R$538,"&lt;="&amp;$B36),AJ35)</f>
        <v/>
      </c>
      <c r="AK36" s="18">
        <f>IF(COUNTIFS('HD Dump'!$U$2:$U$538,J$7,'HD Dump'!$R$2:$R$538,"&gt;="&amp;$B36-90,'HD Dump'!$R$2:$R$538,"&lt;="&amp;$B36)&gt;0,AVERAGEIFS('HD Dump'!$O$2:$O$538,'HD Dump'!$U$2:$U$538,J$7,'HD Dump'!$R$2:$R$538,"&gt;="&amp;$B36-90,'HD Dump'!$R$2:$R$538,"&lt;="&amp;$B36),AK35)</f>
        <v/>
      </c>
      <c r="AL36" s="18">
        <f>IF(COUNTIFS('HD Dump'!$U$2:$U$538,K$7,'HD Dump'!$R$2:$R$538,"&gt;="&amp;$B36-90,'HD Dump'!$R$2:$R$538,"&lt;="&amp;$B36)&gt;0,AVERAGEIFS('HD Dump'!$O$2:$O$538,'HD Dump'!$U$2:$U$538,K$7,'HD Dump'!$R$2:$R$538,"&gt;="&amp;$B36-90,'HD Dump'!$R$2:$R$538,"&lt;="&amp;$B36),AL35)</f>
        <v/>
      </c>
    </row>
    <row r="37">
      <c r="B37" s="9" t="n">
        <v>46295</v>
      </c>
      <c r="C37" s="19" t="inlineStr">
        <is>
          <t>Projected</t>
        </is>
      </c>
      <c r="D37" s="20">
        <f>IFERROR(INDEX(RRA!$E$48:$EX$48,MATCH($B37,RRA!$E$33:$EX$33,0))/360,"")</f>
        <v/>
      </c>
      <c r="E37" s="20" t="n"/>
      <c r="F37" s="20">
        <f>IFERROR((INDEX(RRA!$E$49:$EX$49,MATCH($B37,RRA!$E$33:$EX$33,0))/360*360-(1-$F37)*360*$D37)/($F37*360),"")</f>
        <v/>
      </c>
      <c r="G37" s="21">
        <f>IFERROR('Cash Flow (Annual)'!$K$14,"")</f>
        <v/>
      </c>
      <c r="H37" s="22">
        <f>IFERROR($F37/$D37-1,"")</f>
        <v/>
      </c>
      <c r="I37" s="20">
        <f>SUMPRODUCT((TEXT('RR Dump'!$L$2:$L$361,"yyyy-mm")=TEXT($B37,"yyyy-mm"))*((RRA!$A$109:$A$468=1)*RRA!$D$15+(RRA!$A$109:$A$468=2)*RRA!$D$16+(RRA!$A$109:$A$468=3)*RRA!$D$17+(RRA!$A$109:$A$468=4)*RRA!$D$18))+SUMPRODUCT((TEXT(EDATE(N('RR Dump'!$L$2:$L$361),RRA!$D$4),"yyyy-mm")=TEXT($B37,"yyyy-mm"))*((RRA!$A$109:$A$468=1)*RRA!$D$15+(RRA!$A$109:$A$468=2)*RRA!$D$16+(RRA!$A$109:$A$468=3)*RRA!$D$17+(RRA!$A$109:$A$468=4)*RRA!$D$18))</f>
        <v/>
      </c>
      <c r="J37" s="23">
        <f>IFERROR($L37-$J37,"")</f>
        <v/>
      </c>
      <c r="K37" s="20">
        <f>IFERROR($K37,"")</f>
        <v/>
      </c>
      <c r="L37" s="23">
        <f>SUMPRODUCT((TEXT('RR Dump'!$L$2:$L$361,"yyyy-mm")=TEXT($B37,"yyyy-mm"))*1)+SUMPRODUCT((TEXT(EDATE(N('RR Dump'!$L$2:$L$361),RRA!$D$4),"yyyy-mm")=TEXT($B37,"yyyy-mm"))*1)</f>
        <v/>
      </c>
      <c r="M37" s="20">
        <f>IFERROR(SUMPRODUCT((TEXT('RR Dump'!$L$2:$L$361,"yyyy-mm")=TEXT($B37,"yyyy-mm"))*N('RR Dump'!$I$2:$I$361))/SUMPRODUCT((TEXT('RR Dump'!$L$2:$L$361,"yyyy-mm")=TEXT($B37,"yyyy-mm"))*1),"")</f>
        <v/>
      </c>
      <c r="N37" s="20">
        <f>IFERROR(MAX($M37+AN37*($D37-$M37),$M37*(1+AO37)),"")</f>
        <v/>
      </c>
      <c r="O37" s="22">
        <f>IFERROR($N37/$M37-1,"")</f>
        <v/>
      </c>
      <c r="P37" s="20">
        <f>IFERROR($D37,"")</f>
        <v/>
      </c>
      <c r="T37" s="18">
        <f>IF(COUNTIFS('HD Dump'!$U$2:$U$538,C$7,'HD Dump'!$R$2:$R$538,"&gt;="&amp;$B37-90,'HD Dump'!$R$2:$R$538,"&lt;="&amp;$B37)&gt;0,AVERAGEIFS('HD Dump'!$M$2:$M$538,'HD Dump'!$U$2:$U$538,C$7,'HD Dump'!$R$2:$R$538,"&gt;="&amp;$B37-90,'HD Dump'!$R$2:$R$538,"&lt;="&amp;$B37),T36)</f>
        <v/>
      </c>
      <c r="U37" s="18">
        <f>IF(COUNTIFS('HD Dump'!$U$2:$U$538,D$7,'HD Dump'!$R$2:$R$538,"&gt;="&amp;$B37-90,'HD Dump'!$R$2:$R$538,"&lt;="&amp;$B37)&gt;0,AVERAGEIFS('HD Dump'!$M$2:$M$538,'HD Dump'!$U$2:$U$538,D$7,'HD Dump'!$R$2:$R$538,"&gt;="&amp;$B37-90,'HD Dump'!$R$2:$R$538,"&lt;="&amp;$B37),U36)</f>
        <v/>
      </c>
      <c r="V37" s="18">
        <f>IF(COUNTIFS('HD Dump'!$U$2:$U$538,E$7,'HD Dump'!$R$2:$R$538,"&gt;="&amp;$B37-90,'HD Dump'!$R$2:$R$538,"&lt;="&amp;$B37)&gt;0,AVERAGEIFS('HD Dump'!$M$2:$M$538,'HD Dump'!$U$2:$U$538,E$7,'HD Dump'!$R$2:$R$538,"&gt;="&amp;$B37-90,'HD Dump'!$R$2:$R$538,"&lt;="&amp;$B37),V36)</f>
        <v/>
      </c>
      <c r="W37" s="18">
        <f>IF(COUNTIFS('HD Dump'!$U$2:$U$538,F$7,'HD Dump'!$R$2:$R$538,"&gt;="&amp;$B37-90,'HD Dump'!$R$2:$R$538,"&lt;="&amp;$B37)&gt;0,AVERAGEIFS('HD Dump'!$M$2:$M$538,'HD Dump'!$U$2:$U$538,F$7,'HD Dump'!$R$2:$R$538,"&gt;="&amp;$B37-90,'HD Dump'!$R$2:$R$538,"&lt;="&amp;$B37),W36)</f>
        <v/>
      </c>
      <c r="X37" s="18">
        <f>IF(COUNTIFS('HD Dump'!$U$2:$U$538,G$7,'HD Dump'!$R$2:$R$538,"&gt;="&amp;$B37-90,'HD Dump'!$R$2:$R$538,"&lt;="&amp;$B37)&gt;0,AVERAGEIFS('HD Dump'!$M$2:$M$538,'HD Dump'!$U$2:$U$538,G$7,'HD Dump'!$R$2:$R$538,"&gt;="&amp;$B37-90,'HD Dump'!$R$2:$R$538,"&lt;="&amp;$B37),X36)</f>
        <v/>
      </c>
      <c r="Y37" s="18">
        <f>IF(COUNTIFS('HD Dump'!$U$2:$U$538,H$7,'HD Dump'!$R$2:$R$538,"&gt;="&amp;$B37-90,'HD Dump'!$R$2:$R$538,"&lt;="&amp;$B37)&gt;0,AVERAGEIFS('HD Dump'!$M$2:$M$538,'HD Dump'!$U$2:$U$538,H$7,'HD Dump'!$R$2:$R$538,"&gt;="&amp;$B37-90,'HD Dump'!$R$2:$R$538,"&lt;="&amp;$B37),Y36)</f>
        <v/>
      </c>
      <c r="Z37" s="18">
        <f>IF(COUNTIFS('HD Dump'!$U$2:$U$538,I$7,'HD Dump'!$R$2:$R$538,"&gt;="&amp;$B37-90,'HD Dump'!$R$2:$R$538,"&lt;="&amp;$B37)&gt;0,AVERAGEIFS('HD Dump'!$M$2:$M$538,'HD Dump'!$U$2:$U$538,I$7,'HD Dump'!$R$2:$R$538,"&gt;="&amp;$B37-90,'HD Dump'!$R$2:$R$538,"&lt;="&amp;$B37),Z36)</f>
        <v/>
      </c>
      <c r="AA37" s="18">
        <f>IF(COUNTIFS('HD Dump'!$U$2:$U$538,J$7,'HD Dump'!$R$2:$R$538,"&gt;="&amp;$B37-90,'HD Dump'!$R$2:$R$538,"&lt;="&amp;$B37)&gt;0,AVERAGEIFS('HD Dump'!$M$2:$M$538,'HD Dump'!$U$2:$U$538,J$7,'HD Dump'!$R$2:$R$538,"&gt;="&amp;$B37-90,'HD Dump'!$R$2:$R$538,"&lt;="&amp;$B37),AA36)</f>
        <v/>
      </c>
      <c r="AB37" s="18">
        <f>IF(COUNTIFS('HD Dump'!$U$2:$U$538,K$7,'HD Dump'!$R$2:$R$538,"&gt;="&amp;$B37-90,'HD Dump'!$R$2:$R$538,"&lt;="&amp;$B37)&gt;0,AVERAGEIFS('HD Dump'!$M$2:$M$538,'HD Dump'!$U$2:$U$538,K$7,'HD Dump'!$R$2:$R$538,"&gt;="&amp;$B37-90,'HD Dump'!$R$2:$R$538,"&lt;="&amp;$B37),AB36)</f>
        <v/>
      </c>
      <c r="AD37" s="18">
        <f>IF(COUNTIFS('HD Dump'!$U$2:$U$538,C$7,'HD Dump'!$R$2:$R$538,"&gt;="&amp;$B37-90,'HD Dump'!$R$2:$R$538,"&lt;="&amp;$B37)&gt;0,AVERAGEIFS('HD Dump'!$O$2:$O$538,'HD Dump'!$U$2:$U$538,C$7,'HD Dump'!$R$2:$R$538,"&gt;="&amp;$B37-90,'HD Dump'!$R$2:$R$538,"&lt;="&amp;$B37),AD36)</f>
        <v/>
      </c>
      <c r="AE37" s="18">
        <f>IF(COUNTIFS('HD Dump'!$U$2:$U$538,D$7,'HD Dump'!$R$2:$R$538,"&gt;="&amp;$B37-90,'HD Dump'!$R$2:$R$538,"&lt;="&amp;$B37)&gt;0,AVERAGEIFS('HD Dump'!$O$2:$O$538,'HD Dump'!$U$2:$U$538,D$7,'HD Dump'!$R$2:$R$538,"&gt;="&amp;$B37-90,'HD Dump'!$R$2:$R$538,"&lt;="&amp;$B37),AE36)</f>
        <v/>
      </c>
      <c r="AF37" s="18">
        <f>IF(COUNTIFS('HD Dump'!$U$2:$U$538,E$7,'HD Dump'!$R$2:$R$538,"&gt;="&amp;$B37-90,'HD Dump'!$R$2:$R$538,"&lt;="&amp;$B37)&gt;0,AVERAGEIFS('HD Dump'!$O$2:$O$538,'HD Dump'!$U$2:$U$538,E$7,'HD Dump'!$R$2:$R$538,"&gt;="&amp;$B37-90,'HD Dump'!$R$2:$R$538,"&lt;="&amp;$B37),AF36)</f>
        <v/>
      </c>
      <c r="AG37" s="18">
        <f>IF(COUNTIFS('HD Dump'!$U$2:$U$538,F$7,'HD Dump'!$R$2:$R$538,"&gt;="&amp;$B37-90,'HD Dump'!$R$2:$R$538,"&lt;="&amp;$B37)&gt;0,AVERAGEIFS('HD Dump'!$O$2:$O$538,'HD Dump'!$U$2:$U$538,F$7,'HD Dump'!$R$2:$R$538,"&gt;="&amp;$B37-90,'HD Dump'!$R$2:$R$538,"&lt;="&amp;$B37),AG36)</f>
        <v/>
      </c>
      <c r="AH37" s="18">
        <f>IF(COUNTIFS('HD Dump'!$U$2:$U$538,G$7,'HD Dump'!$R$2:$R$538,"&gt;="&amp;$B37-90,'HD Dump'!$R$2:$R$538,"&lt;="&amp;$B37)&gt;0,AVERAGEIFS('HD Dump'!$O$2:$O$538,'HD Dump'!$U$2:$U$538,G$7,'HD Dump'!$R$2:$R$538,"&gt;="&amp;$B37-90,'HD Dump'!$R$2:$R$538,"&lt;="&amp;$B37),AH36)</f>
        <v/>
      </c>
      <c r="AI37" s="18">
        <f>IF(COUNTIFS('HD Dump'!$U$2:$U$538,H$7,'HD Dump'!$R$2:$R$538,"&gt;="&amp;$B37-90,'HD Dump'!$R$2:$R$538,"&lt;="&amp;$B37)&gt;0,AVERAGEIFS('HD Dump'!$O$2:$O$538,'HD Dump'!$U$2:$U$538,H$7,'HD Dump'!$R$2:$R$538,"&gt;="&amp;$B37-90,'HD Dump'!$R$2:$R$538,"&lt;="&amp;$B37),AI36)</f>
        <v/>
      </c>
      <c r="AJ37" s="18">
        <f>IF(COUNTIFS('HD Dump'!$U$2:$U$538,I$7,'HD Dump'!$R$2:$R$538,"&gt;="&amp;$B37-90,'HD Dump'!$R$2:$R$538,"&lt;="&amp;$B37)&gt;0,AVERAGEIFS('HD Dump'!$O$2:$O$538,'HD Dump'!$U$2:$U$538,I$7,'HD Dump'!$R$2:$R$538,"&gt;="&amp;$B37-90,'HD Dump'!$R$2:$R$538,"&lt;="&amp;$B37),AJ36)</f>
        <v/>
      </c>
      <c r="AK37" s="18">
        <f>IF(COUNTIFS('HD Dump'!$U$2:$U$538,J$7,'HD Dump'!$R$2:$R$538,"&gt;="&amp;$B37-90,'HD Dump'!$R$2:$R$538,"&lt;="&amp;$B37)&gt;0,AVERAGEIFS('HD Dump'!$O$2:$O$538,'HD Dump'!$U$2:$U$538,J$7,'HD Dump'!$R$2:$R$538,"&gt;="&amp;$B37-90,'HD Dump'!$R$2:$R$538,"&lt;="&amp;$B37),AK36)</f>
        <v/>
      </c>
      <c r="AL37" s="18">
        <f>IF(COUNTIFS('HD Dump'!$U$2:$U$538,K$7,'HD Dump'!$R$2:$R$538,"&gt;="&amp;$B37-90,'HD Dump'!$R$2:$R$538,"&lt;="&amp;$B37)&gt;0,AVERAGEIFS('HD Dump'!$O$2:$O$538,'HD Dump'!$U$2:$U$538,K$7,'HD Dump'!$R$2:$R$538,"&gt;="&amp;$B37-90,'HD Dump'!$R$2:$R$538,"&lt;="&amp;$B37),AL36)</f>
        <v/>
      </c>
      <c r="AN37">
        <f>IFERROR(SUMPRODUCT((TEXT('RR Dump'!$L$2:$L$361,"yyyy-mm")=TEXT($B37,"yyyy-mm"))*((RRA!$A$109:$A$468=1)*RRA!$D$20+(RRA!$A$109:$A$468=2)*RRA!$D$21+(RRA!$A$109:$A$468=3)*RRA!$D$22+(RRA!$A$109:$A$468=4)*RRA!$D$23))/SUMPRODUCT((TEXT('RR Dump'!$L$2:$L$361,"yyyy-mm")=TEXT($B37,"yyyy-mm"))*1),0)</f>
        <v/>
      </c>
      <c r="AO37">
        <f>IFERROR(SUMPRODUCT((TEXT('RR Dump'!$L$2:$L$361,"yyyy-mm")=TEXT($B37,"yyyy-mm"))*((RRA!$A$109:$A$468=1)*RRA!$D$25+(RRA!$A$109:$A$468=2)*RRA!$D$26+(RRA!$A$109:$A$468=3)*RRA!$D$27+(RRA!$A$109:$A$468=4)*RRA!$D$28))/SUMPRODUCT((TEXT('RR Dump'!$L$2:$L$361,"yyyy-mm")=TEXT($B37,"yyyy-mm"))*1),0)</f>
        <v/>
      </c>
    </row>
    <row r="38">
      <c r="B38" s="9" t="n">
        <v>46326</v>
      </c>
      <c r="C38" s="19" t="inlineStr">
        <is>
          <t>Projected</t>
        </is>
      </c>
      <c r="D38" s="20">
        <f>IFERROR(INDEX(RRA!$E$48:$EX$48,MATCH($B38,RRA!$E$33:$EX$33,0))/360,"")</f>
        <v/>
      </c>
      <c r="E38" s="20" t="n"/>
      <c r="F38" s="20">
        <f>IFERROR((INDEX(RRA!$E$49:$EX$49,MATCH($B38,RRA!$E$33:$EX$33,0))/360*360-(1-$F38)*360*$D38)/($F38*360),"")</f>
        <v/>
      </c>
      <c r="G38" s="21">
        <f>IFERROR('Cash Flow (Annual)'!$K$14,"")</f>
        <v/>
      </c>
      <c r="H38" s="22">
        <f>IFERROR($F38/$D38-1,"")</f>
        <v/>
      </c>
      <c r="I38" s="20">
        <f>SUMPRODUCT((TEXT('RR Dump'!$L$2:$L$361,"yyyy-mm")=TEXT($B38,"yyyy-mm"))*((RRA!$A$109:$A$468=1)*RRA!$D$15+(RRA!$A$109:$A$468=2)*RRA!$D$16+(RRA!$A$109:$A$468=3)*RRA!$D$17+(RRA!$A$109:$A$468=4)*RRA!$D$18))+SUMPRODUCT((TEXT(EDATE(N('RR Dump'!$L$2:$L$361),RRA!$D$4),"yyyy-mm")=TEXT($B38,"yyyy-mm"))*((RRA!$A$109:$A$468=1)*RRA!$D$15+(RRA!$A$109:$A$468=2)*RRA!$D$16+(RRA!$A$109:$A$468=3)*RRA!$D$17+(RRA!$A$109:$A$468=4)*RRA!$D$18))</f>
        <v/>
      </c>
      <c r="J38" s="23">
        <f>IFERROR($L38-$J38,"")</f>
        <v/>
      </c>
      <c r="K38" s="20">
        <f>IFERROR($K38,"")</f>
        <v/>
      </c>
      <c r="L38" s="23">
        <f>SUMPRODUCT((TEXT('RR Dump'!$L$2:$L$361,"yyyy-mm")=TEXT($B38,"yyyy-mm"))*1)+SUMPRODUCT((TEXT(EDATE(N('RR Dump'!$L$2:$L$361),RRA!$D$4),"yyyy-mm")=TEXT($B38,"yyyy-mm"))*1)</f>
        <v/>
      </c>
      <c r="M38" s="20">
        <f>IFERROR(SUMPRODUCT((TEXT('RR Dump'!$L$2:$L$361,"yyyy-mm")=TEXT($B38,"yyyy-mm"))*N('RR Dump'!$I$2:$I$361))/SUMPRODUCT((TEXT('RR Dump'!$L$2:$L$361,"yyyy-mm")=TEXT($B38,"yyyy-mm"))*1),"")</f>
        <v/>
      </c>
      <c r="N38" s="20">
        <f>IFERROR(MAX($M38+AN38*($D38-$M38),$M38*(1+AO38)),"")</f>
        <v/>
      </c>
      <c r="O38" s="22">
        <f>IFERROR($N38/$M38-1,"")</f>
        <v/>
      </c>
      <c r="P38" s="20">
        <f>IFERROR($D38,"")</f>
        <v/>
      </c>
      <c r="T38" s="18">
        <f>IF(COUNTIFS('HD Dump'!$U$2:$U$538,C$7,'HD Dump'!$R$2:$R$538,"&gt;="&amp;$B38-90,'HD Dump'!$R$2:$R$538,"&lt;="&amp;$B38)&gt;0,AVERAGEIFS('HD Dump'!$M$2:$M$538,'HD Dump'!$U$2:$U$538,C$7,'HD Dump'!$R$2:$R$538,"&gt;="&amp;$B38-90,'HD Dump'!$R$2:$R$538,"&lt;="&amp;$B38),T37)</f>
        <v/>
      </c>
      <c r="U38" s="18">
        <f>IF(COUNTIFS('HD Dump'!$U$2:$U$538,D$7,'HD Dump'!$R$2:$R$538,"&gt;="&amp;$B38-90,'HD Dump'!$R$2:$R$538,"&lt;="&amp;$B38)&gt;0,AVERAGEIFS('HD Dump'!$M$2:$M$538,'HD Dump'!$U$2:$U$538,D$7,'HD Dump'!$R$2:$R$538,"&gt;="&amp;$B38-90,'HD Dump'!$R$2:$R$538,"&lt;="&amp;$B38),U37)</f>
        <v/>
      </c>
      <c r="V38" s="18">
        <f>IF(COUNTIFS('HD Dump'!$U$2:$U$538,E$7,'HD Dump'!$R$2:$R$538,"&gt;="&amp;$B38-90,'HD Dump'!$R$2:$R$538,"&lt;="&amp;$B38)&gt;0,AVERAGEIFS('HD Dump'!$M$2:$M$538,'HD Dump'!$U$2:$U$538,E$7,'HD Dump'!$R$2:$R$538,"&gt;="&amp;$B38-90,'HD Dump'!$R$2:$R$538,"&lt;="&amp;$B38),V37)</f>
        <v/>
      </c>
      <c r="W38" s="18">
        <f>IF(COUNTIFS('HD Dump'!$U$2:$U$538,F$7,'HD Dump'!$R$2:$R$538,"&gt;="&amp;$B38-90,'HD Dump'!$R$2:$R$538,"&lt;="&amp;$B38)&gt;0,AVERAGEIFS('HD Dump'!$M$2:$M$538,'HD Dump'!$U$2:$U$538,F$7,'HD Dump'!$R$2:$R$538,"&gt;="&amp;$B38-90,'HD Dump'!$R$2:$R$538,"&lt;="&amp;$B38),W37)</f>
        <v/>
      </c>
      <c r="X38" s="18">
        <f>IF(COUNTIFS('HD Dump'!$U$2:$U$538,G$7,'HD Dump'!$R$2:$R$538,"&gt;="&amp;$B38-90,'HD Dump'!$R$2:$R$538,"&lt;="&amp;$B38)&gt;0,AVERAGEIFS('HD Dump'!$M$2:$M$538,'HD Dump'!$U$2:$U$538,G$7,'HD Dump'!$R$2:$R$538,"&gt;="&amp;$B38-90,'HD Dump'!$R$2:$R$538,"&lt;="&amp;$B38),X37)</f>
        <v/>
      </c>
      <c r="Y38" s="18">
        <f>IF(COUNTIFS('HD Dump'!$U$2:$U$538,H$7,'HD Dump'!$R$2:$R$538,"&gt;="&amp;$B38-90,'HD Dump'!$R$2:$R$538,"&lt;="&amp;$B38)&gt;0,AVERAGEIFS('HD Dump'!$M$2:$M$538,'HD Dump'!$U$2:$U$538,H$7,'HD Dump'!$R$2:$R$538,"&gt;="&amp;$B38-90,'HD Dump'!$R$2:$R$538,"&lt;="&amp;$B38),Y37)</f>
        <v/>
      </c>
      <c r="Z38" s="18">
        <f>IF(COUNTIFS('HD Dump'!$U$2:$U$538,I$7,'HD Dump'!$R$2:$R$538,"&gt;="&amp;$B38-90,'HD Dump'!$R$2:$R$538,"&lt;="&amp;$B38)&gt;0,AVERAGEIFS('HD Dump'!$M$2:$M$538,'HD Dump'!$U$2:$U$538,I$7,'HD Dump'!$R$2:$R$538,"&gt;="&amp;$B38-90,'HD Dump'!$R$2:$R$538,"&lt;="&amp;$B38),Z37)</f>
        <v/>
      </c>
      <c r="AA38" s="18">
        <f>IF(COUNTIFS('HD Dump'!$U$2:$U$538,J$7,'HD Dump'!$R$2:$R$538,"&gt;="&amp;$B38-90,'HD Dump'!$R$2:$R$538,"&lt;="&amp;$B38)&gt;0,AVERAGEIFS('HD Dump'!$M$2:$M$538,'HD Dump'!$U$2:$U$538,J$7,'HD Dump'!$R$2:$R$538,"&gt;="&amp;$B38-90,'HD Dump'!$R$2:$R$538,"&lt;="&amp;$B38),AA37)</f>
        <v/>
      </c>
      <c r="AB38" s="18">
        <f>IF(COUNTIFS('HD Dump'!$U$2:$U$538,K$7,'HD Dump'!$R$2:$R$538,"&gt;="&amp;$B38-90,'HD Dump'!$R$2:$R$538,"&lt;="&amp;$B38)&gt;0,AVERAGEIFS('HD Dump'!$M$2:$M$538,'HD Dump'!$U$2:$U$538,K$7,'HD Dump'!$R$2:$R$538,"&gt;="&amp;$B38-90,'HD Dump'!$R$2:$R$538,"&lt;="&amp;$B38),AB37)</f>
        <v/>
      </c>
      <c r="AD38" s="18">
        <f>IF(COUNTIFS('HD Dump'!$U$2:$U$538,C$7,'HD Dump'!$R$2:$R$538,"&gt;="&amp;$B38-90,'HD Dump'!$R$2:$R$538,"&lt;="&amp;$B38)&gt;0,AVERAGEIFS('HD Dump'!$O$2:$O$538,'HD Dump'!$U$2:$U$538,C$7,'HD Dump'!$R$2:$R$538,"&gt;="&amp;$B38-90,'HD Dump'!$R$2:$R$538,"&lt;="&amp;$B38),AD37)</f>
        <v/>
      </c>
      <c r="AE38" s="18">
        <f>IF(COUNTIFS('HD Dump'!$U$2:$U$538,D$7,'HD Dump'!$R$2:$R$538,"&gt;="&amp;$B38-90,'HD Dump'!$R$2:$R$538,"&lt;="&amp;$B38)&gt;0,AVERAGEIFS('HD Dump'!$O$2:$O$538,'HD Dump'!$U$2:$U$538,D$7,'HD Dump'!$R$2:$R$538,"&gt;="&amp;$B38-90,'HD Dump'!$R$2:$R$538,"&lt;="&amp;$B38),AE37)</f>
        <v/>
      </c>
      <c r="AF38" s="18">
        <f>IF(COUNTIFS('HD Dump'!$U$2:$U$538,E$7,'HD Dump'!$R$2:$R$538,"&gt;="&amp;$B38-90,'HD Dump'!$R$2:$R$538,"&lt;="&amp;$B38)&gt;0,AVERAGEIFS('HD Dump'!$O$2:$O$538,'HD Dump'!$U$2:$U$538,E$7,'HD Dump'!$R$2:$R$538,"&gt;="&amp;$B38-90,'HD Dump'!$R$2:$R$538,"&lt;="&amp;$B38),AF37)</f>
        <v/>
      </c>
      <c r="AG38" s="18">
        <f>IF(COUNTIFS('HD Dump'!$U$2:$U$538,F$7,'HD Dump'!$R$2:$R$538,"&gt;="&amp;$B38-90,'HD Dump'!$R$2:$R$538,"&lt;="&amp;$B38)&gt;0,AVERAGEIFS('HD Dump'!$O$2:$O$538,'HD Dump'!$U$2:$U$538,F$7,'HD Dump'!$R$2:$R$538,"&gt;="&amp;$B38-90,'HD Dump'!$R$2:$R$538,"&lt;="&amp;$B38),AG37)</f>
        <v/>
      </c>
      <c r="AH38" s="18">
        <f>IF(COUNTIFS('HD Dump'!$U$2:$U$538,G$7,'HD Dump'!$R$2:$R$538,"&gt;="&amp;$B38-90,'HD Dump'!$R$2:$R$538,"&lt;="&amp;$B38)&gt;0,AVERAGEIFS('HD Dump'!$O$2:$O$538,'HD Dump'!$U$2:$U$538,G$7,'HD Dump'!$R$2:$R$538,"&gt;="&amp;$B38-90,'HD Dump'!$R$2:$R$538,"&lt;="&amp;$B38),AH37)</f>
        <v/>
      </c>
      <c r="AI38" s="18">
        <f>IF(COUNTIFS('HD Dump'!$U$2:$U$538,H$7,'HD Dump'!$R$2:$R$538,"&gt;="&amp;$B38-90,'HD Dump'!$R$2:$R$538,"&lt;="&amp;$B38)&gt;0,AVERAGEIFS('HD Dump'!$O$2:$O$538,'HD Dump'!$U$2:$U$538,H$7,'HD Dump'!$R$2:$R$538,"&gt;="&amp;$B38-90,'HD Dump'!$R$2:$R$538,"&lt;="&amp;$B38),AI37)</f>
        <v/>
      </c>
      <c r="AJ38" s="18">
        <f>IF(COUNTIFS('HD Dump'!$U$2:$U$538,I$7,'HD Dump'!$R$2:$R$538,"&gt;="&amp;$B38-90,'HD Dump'!$R$2:$R$538,"&lt;="&amp;$B38)&gt;0,AVERAGEIFS('HD Dump'!$O$2:$O$538,'HD Dump'!$U$2:$U$538,I$7,'HD Dump'!$R$2:$R$538,"&gt;="&amp;$B38-90,'HD Dump'!$R$2:$R$538,"&lt;="&amp;$B38),AJ37)</f>
        <v/>
      </c>
      <c r="AK38" s="18">
        <f>IF(COUNTIFS('HD Dump'!$U$2:$U$538,J$7,'HD Dump'!$R$2:$R$538,"&gt;="&amp;$B38-90,'HD Dump'!$R$2:$R$538,"&lt;="&amp;$B38)&gt;0,AVERAGEIFS('HD Dump'!$O$2:$O$538,'HD Dump'!$U$2:$U$538,J$7,'HD Dump'!$R$2:$R$538,"&gt;="&amp;$B38-90,'HD Dump'!$R$2:$R$538,"&lt;="&amp;$B38),AK37)</f>
        <v/>
      </c>
      <c r="AL38" s="18">
        <f>IF(COUNTIFS('HD Dump'!$U$2:$U$538,K$7,'HD Dump'!$R$2:$R$538,"&gt;="&amp;$B38-90,'HD Dump'!$R$2:$R$538,"&lt;="&amp;$B38)&gt;0,AVERAGEIFS('HD Dump'!$O$2:$O$538,'HD Dump'!$U$2:$U$538,K$7,'HD Dump'!$R$2:$R$538,"&gt;="&amp;$B38-90,'HD Dump'!$R$2:$R$538,"&lt;="&amp;$B38),AL37)</f>
        <v/>
      </c>
      <c r="AN38">
        <f>IFERROR(SUMPRODUCT((TEXT('RR Dump'!$L$2:$L$361,"yyyy-mm")=TEXT($B38,"yyyy-mm"))*((RRA!$A$109:$A$468=1)*RRA!$D$20+(RRA!$A$109:$A$468=2)*RRA!$D$21+(RRA!$A$109:$A$468=3)*RRA!$D$22+(RRA!$A$109:$A$468=4)*RRA!$D$23))/SUMPRODUCT((TEXT('RR Dump'!$L$2:$L$361,"yyyy-mm")=TEXT($B38,"yyyy-mm"))*1),0)</f>
        <v/>
      </c>
      <c r="AO38">
        <f>IFERROR(SUMPRODUCT((TEXT('RR Dump'!$L$2:$L$361,"yyyy-mm")=TEXT($B38,"yyyy-mm"))*((RRA!$A$109:$A$468=1)*RRA!$D$25+(RRA!$A$109:$A$468=2)*RRA!$D$26+(RRA!$A$109:$A$468=3)*RRA!$D$27+(RRA!$A$109:$A$468=4)*RRA!$D$28))/SUMPRODUCT((TEXT('RR Dump'!$L$2:$L$361,"yyyy-mm")=TEXT($B38,"yyyy-mm"))*1),0)</f>
        <v/>
      </c>
    </row>
    <row r="39">
      <c r="B39" s="9" t="n">
        <v>46356</v>
      </c>
      <c r="C39" s="19" t="inlineStr">
        <is>
          <t>Projected</t>
        </is>
      </c>
      <c r="D39" s="20">
        <f>IFERROR(INDEX(RRA!$E$48:$EX$48,MATCH($B39,RRA!$E$33:$EX$33,0))/360,"")</f>
        <v/>
      </c>
      <c r="E39" s="20" t="n"/>
      <c r="F39" s="20">
        <f>IFERROR((INDEX(RRA!$E$49:$EX$49,MATCH($B39,RRA!$E$33:$EX$33,0))/360*360-(1-$F39)*360*$D39)/($F39*360),"")</f>
        <v/>
      </c>
      <c r="G39" s="21">
        <f>IFERROR('Cash Flow (Annual)'!$K$14,"")</f>
        <v/>
      </c>
      <c r="H39" s="22">
        <f>IFERROR($F39/$D39-1,"")</f>
        <v/>
      </c>
      <c r="I39" s="20">
        <f>SUMPRODUCT((TEXT('RR Dump'!$L$2:$L$361,"yyyy-mm")=TEXT($B39,"yyyy-mm"))*((RRA!$A$109:$A$468=1)*RRA!$D$15+(RRA!$A$109:$A$468=2)*RRA!$D$16+(RRA!$A$109:$A$468=3)*RRA!$D$17+(RRA!$A$109:$A$468=4)*RRA!$D$18))+SUMPRODUCT((TEXT(EDATE(N('RR Dump'!$L$2:$L$361),RRA!$D$4),"yyyy-mm")=TEXT($B39,"yyyy-mm"))*((RRA!$A$109:$A$468=1)*RRA!$D$15+(RRA!$A$109:$A$468=2)*RRA!$D$16+(RRA!$A$109:$A$468=3)*RRA!$D$17+(RRA!$A$109:$A$468=4)*RRA!$D$18))</f>
        <v/>
      </c>
      <c r="J39" s="23">
        <f>IFERROR($L39-$J39,"")</f>
        <v/>
      </c>
      <c r="K39" s="20">
        <f>IFERROR($K39,"")</f>
        <v/>
      </c>
      <c r="L39" s="23">
        <f>SUMPRODUCT((TEXT('RR Dump'!$L$2:$L$361,"yyyy-mm")=TEXT($B39,"yyyy-mm"))*1)+SUMPRODUCT((TEXT(EDATE(N('RR Dump'!$L$2:$L$361),RRA!$D$4),"yyyy-mm")=TEXT($B39,"yyyy-mm"))*1)</f>
        <v/>
      </c>
      <c r="M39" s="20">
        <f>IFERROR(SUMPRODUCT((TEXT('RR Dump'!$L$2:$L$361,"yyyy-mm")=TEXT($B39,"yyyy-mm"))*N('RR Dump'!$I$2:$I$361))/SUMPRODUCT((TEXT('RR Dump'!$L$2:$L$361,"yyyy-mm")=TEXT($B39,"yyyy-mm"))*1),"")</f>
        <v/>
      </c>
      <c r="N39" s="20">
        <f>IFERROR(MAX($M39+AN39*($D39-$M39),$M39*(1+AO39)),"")</f>
        <v/>
      </c>
      <c r="O39" s="22">
        <f>IFERROR($N39/$M39-1,"")</f>
        <v/>
      </c>
      <c r="P39" s="20">
        <f>IFERROR($D39,"")</f>
        <v/>
      </c>
      <c r="T39" s="18">
        <f>IF(COUNTIFS('HD Dump'!$U$2:$U$538,C$7,'HD Dump'!$R$2:$R$538,"&gt;="&amp;$B39-90,'HD Dump'!$R$2:$R$538,"&lt;="&amp;$B39)&gt;0,AVERAGEIFS('HD Dump'!$M$2:$M$538,'HD Dump'!$U$2:$U$538,C$7,'HD Dump'!$R$2:$R$538,"&gt;="&amp;$B39-90,'HD Dump'!$R$2:$R$538,"&lt;="&amp;$B39),T38)</f>
        <v/>
      </c>
      <c r="U39" s="18">
        <f>IF(COUNTIFS('HD Dump'!$U$2:$U$538,D$7,'HD Dump'!$R$2:$R$538,"&gt;="&amp;$B39-90,'HD Dump'!$R$2:$R$538,"&lt;="&amp;$B39)&gt;0,AVERAGEIFS('HD Dump'!$M$2:$M$538,'HD Dump'!$U$2:$U$538,D$7,'HD Dump'!$R$2:$R$538,"&gt;="&amp;$B39-90,'HD Dump'!$R$2:$R$538,"&lt;="&amp;$B39),U38)</f>
        <v/>
      </c>
      <c r="V39" s="18">
        <f>IF(COUNTIFS('HD Dump'!$U$2:$U$538,E$7,'HD Dump'!$R$2:$R$538,"&gt;="&amp;$B39-90,'HD Dump'!$R$2:$R$538,"&lt;="&amp;$B39)&gt;0,AVERAGEIFS('HD Dump'!$M$2:$M$538,'HD Dump'!$U$2:$U$538,E$7,'HD Dump'!$R$2:$R$538,"&gt;="&amp;$B39-90,'HD Dump'!$R$2:$R$538,"&lt;="&amp;$B39),V38)</f>
        <v/>
      </c>
      <c r="W39" s="18">
        <f>IF(COUNTIFS('HD Dump'!$U$2:$U$538,F$7,'HD Dump'!$R$2:$R$538,"&gt;="&amp;$B39-90,'HD Dump'!$R$2:$R$538,"&lt;="&amp;$B39)&gt;0,AVERAGEIFS('HD Dump'!$M$2:$M$538,'HD Dump'!$U$2:$U$538,F$7,'HD Dump'!$R$2:$R$538,"&gt;="&amp;$B39-90,'HD Dump'!$R$2:$R$538,"&lt;="&amp;$B39),W38)</f>
        <v/>
      </c>
      <c r="X39" s="18">
        <f>IF(COUNTIFS('HD Dump'!$U$2:$U$538,G$7,'HD Dump'!$R$2:$R$538,"&gt;="&amp;$B39-90,'HD Dump'!$R$2:$R$538,"&lt;="&amp;$B39)&gt;0,AVERAGEIFS('HD Dump'!$M$2:$M$538,'HD Dump'!$U$2:$U$538,G$7,'HD Dump'!$R$2:$R$538,"&gt;="&amp;$B39-90,'HD Dump'!$R$2:$R$538,"&lt;="&amp;$B39),X38)</f>
        <v/>
      </c>
      <c r="Y39" s="18">
        <f>IF(COUNTIFS('HD Dump'!$U$2:$U$538,H$7,'HD Dump'!$R$2:$R$538,"&gt;="&amp;$B39-90,'HD Dump'!$R$2:$R$538,"&lt;="&amp;$B39)&gt;0,AVERAGEIFS('HD Dump'!$M$2:$M$538,'HD Dump'!$U$2:$U$538,H$7,'HD Dump'!$R$2:$R$538,"&gt;="&amp;$B39-90,'HD Dump'!$R$2:$R$538,"&lt;="&amp;$B39),Y38)</f>
        <v/>
      </c>
      <c r="Z39" s="18">
        <f>IF(COUNTIFS('HD Dump'!$U$2:$U$538,I$7,'HD Dump'!$R$2:$R$538,"&gt;="&amp;$B39-90,'HD Dump'!$R$2:$R$538,"&lt;="&amp;$B39)&gt;0,AVERAGEIFS('HD Dump'!$M$2:$M$538,'HD Dump'!$U$2:$U$538,I$7,'HD Dump'!$R$2:$R$538,"&gt;="&amp;$B39-90,'HD Dump'!$R$2:$R$538,"&lt;="&amp;$B39),Z38)</f>
        <v/>
      </c>
      <c r="AA39" s="18">
        <f>IF(COUNTIFS('HD Dump'!$U$2:$U$538,J$7,'HD Dump'!$R$2:$R$538,"&gt;="&amp;$B39-90,'HD Dump'!$R$2:$R$538,"&lt;="&amp;$B39)&gt;0,AVERAGEIFS('HD Dump'!$M$2:$M$538,'HD Dump'!$U$2:$U$538,J$7,'HD Dump'!$R$2:$R$538,"&gt;="&amp;$B39-90,'HD Dump'!$R$2:$R$538,"&lt;="&amp;$B39),AA38)</f>
        <v/>
      </c>
      <c r="AB39" s="18">
        <f>IF(COUNTIFS('HD Dump'!$U$2:$U$538,K$7,'HD Dump'!$R$2:$R$538,"&gt;="&amp;$B39-90,'HD Dump'!$R$2:$R$538,"&lt;="&amp;$B39)&gt;0,AVERAGEIFS('HD Dump'!$M$2:$M$538,'HD Dump'!$U$2:$U$538,K$7,'HD Dump'!$R$2:$R$538,"&gt;="&amp;$B39-90,'HD Dump'!$R$2:$R$538,"&lt;="&amp;$B39),AB38)</f>
        <v/>
      </c>
      <c r="AD39" s="18">
        <f>IF(COUNTIFS('HD Dump'!$U$2:$U$538,C$7,'HD Dump'!$R$2:$R$538,"&gt;="&amp;$B39-90,'HD Dump'!$R$2:$R$538,"&lt;="&amp;$B39)&gt;0,AVERAGEIFS('HD Dump'!$O$2:$O$538,'HD Dump'!$U$2:$U$538,C$7,'HD Dump'!$R$2:$R$538,"&gt;="&amp;$B39-90,'HD Dump'!$R$2:$R$538,"&lt;="&amp;$B39),AD38)</f>
        <v/>
      </c>
      <c r="AE39" s="18">
        <f>IF(COUNTIFS('HD Dump'!$U$2:$U$538,D$7,'HD Dump'!$R$2:$R$538,"&gt;="&amp;$B39-90,'HD Dump'!$R$2:$R$538,"&lt;="&amp;$B39)&gt;0,AVERAGEIFS('HD Dump'!$O$2:$O$538,'HD Dump'!$U$2:$U$538,D$7,'HD Dump'!$R$2:$R$538,"&gt;="&amp;$B39-90,'HD Dump'!$R$2:$R$538,"&lt;="&amp;$B39),AE38)</f>
        <v/>
      </c>
      <c r="AF39" s="18">
        <f>IF(COUNTIFS('HD Dump'!$U$2:$U$538,E$7,'HD Dump'!$R$2:$R$538,"&gt;="&amp;$B39-90,'HD Dump'!$R$2:$R$538,"&lt;="&amp;$B39)&gt;0,AVERAGEIFS('HD Dump'!$O$2:$O$538,'HD Dump'!$U$2:$U$538,E$7,'HD Dump'!$R$2:$R$538,"&gt;="&amp;$B39-90,'HD Dump'!$R$2:$R$538,"&lt;="&amp;$B39),AF38)</f>
        <v/>
      </c>
      <c r="AG39" s="18">
        <f>IF(COUNTIFS('HD Dump'!$U$2:$U$538,F$7,'HD Dump'!$R$2:$R$538,"&gt;="&amp;$B39-90,'HD Dump'!$R$2:$R$538,"&lt;="&amp;$B39)&gt;0,AVERAGEIFS('HD Dump'!$O$2:$O$538,'HD Dump'!$U$2:$U$538,F$7,'HD Dump'!$R$2:$R$538,"&gt;="&amp;$B39-90,'HD Dump'!$R$2:$R$538,"&lt;="&amp;$B39),AG38)</f>
        <v/>
      </c>
      <c r="AH39" s="18">
        <f>IF(COUNTIFS('HD Dump'!$U$2:$U$538,G$7,'HD Dump'!$R$2:$R$538,"&gt;="&amp;$B39-90,'HD Dump'!$R$2:$R$538,"&lt;="&amp;$B39)&gt;0,AVERAGEIFS('HD Dump'!$O$2:$O$538,'HD Dump'!$U$2:$U$538,G$7,'HD Dump'!$R$2:$R$538,"&gt;="&amp;$B39-90,'HD Dump'!$R$2:$R$538,"&lt;="&amp;$B39),AH38)</f>
        <v/>
      </c>
      <c r="AI39" s="18">
        <f>IF(COUNTIFS('HD Dump'!$U$2:$U$538,H$7,'HD Dump'!$R$2:$R$538,"&gt;="&amp;$B39-90,'HD Dump'!$R$2:$R$538,"&lt;="&amp;$B39)&gt;0,AVERAGEIFS('HD Dump'!$O$2:$O$538,'HD Dump'!$U$2:$U$538,H$7,'HD Dump'!$R$2:$R$538,"&gt;="&amp;$B39-90,'HD Dump'!$R$2:$R$538,"&lt;="&amp;$B39),AI38)</f>
        <v/>
      </c>
      <c r="AJ39" s="18">
        <f>IF(COUNTIFS('HD Dump'!$U$2:$U$538,I$7,'HD Dump'!$R$2:$R$538,"&gt;="&amp;$B39-90,'HD Dump'!$R$2:$R$538,"&lt;="&amp;$B39)&gt;0,AVERAGEIFS('HD Dump'!$O$2:$O$538,'HD Dump'!$U$2:$U$538,I$7,'HD Dump'!$R$2:$R$538,"&gt;="&amp;$B39-90,'HD Dump'!$R$2:$R$538,"&lt;="&amp;$B39),AJ38)</f>
        <v/>
      </c>
      <c r="AK39" s="18">
        <f>IF(COUNTIFS('HD Dump'!$U$2:$U$538,J$7,'HD Dump'!$R$2:$R$538,"&gt;="&amp;$B39-90,'HD Dump'!$R$2:$R$538,"&lt;="&amp;$B39)&gt;0,AVERAGEIFS('HD Dump'!$O$2:$O$538,'HD Dump'!$U$2:$U$538,J$7,'HD Dump'!$R$2:$R$538,"&gt;="&amp;$B39-90,'HD Dump'!$R$2:$R$538,"&lt;="&amp;$B39),AK38)</f>
        <v/>
      </c>
      <c r="AL39" s="18">
        <f>IF(COUNTIFS('HD Dump'!$U$2:$U$538,K$7,'HD Dump'!$R$2:$R$538,"&gt;="&amp;$B39-90,'HD Dump'!$R$2:$R$538,"&lt;="&amp;$B39)&gt;0,AVERAGEIFS('HD Dump'!$O$2:$O$538,'HD Dump'!$U$2:$U$538,K$7,'HD Dump'!$R$2:$R$538,"&gt;="&amp;$B39-90,'HD Dump'!$R$2:$R$538,"&lt;="&amp;$B39),AL38)</f>
        <v/>
      </c>
      <c r="AN39">
        <f>IFERROR(SUMPRODUCT((TEXT('RR Dump'!$L$2:$L$361,"yyyy-mm")=TEXT($B39,"yyyy-mm"))*((RRA!$A$109:$A$468=1)*RRA!$D$20+(RRA!$A$109:$A$468=2)*RRA!$D$21+(RRA!$A$109:$A$468=3)*RRA!$D$22+(RRA!$A$109:$A$468=4)*RRA!$D$23))/SUMPRODUCT((TEXT('RR Dump'!$L$2:$L$361,"yyyy-mm")=TEXT($B39,"yyyy-mm"))*1),0)</f>
        <v/>
      </c>
      <c r="AO39">
        <f>IFERROR(SUMPRODUCT((TEXT('RR Dump'!$L$2:$L$361,"yyyy-mm")=TEXT($B39,"yyyy-mm"))*((RRA!$A$109:$A$468=1)*RRA!$D$25+(RRA!$A$109:$A$468=2)*RRA!$D$26+(RRA!$A$109:$A$468=3)*RRA!$D$27+(RRA!$A$109:$A$468=4)*RRA!$D$28))/SUMPRODUCT((TEXT('RR Dump'!$L$2:$L$361,"yyyy-mm")=TEXT($B39,"yyyy-mm"))*1),0)</f>
        <v/>
      </c>
    </row>
    <row r="40">
      <c r="B40" s="9" t="n">
        <v>46387</v>
      </c>
      <c r="C40" s="19" t="inlineStr">
        <is>
          <t>Projected</t>
        </is>
      </c>
      <c r="D40" s="20">
        <f>IFERROR(INDEX(RRA!$E$48:$EX$48,MATCH($B40,RRA!$E$33:$EX$33,0))/360,"")</f>
        <v/>
      </c>
      <c r="E40" s="20" t="n"/>
      <c r="F40" s="20">
        <f>IFERROR((INDEX(RRA!$E$49:$EX$49,MATCH($B40,RRA!$E$33:$EX$33,0))/360*360-(1-$F40)*360*$D40)/($F40*360),"")</f>
        <v/>
      </c>
      <c r="G40" s="21">
        <f>IFERROR('Cash Flow (Annual)'!$K$14,"")</f>
        <v/>
      </c>
      <c r="H40" s="22">
        <f>IFERROR($F40/$D40-1,"")</f>
        <v/>
      </c>
      <c r="I40" s="20">
        <f>SUMPRODUCT((TEXT('RR Dump'!$L$2:$L$361,"yyyy-mm")=TEXT($B40,"yyyy-mm"))*((RRA!$A$109:$A$468=1)*RRA!$E$15+(RRA!$A$109:$A$468=2)*RRA!$E$16+(RRA!$A$109:$A$468=3)*RRA!$E$17+(RRA!$A$109:$A$468=4)*RRA!$E$18))+SUMPRODUCT((TEXT(EDATE(N('RR Dump'!$L$2:$L$361),RRA!$D$4),"yyyy-mm")=TEXT($B40,"yyyy-mm"))*((RRA!$A$109:$A$468=1)*RRA!$E$15+(RRA!$A$109:$A$468=2)*RRA!$E$16+(RRA!$A$109:$A$468=3)*RRA!$E$17+(RRA!$A$109:$A$468=4)*RRA!$E$18))</f>
        <v/>
      </c>
      <c r="J40" s="23">
        <f>IFERROR($L40-$J40,"")</f>
        <v/>
      </c>
      <c r="K40" s="20">
        <f>IFERROR($K40,"")</f>
        <v/>
      </c>
      <c r="L40" s="23">
        <f>SUMPRODUCT((TEXT('RR Dump'!$L$2:$L$361,"yyyy-mm")=TEXT($B40,"yyyy-mm"))*1)+SUMPRODUCT((TEXT(EDATE(N('RR Dump'!$L$2:$L$361),RRA!$D$4),"yyyy-mm")=TEXT($B40,"yyyy-mm"))*1)</f>
        <v/>
      </c>
      <c r="M40" s="20">
        <f>IFERROR(SUMPRODUCT((TEXT('RR Dump'!$L$2:$L$361,"yyyy-mm")=TEXT($B40,"yyyy-mm"))*N('RR Dump'!$I$2:$I$361))/SUMPRODUCT((TEXT('RR Dump'!$L$2:$L$361,"yyyy-mm")=TEXT($B40,"yyyy-mm"))*1),"")</f>
        <v/>
      </c>
      <c r="N40" s="20">
        <f>IFERROR(MAX($M40+AN40*($D40-$M40),$M40*(1+AO40)),"")</f>
        <v/>
      </c>
      <c r="O40" s="22">
        <f>IFERROR($N40/$M40-1,"")</f>
        <v/>
      </c>
      <c r="P40" s="20">
        <f>IFERROR($D40,"")</f>
        <v/>
      </c>
      <c r="T40" s="18">
        <f>IF(COUNTIFS('HD Dump'!$U$2:$U$538,C$7,'HD Dump'!$R$2:$R$538,"&gt;="&amp;$B40-90,'HD Dump'!$R$2:$R$538,"&lt;="&amp;$B40)&gt;0,AVERAGEIFS('HD Dump'!$M$2:$M$538,'HD Dump'!$U$2:$U$538,C$7,'HD Dump'!$R$2:$R$538,"&gt;="&amp;$B40-90,'HD Dump'!$R$2:$R$538,"&lt;="&amp;$B40),T39)</f>
        <v/>
      </c>
      <c r="U40" s="18">
        <f>IF(COUNTIFS('HD Dump'!$U$2:$U$538,D$7,'HD Dump'!$R$2:$R$538,"&gt;="&amp;$B40-90,'HD Dump'!$R$2:$R$538,"&lt;="&amp;$B40)&gt;0,AVERAGEIFS('HD Dump'!$M$2:$M$538,'HD Dump'!$U$2:$U$538,D$7,'HD Dump'!$R$2:$R$538,"&gt;="&amp;$B40-90,'HD Dump'!$R$2:$R$538,"&lt;="&amp;$B40),U39)</f>
        <v/>
      </c>
      <c r="V40" s="18">
        <f>IF(COUNTIFS('HD Dump'!$U$2:$U$538,E$7,'HD Dump'!$R$2:$R$538,"&gt;="&amp;$B40-90,'HD Dump'!$R$2:$R$538,"&lt;="&amp;$B40)&gt;0,AVERAGEIFS('HD Dump'!$M$2:$M$538,'HD Dump'!$U$2:$U$538,E$7,'HD Dump'!$R$2:$R$538,"&gt;="&amp;$B40-90,'HD Dump'!$R$2:$R$538,"&lt;="&amp;$B40),V39)</f>
        <v/>
      </c>
      <c r="W40" s="18">
        <f>IF(COUNTIFS('HD Dump'!$U$2:$U$538,F$7,'HD Dump'!$R$2:$R$538,"&gt;="&amp;$B40-90,'HD Dump'!$R$2:$R$538,"&lt;="&amp;$B40)&gt;0,AVERAGEIFS('HD Dump'!$M$2:$M$538,'HD Dump'!$U$2:$U$538,F$7,'HD Dump'!$R$2:$R$538,"&gt;="&amp;$B40-90,'HD Dump'!$R$2:$R$538,"&lt;="&amp;$B40),W39)</f>
        <v/>
      </c>
      <c r="X40" s="18">
        <f>IF(COUNTIFS('HD Dump'!$U$2:$U$538,G$7,'HD Dump'!$R$2:$R$538,"&gt;="&amp;$B40-90,'HD Dump'!$R$2:$R$538,"&lt;="&amp;$B40)&gt;0,AVERAGEIFS('HD Dump'!$M$2:$M$538,'HD Dump'!$U$2:$U$538,G$7,'HD Dump'!$R$2:$R$538,"&gt;="&amp;$B40-90,'HD Dump'!$R$2:$R$538,"&lt;="&amp;$B40),X39)</f>
        <v/>
      </c>
      <c r="Y40" s="18">
        <f>IF(COUNTIFS('HD Dump'!$U$2:$U$538,H$7,'HD Dump'!$R$2:$R$538,"&gt;="&amp;$B40-90,'HD Dump'!$R$2:$R$538,"&lt;="&amp;$B40)&gt;0,AVERAGEIFS('HD Dump'!$M$2:$M$538,'HD Dump'!$U$2:$U$538,H$7,'HD Dump'!$R$2:$R$538,"&gt;="&amp;$B40-90,'HD Dump'!$R$2:$R$538,"&lt;="&amp;$B40),Y39)</f>
        <v/>
      </c>
      <c r="Z40" s="18">
        <f>IF(COUNTIFS('HD Dump'!$U$2:$U$538,I$7,'HD Dump'!$R$2:$R$538,"&gt;="&amp;$B40-90,'HD Dump'!$R$2:$R$538,"&lt;="&amp;$B40)&gt;0,AVERAGEIFS('HD Dump'!$M$2:$M$538,'HD Dump'!$U$2:$U$538,I$7,'HD Dump'!$R$2:$R$538,"&gt;="&amp;$B40-90,'HD Dump'!$R$2:$R$538,"&lt;="&amp;$B40),Z39)</f>
        <v/>
      </c>
      <c r="AA40" s="18">
        <f>IF(COUNTIFS('HD Dump'!$U$2:$U$538,J$7,'HD Dump'!$R$2:$R$538,"&gt;="&amp;$B40-90,'HD Dump'!$R$2:$R$538,"&lt;="&amp;$B40)&gt;0,AVERAGEIFS('HD Dump'!$M$2:$M$538,'HD Dump'!$U$2:$U$538,J$7,'HD Dump'!$R$2:$R$538,"&gt;="&amp;$B40-90,'HD Dump'!$R$2:$R$538,"&lt;="&amp;$B40),AA39)</f>
        <v/>
      </c>
      <c r="AB40" s="18">
        <f>IF(COUNTIFS('HD Dump'!$U$2:$U$538,K$7,'HD Dump'!$R$2:$R$538,"&gt;="&amp;$B40-90,'HD Dump'!$R$2:$R$538,"&lt;="&amp;$B40)&gt;0,AVERAGEIFS('HD Dump'!$M$2:$M$538,'HD Dump'!$U$2:$U$538,K$7,'HD Dump'!$R$2:$R$538,"&gt;="&amp;$B40-90,'HD Dump'!$R$2:$R$538,"&lt;="&amp;$B40),AB39)</f>
        <v/>
      </c>
      <c r="AD40" s="18">
        <f>IF(COUNTIFS('HD Dump'!$U$2:$U$538,C$7,'HD Dump'!$R$2:$R$538,"&gt;="&amp;$B40-90,'HD Dump'!$R$2:$R$538,"&lt;="&amp;$B40)&gt;0,AVERAGEIFS('HD Dump'!$O$2:$O$538,'HD Dump'!$U$2:$U$538,C$7,'HD Dump'!$R$2:$R$538,"&gt;="&amp;$B40-90,'HD Dump'!$R$2:$R$538,"&lt;="&amp;$B40),AD39)</f>
        <v/>
      </c>
      <c r="AE40" s="18">
        <f>IF(COUNTIFS('HD Dump'!$U$2:$U$538,D$7,'HD Dump'!$R$2:$R$538,"&gt;="&amp;$B40-90,'HD Dump'!$R$2:$R$538,"&lt;="&amp;$B40)&gt;0,AVERAGEIFS('HD Dump'!$O$2:$O$538,'HD Dump'!$U$2:$U$538,D$7,'HD Dump'!$R$2:$R$538,"&gt;="&amp;$B40-90,'HD Dump'!$R$2:$R$538,"&lt;="&amp;$B40),AE39)</f>
        <v/>
      </c>
      <c r="AF40" s="18">
        <f>IF(COUNTIFS('HD Dump'!$U$2:$U$538,E$7,'HD Dump'!$R$2:$R$538,"&gt;="&amp;$B40-90,'HD Dump'!$R$2:$R$538,"&lt;="&amp;$B40)&gt;0,AVERAGEIFS('HD Dump'!$O$2:$O$538,'HD Dump'!$U$2:$U$538,E$7,'HD Dump'!$R$2:$R$538,"&gt;="&amp;$B40-90,'HD Dump'!$R$2:$R$538,"&lt;="&amp;$B40),AF39)</f>
        <v/>
      </c>
      <c r="AG40" s="18">
        <f>IF(COUNTIFS('HD Dump'!$U$2:$U$538,F$7,'HD Dump'!$R$2:$R$538,"&gt;="&amp;$B40-90,'HD Dump'!$R$2:$R$538,"&lt;="&amp;$B40)&gt;0,AVERAGEIFS('HD Dump'!$O$2:$O$538,'HD Dump'!$U$2:$U$538,F$7,'HD Dump'!$R$2:$R$538,"&gt;="&amp;$B40-90,'HD Dump'!$R$2:$R$538,"&lt;="&amp;$B40),AG39)</f>
        <v/>
      </c>
      <c r="AH40" s="18">
        <f>IF(COUNTIFS('HD Dump'!$U$2:$U$538,G$7,'HD Dump'!$R$2:$R$538,"&gt;="&amp;$B40-90,'HD Dump'!$R$2:$R$538,"&lt;="&amp;$B40)&gt;0,AVERAGEIFS('HD Dump'!$O$2:$O$538,'HD Dump'!$U$2:$U$538,G$7,'HD Dump'!$R$2:$R$538,"&gt;="&amp;$B40-90,'HD Dump'!$R$2:$R$538,"&lt;="&amp;$B40),AH39)</f>
        <v/>
      </c>
      <c r="AI40" s="18">
        <f>IF(COUNTIFS('HD Dump'!$U$2:$U$538,H$7,'HD Dump'!$R$2:$R$538,"&gt;="&amp;$B40-90,'HD Dump'!$R$2:$R$538,"&lt;="&amp;$B40)&gt;0,AVERAGEIFS('HD Dump'!$O$2:$O$538,'HD Dump'!$U$2:$U$538,H$7,'HD Dump'!$R$2:$R$538,"&gt;="&amp;$B40-90,'HD Dump'!$R$2:$R$538,"&lt;="&amp;$B40),AI39)</f>
        <v/>
      </c>
      <c r="AJ40" s="18">
        <f>IF(COUNTIFS('HD Dump'!$U$2:$U$538,I$7,'HD Dump'!$R$2:$R$538,"&gt;="&amp;$B40-90,'HD Dump'!$R$2:$R$538,"&lt;="&amp;$B40)&gt;0,AVERAGEIFS('HD Dump'!$O$2:$O$538,'HD Dump'!$U$2:$U$538,I$7,'HD Dump'!$R$2:$R$538,"&gt;="&amp;$B40-90,'HD Dump'!$R$2:$R$538,"&lt;="&amp;$B40),AJ39)</f>
        <v/>
      </c>
      <c r="AK40" s="18">
        <f>IF(COUNTIFS('HD Dump'!$U$2:$U$538,J$7,'HD Dump'!$R$2:$R$538,"&gt;="&amp;$B40-90,'HD Dump'!$R$2:$R$538,"&lt;="&amp;$B40)&gt;0,AVERAGEIFS('HD Dump'!$O$2:$O$538,'HD Dump'!$U$2:$U$538,J$7,'HD Dump'!$R$2:$R$538,"&gt;="&amp;$B40-90,'HD Dump'!$R$2:$R$538,"&lt;="&amp;$B40),AK39)</f>
        <v/>
      </c>
      <c r="AL40" s="18">
        <f>IF(COUNTIFS('HD Dump'!$U$2:$U$538,K$7,'HD Dump'!$R$2:$R$538,"&gt;="&amp;$B40-90,'HD Dump'!$R$2:$R$538,"&lt;="&amp;$B40)&gt;0,AVERAGEIFS('HD Dump'!$O$2:$O$538,'HD Dump'!$U$2:$U$538,K$7,'HD Dump'!$R$2:$R$538,"&gt;="&amp;$B40-90,'HD Dump'!$R$2:$R$538,"&lt;="&amp;$B40),AL39)</f>
        <v/>
      </c>
      <c r="AN40">
        <f>IFERROR(SUMPRODUCT((TEXT('RR Dump'!$L$2:$L$361,"yyyy-mm")=TEXT($B40,"yyyy-mm"))*((RRA!$A$109:$A$468=1)*RRA!$E$20+(RRA!$A$109:$A$468=2)*RRA!$E$21+(RRA!$A$109:$A$468=3)*RRA!$E$22+(RRA!$A$109:$A$468=4)*RRA!$E$23))/SUMPRODUCT((TEXT('RR Dump'!$L$2:$L$361,"yyyy-mm")=TEXT($B40,"yyyy-mm"))*1),0)</f>
        <v/>
      </c>
      <c r="AO40">
        <f>IFERROR(SUMPRODUCT((TEXT('RR Dump'!$L$2:$L$361,"yyyy-mm")=TEXT($B40,"yyyy-mm"))*((RRA!$A$109:$A$468=1)*RRA!$E$25+(RRA!$A$109:$A$468=2)*RRA!$E$26+(RRA!$A$109:$A$468=3)*RRA!$E$27+(RRA!$A$109:$A$468=4)*RRA!$E$28))/SUMPRODUCT((TEXT('RR Dump'!$L$2:$L$361,"yyyy-mm")=TEXT($B40,"yyyy-mm"))*1),0)</f>
        <v/>
      </c>
    </row>
    <row r="41">
      <c r="B41" s="9" t="n">
        <v>46418</v>
      </c>
      <c r="C41" s="19" t="inlineStr">
        <is>
          <t>Projected</t>
        </is>
      </c>
      <c r="D41" s="20">
        <f>IFERROR(INDEX(RRA!$E$48:$EX$48,MATCH($B41,RRA!$E$33:$EX$33,0))/360,"")</f>
        <v/>
      </c>
      <c r="E41" s="20" t="n"/>
      <c r="F41" s="20">
        <f>IFERROR((INDEX(RRA!$E$49:$EX$49,MATCH($B41,RRA!$E$33:$EX$33,0))/360*360-(1-$F41)*360*$D41)/($F41*360),"")</f>
        <v/>
      </c>
      <c r="G41" s="21">
        <f>IFERROR('Cash Flow (Annual)'!$K$14,"")</f>
        <v/>
      </c>
      <c r="H41" s="22">
        <f>IFERROR($F41/$D41-1,"")</f>
        <v/>
      </c>
      <c r="I41" s="20">
        <f>SUMPRODUCT((TEXT('RR Dump'!$L$2:$L$361,"yyyy-mm")=TEXT($B41,"yyyy-mm"))*((RRA!$A$109:$A$468=1)*RRA!$E$15+(RRA!$A$109:$A$468=2)*RRA!$E$16+(RRA!$A$109:$A$468=3)*RRA!$E$17+(RRA!$A$109:$A$468=4)*RRA!$E$18))+SUMPRODUCT((TEXT(EDATE(N('RR Dump'!$L$2:$L$361),RRA!$D$4),"yyyy-mm")=TEXT($B41,"yyyy-mm"))*((RRA!$A$109:$A$468=1)*RRA!$E$15+(RRA!$A$109:$A$468=2)*RRA!$E$16+(RRA!$A$109:$A$468=3)*RRA!$E$17+(RRA!$A$109:$A$468=4)*RRA!$E$18))</f>
        <v/>
      </c>
      <c r="J41" s="23">
        <f>IFERROR($L41-$J41,"")</f>
        <v/>
      </c>
      <c r="K41" s="20">
        <f>IFERROR($K41,"")</f>
        <v/>
      </c>
      <c r="L41" s="23">
        <f>SUMPRODUCT((TEXT('RR Dump'!$L$2:$L$361,"yyyy-mm")=TEXT($B41,"yyyy-mm"))*1)+SUMPRODUCT((TEXT(EDATE(N('RR Dump'!$L$2:$L$361),RRA!$D$4),"yyyy-mm")=TEXT($B41,"yyyy-mm"))*1)</f>
        <v/>
      </c>
      <c r="M41" s="20">
        <f>IFERROR(SUMPRODUCT((TEXT('RR Dump'!$L$2:$L$361,"yyyy-mm")=TEXT($B41,"yyyy-mm"))*N('RR Dump'!$I$2:$I$361))/SUMPRODUCT((TEXT('RR Dump'!$L$2:$L$361,"yyyy-mm")=TEXT($B41,"yyyy-mm"))*1),"")</f>
        <v/>
      </c>
      <c r="N41" s="20">
        <f>IFERROR(MAX($M41+AN41*($D41-$M41),$M41*(1+AO41)),"")</f>
        <v/>
      </c>
      <c r="O41" s="22">
        <f>IFERROR($N41/$M41-1,"")</f>
        <v/>
      </c>
      <c r="P41" s="20">
        <f>IFERROR($D41,"")</f>
        <v/>
      </c>
      <c r="T41" s="18">
        <f>IF(COUNTIFS('HD Dump'!$U$2:$U$538,C$7,'HD Dump'!$R$2:$R$538,"&gt;="&amp;$B41-90,'HD Dump'!$R$2:$R$538,"&lt;="&amp;$B41)&gt;0,AVERAGEIFS('HD Dump'!$M$2:$M$538,'HD Dump'!$U$2:$U$538,C$7,'HD Dump'!$R$2:$R$538,"&gt;="&amp;$B41-90,'HD Dump'!$R$2:$R$538,"&lt;="&amp;$B41),T40)</f>
        <v/>
      </c>
      <c r="U41" s="18">
        <f>IF(COUNTIFS('HD Dump'!$U$2:$U$538,D$7,'HD Dump'!$R$2:$R$538,"&gt;="&amp;$B41-90,'HD Dump'!$R$2:$R$538,"&lt;="&amp;$B41)&gt;0,AVERAGEIFS('HD Dump'!$M$2:$M$538,'HD Dump'!$U$2:$U$538,D$7,'HD Dump'!$R$2:$R$538,"&gt;="&amp;$B41-90,'HD Dump'!$R$2:$R$538,"&lt;="&amp;$B41),U40)</f>
        <v/>
      </c>
      <c r="V41" s="18">
        <f>IF(COUNTIFS('HD Dump'!$U$2:$U$538,E$7,'HD Dump'!$R$2:$R$538,"&gt;="&amp;$B41-90,'HD Dump'!$R$2:$R$538,"&lt;="&amp;$B41)&gt;0,AVERAGEIFS('HD Dump'!$M$2:$M$538,'HD Dump'!$U$2:$U$538,E$7,'HD Dump'!$R$2:$R$538,"&gt;="&amp;$B41-90,'HD Dump'!$R$2:$R$538,"&lt;="&amp;$B41),V40)</f>
        <v/>
      </c>
      <c r="W41" s="18">
        <f>IF(COUNTIFS('HD Dump'!$U$2:$U$538,F$7,'HD Dump'!$R$2:$R$538,"&gt;="&amp;$B41-90,'HD Dump'!$R$2:$R$538,"&lt;="&amp;$B41)&gt;0,AVERAGEIFS('HD Dump'!$M$2:$M$538,'HD Dump'!$U$2:$U$538,F$7,'HD Dump'!$R$2:$R$538,"&gt;="&amp;$B41-90,'HD Dump'!$R$2:$R$538,"&lt;="&amp;$B41),W40)</f>
        <v/>
      </c>
      <c r="X41" s="18">
        <f>IF(COUNTIFS('HD Dump'!$U$2:$U$538,G$7,'HD Dump'!$R$2:$R$538,"&gt;="&amp;$B41-90,'HD Dump'!$R$2:$R$538,"&lt;="&amp;$B41)&gt;0,AVERAGEIFS('HD Dump'!$M$2:$M$538,'HD Dump'!$U$2:$U$538,G$7,'HD Dump'!$R$2:$R$538,"&gt;="&amp;$B41-90,'HD Dump'!$R$2:$R$538,"&lt;="&amp;$B41),X40)</f>
        <v/>
      </c>
      <c r="Y41" s="18">
        <f>IF(COUNTIFS('HD Dump'!$U$2:$U$538,H$7,'HD Dump'!$R$2:$R$538,"&gt;="&amp;$B41-90,'HD Dump'!$R$2:$R$538,"&lt;="&amp;$B41)&gt;0,AVERAGEIFS('HD Dump'!$M$2:$M$538,'HD Dump'!$U$2:$U$538,H$7,'HD Dump'!$R$2:$R$538,"&gt;="&amp;$B41-90,'HD Dump'!$R$2:$R$538,"&lt;="&amp;$B41),Y40)</f>
        <v/>
      </c>
      <c r="Z41" s="18">
        <f>IF(COUNTIFS('HD Dump'!$U$2:$U$538,I$7,'HD Dump'!$R$2:$R$538,"&gt;="&amp;$B41-90,'HD Dump'!$R$2:$R$538,"&lt;="&amp;$B41)&gt;0,AVERAGEIFS('HD Dump'!$M$2:$M$538,'HD Dump'!$U$2:$U$538,I$7,'HD Dump'!$R$2:$R$538,"&gt;="&amp;$B41-90,'HD Dump'!$R$2:$R$538,"&lt;="&amp;$B41),Z40)</f>
        <v/>
      </c>
      <c r="AA41" s="18">
        <f>IF(COUNTIFS('HD Dump'!$U$2:$U$538,J$7,'HD Dump'!$R$2:$R$538,"&gt;="&amp;$B41-90,'HD Dump'!$R$2:$R$538,"&lt;="&amp;$B41)&gt;0,AVERAGEIFS('HD Dump'!$M$2:$M$538,'HD Dump'!$U$2:$U$538,J$7,'HD Dump'!$R$2:$R$538,"&gt;="&amp;$B41-90,'HD Dump'!$R$2:$R$538,"&lt;="&amp;$B41),AA40)</f>
        <v/>
      </c>
      <c r="AB41" s="18">
        <f>IF(COUNTIFS('HD Dump'!$U$2:$U$538,K$7,'HD Dump'!$R$2:$R$538,"&gt;="&amp;$B41-90,'HD Dump'!$R$2:$R$538,"&lt;="&amp;$B41)&gt;0,AVERAGEIFS('HD Dump'!$M$2:$M$538,'HD Dump'!$U$2:$U$538,K$7,'HD Dump'!$R$2:$R$538,"&gt;="&amp;$B41-90,'HD Dump'!$R$2:$R$538,"&lt;="&amp;$B41),AB40)</f>
        <v/>
      </c>
      <c r="AD41" s="18">
        <f>IF(COUNTIFS('HD Dump'!$U$2:$U$538,C$7,'HD Dump'!$R$2:$R$538,"&gt;="&amp;$B41-90,'HD Dump'!$R$2:$R$538,"&lt;="&amp;$B41)&gt;0,AVERAGEIFS('HD Dump'!$O$2:$O$538,'HD Dump'!$U$2:$U$538,C$7,'HD Dump'!$R$2:$R$538,"&gt;="&amp;$B41-90,'HD Dump'!$R$2:$R$538,"&lt;="&amp;$B41),AD40)</f>
        <v/>
      </c>
      <c r="AE41" s="18">
        <f>IF(COUNTIFS('HD Dump'!$U$2:$U$538,D$7,'HD Dump'!$R$2:$R$538,"&gt;="&amp;$B41-90,'HD Dump'!$R$2:$R$538,"&lt;="&amp;$B41)&gt;0,AVERAGEIFS('HD Dump'!$O$2:$O$538,'HD Dump'!$U$2:$U$538,D$7,'HD Dump'!$R$2:$R$538,"&gt;="&amp;$B41-90,'HD Dump'!$R$2:$R$538,"&lt;="&amp;$B41),AE40)</f>
        <v/>
      </c>
      <c r="AF41" s="18">
        <f>IF(COUNTIFS('HD Dump'!$U$2:$U$538,E$7,'HD Dump'!$R$2:$R$538,"&gt;="&amp;$B41-90,'HD Dump'!$R$2:$R$538,"&lt;="&amp;$B41)&gt;0,AVERAGEIFS('HD Dump'!$O$2:$O$538,'HD Dump'!$U$2:$U$538,E$7,'HD Dump'!$R$2:$R$538,"&gt;="&amp;$B41-90,'HD Dump'!$R$2:$R$538,"&lt;="&amp;$B41),AF40)</f>
        <v/>
      </c>
      <c r="AG41" s="18">
        <f>IF(COUNTIFS('HD Dump'!$U$2:$U$538,F$7,'HD Dump'!$R$2:$R$538,"&gt;="&amp;$B41-90,'HD Dump'!$R$2:$R$538,"&lt;="&amp;$B41)&gt;0,AVERAGEIFS('HD Dump'!$O$2:$O$538,'HD Dump'!$U$2:$U$538,F$7,'HD Dump'!$R$2:$R$538,"&gt;="&amp;$B41-90,'HD Dump'!$R$2:$R$538,"&lt;="&amp;$B41),AG40)</f>
        <v/>
      </c>
      <c r="AH41" s="18">
        <f>IF(COUNTIFS('HD Dump'!$U$2:$U$538,G$7,'HD Dump'!$R$2:$R$538,"&gt;="&amp;$B41-90,'HD Dump'!$R$2:$R$538,"&lt;="&amp;$B41)&gt;0,AVERAGEIFS('HD Dump'!$O$2:$O$538,'HD Dump'!$U$2:$U$538,G$7,'HD Dump'!$R$2:$R$538,"&gt;="&amp;$B41-90,'HD Dump'!$R$2:$R$538,"&lt;="&amp;$B41),AH40)</f>
        <v/>
      </c>
      <c r="AI41" s="18">
        <f>IF(COUNTIFS('HD Dump'!$U$2:$U$538,H$7,'HD Dump'!$R$2:$R$538,"&gt;="&amp;$B41-90,'HD Dump'!$R$2:$R$538,"&lt;="&amp;$B41)&gt;0,AVERAGEIFS('HD Dump'!$O$2:$O$538,'HD Dump'!$U$2:$U$538,H$7,'HD Dump'!$R$2:$R$538,"&gt;="&amp;$B41-90,'HD Dump'!$R$2:$R$538,"&lt;="&amp;$B41),AI40)</f>
        <v/>
      </c>
      <c r="AJ41" s="18">
        <f>IF(COUNTIFS('HD Dump'!$U$2:$U$538,I$7,'HD Dump'!$R$2:$R$538,"&gt;="&amp;$B41-90,'HD Dump'!$R$2:$R$538,"&lt;="&amp;$B41)&gt;0,AVERAGEIFS('HD Dump'!$O$2:$O$538,'HD Dump'!$U$2:$U$538,I$7,'HD Dump'!$R$2:$R$538,"&gt;="&amp;$B41-90,'HD Dump'!$R$2:$R$538,"&lt;="&amp;$B41),AJ40)</f>
        <v/>
      </c>
      <c r="AK41" s="18">
        <f>IF(COUNTIFS('HD Dump'!$U$2:$U$538,J$7,'HD Dump'!$R$2:$R$538,"&gt;="&amp;$B41-90,'HD Dump'!$R$2:$R$538,"&lt;="&amp;$B41)&gt;0,AVERAGEIFS('HD Dump'!$O$2:$O$538,'HD Dump'!$U$2:$U$538,J$7,'HD Dump'!$R$2:$R$538,"&gt;="&amp;$B41-90,'HD Dump'!$R$2:$R$538,"&lt;="&amp;$B41),AK40)</f>
        <v/>
      </c>
      <c r="AL41" s="18">
        <f>IF(COUNTIFS('HD Dump'!$U$2:$U$538,K$7,'HD Dump'!$R$2:$R$538,"&gt;="&amp;$B41-90,'HD Dump'!$R$2:$R$538,"&lt;="&amp;$B41)&gt;0,AVERAGEIFS('HD Dump'!$O$2:$O$538,'HD Dump'!$U$2:$U$538,K$7,'HD Dump'!$R$2:$R$538,"&gt;="&amp;$B41-90,'HD Dump'!$R$2:$R$538,"&lt;="&amp;$B41),AL40)</f>
        <v/>
      </c>
      <c r="AN41">
        <f>IFERROR(SUMPRODUCT((TEXT('RR Dump'!$L$2:$L$361,"yyyy-mm")=TEXT($B41,"yyyy-mm"))*((RRA!$A$109:$A$468=1)*RRA!$E$20+(RRA!$A$109:$A$468=2)*RRA!$E$21+(RRA!$A$109:$A$468=3)*RRA!$E$22+(RRA!$A$109:$A$468=4)*RRA!$E$23))/SUMPRODUCT((TEXT('RR Dump'!$L$2:$L$361,"yyyy-mm")=TEXT($B41,"yyyy-mm"))*1),0)</f>
        <v/>
      </c>
      <c r="AO41">
        <f>IFERROR(SUMPRODUCT((TEXT('RR Dump'!$L$2:$L$361,"yyyy-mm")=TEXT($B41,"yyyy-mm"))*((RRA!$A$109:$A$468=1)*RRA!$E$25+(RRA!$A$109:$A$468=2)*RRA!$E$26+(RRA!$A$109:$A$468=3)*RRA!$E$27+(RRA!$A$109:$A$468=4)*RRA!$E$28))/SUMPRODUCT((TEXT('RR Dump'!$L$2:$L$361,"yyyy-mm")=TEXT($B41,"yyyy-mm"))*1),0)</f>
        <v/>
      </c>
    </row>
    <row r="42">
      <c r="B42" s="9" t="n">
        <v>46446</v>
      </c>
      <c r="C42" s="19" t="inlineStr">
        <is>
          <t>Projected</t>
        </is>
      </c>
      <c r="D42" s="20">
        <f>IFERROR(INDEX(RRA!$E$48:$EX$48,MATCH($B42,RRA!$E$33:$EX$33,0))/360,"")</f>
        <v/>
      </c>
      <c r="E42" s="20" t="n"/>
      <c r="F42" s="20">
        <f>IFERROR((INDEX(RRA!$E$49:$EX$49,MATCH($B42,RRA!$E$33:$EX$33,0))/360*360-(1-$F42)*360*$D42)/($F42*360),"")</f>
        <v/>
      </c>
      <c r="G42" s="21">
        <f>IFERROR('Cash Flow (Annual)'!$K$14,"")</f>
        <v/>
      </c>
      <c r="H42" s="22">
        <f>IFERROR($F42/$D42-1,"")</f>
        <v/>
      </c>
      <c r="I42" s="20">
        <f>SUMPRODUCT((TEXT('RR Dump'!$L$2:$L$361,"yyyy-mm")=TEXT($B42,"yyyy-mm"))*((RRA!$A$109:$A$468=1)*RRA!$E$15+(RRA!$A$109:$A$468=2)*RRA!$E$16+(RRA!$A$109:$A$468=3)*RRA!$E$17+(RRA!$A$109:$A$468=4)*RRA!$E$18))+SUMPRODUCT((TEXT(EDATE(N('RR Dump'!$L$2:$L$361),RRA!$D$4),"yyyy-mm")=TEXT($B42,"yyyy-mm"))*((RRA!$A$109:$A$468=1)*RRA!$E$15+(RRA!$A$109:$A$468=2)*RRA!$E$16+(RRA!$A$109:$A$468=3)*RRA!$E$17+(RRA!$A$109:$A$468=4)*RRA!$E$18))</f>
        <v/>
      </c>
      <c r="J42" s="23">
        <f>IFERROR($L42-$J42,"")</f>
        <v/>
      </c>
      <c r="K42" s="20">
        <f>IFERROR($K42,"")</f>
        <v/>
      </c>
      <c r="L42" s="23">
        <f>SUMPRODUCT((TEXT('RR Dump'!$L$2:$L$361,"yyyy-mm")=TEXT($B42,"yyyy-mm"))*1)+SUMPRODUCT((TEXT(EDATE(N('RR Dump'!$L$2:$L$361),RRA!$D$4),"yyyy-mm")=TEXT($B42,"yyyy-mm"))*1)</f>
        <v/>
      </c>
      <c r="M42" s="20">
        <f>IFERROR(SUMPRODUCT((TEXT('RR Dump'!$L$2:$L$361,"yyyy-mm")=TEXT($B42,"yyyy-mm"))*N('RR Dump'!$I$2:$I$361))/SUMPRODUCT((TEXT('RR Dump'!$L$2:$L$361,"yyyy-mm")=TEXT($B42,"yyyy-mm"))*1),"")</f>
        <v/>
      </c>
      <c r="N42" s="20">
        <f>IFERROR(MAX($M42+AN42*($D42-$M42),$M42*(1+AO42)),"")</f>
        <v/>
      </c>
      <c r="O42" s="22">
        <f>IFERROR($N42/$M42-1,"")</f>
        <v/>
      </c>
      <c r="P42" s="20">
        <f>IFERROR($D42,"")</f>
        <v/>
      </c>
      <c r="T42" s="18">
        <f>IF(COUNTIFS('HD Dump'!$U$2:$U$538,C$7,'HD Dump'!$R$2:$R$538,"&gt;="&amp;$B42-90,'HD Dump'!$R$2:$R$538,"&lt;="&amp;$B42)&gt;0,AVERAGEIFS('HD Dump'!$M$2:$M$538,'HD Dump'!$U$2:$U$538,C$7,'HD Dump'!$R$2:$R$538,"&gt;="&amp;$B42-90,'HD Dump'!$R$2:$R$538,"&lt;="&amp;$B42),T41)</f>
        <v/>
      </c>
      <c r="U42" s="18">
        <f>IF(COUNTIFS('HD Dump'!$U$2:$U$538,D$7,'HD Dump'!$R$2:$R$538,"&gt;="&amp;$B42-90,'HD Dump'!$R$2:$R$538,"&lt;="&amp;$B42)&gt;0,AVERAGEIFS('HD Dump'!$M$2:$M$538,'HD Dump'!$U$2:$U$538,D$7,'HD Dump'!$R$2:$R$538,"&gt;="&amp;$B42-90,'HD Dump'!$R$2:$R$538,"&lt;="&amp;$B42),U41)</f>
        <v/>
      </c>
      <c r="V42" s="18">
        <f>IF(COUNTIFS('HD Dump'!$U$2:$U$538,E$7,'HD Dump'!$R$2:$R$538,"&gt;="&amp;$B42-90,'HD Dump'!$R$2:$R$538,"&lt;="&amp;$B42)&gt;0,AVERAGEIFS('HD Dump'!$M$2:$M$538,'HD Dump'!$U$2:$U$538,E$7,'HD Dump'!$R$2:$R$538,"&gt;="&amp;$B42-90,'HD Dump'!$R$2:$R$538,"&lt;="&amp;$B42),V41)</f>
        <v/>
      </c>
      <c r="W42" s="18">
        <f>IF(COUNTIFS('HD Dump'!$U$2:$U$538,F$7,'HD Dump'!$R$2:$R$538,"&gt;="&amp;$B42-90,'HD Dump'!$R$2:$R$538,"&lt;="&amp;$B42)&gt;0,AVERAGEIFS('HD Dump'!$M$2:$M$538,'HD Dump'!$U$2:$U$538,F$7,'HD Dump'!$R$2:$R$538,"&gt;="&amp;$B42-90,'HD Dump'!$R$2:$R$538,"&lt;="&amp;$B42),W41)</f>
        <v/>
      </c>
      <c r="X42" s="18">
        <f>IF(COUNTIFS('HD Dump'!$U$2:$U$538,G$7,'HD Dump'!$R$2:$R$538,"&gt;="&amp;$B42-90,'HD Dump'!$R$2:$R$538,"&lt;="&amp;$B42)&gt;0,AVERAGEIFS('HD Dump'!$M$2:$M$538,'HD Dump'!$U$2:$U$538,G$7,'HD Dump'!$R$2:$R$538,"&gt;="&amp;$B42-90,'HD Dump'!$R$2:$R$538,"&lt;="&amp;$B42),X41)</f>
        <v/>
      </c>
      <c r="Y42" s="18">
        <f>IF(COUNTIFS('HD Dump'!$U$2:$U$538,H$7,'HD Dump'!$R$2:$R$538,"&gt;="&amp;$B42-90,'HD Dump'!$R$2:$R$538,"&lt;="&amp;$B42)&gt;0,AVERAGEIFS('HD Dump'!$M$2:$M$538,'HD Dump'!$U$2:$U$538,H$7,'HD Dump'!$R$2:$R$538,"&gt;="&amp;$B42-90,'HD Dump'!$R$2:$R$538,"&lt;="&amp;$B42),Y41)</f>
        <v/>
      </c>
      <c r="Z42" s="18">
        <f>IF(COUNTIFS('HD Dump'!$U$2:$U$538,I$7,'HD Dump'!$R$2:$R$538,"&gt;="&amp;$B42-90,'HD Dump'!$R$2:$R$538,"&lt;="&amp;$B42)&gt;0,AVERAGEIFS('HD Dump'!$M$2:$M$538,'HD Dump'!$U$2:$U$538,I$7,'HD Dump'!$R$2:$R$538,"&gt;="&amp;$B42-90,'HD Dump'!$R$2:$R$538,"&lt;="&amp;$B42),Z41)</f>
        <v/>
      </c>
      <c r="AA42" s="18">
        <f>IF(COUNTIFS('HD Dump'!$U$2:$U$538,J$7,'HD Dump'!$R$2:$R$538,"&gt;="&amp;$B42-90,'HD Dump'!$R$2:$R$538,"&lt;="&amp;$B42)&gt;0,AVERAGEIFS('HD Dump'!$M$2:$M$538,'HD Dump'!$U$2:$U$538,J$7,'HD Dump'!$R$2:$R$538,"&gt;="&amp;$B42-90,'HD Dump'!$R$2:$R$538,"&lt;="&amp;$B42),AA41)</f>
        <v/>
      </c>
      <c r="AB42" s="18">
        <f>IF(COUNTIFS('HD Dump'!$U$2:$U$538,K$7,'HD Dump'!$R$2:$R$538,"&gt;="&amp;$B42-90,'HD Dump'!$R$2:$R$538,"&lt;="&amp;$B42)&gt;0,AVERAGEIFS('HD Dump'!$M$2:$M$538,'HD Dump'!$U$2:$U$538,K$7,'HD Dump'!$R$2:$R$538,"&gt;="&amp;$B42-90,'HD Dump'!$R$2:$R$538,"&lt;="&amp;$B42),AB41)</f>
        <v/>
      </c>
      <c r="AD42" s="18">
        <f>IF(COUNTIFS('HD Dump'!$U$2:$U$538,C$7,'HD Dump'!$R$2:$R$538,"&gt;="&amp;$B42-90,'HD Dump'!$R$2:$R$538,"&lt;="&amp;$B42)&gt;0,AVERAGEIFS('HD Dump'!$O$2:$O$538,'HD Dump'!$U$2:$U$538,C$7,'HD Dump'!$R$2:$R$538,"&gt;="&amp;$B42-90,'HD Dump'!$R$2:$R$538,"&lt;="&amp;$B42),AD41)</f>
        <v/>
      </c>
      <c r="AE42" s="18">
        <f>IF(COUNTIFS('HD Dump'!$U$2:$U$538,D$7,'HD Dump'!$R$2:$R$538,"&gt;="&amp;$B42-90,'HD Dump'!$R$2:$R$538,"&lt;="&amp;$B42)&gt;0,AVERAGEIFS('HD Dump'!$O$2:$O$538,'HD Dump'!$U$2:$U$538,D$7,'HD Dump'!$R$2:$R$538,"&gt;="&amp;$B42-90,'HD Dump'!$R$2:$R$538,"&lt;="&amp;$B42),AE41)</f>
        <v/>
      </c>
      <c r="AF42" s="18">
        <f>IF(COUNTIFS('HD Dump'!$U$2:$U$538,E$7,'HD Dump'!$R$2:$R$538,"&gt;="&amp;$B42-90,'HD Dump'!$R$2:$R$538,"&lt;="&amp;$B42)&gt;0,AVERAGEIFS('HD Dump'!$O$2:$O$538,'HD Dump'!$U$2:$U$538,E$7,'HD Dump'!$R$2:$R$538,"&gt;="&amp;$B42-90,'HD Dump'!$R$2:$R$538,"&lt;="&amp;$B42),AF41)</f>
        <v/>
      </c>
      <c r="AG42" s="18">
        <f>IF(COUNTIFS('HD Dump'!$U$2:$U$538,F$7,'HD Dump'!$R$2:$R$538,"&gt;="&amp;$B42-90,'HD Dump'!$R$2:$R$538,"&lt;="&amp;$B42)&gt;0,AVERAGEIFS('HD Dump'!$O$2:$O$538,'HD Dump'!$U$2:$U$538,F$7,'HD Dump'!$R$2:$R$538,"&gt;="&amp;$B42-90,'HD Dump'!$R$2:$R$538,"&lt;="&amp;$B42),AG41)</f>
        <v/>
      </c>
      <c r="AH42" s="18">
        <f>IF(COUNTIFS('HD Dump'!$U$2:$U$538,G$7,'HD Dump'!$R$2:$R$538,"&gt;="&amp;$B42-90,'HD Dump'!$R$2:$R$538,"&lt;="&amp;$B42)&gt;0,AVERAGEIFS('HD Dump'!$O$2:$O$538,'HD Dump'!$U$2:$U$538,G$7,'HD Dump'!$R$2:$R$538,"&gt;="&amp;$B42-90,'HD Dump'!$R$2:$R$538,"&lt;="&amp;$B42),AH41)</f>
        <v/>
      </c>
      <c r="AI42" s="18">
        <f>IF(COUNTIFS('HD Dump'!$U$2:$U$538,H$7,'HD Dump'!$R$2:$R$538,"&gt;="&amp;$B42-90,'HD Dump'!$R$2:$R$538,"&lt;="&amp;$B42)&gt;0,AVERAGEIFS('HD Dump'!$O$2:$O$538,'HD Dump'!$U$2:$U$538,H$7,'HD Dump'!$R$2:$R$538,"&gt;="&amp;$B42-90,'HD Dump'!$R$2:$R$538,"&lt;="&amp;$B42),AI41)</f>
        <v/>
      </c>
      <c r="AJ42" s="18">
        <f>IF(COUNTIFS('HD Dump'!$U$2:$U$538,I$7,'HD Dump'!$R$2:$R$538,"&gt;="&amp;$B42-90,'HD Dump'!$R$2:$R$538,"&lt;="&amp;$B42)&gt;0,AVERAGEIFS('HD Dump'!$O$2:$O$538,'HD Dump'!$U$2:$U$538,I$7,'HD Dump'!$R$2:$R$538,"&gt;="&amp;$B42-90,'HD Dump'!$R$2:$R$538,"&lt;="&amp;$B42),AJ41)</f>
        <v/>
      </c>
      <c r="AK42" s="18">
        <f>IF(COUNTIFS('HD Dump'!$U$2:$U$538,J$7,'HD Dump'!$R$2:$R$538,"&gt;="&amp;$B42-90,'HD Dump'!$R$2:$R$538,"&lt;="&amp;$B42)&gt;0,AVERAGEIFS('HD Dump'!$O$2:$O$538,'HD Dump'!$U$2:$U$538,J$7,'HD Dump'!$R$2:$R$538,"&gt;="&amp;$B42-90,'HD Dump'!$R$2:$R$538,"&lt;="&amp;$B42),AK41)</f>
        <v/>
      </c>
      <c r="AL42" s="18">
        <f>IF(COUNTIFS('HD Dump'!$U$2:$U$538,K$7,'HD Dump'!$R$2:$R$538,"&gt;="&amp;$B42-90,'HD Dump'!$R$2:$R$538,"&lt;="&amp;$B42)&gt;0,AVERAGEIFS('HD Dump'!$O$2:$O$538,'HD Dump'!$U$2:$U$538,K$7,'HD Dump'!$R$2:$R$538,"&gt;="&amp;$B42-90,'HD Dump'!$R$2:$R$538,"&lt;="&amp;$B42),AL41)</f>
        <v/>
      </c>
      <c r="AN42">
        <f>IFERROR(SUMPRODUCT((TEXT('RR Dump'!$L$2:$L$361,"yyyy-mm")=TEXT($B42,"yyyy-mm"))*((RRA!$A$109:$A$468=1)*RRA!$E$20+(RRA!$A$109:$A$468=2)*RRA!$E$21+(RRA!$A$109:$A$468=3)*RRA!$E$22+(RRA!$A$109:$A$468=4)*RRA!$E$23))/SUMPRODUCT((TEXT('RR Dump'!$L$2:$L$361,"yyyy-mm")=TEXT($B42,"yyyy-mm"))*1),0)</f>
        <v/>
      </c>
      <c r="AO42">
        <f>IFERROR(SUMPRODUCT((TEXT('RR Dump'!$L$2:$L$361,"yyyy-mm")=TEXT($B42,"yyyy-mm"))*((RRA!$A$109:$A$468=1)*RRA!$E$25+(RRA!$A$109:$A$468=2)*RRA!$E$26+(RRA!$A$109:$A$468=3)*RRA!$E$27+(RRA!$A$109:$A$468=4)*RRA!$E$28))/SUMPRODUCT((TEXT('RR Dump'!$L$2:$L$361,"yyyy-mm")=TEXT($B42,"yyyy-mm"))*1),0)</f>
        <v/>
      </c>
    </row>
    <row r="43">
      <c r="B43" s="9" t="n">
        <v>46477</v>
      </c>
      <c r="C43" s="19" t="inlineStr">
        <is>
          <t>Projected</t>
        </is>
      </c>
      <c r="D43" s="20">
        <f>IFERROR(INDEX(RRA!$E$48:$EX$48,MATCH($B43,RRA!$E$33:$EX$33,0))/360,"")</f>
        <v/>
      </c>
      <c r="E43" s="20" t="n"/>
      <c r="F43" s="20">
        <f>IFERROR((INDEX(RRA!$E$49:$EX$49,MATCH($B43,RRA!$E$33:$EX$33,0))/360*360-(1-$F43)*360*$D43)/($F43*360),"")</f>
        <v/>
      </c>
      <c r="G43" s="21">
        <f>IFERROR('Cash Flow (Annual)'!$K$14,"")</f>
        <v/>
      </c>
      <c r="H43" s="22">
        <f>IFERROR($F43/$D43-1,"")</f>
        <v/>
      </c>
      <c r="I43" s="20">
        <f>SUMPRODUCT((TEXT('RR Dump'!$L$2:$L$361,"yyyy-mm")=TEXT($B43,"yyyy-mm"))*((RRA!$A$109:$A$468=1)*RRA!$E$15+(RRA!$A$109:$A$468=2)*RRA!$E$16+(RRA!$A$109:$A$468=3)*RRA!$E$17+(RRA!$A$109:$A$468=4)*RRA!$E$18))+SUMPRODUCT((TEXT(EDATE(N('RR Dump'!$L$2:$L$361),RRA!$D$4),"yyyy-mm")=TEXT($B43,"yyyy-mm"))*((RRA!$A$109:$A$468=1)*RRA!$E$15+(RRA!$A$109:$A$468=2)*RRA!$E$16+(RRA!$A$109:$A$468=3)*RRA!$E$17+(RRA!$A$109:$A$468=4)*RRA!$E$18))</f>
        <v/>
      </c>
      <c r="J43" s="23">
        <f>IFERROR($L43-$J43,"")</f>
        <v/>
      </c>
      <c r="K43" s="20">
        <f>IFERROR($K43,"")</f>
        <v/>
      </c>
      <c r="L43" s="23">
        <f>SUMPRODUCT((TEXT('RR Dump'!$L$2:$L$361,"yyyy-mm")=TEXT($B43,"yyyy-mm"))*1)+SUMPRODUCT((TEXT(EDATE(N('RR Dump'!$L$2:$L$361),RRA!$D$4),"yyyy-mm")=TEXT($B43,"yyyy-mm"))*1)</f>
        <v/>
      </c>
      <c r="M43" s="20">
        <f>IFERROR(SUMPRODUCT((TEXT('RR Dump'!$L$2:$L$361,"yyyy-mm")=TEXT($B43,"yyyy-mm"))*N('RR Dump'!$I$2:$I$361))/SUMPRODUCT((TEXT('RR Dump'!$L$2:$L$361,"yyyy-mm")=TEXT($B43,"yyyy-mm"))*1),"")</f>
        <v/>
      </c>
      <c r="N43" s="20">
        <f>IFERROR(MAX($M43+AN43*($D43-$M43),$M43*(1+AO43)),"")</f>
        <v/>
      </c>
      <c r="O43" s="22">
        <f>IFERROR($N43/$M43-1,"")</f>
        <v/>
      </c>
      <c r="P43" s="20">
        <f>IFERROR($D43,"")</f>
        <v/>
      </c>
      <c r="T43" s="18">
        <f>IF(COUNTIFS('HD Dump'!$U$2:$U$538,C$7,'HD Dump'!$R$2:$R$538,"&gt;="&amp;$B43-90,'HD Dump'!$R$2:$R$538,"&lt;="&amp;$B43)&gt;0,AVERAGEIFS('HD Dump'!$M$2:$M$538,'HD Dump'!$U$2:$U$538,C$7,'HD Dump'!$R$2:$R$538,"&gt;="&amp;$B43-90,'HD Dump'!$R$2:$R$538,"&lt;="&amp;$B43),T42)</f>
        <v/>
      </c>
      <c r="U43" s="18">
        <f>IF(COUNTIFS('HD Dump'!$U$2:$U$538,D$7,'HD Dump'!$R$2:$R$538,"&gt;="&amp;$B43-90,'HD Dump'!$R$2:$R$538,"&lt;="&amp;$B43)&gt;0,AVERAGEIFS('HD Dump'!$M$2:$M$538,'HD Dump'!$U$2:$U$538,D$7,'HD Dump'!$R$2:$R$538,"&gt;="&amp;$B43-90,'HD Dump'!$R$2:$R$538,"&lt;="&amp;$B43),U42)</f>
        <v/>
      </c>
      <c r="V43" s="18">
        <f>IF(COUNTIFS('HD Dump'!$U$2:$U$538,E$7,'HD Dump'!$R$2:$R$538,"&gt;="&amp;$B43-90,'HD Dump'!$R$2:$R$538,"&lt;="&amp;$B43)&gt;0,AVERAGEIFS('HD Dump'!$M$2:$M$538,'HD Dump'!$U$2:$U$538,E$7,'HD Dump'!$R$2:$R$538,"&gt;="&amp;$B43-90,'HD Dump'!$R$2:$R$538,"&lt;="&amp;$B43),V42)</f>
        <v/>
      </c>
      <c r="W43" s="18">
        <f>IF(COUNTIFS('HD Dump'!$U$2:$U$538,F$7,'HD Dump'!$R$2:$R$538,"&gt;="&amp;$B43-90,'HD Dump'!$R$2:$R$538,"&lt;="&amp;$B43)&gt;0,AVERAGEIFS('HD Dump'!$M$2:$M$538,'HD Dump'!$U$2:$U$538,F$7,'HD Dump'!$R$2:$R$538,"&gt;="&amp;$B43-90,'HD Dump'!$R$2:$R$538,"&lt;="&amp;$B43),W42)</f>
        <v/>
      </c>
      <c r="X43" s="18">
        <f>IF(COUNTIFS('HD Dump'!$U$2:$U$538,G$7,'HD Dump'!$R$2:$R$538,"&gt;="&amp;$B43-90,'HD Dump'!$R$2:$R$538,"&lt;="&amp;$B43)&gt;0,AVERAGEIFS('HD Dump'!$M$2:$M$538,'HD Dump'!$U$2:$U$538,G$7,'HD Dump'!$R$2:$R$538,"&gt;="&amp;$B43-90,'HD Dump'!$R$2:$R$538,"&lt;="&amp;$B43),X42)</f>
        <v/>
      </c>
      <c r="Y43" s="18">
        <f>IF(COUNTIFS('HD Dump'!$U$2:$U$538,H$7,'HD Dump'!$R$2:$R$538,"&gt;="&amp;$B43-90,'HD Dump'!$R$2:$R$538,"&lt;="&amp;$B43)&gt;0,AVERAGEIFS('HD Dump'!$M$2:$M$538,'HD Dump'!$U$2:$U$538,H$7,'HD Dump'!$R$2:$R$538,"&gt;="&amp;$B43-90,'HD Dump'!$R$2:$R$538,"&lt;="&amp;$B43),Y42)</f>
        <v/>
      </c>
      <c r="Z43" s="18">
        <f>IF(COUNTIFS('HD Dump'!$U$2:$U$538,I$7,'HD Dump'!$R$2:$R$538,"&gt;="&amp;$B43-90,'HD Dump'!$R$2:$R$538,"&lt;="&amp;$B43)&gt;0,AVERAGEIFS('HD Dump'!$M$2:$M$538,'HD Dump'!$U$2:$U$538,I$7,'HD Dump'!$R$2:$R$538,"&gt;="&amp;$B43-90,'HD Dump'!$R$2:$R$538,"&lt;="&amp;$B43),Z42)</f>
        <v/>
      </c>
      <c r="AA43" s="18">
        <f>IF(COUNTIFS('HD Dump'!$U$2:$U$538,J$7,'HD Dump'!$R$2:$R$538,"&gt;="&amp;$B43-90,'HD Dump'!$R$2:$R$538,"&lt;="&amp;$B43)&gt;0,AVERAGEIFS('HD Dump'!$M$2:$M$538,'HD Dump'!$U$2:$U$538,J$7,'HD Dump'!$R$2:$R$538,"&gt;="&amp;$B43-90,'HD Dump'!$R$2:$R$538,"&lt;="&amp;$B43),AA42)</f>
        <v/>
      </c>
      <c r="AB43" s="18">
        <f>IF(COUNTIFS('HD Dump'!$U$2:$U$538,K$7,'HD Dump'!$R$2:$R$538,"&gt;="&amp;$B43-90,'HD Dump'!$R$2:$R$538,"&lt;="&amp;$B43)&gt;0,AVERAGEIFS('HD Dump'!$M$2:$M$538,'HD Dump'!$U$2:$U$538,K$7,'HD Dump'!$R$2:$R$538,"&gt;="&amp;$B43-90,'HD Dump'!$R$2:$R$538,"&lt;="&amp;$B43),AB42)</f>
        <v/>
      </c>
      <c r="AD43" s="18">
        <f>IF(COUNTIFS('HD Dump'!$U$2:$U$538,C$7,'HD Dump'!$R$2:$R$538,"&gt;="&amp;$B43-90,'HD Dump'!$R$2:$R$538,"&lt;="&amp;$B43)&gt;0,AVERAGEIFS('HD Dump'!$O$2:$O$538,'HD Dump'!$U$2:$U$538,C$7,'HD Dump'!$R$2:$R$538,"&gt;="&amp;$B43-90,'HD Dump'!$R$2:$R$538,"&lt;="&amp;$B43),AD42)</f>
        <v/>
      </c>
      <c r="AE43" s="18">
        <f>IF(COUNTIFS('HD Dump'!$U$2:$U$538,D$7,'HD Dump'!$R$2:$R$538,"&gt;="&amp;$B43-90,'HD Dump'!$R$2:$R$538,"&lt;="&amp;$B43)&gt;0,AVERAGEIFS('HD Dump'!$O$2:$O$538,'HD Dump'!$U$2:$U$538,D$7,'HD Dump'!$R$2:$R$538,"&gt;="&amp;$B43-90,'HD Dump'!$R$2:$R$538,"&lt;="&amp;$B43),AE42)</f>
        <v/>
      </c>
      <c r="AF43" s="18">
        <f>IF(COUNTIFS('HD Dump'!$U$2:$U$538,E$7,'HD Dump'!$R$2:$R$538,"&gt;="&amp;$B43-90,'HD Dump'!$R$2:$R$538,"&lt;="&amp;$B43)&gt;0,AVERAGEIFS('HD Dump'!$O$2:$O$538,'HD Dump'!$U$2:$U$538,E$7,'HD Dump'!$R$2:$R$538,"&gt;="&amp;$B43-90,'HD Dump'!$R$2:$R$538,"&lt;="&amp;$B43),AF42)</f>
        <v/>
      </c>
      <c r="AG43" s="18">
        <f>IF(COUNTIFS('HD Dump'!$U$2:$U$538,F$7,'HD Dump'!$R$2:$R$538,"&gt;="&amp;$B43-90,'HD Dump'!$R$2:$R$538,"&lt;="&amp;$B43)&gt;0,AVERAGEIFS('HD Dump'!$O$2:$O$538,'HD Dump'!$U$2:$U$538,F$7,'HD Dump'!$R$2:$R$538,"&gt;="&amp;$B43-90,'HD Dump'!$R$2:$R$538,"&lt;="&amp;$B43),AG42)</f>
        <v/>
      </c>
      <c r="AH43" s="18">
        <f>IF(COUNTIFS('HD Dump'!$U$2:$U$538,G$7,'HD Dump'!$R$2:$R$538,"&gt;="&amp;$B43-90,'HD Dump'!$R$2:$R$538,"&lt;="&amp;$B43)&gt;0,AVERAGEIFS('HD Dump'!$O$2:$O$538,'HD Dump'!$U$2:$U$538,G$7,'HD Dump'!$R$2:$R$538,"&gt;="&amp;$B43-90,'HD Dump'!$R$2:$R$538,"&lt;="&amp;$B43),AH42)</f>
        <v/>
      </c>
      <c r="AI43" s="18">
        <f>IF(COUNTIFS('HD Dump'!$U$2:$U$538,H$7,'HD Dump'!$R$2:$R$538,"&gt;="&amp;$B43-90,'HD Dump'!$R$2:$R$538,"&lt;="&amp;$B43)&gt;0,AVERAGEIFS('HD Dump'!$O$2:$O$538,'HD Dump'!$U$2:$U$538,H$7,'HD Dump'!$R$2:$R$538,"&gt;="&amp;$B43-90,'HD Dump'!$R$2:$R$538,"&lt;="&amp;$B43),AI42)</f>
        <v/>
      </c>
      <c r="AJ43" s="18">
        <f>IF(COUNTIFS('HD Dump'!$U$2:$U$538,I$7,'HD Dump'!$R$2:$R$538,"&gt;="&amp;$B43-90,'HD Dump'!$R$2:$R$538,"&lt;="&amp;$B43)&gt;0,AVERAGEIFS('HD Dump'!$O$2:$O$538,'HD Dump'!$U$2:$U$538,I$7,'HD Dump'!$R$2:$R$538,"&gt;="&amp;$B43-90,'HD Dump'!$R$2:$R$538,"&lt;="&amp;$B43),AJ42)</f>
        <v/>
      </c>
      <c r="AK43" s="18">
        <f>IF(COUNTIFS('HD Dump'!$U$2:$U$538,J$7,'HD Dump'!$R$2:$R$538,"&gt;="&amp;$B43-90,'HD Dump'!$R$2:$R$538,"&lt;="&amp;$B43)&gt;0,AVERAGEIFS('HD Dump'!$O$2:$O$538,'HD Dump'!$U$2:$U$538,J$7,'HD Dump'!$R$2:$R$538,"&gt;="&amp;$B43-90,'HD Dump'!$R$2:$R$538,"&lt;="&amp;$B43),AK42)</f>
        <v/>
      </c>
      <c r="AL43" s="18">
        <f>IF(COUNTIFS('HD Dump'!$U$2:$U$538,K$7,'HD Dump'!$R$2:$R$538,"&gt;="&amp;$B43-90,'HD Dump'!$R$2:$R$538,"&lt;="&amp;$B43)&gt;0,AVERAGEIFS('HD Dump'!$O$2:$O$538,'HD Dump'!$U$2:$U$538,K$7,'HD Dump'!$R$2:$R$538,"&gt;="&amp;$B43-90,'HD Dump'!$R$2:$R$538,"&lt;="&amp;$B43),AL42)</f>
        <v/>
      </c>
      <c r="AN43">
        <f>IFERROR(SUMPRODUCT((TEXT('RR Dump'!$L$2:$L$361,"yyyy-mm")=TEXT($B43,"yyyy-mm"))*((RRA!$A$109:$A$468=1)*RRA!$E$20+(RRA!$A$109:$A$468=2)*RRA!$E$21+(RRA!$A$109:$A$468=3)*RRA!$E$22+(RRA!$A$109:$A$468=4)*RRA!$E$23))/SUMPRODUCT((TEXT('RR Dump'!$L$2:$L$361,"yyyy-mm")=TEXT($B43,"yyyy-mm"))*1),0)</f>
        <v/>
      </c>
      <c r="AO43">
        <f>IFERROR(SUMPRODUCT((TEXT('RR Dump'!$L$2:$L$361,"yyyy-mm")=TEXT($B43,"yyyy-mm"))*((RRA!$A$109:$A$468=1)*RRA!$E$25+(RRA!$A$109:$A$468=2)*RRA!$E$26+(RRA!$A$109:$A$468=3)*RRA!$E$27+(RRA!$A$109:$A$468=4)*RRA!$E$28))/SUMPRODUCT((TEXT('RR Dump'!$L$2:$L$361,"yyyy-mm")=TEXT($B43,"yyyy-mm"))*1),0)</f>
        <v/>
      </c>
    </row>
    <row r="44">
      <c r="B44" s="9" t="n">
        <v>46507</v>
      </c>
      <c r="C44" s="19" t="inlineStr">
        <is>
          <t>Projected</t>
        </is>
      </c>
      <c r="D44" s="20">
        <f>IFERROR(INDEX(RRA!$E$48:$EX$48,MATCH($B44,RRA!$E$33:$EX$33,0))/360,"")</f>
        <v/>
      </c>
      <c r="E44" s="20" t="n"/>
      <c r="F44" s="20">
        <f>IFERROR((INDEX(RRA!$E$49:$EX$49,MATCH($B44,RRA!$E$33:$EX$33,0))/360*360-(1-$F44)*360*$D44)/($F44*360),"")</f>
        <v/>
      </c>
      <c r="G44" s="21">
        <f>IFERROR('Cash Flow (Annual)'!$K$14,"")</f>
        <v/>
      </c>
      <c r="H44" s="22">
        <f>IFERROR($F44/$D44-1,"")</f>
        <v/>
      </c>
      <c r="I44" s="20">
        <f>SUMPRODUCT((TEXT('RR Dump'!$L$2:$L$361,"yyyy-mm")=TEXT($B44,"yyyy-mm"))*((RRA!$A$109:$A$468=1)*RRA!$E$15+(RRA!$A$109:$A$468=2)*RRA!$E$16+(RRA!$A$109:$A$468=3)*RRA!$E$17+(RRA!$A$109:$A$468=4)*RRA!$E$18))+SUMPRODUCT((TEXT(EDATE(N('RR Dump'!$L$2:$L$361),RRA!$D$4),"yyyy-mm")=TEXT($B44,"yyyy-mm"))*((RRA!$A$109:$A$468=1)*RRA!$E$15+(RRA!$A$109:$A$468=2)*RRA!$E$16+(RRA!$A$109:$A$468=3)*RRA!$E$17+(RRA!$A$109:$A$468=4)*RRA!$E$18))</f>
        <v/>
      </c>
      <c r="J44" s="23">
        <f>IFERROR($L44-$J44,"")</f>
        <v/>
      </c>
      <c r="K44" s="20">
        <f>IFERROR($K44,"")</f>
        <v/>
      </c>
      <c r="L44" s="23">
        <f>SUMPRODUCT((TEXT('RR Dump'!$L$2:$L$361,"yyyy-mm")=TEXT($B44,"yyyy-mm"))*1)+SUMPRODUCT((TEXT(EDATE(N('RR Dump'!$L$2:$L$361),RRA!$D$4),"yyyy-mm")=TEXT($B44,"yyyy-mm"))*1)</f>
        <v/>
      </c>
      <c r="M44" s="20">
        <f>IFERROR(SUMPRODUCT((TEXT('RR Dump'!$L$2:$L$361,"yyyy-mm")=TEXT($B44,"yyyy-mm"))*N('RR Dump'!$I$2:$I$361))/SUMPRODUCT((TEXT('RR Dump'!$L$2:$L$361,"yyyy-mm")=TEXT($B44,"yyyy-mm"))*1),"")</f>
        <v/>
      </c>
      <c r="N44" s="20">
        <f>IFERROR(MAX($M44+AN44*($D44-$M44),$M44*(1+AO44)),"")</f>
        <v/>
      </c>
      <c r="O44" s="22">
        <f>IFERROR($N44/$M44-1,"")</f>
        <v/>
      </c>
      <c r="P44" s="20">
        <f>IFERROR($D44,"")</f>
        <v/>
      </c>
      <c r="T44" s="18">
        <f>IF(COUNTIFS('HD Dump'!$U$2:$U$538,C$7,'HD Dump'!$R$2:$R$538,"&gt;="&amp;$B44-90,'HD Dump'!$R$2:$R$538,"&lt;="&amp;$B44)&gt;0,AVERAGEIFS('HD Dump'!$M$2:$M$538,'HD Dump'!$U$2:$U$538,C$7,'HD Dump'!$R$2:$R$538,"&gt;="&amp;$B44-90,'HD Dump'!$R$2:$R$538,"&lt;="&amp;$B44),T43)</f>
        <v/>
      </c>
      <c r="U44" s="18">
        <f>IF(COUNTIFS('HD Dump'!$U$2:$U$538,D$7,'HD Dump'!$R$2:$R$538,"&gt;="&amp;$B44-90,'HD Dump'!$R$2:$R$538,"&lt;="&amp;$B44)&gt;0,AVERAGEIFS('HD Dump'!$M$2:$M$538,'HD Dump'!$U$2:$U$538,D$7,'HD Dump'!$R$2:$R$538,"&gt;="&amp;$B44-90,'HD Dump'!$R$2:$R$538,"&lt;="&amp;$B44),U43)</f>
        <v/>
      </c>
      <c r="V44" s="18">
        <f>IF(COUNTIFS('HD Dump'!$U$2:$U$538,E$7,'HD Dump'!$R$2:$R$538,"&gt;="&amp;$B44-90,'HD Dump'!$R$2:$R$538,"&lt;="&amp;$B44)&gt;0,AVERAGEIFS('HD Dump'!$M$2:$M$538,'HD Dump'!$U$2:$U$538,E$7,'HD Dump'!$R$2:$R$538,"&gt;="&amp;$B44-90,'HD Dump'!$R$2:$R$538,"&lt;="&amp;$B44),V43)</f>
        <v/>
      </c>
      <c r="W44" s="18">
        <f>IF(COUNTIFS('HD Dump'!$U$2:$U$538,F$7,'HD Dump'!$R$2:$R$538,"&gt;="&amp;$B44-90,'HD Dump'!$R$2:$R$538,"&lt;="&amp;$B44)&gt;0,AVERAGEIFS('HD Dump'!$M$2:$M$538,'HD Dump'!$U$2:$U$538,F$7,'HD Dump'!$R$2:$R$538,"&gt;="&amp;$B44-90,'HD Dump'!$R$2:$R$538,"&lt;="&amp;$B44),W43)</f>
        <v/>
      </c>
      <c r="X44" s="18">
        <f>IF(COUNTIFS('HD Dump'!$U$2:$U$538,G$7,'HD Dump'!$R$2:$R$538,"&gt;="&amp;$B44-90,'HD Dump'!$R$2:$R$538,"&lt;="&amp;$B44)&gt;0,AVERAGEIFS('HD Dump'!$M$2:$M$538,'HD Dump'!$U$2:$U$538,G$7,'HD Dump'!$R$2:$R$538,"&gt;="&amp;$B44-90,'HD Dump'!$R$2:$R$538,"&lt;="&amp;$B44),X43)</f>
        <v/>
      </c>
      <c r="Y44" s="18">
        <f>IF(COUNTIFS('HD Dump'!$U$2:$U$538,H$7,'HD Dump'!$R$2:$R$538,"&gt;="&amp;$B44-90,'HD Dump'!$R$2:$R$538,"&lt;="&amp;$B44)&gt;0,AVERAGEIFS('HD Dump'!$M$2:$M$538,'HD Dump'!$U$2:$U$538,H$7,'HD Dump'!$R$2:$R$538,"&gt;="&amp;$B44-90,'HD Dump'!$R$2:$R$538,"&lt;="&amp;$B44),Y43)</f>
        <v/>
      </c>
      <c r="Z44" s="18">
        <f>IF(COUNTIFS('HD Dump'!$U$2:$U$538,I$7,'HD Dump'!$R$2:$R$538,"&gt;="&amp;$B44-90,'HD Dump'!$R$2:$R$538,"&lt;="&amp;$B44)&gt;0,AVERAGEIFS('HD Dump'!$M$2:$M$538,'HD Dump'!$U$2:$U$538,I$7,'HD Dump'!$R$2:$R$538,"&gt;="&amp;$B44-90,'HD Dump'!$R$2:$R$538,"&lt;="&amp;$B44),Z43)</f>
        <v/>
      </c>
      <c r="AA44" s="18">
        <f>IF(COUNTIFS('HD Dump'!$U$2:$U$538,J$7,'HD Dump'!$R$2:$R$538,"&gt;="&amp;$B44-90,'HD Dump'!$R$2:$R$538,"&lt;="&amp;$B44)&gt;0,AVERAGEIFS('HD Dump'!$M$2:$M$538,'HD Dump'!$U$2:$U$538,J$7,'HD Dump'!$R$2:$R$538,"&gt;="&amp;$B44-90,'HD Dump'!$R$2:$R$538,"&lt;="&amp;$B44),AA43)</f>
        <v/>
      </c>
      <c r="AB44" s="18">
        <f>IF(COUNTIFS('HD Dump'!$U$2:$U$538,K$7,'HD Dump'!$R$2:$R$538,"&gt;="&amp;$B44-90,'HD Dump'!$R$2:$R$538,"&lt;="&amp;$B44)&gt;0,AVERAGEIFS('HD Dump'!$M$2:$M$538,'HD Dump'!$U$2:$U$538,K$7,'HD Dump'!$R$2:$R$538,"&gt;="&amp;$B44-90,'HD Dump'!$R$2:$R$538,"&lt;="&amp;$B44),AB43)</f>
        <v/>
      </c>
      <c r="AD44" s="18">
        <f>IF(COUNTIFS('HD Dump'!$U$2:$U$538,C$7,'HD Dump'!$R$2:$R$538,"&gt;="&amp;$B44-90,'HD Dump'!$R$2:$R$538,"&lt;="&amp;$B44)&gt;0,AVERAGEIFS('HD Dump'!$O$2:$O$538,'HD Dump'!$U$2:$U$538,C$7,'HD Dump'!$R$2:$R$538,"&gt;="&amp;$B44-90,'HD Dump'!$R$2:$R$538,"&lt;="&amp;$B44),AD43)</f>
        <v/>
      </c>
      <c r="AE44" s="18">
        <f>IF(COUNTIFS('HD Dump'!$U$2:$U$538,D$7,'HD Dump'!$R$2:$R$538,"&gt;="&amp;$B44-90,'HD Dump'!$R$2:$R$538,"&lt;="&amp;$B44)&gt;0,AVERAGEIFS('HD Dump'!$O$2:$O$538,'HD Dump'!$U$2:$U$538,D$7,'HD Dump'!$R$2:$R$538,"&gt;="&amp;$B44-90,'HD Dump'!$R$2:$R$538,"&lt;="&amp;$B44),AE43)</f>
        <v/>
      </c>
      <c r="AF44" s="18">
        <f>IF(COUNTIFS('HD Dump'!$U$2:$U$538,E$7,'HD Dump'!$R$2:$R$538,"&gt;="&amp;$B44-90,'HD Dump'!$R$2:$R$538,"&lt;="&amp;$B44)&gt;0,AVERAGEIFS('HD Dump'!$O$2:$O$538,'HD Dump'!$U$2:$U$538,E$7,'HD Dump'!$R$2:$R$538,"&gt;="&amp;$B44-90,'HD Dump'!$R$2:$R$538,"&lt;="&amp;$B44),AF43)</f>
        <v/>
      </c>
      <c r="AG44" s="18">
        <f>IF(COUNTIFS('HD Dump'!$U$2:$U$538,F$7,'HD Dump'!$R$2:$R$538,"&gt;="&amp;$B44-90,'HD Dump'!$R$2:$R$538,"&lt;="&amp;$B44)&gt;0,AVERAGEIFS('HD Dump'!$O$2:$O$538,'HD Dump'!$U$2:$U$538,F$7,'HD Dump'!$R$2:$R$538,"&gt;="&amp;$B44-90,'HD Dump'!$R$2:$R$538,"&lt;="&amp;$B44),AG43)</f>
        <v/>
      </c>
      <c r="AH44" s="18">
        <f>IF(COUNTIFS('HD Dump'!$U$2:$U$538,G$7,'HD Dump'!$R$2:$R$538,"&gt;="&amp;$B44-90,'HD Dump'!$R$2:$R$538,"&lt;="&amp;$B44)&gt;0,AVERAGEIFS('HD Dump'!$O$2:$O$538,'HD Dump'!$U$2:$U$538,G$7,'HD Dump'!$R$2:$R$538,"&gt;="&amp;$B44-90,'HD Dump'!$R$2:$R$538,"&lt;="&amp;$B44),AH43)</f>
        <v/>
      </c>
      <c r="AI44" s="18">
        <f>IF(COUNTIFS('HD Dump'!$U$2:$U$538,H$7,'HD Dump'!$R$2:$R$538,"&gt;="&amp;$B44-90,'HD Dump'!$R$2:$R$538,"&lt;="&amp;$B44)&gt;0,AVERAGEIFS('HD Dump'!$O$2:$O$538,'HD Dump'!$U$2:$U$538,H$7,'HD Dump'!$R$2:$R$538,"&gt;="&amp;$B44-90,'HD Dump'!$R$2:$R$538,"&lt;="&amp;$B44),AI43)</f>
        <v/>
      </c>
      <c r="AJ44" s="18">
        <f>IF(COUNTIFS('HD Dump'!$U$2:$U$538,I$7,'HD Dump'!$R$2:$R$538,"&gt;="&amp;$B44-90,'HD Dump'!$R$2:$R$538,"&lt;="&amp;$B44)&gt;0,AVERAGEIFS('HD Dump'!$O$2:$O$538,'HD Dump'!$U$2:$U$538,I$7,'HD Dump'!$R$2:$R$538,"&gt;="&amp;$B44-90,'HD Dump'!$R$2:$R$538,"&lt;="&amp;$B44),AJ43)</f>
        <v/>
      </c>
      <c r="AK44" s="18">
        <f>IF(COUNTIFS('HD Dump'!$U$2:$U$538,J$7,'HD Dump'!$R$2:$R$538,"&gt;="&amp;$B44-90,'HD Dump'!$R$2:$R$538,"&lt;="&amp;$B44)&gt;0,AVERAGEIFS('HD Dump'!$O$2:$O$538,'HD Dump'!$U$2:$U$538,J$7,'HD Dump'!$R$2:$R$538,"&gt;="&amp;$B44-90,'HD Dump'!$R$2:$R$538,"&lt;="&amp;$B44),AK43)</f>
        <v/>
      </c>
      <c r="AL44" s="18">
        <f>IF(COUNTIFS('HD Dump'!$U$2:$U$538,K$7,'HD Dump'!$R$2:$R$538,"&gt;="&amp;$B44-90,'HD Dump'!$R$2:$R$538,"&lt;="&amp;$B44)&gt;0,AVERAGEIFS('HD Dump'!$O$2:$O$538,'HD Dump'!$U$2:$U$538,K$7,'HD Dump'!$R$2:$R$538,"&gt;="&amp;$B44-90,'HD Dump'!$R$2:$R$538,"&lt;="&amp;$B44),AL43)</f>
        <v/>
      </c>
      <c r="AN44">
        <f>IFERROR(SUMPRODUCT((TEXT('RR Dump'!$L$2:$L$361,"yyyy-mm")=TEXT($B44,"yyyy-mm"))*((RRA!$A$109:$A$468=1)*RRA!$E$20+(RRA!$A$109:$A$468=2)*RRA!$E$21+(RRA!$A$109:$A$468=3)*RRA!$E$22+(RRA!$A$109:$A$468=4)*RRA!$E$23))/SUMPRODUCT((TEXT('RR Dump'!$L$2:$L$361,"yyyy-mm")=TEXT($B44,"yyyy-mm"))*1),0)</f>
        <v/>
      </c>
      <c r="AO44">
        <f>IFERROR(SUMPRODUCT((TEXT('RR Dump'!$L$2:$L$361,"yyyy-mm")=TEXT($B44,"yyyy-mm"))*((RRA!$A$109:$A$468=1)*RRA!$E$25+(RRA!$A$109:$A$468=2)*RRA!$E$26+(RRA!$A$109:$A$468=3)*RRA!$E$27+(RRA!$A$109:$A$468=4)*RRA!$E$28))/SUMPRODUCT((TEXT('RR Dump'!$L$2:$L$361,"yyyy-mm")=TEXT($B44,"yyyy-mm"))*1),0)</f>
        <v/>
      </c>
    </row>
    <row r="45">
      <c r="B45" s="9" t="n">
        <v>46538</v>
      </c>
      <c r="C45" s="19" t="inlineStr">
        <is>
          <t>Projected</t>
        </is>
      </c>
      <c r="D45" s="20">
        <f>IFERROR(INDEX(RRA!$E$48:$EX$48,MATCH($B45,RRA!$E$33:$EX$33,0))/360,"")</f>
        <v/>
      </c>
      <c r="E45" s="20" t="n"/>
      <c r="F45" s="20">
        <f>IFERROR((INDEX(RRA!$E$49:$EX$49,MATCH($B45,RRA!$E$33:$EX$33,0))/360*360-(1-$F45)*360*$D45)/($F45*360),"")</f>
        <v/>
      </c>
      <c r="G45" s="21">
        <f>IFERROR('Cash Flow (Annual)'!$K$14,"")</f>
        <v/>
      </c>
      <c r="H45" s="22">
        <f>IFERROR($F45/$D45-1,"")</f>
        <v/>
      </c>
      <c r="I45" s="20">
        <f>SUMPRODUCT((TEXT('RR Dump'!$L$2:$L$361,"yyyy-mm")=TEXT($B45,"yyyy-mm"))*((RRA!$A$109:$A$468=1)*RRA!$E$15+(RRA!$A$109:$A$468=2)*RRA!$E$16+(RRA!$A$109:$A$468=3)*RRA!$E$17+(RRA!$A$109:$A$468=4)*RRA!$E$18))+SUMPRODUCT((TEXT(EDATE(N('RR Dump'!$L$2:$L$361),RRA!$D$4),"yyyy-mm")=TEXT($B45,"yyyy-mm"))*((RRA!$A$109:$A$468=1)*RRA!$E$15+(RRA!$A$109:$A$468=2)*RRA!$E$16+(RRA!$A$109:$A$468=3)*RRA!$E$17+(RRA!$A$109:$A$468=4)*RRA!$E$18))</f>
        <v/>
      </c>
      <c r="J45" s="23">
        <f>IFERROR($L45-$J45,"")</f>
        <v/>
      </c>
      <c r="K45" s="20">
        <f>IFERROR($K45,"")</f>
        <v/>
      </c>
      <c r="L45" s="23">
        <f>SUMPRODUCT((TEXT('RR Dump'!$L$2:$L$361,"yyyy-mm")=TEXT($B45,"yyyy-mm"))*1)+SUMPRODUCT((TEXT(EDATE(N('RR Dump'!$L$2:$L$361),RRA!$D$4),"yyyy-mm")=TEXT($B45,"yyyy-mm"))*1)</f>
        <v/>
      </c>
      <c r="M45" s="20">
        <f>IFERROR(SUMPRODUCT((TEXT('RR Dump'!$L$2:$L$361,"yyyy-mm")=TEXT($B45,"yyyy-mm"))*N('RR Dump'!$I$2:$I$361))/SUMPRODUCT((TEXT('RR Dump'!$L$2:$L$361,"yyyy-mm")=TEXT($B45,"yyyy-mm"))*1),"")</f>
        <v/>
      </c>
      <c r="N45" s="20">
        <f>IFERROR(MAX($M45+AN45*($D45-$M45),$M45*(1+AO45)),"")</f>
        <v/>
      </c>
      <c r="O45" s="22">
        <f>IFERROR($N45/$M45-1,"")</f>
        <v/>
      </c>
      <c r="P45" s="20">
        <f>IFERROR($D45,"")</f>
        <v/>
      </c>
      <c r="T45" s="18">
        <f>IF(COUNTIFS('HD Dump'!$U$2:$U$538,C$7,'HD Dump'!$R$2:$R$538,"&gt;="&amp;$B45-90,'HD Dump'!$R$2:$R$538,"&lt;="&amp;$B45)&gt;0,AVERAGEIFS('HD Dump'!$M$2:$M$538,'HD Dump'!$U$2:$U$538,C$7,'HD Dump'!$R$2:$R$538,"&gt;="&amp;$B45-90,'HD Dump'!$R$2:$R$538,"&lt;="&amp;$B45),T44)</f>
        <v/>
      </c>
      <c r="U45" s="18">
        <f>IF(COUNTIFS('HD Dump'!$U$2:$U$538,D$7,'HD Dump'!$R$2:$R$538,"&gt;="&amp;$B45-90,'HD Dump'!$R$2:$R$538,"&lt;="&amp;$B45)&gt;0,AVERAGEIFS('HD Dump'!$M$2:$M$538,'HD Dump'!$U$2:$U$538,D$7,'HD Dump'!$R$2:$R$538,"&gt;="&amp;$B45-90,'HD Dump'!$R$2:$R$538,"&lt;="&amp;$B45),U44)</f>
        <v/>
      </c>
      <c r="V45" s="18">
        <f>IF(COUNTIFS('HD Dump'!$U$2:$U$538,E$7,'HD Dump'!$R$2:$R$538,"&gt;="&amp;$B45-90,'HD Dump'!$R$2:$R$538,"&lt;="&amp;$B45)&gt;0,AVERAGEIFS('HD Dump'!$M$2:$M$538,'HD Dump'!$U$2:$U$538,E$7,'HD Dump'!$R$2:$R$538,"&gt;="&amp;$B45-90,'HD Dump'!$R$2:$R$538,"&lt;="&amp;$B45),V44)</f>
        <v/>
      </c>
      <c r="W45" s="18">
        <f>IF(COUNTIFS('HD Dump'!$U$2:$U$538,F$7,'HD Dump'!$R$2:$R$538,"&gt;="&amp;$B45-90,'HD Dump'!$R$2:$R$538,"&lt;="&amp;$B45)&gt;0,AVERAGEIFS('HD Dump'!$M$2:$M$538,'HD Dump'!$U$2:$U$538,F$7,'HD Dump'!$R$2:$R$538,"&gt;="&amp;$B45-90,'HD Dump'!$R$2:$R$538,"&lt;="&amp;$B45),W44)</f>
        <v/>
      </c>
      <c r="X45" s="18">
        <f>IF(COUNTIFS('HD Dump'!$U$2:$U$538,G$7,'HD Dump'!$R$2:$R$538,"&gt;="&amp;$B45-90,'HD Dump'!$R$2:$R$538,"&lt;="&amp;$B45)&gt;0,AVERAGEIFS('HD Dump'!$M$2:$M$538,'HD Dump'!$U$2:$U$538,G$7,'HD Dump'!$R$2:$R$538,"&gt;="&amp;$B45-90,'HD Dump'!$R$2:$R$538,"&lt;="&amp;$B45),X44)</f>
        <v/>
      </c>
      <c r="Y45" s="18">
        <f>IF(COUNTIFS('HD Dump'!$U$2:$U$538,H$7,'HD Dump'!$R$2:$R$538,"&gt;="&amp;$B45-90,'HD Dump'!$R$2:$R$538,"&lt;="&amp;$B45)&gt;0,AVERAGEIFS('HD Dump'!$M$2:$M$538,'HD Dump'!$U$2:$U$538,H$7,'HD Dump'!$R$2:$R$538,"&gt;="&amp;$B45-90,'HD Dump'!$R$2:$R$538,"&lt;="&amp;$B45),Y44)</f>
        <v/>
      </c>
      <c r="Z45" s="18">
        <f>IF(COUNTIFS('HD Dump'!$U$2:$U$538,I$7,'HD Dump'!$R$2:$R$538,"&gt;="&amp;$B45-90,'HD Dump'!$R$2:$R$538,"&lt;="&amp;$B45)&gt;0,AVERAGEIFS('HD Dump'!$M$2:$M$538,'HD Dump'!$U$2:$U$538,I$7,'HD Dump'!$R$2:$R$538,"&gt;="&amp;$B45-90,'HD Dump'!$R$2:$R$538,"&lt;="&amp;$B45),Z44)</f>
        <v/>
      </c>
      <c r="AA45" s="18">
        <f>IF(COUNTIFS('HD Dump'!$U$2:$U$538,J$7,'HD Dump'!$R$2:$R$538,"&gt;="&amp;$B45-90,'HD Dump'!$R$2:$R$538,"&lt;="&amp;$B45)&gt;0,AVERAGEIFS('HD Dump'!$M$2:$M$538,'HD Dump'!$U$2:$U$538,J$7,'HD Dump'!$R$2:$R$538,"&gt;="&amp;$B45-90,'HD Dump'!$R$2:$R$538,"&lt;="&amp;$B45),AA44)</f>
        <v/>
      </c>
      <c r="AB45" s="18">
        <f>IF(COUNTIFS('HD Dump'!$U$2:$U$538,K$7,'HD Dump'!$R$2:$R$538,"&gt;="&amp;$B45-90,'HD Dump'!$R$2:$R$538,"&lt;="&amp;$B45)&gt;0,AVERAGEIFS('HD Dump'!$M$2:$M$538,'HD Dump'!$U$2:$U$538,K$7,'HD Dump'!$R$2:$R$538,"&gt;="&amp;$B45-90,'HD Dump'!$R$2:$R$538,"&lt;="&amp;$B45),AB44)</f>
        <v/>
      </c>
      <c r="AD45" s="18">
        <f>IF(COUNTIFS('HD Dump'!$U$2:$U$538,C$7,'HD Dump'!$R$2:$R$538,"&gt;="&amp;$B45-90,'HD Dump'!$R$2:$R$538,"&lt;="&amp;$B45)&gt;0,AVERAGEIFS('HD Dump'!$O$2:$O$538,'HD Dump'!$U$2:$U$538,C$7,'HD Dump'!$R$2:$R$538,"&gt;="&amp;$B45-90,'HD Dump'!$R$2:$R$538,"&lt;="&amp;$B45),AD44)</f>
        <v/>
      </c>
      <c r="AE45" s="18">
        <f>IF(COUNTIFS('HD Dump'!$U$2:$U$538,D$7,'HD Dump'!$R$2:$R$538,"&gt;="&amp;$B45-90,'HD Dump'!$R$2:$R$538,"&lt;="&amp;$B45)&gt;0,AVERAGEIFS('HD Dump'!$O$2:$O$538,'HD Dump'!$U$2:$U$538,D$7,'HD Dump'!$R$2:$R$538,"&gt;="&amp;$B45-90,'HD Dump'!$R$2:$R$538,"&lt;="&amp;$B45),AE44)</f>
        <v/>
      </c>
      <c r="AF45" s="18">
        <f>IF(COUNTIFS('HD Dump'!$U$2:$U$538,E$7,'HD Dump'!$R$2:$R$538,"&gt;="&amp;$B45-90,'HD Dump'!$R$2:$R$538,"&lt;="&amp;$B45)&gt;0,AVERAGEIFS('HD Dump'!$O$2:$O$538,'HD Dump'!$U$2:$U$538,E$7,'HD Dump'!$R$2:$R$538,"&gt;="&amp;$B45-90,'HD Dump'!$R$2:$R$538,"&lt;="&amp;$B45),AF44)</f>
        <v/>
      </c>
      <c r="AG45" s="18">
        <f>IF(COUNTIFS('HD Dump'!$U$2:$U$538,F$7,'HD Dump'!$R$2:$R$538,"&gt;="&amp;$B45-90,'HD Dump'!$R$2:$R$538,"&lt;="&amp;$B45)&gt;0,AVERAGEIFS('HD Dump'!$O$2:$O$538,'HD Dump'!$U$2:$U$538,F$7,'HD Dump'!$R$2:$R$538,"&gt;="&amp;$B45-90,'HD Dump'!$R$2:$R$538,"&lt;="&amp;$B45),AG44)</f>
        <v/>
      </c>
      <c r="AH45" s="18">
        <f>IF(COUNTIFS('HD Dump'!$U$2:$U$538,G$7,'HD Dump'!$R$2:$R$538,"&gt;="&amp;$B45-90,'HD Dump'!$R$2:$R$538,"&lt;="&amp;$B45)&gt;0,AVERAGEIFS('HD Dump'!$O$2:$O$538,'HD Dump'!$U$2:$U$538,G$7,'HD Dump'!$R$2:$R$538,"&gt;="&amp;$B45-90,'HD Dump'!$R$2:$R$538,"&lt;="&amp;$B45),AH44)</f>
        <v/>
      </c>
      <c r="AI45" s="18">
        <f>IF(COUNTIFS('HD Dump'!$U$2:$U$538,H$7,'HD Dump'!$R$2:$R$538,"&gt;="&amp;$B45-90,'HD Dump'!$R$2:$R$538,"&lt;="&amp;$B45)&gt;0,AVERAGEIFS('HD Dump'!$O$2:$O$538,'HD Dump'!$U$2:$U$538,H$7,'HD Dump'!$R$2:$R$538,"&gt;="&amp;$B45-90,'HD Dump'!$R$2:$R$538,"&lt;="&amp;$B45),AI44)</f>
        <v/>
      </c>
      <c r="AJ45" s="18">
        <f>IF(COUNTIFS('HD Dump'!$U$2:$U$538,I$7,'HD Dump'!$R$2:$R$538,"&gt;="&amp;$B45-90,'HD Dump'!$R$2:$R$538,"&lt;="&amp;$B45)&gt;0,AVERAGEIFS('HD Dump'!$O$2:$O$538,'HD Dump'!$U$2:$U$538,I$7,'HD Dump'!$R$2:$R$538,"&gt;="&amp;$B45-90,'HD Dump'!$R$2:$R$538,"&lt;="&amp;$B45),AJ44)</f>
        <v/>
      </c>
      <c r="AK45" s="18">
        <f>IF(COUNTIFS('HD Dump'!$U$2:$U$538,J$7,'HD Dump'!$R$2:$R$538,"&gt;="&amp;$B45-90,'HD Dump'!$R$2:$R$538,"&lt;="&amp;$B45)&gt;0,AVERAGEIFS('HD Dump'!$O$2:$O$538,'HD Dump'!$U$2:$U$538,J$7,'HD Dump'!$R$2:$R$538,"&gt;="&amp;$B45-90,'HD Dump'!$R$2:$R$538,"&lt;="&amp;$B45),AK44)</f>
        <v/>
      </c>
      <c r="AL45" s="18">
        <f>IF(COUNTIFS('HD Dump'!$U$2:$U$538,K$7,'HD Dump'!$R$2:$R$538,"&gt;="&amp;$B45-90,'HD Dump'!$R$2:$R$538,"&lt;="&amp;$B45)&gt;0,AVERAGEIFS('HD Dump'!$O$2:$O$538,'HD Dump'!$U$2:$U$538,K$7,'HD Dump'!$R$2:$R$538,"&gt;="&amp;$B45-90,'HD Dump'!$R$2:$R$538,"&lt;="&amp;$B45),AL44)</f>
        <v/>
      </c>
      <c r="AN45">
        <f>IFERROR(SUMPRODUCT((TEXT('RR Dump'!$L$2:$L$361,"yyyy-mm")=TEXT($B45,"yyyy-mm"))*((RRA!$A$109:$A$468=1)*RRA!$E$20+(RRA!$A$109:$A$468=2)*RRA!$E$21+(RRA!$A$109:$A$468=3)*RRA!$E$22+(RRA!$A$109:$A$468=4)*RRA!$E$23))/SUMPRODUCT((TEXT('RR Dump'!$L$2:$L$361,"yyyy-mm")=TEXT($B45,"yyyy-mm"))*1),0)</f>
        <v/>
      </c>
      <c r="AO45">
        <f>IFERROR(SUMPRODUCT((TEXT('RR Dump'!$L$2:$L$361,"yyyy-mm")=TEXT($B45,"yyyy-mm"))*((RRA!$A$109:$A$468=1)*RRA!$E$25+(RRA!$A$109:$A$468=2)*RRA!$E$26+(RRA!$A$109:$A$468=3)*RRA!$E$27+(RRA!$A$109:$A$468=4)*RRA!$E$28))/SUMPRODUCT((TEXT('RR Dump'!$L$2:$L$361,"yyyy-mm")=TEXT($B45,"yyyy-mm"))*1),0)</f>
        <v/>
      </c>
    </row>
    <row r="46">
      <c r="B46" s="9" t="n">
        <v>46568</v>
      </c>
      <c r="C46" s="19" t="inlineStr">
        <is>
          <t>Projected</t>
        </is>
      </c>
      <c r="D46" s="20">
        <f>IFERROR(INDEX(RRA!$E$48:$EX$48,MATCH($B46,RRA!$E$33:$EX$33,0))/360,"")</f>
        <v/>
      </c>
      <c r="E46" s="20" t="n"/>
      <c r="F46" s="20">
        <f>IFERROR((INDEX(RRA!$E$49:$EX$49,MATCH($B46,RRA!$E$33:$EX$33,0))/360*360-(1-$F46)*360*$D46)/($F46*360),"")</f>
        <v/>
      </c>
      <c r="G46" s="21">
        <f>IFERROR('Cash Flow (Annual)'!$K$14,"")</f>
        <v/>
      </c>
      <c r="H46" s="22">
        <f>IFERROR($F46/$D46-1,"")</f>
        <v/>
      </c>
      <c r="I46" s="20">
        <f>SUMPRODUCT((TEXT('RR Dump'!$L$2:$L$361,"yyyy-mm")=TEXT($B46,"yyyy-mm"))*((RRA!$A$109:$A$468=1)*RRA!$E$15+(RRA!$A$109:$A$468=2)*RRA!$E$16+(RRA!$A$109:$A$468=3)*RRA!$E$17+(RRA!$A$109:$A$468=4)*RRA!$E$18))+SUMPRODUCT((TEXT(EDATE(N('RR Dump'!$L$2:$L$361),RRA!$D$4),"yyyy-mm")=TEXT($B46,"yyyy-mm"))*((RRA!$A$109:$A$468=1)*RRA!$E$15+(RRA!$A$109:$A$468=2)*RRA!$E$16+(RRA!$A$109:$A$468=3)*RRA!$E$17+(RRA!$A$109:$A$468=4)*RRA!$E$18))</f>
        <v/>
      </c>
      <c r="J46" s="23">
        <f>IFERROR($L46-$J46,"")</f>
        <v/>
      </c>
      <c r="K46" s="20">
        <f>IFERROR($K46,"")</f>
        <v/>
      </c>
      <c r="L46" s="23">
        <f>SUMPRODUCT((TEXT('RR Dump'!$L$2:$L$361,"yyyy-mm")=TEXT($B46,"yyyy-mm"))*1)+SUMPRODUCT((TEXT(EDATE(N('RR Dump'!$L$2:$L$361),RRA!$D$4),"yyyy-mm")=TEXT($B46,"yyyy-mm"))*1)</f>
        <v/>
      </c>
      <c r="M46" s="20">
        <f>IFERROR(SUMPRODUCT((TEXT('RR Dump'!$L$2:$L$361,"yyyy-mm")=TEXT($B46,"yyyy-mm"))*N('RR Dump'!$I$2:$I$361))/SUMPRODUCT((TEXT('RR Dump'!$L$2:$L$361,"yyyy-mm")=TEXT($B46,"yyyy-mm"))*1),"")</f>
        <v/>
      </c>
      <c r="N46" s="20">
        <f>IFERROR(MAX($M46+AN46*($D46-$M46),$M46*(1+AO46)),"")</f>
        <v/>
      </c>
      <c r="O46" s="22">
        <f>IFERROR($N46/$M46-1,"")</f>
        <v/>
      </c>
      <c r="P46" s="20">
        <f>IFERROR($D46,"")</f>
        <v/>
      </c>
      <c r="T46" s="18">
        <f>IF(COUNTIFS('HD Dump'!$U$2:$U$538,C$7,'HD Dump'!$R$2:$R$538,"&gt;="&amp;$B46-90,'HD Dump'!$R$2:$R$538,"&lt;="&amp;$B46)&gt;0,AVERAGEIFS('HD Dump'!$M$2:$M$538,'HD Dump'!$U$2:$U$538,C$7,'HD Dump'!$R$2:$R$538,"&gt;="&amp;$B46-90,'HD Dump'!$R$2:$R$538,"&lt;="&amp;$B46),T45)</f>
        <v/>
      </c>
      <c r="U46" s="18">
        <f>IF(COUNTIFS('HD Dump'!$U$2:$U$538,D$7,'HD Dump'!$R$2:$R$538,"&gt;="&amp;$B46-90,'HD Dump'!$R$2:$R$538,"&lt;="&amp;$B46)&gt;0,AVERAGEIFS('HD Dump'!$M$2:$M$538,'HD Dump'!$U$2:$U$538,D$7,'HD Dump'!$R$2:$R$538,"&gt;="&amp;$B46-90,'HD Dump'!$R$2:$R$538,"&lt;="&amp;$B46),U45)</f>
        <v/>
      </c>
      <c r="V46" s="18">
        <f>IF(COUNTIFS('HD Dump'!$U$2:$U$538,E$7,'HD Dump'!$R$2:$R$538,"&gt;="&amp;$B46-90,'HD Dump'!$R$2:$R$538,"&lt;="&amp;$B46)&gt;0,AVERAGEIFS('HD Dump'!$M$2:$M$538,'HD Dump'!$U$2:$U$538,E$7,'HD Dump'!$R$2:$R$538,"&gt;="&amp;$B46-90,'HD Dump'!$R$2:$R$538,"&lt;="&amp;$B46),V45)</f>
        <v/>
      </c>
      <c r="W46" s="18">
        <f>IF(COUNTIFS('HD Dump'!$U$2:$U$538,F$7,'HD Dump'!$R$2:$R$538,"&gt;="&amp;$B46-90,'HD Dump'!$R$2:$R$538,"&lt;="&amp;$B46)&gt;0,AVERAGEIFS('HD Dump'!$M$2:$M$538,'HD Dump'!$U$2:$U$538,F$7,'HD Dump'!$R$2:$R$538,"&gt;="&amp;$B46-90,'HD Dump'!$R$2:$R$538,"&lt;="&amp;$B46),W45)</f>
        <v/>
      </c>
      <c r="X46" s="18">
        <f>IF(COUNTIFS('HD Dump'!$U$2:$U$538,G$7,'HD Dump'!$R$2:$R$538,"&gt;="&amp;$B46-90,'HD Dump'!$R$2:$R$538,"&lt;="&amp;$B46)&gt;0,AVERAGEIFS('HD Dump'!$M$2:$M$538,'HD Dump'!$U$2:$U$538,G$7,'HD Dump'!$R$2:$R$538,"&gt;="&amp;$B46-90,'HD Dump'!$R$2:$R$538,"&lt;="&amp;$B46),X45)</f>
        <v/>
      </c>
      <c r="Y46" s="18">
        <f>IF(COUNTIFS('HD Dump'!$U$2:$U$538,H$7,'HD Dump'!$R$2:$R$538,"&gt;="&amp;$B46-90,'HD Dump'!$R$2:$R$538,"&lt;="&amp;$B46)&gt;0,AVERAGEIFS('HD Dump'!$M$2:$M$538,'HD Dump'!$U$2:$U$538,H$7,'HD Dump'!$R$2:$R$538,"&gt;="&amp;$B46-90,'HD Dump'!$R$2:$R$538,"&lt;="&amp;$B46),Y45)</f>
        <v/>
      </c>
      <c r="Z46" s="18">
        <f>IF(COUNTIFS('HD Dump'!$U$2:$U$538,I$7,'HD Dump'!$R$2:$R$538,"&gt;="&amp;$B46-90,'HD Dump'!$R$2:$R$538,"&lt;="&amp;$B46)&gt;0,AVERAGEIFS('HD Dump'!$M$2:$M$538,'HD Dump'!$U$2:$U$538,I$7,'HD Dump'!$R$2:$R$538,"&gt;="&amp;$B46-90,'HD Dump'!$R$2:$R$538,"&lt;="&amp;$B46),Z45)</f>
        <v/>
      </c>
      <c r="AA46" s="18">
        <f>IF(COUNTIFS('HD Dump'!$U$2:$U$538,J$7,'HD Dump'!$R$2:$R$538,"&gt;="&amp;$B46-90,'HD Dump'!$R$2:$R$538,"&lt;="&amp;$B46)&gt;0,AVERAGEIFS('HD Dump'!$M$2:$M$538,'HD Dump'!$U$2:$U$538,J$7,'HD Dump'!$R$2:$R$538,"&gt;="&amp;$B46-90,'HD Dump'!$R$2:$R$538,"&lt;="&amp;$B46),AA45)</f>
        <v/>
      </c>
      <c r="AB46" s="18">
        <f>IF(COUNTIFS('HD Dump'!$U$2:$U$538,K$7,'HD Dump'!$R$2:$R$538,"&gt;="&amp;$B46-90,'HD Dump'!$R$2:$R$538,"&lt;="&amp;$B46)&gt;0,AVERAGEIFS('HD Dump'!$M$2:$M$538,'HD Dump'!$U$2:$U$538,K$7,'HD Dump'!$R$2:$R$538,"&gt;="&amp;$B46-90,'HD Dump'!$R$2:$R$538,"&lt;="&amp;$B46),AB45)</f>
        <v/>
      </c>
      <c r="AD46" s="18">
        <f>IF(COUNTIFS('HD Dump'!$U$2:$U$538,C$7,'HD Dump'!$R$2:$R$538,"&gt;="&amp;$B46-90,'HD Dump'!$R$2:$R$538,"&lt;="&amp;$B46)&gt;0,AVERAGEIFS('HD Dump'!$O$2:$O$538,'HD Dump'!$U$2:$U$538,C$7,'HD Dump'!$R$2:$R$538,"&gt;="&amp;$B46-90,'HD Dump'!$R$2:$R$538,"&lt;="&amp;$B46),AD45)</f>
        <v/>
      </c>
      <c r="AE46" s="18">
        <f>IF(COUNTIFS('HD Dump'!$U$2:$U$538,D$7,'HD Dump'!$R$2:$R$538,"&gt;="&amp;$B46-90,'HD Dump'!$R$2:$R$538,"&lt;="&amp;$B46)&gt;0,AVERAGEIFS('HD Dump'!$O$2:$O$538,'HD Dump'!$U$2:$U$538,D$7,'HD Dump'!$R$2:$R$538,"&gt;="&amp;$B46-90,'HD Dump'!$R$2:$R$538,"&lt;="&amp;$B46),AE45)</f>
        <v/>
      </c>
      <c r="AF46" s="18">
        <f>IF(COUNTIFS('HD Dump'!$U$2:$U$538,E$7,'HD Dump'!$R$2:$R$538,"&gt;="&amp;$B46-90,'HD Dump'!$R$2:$R$538,"&lt;="&amp;$B46)&gt;0,AVERAGEIFS('HD Dump'!$O$2:$O$538,'HD Dump'!$U$2:$U$538,E$7,'HD Dump'!$R$2:$R$538,"&gt;="&amp;$B46-90,'HD Dump'!$R$2:$R$538,"&lt;="&amp;$B46),AF45)</f>
        <v/>
      </c>
      <c r="AG46" s="18">
        <f>IF(COUNTIFS('HD Dump'!$U$2:$U$538,F$7,'HD Dump'!$R$2:$R$538,"&gt;="&amp;$B46-90,'HD Dump'!$R$2:$R$538,"&lt;="&amp;$B46)&gt;0,AVERAGEIFS('HD Dump'!$O$2:$O$538,'HD Dump'!$U$2:$U$538,F$7,'HD Dump'!$R$2:$R$538,"&gt;="&amp;$B46-90,'HD Dump'!$R$2:$R$538,"&lt;="&amp;$B46),AG45)</f>
        <v/>
      </c>
      <c r="AH46" s="18">
        <f>IF(COUNTIFS('HD Dump'!$U$2:$U$538,G$7,'HD Dump'!$R$2:$R$538,"&gt;="&amp;$B46-90,'HD Dump'!$R$2:$R$538,"&lt;="&amp;$B46)&gt;0,AVERAGEIFS('HD Dump'!$O$2:$O$538,'HD Dump'!$U$2:$U$538,G$7,'HD Dump'!$R$2:$R$538,"&gt;="&amp;$B46-90,'HD Dump'!$R$2:$R$538,"&lt;="&amp;$B46),AH45)</f>
        <v/>
      </c>
      <c r="AI46" s="18">
        <f>IF(COUNTIFS('HD Dump'!$U$2:$U$538,H$7,'HD Dump'!$R$2:$R$538,"&gt;="&amp;$B46-90,'HD Dump'!$R$2:$R$538,"&lt;="&amp;$B46)&gt;0,AVERAGEIFS('HD Dump'!$O$2:$O$538,'HD Dump'!$U$2:$U$538,H$7,'HD Dump'!$R$2:$R$538,"&gt;="&amp;$B46-90,'HD Dump'!$R$2:$R$538,"&lt;="&amp;$B46),AI45)</f>
        <v/>
      </c>
      <c r="AJ46" s="18">
        <f>IF(COUNTIFS('HD Dump'!$U$2:$U$538,I$7,'HD Dump'!$R$2:$R$538,"&gt;="&amp;$B46-90,'HD Dump'!$R$2:$R$538,"&lt;="&amp;$B46)&gt;0,AVERAGEIFS('HD Dump'!$O$2:$O$538,'HD Dump'!$U$2:$U$538,I$7,'HD Dump'!$R$2:$R$538,"&gt;="&amp;$B46-90,'HD Dump'!$R$2:$R$538,"&lt;="&amp;$B46),AJ45)</f>
        <v/>
      </c>
      <c r="AK46" s="18">
        <f>IF(COUNTIFS('HD Dump'!$U$2:$U$538,J$7,'HD Dump'!$R$2:$R$538,"&gt;="&amp;$B46-90,'HD Dump'!$R$2:$R$538,"&lt;="&amp;$B46)&gt;0,AVERAGEIFS('HD Dump'!$O$2:$O$538,'HD Dump'!$U$2:$U$538,J$7,'HD Dump'!$R$2:$R$538,"&gt;="&amp;$B46-90,'HD Dump'!$R$2:$R$538,"&lt;="&amp;$B46),AK45)</f>
        <v/>
      </c>
      <c r="AL46" s="18">
        <f>IF(COUNTIFS('HD Dump'!$U$2:$U$538,K$7,'HD Dump'!$R$2:$R$538,"&gt;="&amp;$B46-90,'HD Dump'!$R$2:$R$538,"&lt;="&amp;$B46)&gt;0,AVERAGEIFS('HD Dump'!$O$2:$O$538,'HD Dump'!$U$2:$U$538,K$7,'HD Dump'!$R$2:$R$538,"&gt;="&amp;$B46-90,'HD Dump'!$R$2:$R$538,"&lt;="&amp;$B46),AL45)</f>
        <v/>
      </c>
      <c r="AN46">
        <f>IFERROR(SUMPRODUCT((TEXT('RR Dump'!$L$2:$L$361,"yyyy-mm")=TEXT($B46,"yyyy-mm"))*((RRA!$A$109:$A$468=1)*RRA!$E$20+(RRA!$A$109:$A$468=2)*RRA!$E$21+(RRA!$A$109:$A$468=3)*RRA!$E$22+(RRA!$A$109:$A$468=4)*RRA!$E$23))/SUMPRODUCT((TEXT('RR Dump'!$L$2:$L$361,"yyyy-mm")=TEXT($B46,"yyyy-mm"))*1),0)</f>
        <v/>
      </c>
      <c r="AO46">
        <f>IFERROR(SUMPRODUCT((TEXT('RR Dump'!$L$2:$L$361,"yyyy-mm")=TEXT($B46,"yyyy-mm"))*((RRA!$A$109:$A$468=1)*RRA!$E$25+(RRA!$A$109:$A$468=2)*RRA!$E$26+(RRA!$A$109:$A$468=3)*RRA!$E$27+(RRA!$A$109:$A$468=4)*RRA!$E$28))/SUMPRODUCT((TEXT('RR Dump'!$L$2:$L$361,"yyyy-mm")=TEXT($B46,"yyyy-mm"))*1),0)</f>
        <v/>
      </c>
    </row>
    <row r="47">
      <c r="B47" s="9" t="n">
        <v>46599</v>
      </c>
      <c r="C47" s="19" t="inlineStr">
        <is>
          <t>Projected</t>
        </is>
      </c>
      <c r="D47" s="20">
        <f>IFERROR(INDEX(RRA!$E$48:$EX$48,MATCH($B47,RRA!$E$33:$EX$33,0))/360,"")</f>
        <v/>
      </c>
      <c r="E47" s="20" t="n"/>
      <c r="F47" s="20">
        <f>IFERROR((INDEX(RRA!$E$49:$EX$49,MATCH($B47,RRA!$E$33:$EX$33,0))/360*360-(1-$F47)*360*$D47)/($F47*360),"")</f>
        <v/>
      </c>
      <c r="G47" s="21">
        <f>IFERROR('Cash Flow (Annual)'!$K$14,"")</f>
        <v/>
      </c>
      <c r="H47" s="22">
        <f>IFERROR($F47/$D47-1,"")</f>
        <v/>
      </c>
      <c r="I47" s="20">
        <f>SUMPRODUCT((TEXT('RR Dump'!$L$2:$L$361,"yyyy-mm")=TEXT($B47,"yyyy-mm"))*((RRA!$A$109:$A$468=1)*RRA!$E$15+(RRA!$A$109:$A$468=2)*RRA!$E$16+(RRA!$A$109:$A$468=3)*RRA!$E$17+(RRA!$A$109:$A$468=4)*RRA!$E$18))+SUMPRODUCT((TEXT(EDATE(N('RR Dump'!$L$2:$L$361),RRA!$D$4),"yyyy-mm")=TEXT($B47,"yyyy-mm"))*((RRA!$A$109:$A$468=1)*RRA!$E$15+(RRA!$A$109:$A$468=2)*RRA!$E$16+(RRA!$A$109:$A$468=3)*RRA!$E$17+(RRA!$A$109:$A$468=4)*RRA!$E$18))</f>
        <v/>
      </c>
      <c r="J47" s="23">
        <f>IFERROR($L47-$J47,"")</f>
        <v/>
      </c>
      <c r="K47" s="20">
        <f>IFERROR($K47,"")</f>
        <v/>
      </c>
      <c r="L47" s="23">
        <f>SUMPRODUCT((TEXT('RR Dump'!$L$2:$L$361,"yyyy-mm")=TEXT($B47,"yyyy-mm"))*1)+SUMPRODUCT((TEXT(EDATE(N('RR Dump'!$L$2:$L$361),RRA!$D$4),"yyyy-mm")=TEXT($B47,"yyyy-mm"))*1)</f>
        <v/>
      </c>
      <c r="M47" s="20">
        <f>IFERROR(SUMPRODUCT((TEXT('RR Dump'!$L$2:$L$361,"yyyy-mm")=TEXT($B47,"yyyy-mm"))*N('RR Dump'!$I$2:$I$361))/SUMPRODUCT((TEXT('RR Dump'!$L$2:$L$361,"yyyy-mm")=TEXT($B47,"yyyy-mm"))*1),"")</f>
        <v/>
      </c>
      <c r="N47" s="20">
        <f>IFERROR(MAX($M47+AN47*($D47-$M47),$M47*(1+AO47)),"")</f>
        <v/>
      </c>
      <c r="O47" s="22">
        <f>IFERROR($N47/$M47-1,"")</f>
        <v/>
      </c>
      <c r="P47" s="20">
        <f>IFERROR($D47,"")</f>
        <v/>
      </c>
      <c r="T47" s="18">
        <f>IF(COUNTIFS('HD Dump'!$U$2:$U$538,C$7,'HD Dump'!$R$2:$R$538,"&gt;="&amp;$B47-90,'HD Dump'!$R$2:$R$538,"&lt;="&amp;$B47)&gt;0,AVERAGEIFS('HD Dump'!$M$2:$M$538,'HD Dump'!$U$2:$U$538,C$7,'HD Dump'!$R$2:$R$538,"&gt;="&amp;$B47-90,'HD Dump'!$R$2:$R$538,"&lt;="&amp;$B47),T46)</f>
        <v/>
      </c>
      <c r="U47" s="18">
        <f>IF(COUNTIFS('HD Dump'!$U$2:$U$538,D$7,'HD Dump'!$R$2:$R$538,"&gt;="&amp;$B47-90,'HD Dump'!$R$2:$R$538,"&lt;="&amp;$B47)&gt;0,AVERAGEIFS('HD Dump'!$M$2:$M$538,'HD Dump'!$U$2:$U$538,D$7,'HD Dump'!$R$2:$R$538,"&gt;="&amp;$B47-90,'HD Dump'!$R$2:$R$538,"&lt;="&amp;$B47),U46)</f>
        <v/>
      </c>
      <c r="V47" s="18">
        <f>IF(COUNTIFS('HD Dump'!$U$2:$U$538,E$7,'HD Dump'!$R$2:$R$538,"&gt;="&amp;$B47-90,'HD Dump'!$R$2:$R$538,"&lt;="&amp;$B47)&gt;0,AVERAGEIFS('HD Dump'!$M$2:$M$538,'HD Dump'!$U$2:$U$538,E$7,'HD Dump'!$R$2:$R$538,"&gt;="&amp;$B47-90,'HD Dump'!$R$2:$R$538,"&lt;="&amp;$B47),V46)</f>
        <v/>
      </c>
      <c r="W47" s="18">
        <f>IF(COUNTIFS('HD Dump'!$U$2:$U$538,F$7,'HD Dump'!$R$2:$R$538,"&gt;="&amp;$B47-90,'HD Dump'!$R$2:$R$538,"&lt;="&amp;$B47)&gt;0,AVERAGEIFS('HD Dump'!$M$2:$M$538,'HD Dump'!$U$2:$U$538,F$7,'HD Dump'!$R$2:$R$538,"&gt;="&amp;$B47-90,'HD Dump'!$R$2:$R$538,"&lt;="&amp;$B47),W46)</f>
        <v/>
      </c>
      <c r="X47" s="18">
        <f>IF(COUNTIFS('HD Dump'!$U$2:$U$538,G$7,'HD Dump'!$R$2:$R$538,"&gt;="&amp;$B47-90,'HD Dump'!$R$2:$R$538,"&lt;="&amp;$B47)&gt;0,AVERAGEIFS('HD Dump'!$M$2:$M$538,'HD Dump'!$U$2:$U$538,G$7,'HD Dump'!$R$2:$R$538,"&gt;="&amp;$B47-90,'HD Dump'!$R$2:$R$538,"&lt;="&amp;$B47),X46)</f>
        <v/>
      </c>
      <c r="Y47" s="18">
        <f>IF(COUNTIFS('HD Dump'!$U$2:$U$538,H$7,'HD Dump'!$R$2:$R$538,"&gt;="&amp;$B47-90,'HD Dump'!$R$2:$R$538,"&lt;="&amp;$B47)&gt;0,AVERAGEIFS('HD Dump'!$M$2:$M$538,'HD Dump'!$U$2:$U$538,H$7,'HD Dump'!$R$2:$R$538,"&gt;="&amp;$B47-90,'HD Dump'!$R$2:$R$538,"&lt;="&amp;$B47),Y46)</f>
        <v/>
      </c>
      <c r="Z47" s="18">
        <f>IF(COUNTIFS('HD Dump'!$U$2:$U$538,I$7,'HD Dump'!$R$2:$R$538,"&gt;="&amp;$B47-90,'HD Dump'!$R$2:$R$538,"&lt;="&amp;$B47)&gt;0,AVERAGEIFS('HD Dump'!$M$2:$M$538,'HD Dump'!$U$2:$U$538,I$7,'HD Dump'!$R$2:$R$538,"&gt;="&amp;$B47-90,'HD Dump'!$R$2:$R$538,"&lt;="&amp;$B47),Z46)</f>
        <v/>
      </c>
      <c r="AA47" s="18">
        <f>IF(COUNTIFS('HD Dump'!$U$2:$U$538,J$7,'HD Dump'!$R$2:$R$538,"&gt;="&amp;$B47-90,'HD Dump'!$R$2:$R$538,"&lt;="&amp;$B47)&gt;0,AVERAGEIFS('HD Dump'!$M$2:$M$538,'HD Dump'!$U$2:$U$538,J$7,'HD Dump'!$R$2:$R$538,"&gt;="&amp;$B47-90,'HD Dump'!$R$2:$R$538,"&lt;="&amp;$B47),AA46)</f>
        <v/>
      </c>
      <c r="AB47" s="18">
        <f>IF(COUNTIFS('HD Dump'!$U$2:$U$538,K$7,'HD Dump'!$R$2:$R$538,"&gt;="&amp;$B47-90,'HD Dump'!$R$2:$R$538,"&lt;="&amp;$B47)&gt;0,AVERAGEIFS('HD Dump'!$M$2:$M$538,'HD Dump'!$U$2:$U$538,K$7,'HD Dump'!$R$2:$R$538,"&gt;="&amp;$B47-90,'HD Dump'!$R$2:$R$538,"&lt;="&amp;$B47),AB46)</f>
        <v/>
      </c>
      <c r="AD47" s="18">
        <f>IF(COUNTIFS('HD Dump'!$U$2:$U$538,C$7,'HD Dump'!$R$2:$R$538,"&gt;="&amp;$B47-90,'HD Dump'!$R$2:$R$538,"&lt;="&amp;$B47)&gt;0,AVERAGEIFS('HD Dump'!$O$2:$O$538,'HD Dump'!$U$2:$U$538,C$7,'HD Dump'!$R$2:$R$538,"&gt;="&amp;$B47-90,'HD Dump'!$R$2:$R$538,"&lt;="&amp;$B47),AD46)</f>
        <v/>
      </c>
      <c r="AE47" s="18">
        <f>IF(COUNTIFS('HD Dump'!$U$2:$U$538,D$7,'HD Dump'!$R$2:$R$538,"&gt;="&amp;$B47-90,'HD Dump'!$R$2:$R$538,"&lt;="&amp;$B47)&gt;0,AVERAGEIFS('HD Dump'!$O$2:$O$538,'HD Dump'!$U$2:$U$538,D$7,'HD Dump'!$R$2:$R$538,"&gt;="&amp;$B47-90,'HD Dump'!$R$2:$R$538,"&lt;="&amp;$B47),AE46)</f>
        <v/>
      </c>
      <c r="AF47" s="18">
        <f>IF(COUNTIFS('HD Dump'!$U$2:$U$538,E$7,'HD Dump'!$R$2:$R$538,"&gt;="&amp;$B47-90,'HD Dump'!$R$2:$R$538,"&lt;="&amp;$B47)&gt;0,AVERAGEIFS('HD Dump'!$O$2:$O$538,'HD Dump'!$U$2:$U$538,E$7,'HD Dump'!$R$2:$R$538,"&gt;="&amp;$B47-90,'HD Dump'!$R$2:$R$538,"&lt;="&amp;$B47),AF46)</f>
        <v/>
      </c>
      <c r="AG47" s="18">
        <f>IF(COUNTIFS('HD Dump'!$U$2:$U$538,F$7,'HD Dump'!$R$2:$R$538,"&gt;="&amp;$B47-90,'HD Dump'!$R$2:$R$538,"&lt;="&amp;$B47)&gt;0,AVERAGEIFS('HD Dump'!$O$2:$O$538,'HD Dump'!$U$2:$U$538,F$7,'HD Dump'!$R$2:$R$538,"&gt;="&amp;$B47-90,'HD Dump'!$R$2:$R$538,"&lt;="&amp;$B47),AG46)</f>
        <v/>
      </c>
      <c r="AH47" s="18">
        <f>IF(COUNTIFS('HD Dump'!$U$2:$U$538,G$7,'HD Dump'!$R$2:$R$538,"&gt;="&amp;$B47-90,'HD Dump'!$R$2:$R$538,"&lt;="&amp;$B47)&gt;0,AVERAGEIFS('HD Dump'!$O$2:$O$538,'HD Dump'!$U$2:$U$538,G$7,'HD Dump'!$R$2:$R$538,"&gt;="&amp;$B47-90,'HD Dump'!$R$2:$R$538,"&lt;="&amp;$B47),AH46)</f>
        <v/>
      </c>
      <c r="AI47" s="18">
        <f>IF(COUNTIFS('HD Dump'!$U$2:$U$538,H$7,'HD Dump'!$R$2:$R$538,"&gt;="&amp;$B47-90,'HD Dump'!$R$2:$R$538,"&lt;="&amp;$B47)&gt;0,AVERAGEIFS('HD Dump'!$O$2:$O$538,'HD Dump'!$U$2:$U$538,H$7,'HD Dump'!$R$2:$R$538,"&gt;="&amp;$B47-90,'HD Dump'!$R$2:$R$538,"&lt;="&amp;$B47),AI46)</f>
        <v/>
      </c>
      <c r="AJ47" s="18">
        <f>IF(COUNTIFS('HD Dump'!$U$2:$U$538,I$7,'HD Dump'!$R$2:$R$538,"&gt;="&amp;$B47-90,'HD Dump'!$R$2:$R$538,"&lt;="&amp;$B47)&gt;0,AVERAGEIFS('HD Dump'!$O$2:$O$538,'HD Dump'!$U$2:$U$538,I$7,'HD Dump'!$R$2:$R$538,"&gt;="&amp;$B47-90,'HD Dump'!$R$2:$R$538,"&lt;="&amp;$B47),AJ46)</f>
        <v/>
      </c>
      <c r="AK47" s="18">
        <f>IF(COUNTIFS('HD Dump'!$U$2:$U$538,J$7,'HD Dump'!$R$2:$R$538,"&gt;="&amp;$B47-90,'HD Dump'!$R$2:$R$538,"&lt;="&amp;$B47)&gt;0,AVERAGEIFS('HD Dump'!$O$2:$O$538,'HD Dump'!$U$2:$U$538,J$7,'HD Dump'!$R$2:$R$538,"&gt;="&amp;$B47-90,'HD Dump'!$R$2:$R$538,"&lt;="&amp;$B47),AK46)</f>
        <v/>
      </c>
      <c r="AL47" s="18">
        <f>IF(COUNTIFS('HD Dump'!$U$2:$U$538,K$7,'HD Dump'!$R$2:$R$538,"&gt;="&amp;$B47-90,'HD Dump'!$R$2:$R$538,"&lt;="&amp;$B47)&gt;0,AVERAGEIFS('HD Dump'!$O$2:$O$538,'HD Dump'!$U$2:$U$538,K$7,'HD Dump'!$R$2:$R$538,"&gt;="&amp;$B47-90,'HD Dump'!$R$2:$R$538,"&lt;="&amp;$B47),AL46)</f>
        <v/>
      </c>
      <c r="AN47">
        <f>IFERROR(SUMPRODUCT((TEXT('RR Dump'!$L$2:$L$361,"yyyy-mm")=TEXT($B47,"yyyy-mm"))*((RRA!$A$109:$A$468=1)*RRA!$E$20+(RRA!$A$109:$A$468=2)*RRA!$E$21+(RRA!$A$109:$A$468=3)*RRA!$E$22+(RRA!$A$109:$A$468=4)*RRA!$E$23))/SUMPRODUCT((TEXT('RR Dump'!$L$2:$L$361,"yyyy-mm")=TEXT($B47,"yyyy-mm"))*1),0)</f>
        <v/>
      </c>
      <c r="AO47">
        <f>IFERROR(SUMPRODUCT((TEXT('RR Dump'!$L$2:$L$361,"yyyy-mm")=TEXT($B47,"yyyy-mm"))*((RRA!$A$109:$A$468=1)*RRA!$E$25+(RRA!$A$109:$A$468=2)*RRA!$E$26+(RRA!$A$109:$A$468=3)*RRA!$E$27+(RRA!$A$109:$A$468=4)*RRA!$E$28))/SUMPRODUCT((TEXT('RR Dump'!$L$2:$L$361,"yyyy-mm")=TEXT($B47,"yyyy-mm"))*1),0)</f>
        <v/>
      </c>
    </row>
    <row r="48">
      <c r="B48" s="9" t="n">
        <v>46630</v>
      </c>
      <c r="C48" s="19" t="inlineStr">
        <is>
          <t>Projected</t>
        </is>
      </c>
      <c r="D48" s="20">
        <f>IFERROR(INDEX(RRA!$E$48:$EX$48,MATCH($B48,RRA!$E$33:$EX$33,0))/360,"")</f>
        <v/>
      </c>
      <c r="E48" s="20" t="n"/>
      <c r="F48" s="20">
        <f>IFERROR((INDEX(RRA!$E$49:$EX$49,MATCH($B48,RRA!$E$33:$EX$33,0))/360*360-(1-$F48)*360*$D48)/($F48*360),"")</f>
        <v/>
      </c>
      <c r="G48" s="21">
        <f>IFERROR('Cash Flow (Annual)'!$K$14,"")</f>
        <v/>
      </c>
      <c r="H48" s="22">
        <f>IFERROR($F48/$D48-1,"")</f>
        <v/>
      </c>
      <c r="I48" s="20">
        <f>SUMPRODUCT((TEXT('RR Dump'!$L$2:$L$361,"yyyy-mm")=TEXT($B48,"yyyy-mm"))*((RRA!$A$109:$A$468=1)*RRA!$E$15+(RRA!$A$109:$A$468=2)*RRA!$E$16+(RRA!$A$109:$A$468=3)*RRA!$E$17+(RRA!$A$109:$A$468=4)*RRA!$E$18))+SUMPRODUCT((TEXT(EDATE(N('RR Dump'!$L$2:$L$361),RRA!$D$4),"yyyy-mm")=TEXT($B48,"yyyy-mm"))*((RRA!$A$109:$A$468=1)*RRA!$E$15+(RRA!$A$109:$A$468=2)*RRA!$E$16+(RRA!$A$109:$A$468=3)*RRA!$E$17+(RRA!$A$109:$A$468=4)*RRA!$E$18))</f>
        <v/>
      </c>
      <c r="J48" s="23">
        <f>IFERROR($L48-$J48,"")</f>
        <v/>
      </c>
      <c r="K48" s="20">
        <f>IFERROR($K48,"")</f>
        <v/>
      </c>
      <c r="L48" s="23">
        <f>SUMPRODUCT((TEXT('RR Dump'!$L$2:$L$361,"yyyy-mm")=TEXT($B48,"yyyy-mm"))*1)+SUMPRODUCT((TEXT(EDATE(N('RR Dump'!$L$2:$L$361),RRA!$D$4),"yyyy-mm")=TEXT($B48,"yyyy-mm"))*1)</f>
        <v/>
      </c>
      <c r="M48" s="20">
        <f>IFERROR(SUMPRODUCT((TEXT('RR Dump'!$L$2:$L$361,"yyyy-mm")=TEXT($B48,"yyyy-mm"))*N('RR Dump'!$I$2:$I$361))/SUMPRODUCT((TEXT('RR Dump'!$L$2:$L$361,"yyyy-mm")=TEXT($B48,"yyyy-mm"))*1),"")</f>
        <v/>
      </c>
      <c r="N48" s="20">
        <f>IFERROR(MAX($M48+AN48*($D48-$M48),$M48*(1+AO48)),"")</f>
        <v/>
      </c>
      <c r="O48" s="22">
        <f>IFERROR($N48/$M48-1,"")</f>
        <v/>
      </c>
      <c r="P48" s="20">
        <f>IFERROR($D48,"")</f>
        <v/>
      </c>
      <c r="T48" s="18">
        <f>IF(COUNTIFS('HD Dump'!$U$2:$U$538,C$7,'HD Dump'!$R$2:$R$538,"&gt;="&amp;$B48-90,'HD Dump'!$R$2:$R$538,"&lt;="&amp;$B48)&gt;0,AVERAGEIFS('HD Dump'!$M$2:$M$538,'HD Dump'!$U$2:$U$538,C$7,'HD Dump'!$R$2:$R$538,"&gt;="&amp;$B48-90,'HD Dump'!$R$2:$R$538,"&lt;="&amp;$B48),T47)</f>
        <v/>
      </c>
      <c r="U48" s="18">
        <f>IF(COUNTIFS('HD Dump'!$U$2:$U$538,D$7,'HD Dump'!$R$2:$R$538,"&gt;="&amp;$B48-90,'HD Dump'!$R$2:$R$538,"&lt;="&amp;$B48)&gt;0,AVERAGEIFS('HD Dump'!$M$2:$M$538,'HD Dump'!$U$2:$U$538,D$7,'HD Dump'!$R$2:$R$538,"&gt;="&amp;$B48-90,'HD Dump'!$R$2:$R$538,"&lt;="&amp;$B48),U47)</f>
        <v/>
      </c>
      <c r="V48" s="18">
        <f>IF(COUNTIFS('HD Dump'!$U$2:$U$538,E$7,'HD Dump'!$R$2:$R$538,"&gt;="&amp;$B48-90,'HD Dump'!$R$2:$R$538,"&lt;="&amp;$B48)&gt;0,AVERAGEIFS('HD Dump'!$M$2:$M$538,'HD Dump'!$U$2:$U$538,E$7,'HD Dump'!$R$2:$R$538,"&gt;="&amp;$B48-90,'HD Dump'!$R$2:$R$538,"&lt;="&amp;$B48),V47)</f>
        <v/>
      </c>
      <c r="W48" s="18">
        <f>IF(COUNTIFS('HD Dump'!$U$2:$U$538,F$7,'HD Dump'!$R$2:$R$538,"&gt;="&amp;$B48-90,'HD Dump'!$R$2:$R$538,"&lt;="&amp;$B48)&gt;0,AVERAGEIFS('HD Dump'!$M$2:$M$538,'HD Dump'!$U$2:$U$538,F$7,'HD Dump'!$R$2:$R$538,"&gt;="&amp;$B48-90,'HD Dump'!$R$2:$R$538,"&lt;="&amp;$B48),W47)</f>
        <v/>
      </c>
      <c r="X48" s="18">
        <f>IF(COUNTIFS('HD Dump'!$U$2:$U$538,G$7,'HD Dump'!$R$2:$R$538,"&gt;="&amp;$B48-90,'HD Dump'!$R$2:$R$538,"&lt;="&amp;$B48)&gt;0,AVERAGEIFS('HD Dump'!$M$2:$M$538,'HD Dump'!$U$2:$U$538,G$7,'HD Dump'!$R$2:$R$538,"&gt;="&amp;$B48-90,'HD Dump'!$R$2:$R$538,"&lt;="&amp;$B48),X47)</f>
        <v/>
      </c>
      <c r="Y48" s="18">
        <f>IF(COUNTIFS('HD Dump'!$U$2:$U$538,H$7,'HD Dump'!$R$2:$R$538,"&gt;="&amp;$B48-90,'HD Dump'!$R$2:$R$538,"&lt;="&amp;$B48)&gt;0,AVERAGEIFS('HD Dump'!$M$2:$M$538,'HD Dump'!$U$2:$U$538,H$7,'HD Dump'!$R$2:$R$538,"&gt;="&amp;$B48-90,'HD Dump'!$R$2:$R$538,"&lt;="&amp;$B48),Y47)</f>
        <v/>
      </c>
      <c r="Z48" s="18">
        <f>IF(COUNTIFS('HD Dump'!$U$2:$U$538,I$7,'HD Dump'!$R$2:$R$538,"&gt;="&amp;$B48-90,'HD Dump'!$R$2:$R$538,"&lt;="&amp;$B48)&gt;0,AVERAGEIFS('HD Dump'!$M$2:$M$538,'HD Dump'!$U$2:$U$538,I$7,'HD Dump'!$R$2:$R$538,"&gt;="&amp;$B48-90,'HD Dump'!$R$2:$R$538,"&lt;="&amp;$B48),Z47)</f>
        <v/>
      </c>
      <c r="AA48" s="18">
        <f>IF(COUNTIFS('HD Dump'!$U$2:$U$538,J$7,'HD Dump'!$R$2:$R$538,"&gt;="&amp;$B48-90,'HD Dump'!$R$2:$R$538,"&lt;="&amp;$B48)&gt;0,AVERAGEIFS('HD Dump'!$M$2:$M$538,'HD Dump'!$U$2:$U$538,J$7,'HD Dump'!$R$2:$R$538,"&gt;="&amp;$B48-90,'HD Dump'!$R$2:$R$538,"&lt;="&amp;$B48),AA47)</f>
        <v/>
      </c>
      <c r="AB48" s="18">
        <f>IF(COUNTIFS('HD Dump'!$U$2:$U$538,K$7,'HD Dump'!$R$2:$R$538,"&gt;="&amp;$B48-90,'HD Dump'!$R$2:$R$538,"&lt;="&amp;$B48)&gt;0,AVERAGEIFS('HD Dump'!$M$2:$M$538,'HD Dump'!$U$2:$U$538,K$7,'HD Dump'!$R$2:$R$538,"&gt;="&amp;$B48-90,'HD Dump'!$R$2:$R$538,"&lt;="&amp;$B48),AB47)</f>
        <v/>
      </c>
      <c r="AD48" s="18">
        <f>IF(COUNTIFS('HD Dump'!$U$2:$U$538,C$7,'HD Dump'!$R$2:$R$538,"&gt;="&amp;$B48-90,'HD Dump'!$R$2:$R$538,"&lt;="&amp;$B48)&gt;0,AVERAGEIFS('HD Dump'!$O$2:$O$538,'HD Dump'!$U$2:$U$538,C$7,'HD Dump'!$R$2:$R$538,"&gt;="&amp;$B48-90,'HD Dump'!$R$2:$R$538,"&lt;="&amp;$B48),AD47)</f>
        <v/>
      </c>
      <c r="AE48" s="18">
        <f>IF(COUNTIFS('HD Dump'!$U$2:$U$538,D$7,'HD Dump'!$R$2:$R$538,"&gt;="&amp;$B48-90,'HD Dump'!$R$2:$R$538,"&lt;="&amp;$B48)&gt;0,AVERAGEIFS('HD Dump'!$O$2:$O$538,'HD Dump'!$U$2:$U$538,D$7,'HD Dump'!$R$2:$R$538,"&gt;="&amp;$B48-90,'HD Dump'!$R$2:$R$538,"&lt;="&amp;$B48),AE47)</f>
        <v/>
      </c>
      <c r="AF48" s="18">
        <f>IF(COUNTIFS('HD Dump'!$U$2:$U$538,E$7,'HD Dump'!$R$2:$R$538,"&gt;="&amp;$B48-90,'HD Dump'!$R$2:$R$538,"&lt;="&amp;$B48)&gt;0,AVERAGEIFS('HD Dump'!$O$2:$O$538,'HD Dump'!$U$2:$U$538,E$7,'HD Dump'!$R$2:$R$538,"&gt;="&amp;$B48-90,'HD Dump'!$R$2:$R$538,"&lt;="&amp;$B48),AF47)</f>
        <v/>
      </c>
      <c r="AG48" s="18">
        <f>IF(COUNTIFS('HD Dump'!$U$2:$U$538,F$7,'HD Dump'!$R$2:$R$538,"&gt;="&amp;$B48-90,'HD Dump'!$R$2:$R$538,"&lt;="&amp;$B48)&gt;0,AVERAGEIFS('HD Dump'!$O$2:$O$538,'HD Dump'!$U$2:$U$538,F$7,'HD Dump'!$R$2:$R$538,"&gt;="&amp;$B48-90,'HD Dump'!$R$2:$R$538,"&lt;="&amp;$B48),AG47)</f>
        <v/>
      </c>
      <c r="AH48" s="18">
        <f>IF(COUNTIFS('HD Dump'!$U$2:$U$538,G$7,'HD Dump'!$R$2:$R$538,"&gt;="&amp;$B48-90,'HD Dump'!$R$2:$R$538,"&lt;="&amp;$B48)&gt;0,AVERAGEIFS('HD Dump'!$O$2:$O$538,'HD Dump'!$U$2:$U$538,G$7,'HD Dump'!$R$2:$R$538,"&gt;="&amp;$B48-90,'HD Dump'!$R$2:$R$538,"&lt;="&amp;$B48),AH47)</f>
        <v/>
      </c>
      <c r="AI48" s="18">
        <f>IF(COUNTIFS('HD Dump'!$U$2:$U$538,H$7,'HD Dump'!$R$2:$R$538,"&gt;="&amp;$B48-90,'HD Dump'!$R$2:$R$538,"&lt;="&amp;$B48)&gt;0,AVERAGEIFS('HD Dump'!$O$2:$O$538,'HD Dump'!$U$2:$U$538,H$7,'HD Dump'!$R$2:$R$538,"&gt;="&amp;$B48-90,'HD Dump'!$R$2:$R$538,"&lt;="&amp;$B48),AI47)</f>
        <v/>
      </c>
      <c r="AJ48" s="18">
        <f>IF(COUNTIFS('HD Dump'!$U$2:$U$538,I$7,'HD Dump'!$R$2:$R$538,"&gt;="&amp;$B48-90,'HD Dump'!$R$2:$R$538,"&lt;="&amp;$B48)&gt;0,AVERAGEIFS('HD Dump'!$O$2:$O$538,'HD Dump'!$U$2:$U$538,I$7,'HD Dump'!$R$2:$R$538,"&gt;="&amp;$B48-90,'HD Dump'!$R$2:$R$538,"&lt;="&amp;$B48),AJ47)</f>
        <v/>
      </c>
      <c r="AK48" s="18">
        <f>IF(COUNTIFS('HD Dump'!$U$2:$U$538,J$7,'HD Dump'!$R$2:$R$538,"&gt;="&amp;$B48-90,'HD Dump'!$R$2:$R$538,"&lt;="&amp;$B48)&gt;0,AVERAGEIFS('HD Dump'!$O$2:$O$538,'HD Dump'!$U$2:$U$538,J$7,'HD Dump'!$R$2:$R$538,"&gt;="&amp;$B48-90,'HD Dump'!$R$2:$R$538,"&lt;="&amp;$B48),AK47)</f>
        <v/>
      </c>
      <c r="AL48" s="18">
        <f>IF(COUNTIFS('HD Dump'!$U$2:$U$538,K$7,'HD Dump'!$R$2:$R$538,"&gt;="&amp;$B48-90,'HD Dump'!$R$2:$R$538,"&lt;="&amp;$B48)&gt;0,AVERAGEIFS('HD Dump'!$O$2:$O$538,'HD Dump'!$U$2:$U$538,K$7,'HD Dump'!$R$2:$R$538,"&gt;="&amp;$B48-90,'HD Dump'!$R$2:$R$538,"&lt;="&amp;$B48),AL47)</f>
        <v/>
      </c>
      <c r="AN48">
        <f>IFERROR(SUMPRODUCT((TEXT('RR Dump'!$L$2:$L$361,"yyyy-mm")=TEXT($B48,"yyyy-mm"))*((RRA!$A$109:$A$468=1)*RRA!$E$20+(RRA!$A$109:$A$468=2)*RRA!$E$21+(RRA!$A$109:$A$468=3)*RRA!$E$22+(RRA!$A$109:$A$468=4)*RRA!$E$23))/SUMPRODUCT((TEXT('RR Dump'!$L$2:$L$361,"yyyy-mm")=TEXT($B48,"yyyy-mm"))*1),0)</f>
        <v/>
      </c>
      <c r="AO48">
        <f>IFERROR(SUMPRODUCT((TEXT('RR Dump'!$L$2:$L$361,"yyyy-mm")=TEXT($B48,"yyyy-mm"))*((RRA!$A$109:$A$468=1)*RRA!$E$25+(RRA!$A$109:$A$468=2)*RRA!$E$26+(RRA!$A$109:$A$468=3)*RRA!$E$27+(RRA!$A$109:$A$468=4)*RRA!$E$28))/SUMPRODUCT((TEXT('RR Dump'!$L$2:$L$361,"yyyy-mm")=TEXT($B48,"yyyy-mm"))*1),0)</f>
        <v/>
      </c>
    </row>
    <row r="49">
      <c r="B49" s="9" t="n">
        <v>46660</v>
      </c>
      <c r="C49" s="19" t="inlineStr">
        <is>
          <t>Projected</t>
        </is>
      </c>
      <c r="D49" s="20">
        <f>IFERROR(INDEX(RRA!$E$48:$EX$48,MATCH($B49,RRA!$E$33:$EX$33,0))/360,"")</f>
        <v/>
      </c>
      <c r="E49" s="20" t="n"/>
      <c r="F49" s="20">
        <f>IFERROR((INDEX(RRA!$E$49:$EX$49,MATCH($B49,RRA!$E$33:$EX$33,0))/360*360-(1-$F49)*360*$D49)/($F49*360),"")</f>
        <v/>
      </c>
      <c r="G49" s="21">
        <f>IFERROR('Cash Flow (Annual)'!$K$14,"")</f>
        <v/>
      </c>
      <c r="H49" s="22">
        <f>IFERROR($F49/$D49-1,"")</f>
        <v/>
      </c>
      <c r="I49" s="20">
        <f>SUMPRODUCT((TEXT('RR Dump'!$L$2:$L$361,"yyyy-mm")=TEXT($B49,"yyyy-mm"))*((RRA!$A$109:$A$468=1)*RRA!$E$15+(RRA!$A$109:$A$468=2)*RRA!$E$16+(RRA!$A$109:$A$468=3)*RRA!$E$17+(RRA!$A$109:$A$468=4)*RRA!$E$18))+SUMPRODUCT((TEXT(EDATE(N('RR Dump'!$L$2:$L$361),RRA!$D$4),"yyyy-mm")=TEXT($B49,"yyyy-mm"))*((RRA!$A$109:$A$468=1)*RRA!$E$15+(RRA!$A$109:$A$468=2)*RRA!$E$16+(RRA!$A$109:$A$468=3)*RRA!$E$17+(RRA!$A$109:$A$468=4)*RRA!$E$18))</f>
        <v/>
      </c>
      <c r="J49" s="23">
        <f>IFERROR($L49-$J49,"")</f>
        <v/>
      </c>
      <c r="K49" s="20">
        <f>IFERROR($K49,"")</f>
        <v/>
      </c>
      <c r="L49" s="23">
        <f>SUMPRODUCT((TEXT('RR Dump'!$L$2:$L$361,"yyyy-mm")=TEXT($B49,"yyyy-mm"))*1)+SUMPRODUCT((TEXT(EDATE(N('RR Dump'!$L$2:$L$361),RRA!$D$4),"yyyy-mm")=TEXT($B49,"yyyy-mm"))*1)</f>
        <v/>
      </c>
      <c r="M49" s="20">
        <f>IFERROR(SUMPRODUCT((TEXT('RR Dump'!$L$2:$L$361,"yyyy-mm")=TEXT($B49,"yyyy-mm"))*N('RR Dump'!$I$2:$I$361))/SUMPRODUCT((TEXT('RR Dump'!$L$2:$L$361,"yyyy-mm")=TEXT($B49,"yyyy-mm"))*1),"")</f>
        <v/>
      </c>
      <c r="N49" s="20">
        <f>IFERROR(MAX($M49+AN49*($D49-$M49),$M49*(1+AO49)),"")</f>
        <v/>
      </c>
      <c r="O49" s="22">
        <f>IFERROR($N49/$M49-1,"")</f>
        <v/>
      </c>
      <c r="P49" s="20">
        <f>IFERROR($D49,"")</f>
        <v/>
      </c>
      <c r="T49" s="18">
        <f>IF(COUNTIFS('HD Dump'!$U$2:$U$538,C$7,'HD Dump'!$R$2:$R$538,"&gt;="&amp;$B49-90,'HD Dump'!$R$2:$R$538,"&lt;="&amp;$B49)&gt;0,AVERAGEIFS('HD Dump'!$M$2:$M$538,'HD Dump'!$U$2:$U$538,C$7,'HD Dump'!$R$2:$R$538,"&gt;="&amp;$B49-90,'HD Dump'!$R$2:$R$538,"&lt;="&amp;$B49),T48)</f>
        <v/>
      </c>
      <c r="U49" s="18">
        <f>IF(COUNTIFS('HD Dump'!$U$2:$U$538,D$7,'HD Dump'!$R$2:$R$538,"&gt;="&amp;$B49-90,'HD Dump'!$R$2:$R$538,"&lt;="&amp;$B49)&gt;0,AVERAGEIFS('HD Dump'!$M$2:$M$538,'HD Dump'!$U$2:$U$538,D$7,'HD Dump'!$R$2:$R$538,"&gt;="&amp;$B49-90,'HD Dump'!$R$2:$R$538,"&lt;="&amp;$B49),U48)</f>
        <v/>
      </c>
      <c r="V49" s="18">
        <f>IF(COUNTIFS('HD Dump'!$U$2:$U$538,E$7,'HD Dump'!$R$2:$R$538,"&gt;="&amp;$B49-90,'HD Dump'!$R$2:$R$538,"&lt;="&amp;$B49)&gt;0,AVERAGEIFS('HD Dump'!$M$2:$M$538,'HD Dump'!$U$2:$U$538,E$7,'HD Dump'!$R$2:$R$538,"&gt;="&amp;$B49-90,'HD Dump'!$R$2:$R$538,"&lt;="&amp;$B49),V48)</f>
        <v/>
      </c>
      <c r="W49" s="18">
        <f>IF(COUNTIFS('HD Dump'!$U$2:$U$538,F$7,'HD Dump'!$R$2:$R$538,"&gt;="&amp;$B49-90,'HD Dump'!$R$2:$R$538,"&lt;="&amp;$B49)&gt;0,AVERAGEIFS('HD Dump'!$M$2:$M$538,'HD Dump'!$U$2:$U$538,F$7,'HD Dump'!$R$2:$R$538,"&gt;="&amp;$B49-90,'HD Dump'!$R$2:$R$538,"&lt;="&amp;$B49),W48)</f>
        <v/>
      </c>
      <c r="X49" s="18">
        <f>IF(COUNTIFS('HD Dump'!$U$2:$U$538,G$7,'HD Dump'!$R$2:$R$538,"&gt;="&amp;$B49-90,'HD Dump'!$R$2:$R$538,"&lt;="&amp;$B49)&gt;0,AVERAGEIFS('HD Dump'!$M$2:$M$538,'HD Dump'!$U$2:$U$538,G$7,'HD Dump'!$R$2:$R$538,"&gt;="&amp;$B49-90,'HD Dump'!$R$2:$R$538,"&lt;="&amp;$B49),X48)</f>
        <v/>
      </c>
      <c r="Y49" s="18">
        <f>IF(COUNTIFS('HD Dump'!$U$2:$U$538,H$7,'HD Dump'!$R$2:$R$538,"&gt;="&amp;$B49-90,'HD Dump'!$R$2:$R$538,"&lt;="&amp;$B49)&gt;0,AVERAGEIFS('HD Dump'!$M$2:$M$538,'HD Dump'!$U$2:$U$538,H$7,'HD Dump'!$R$2:$R$538,"&gt;="&amp;$B49-90,'HD Dump'!$R$2:$R$538,"&lt;="&amp;$B49),Y48)</f>
        <v/>
      </c>
      <c r="Z49" s="18">
        <f>IF(COUNTIFS('HD Dump'!$U$2:$U$538,I$7,'HD Dump'!$R$2:$R$538,"&gt;="&amp;$B49-90,'HD Dump'!$R$2:$R$538,"&lt;="&amp;$B49)&gt;0,AVERAGEIFS('HD Dump'!$M$2:$M$538,'HD Dump'!$U$2:$U$538,I$7,'HD Dump'!$R$2:$R$538,"&gt;="&amp;$B49-90,'HD Dump'!$R$2:$R$538,"&lt;="&amp;$B49),Z48)</f>
        <v/>
      </c>
      <c r="AA49" s="18">
        <f>IF(COUNTIFS('HD Dump'!$U$2:$U$538,J$7,'HD Dump'!$R$2:$R$538,"&gt;="&amp;$B49-90,'HD Dump'!$R$2:$R$538,"&lt;="&amp;$B49)&gt;0,AVERAGEIFS('HD Dump'!$M$2:$M$538,'HD Dump'!$U$2:$U$538,J$7,'HD Dump'!$R$2:$R$538,"&gt;="&amp;$B49-90,'HD Dump'!$R$2:$R$538,"&lt;="&amp;$B49),AA48)</f>
        <v/>
      </c>
      <c r="AB49" s="18">
        <f>IF(COUNTIFS('HD Dump'!$U$2:$U$538,K$7,'HD Dump'!$R$2:$R$538,"&gt;="&amp;$B49-90,'HD Dump'!$R$2:$R$538,"&lt;="&amp;$B49)&gt;0,AVERAGEIFS('HD Dump'!$M$2:$M$538,'HD Dump'!$U$2:$U$538,K$7,'HD Dump'!$R$2:$R$538,"&gt;="&amp;$B49-90,'HD Dump'!$R$2:$R$538,"&lt;="&amp;$B49),AB48)</f>
        <v/>
      </c>
      <c r="AD49" s="18">
        <f>IF(COUNTIFS('HD Dump'!$U$2:$U$538,C$7,'HD Dump'!$R$2:$R$538,"&gt;="&amp;$B49-90,'HD Dump'!$R$2:$R$538,"&lt;="&amp;$B49)&gt;0,AVERAGEIFS('HD Dump'!$O$2:$O$538,'HD Dump'!$U$2:$U$538,C$7,'HD Dump'!$R$2:$R$538,"&gt;="&amp;$B49-90,'HD Dump'!$R$2:$R$538,"&lt;="&amp;$B49),AD48)</f>
        <v/>
      </c>
      <c r="AE49" s="18">
        <f>IF(COUNTIFS('HD Dump'!$U$2:$U$538,D$7,'HD Dump'!$R$2:$R$538,"&gt;="&amp;$B49-90,'HD Dump'!$R$2:$R$538,"&lt;="&amp;$B49)&gt;0,AVERAGEIFS('HD Dump'!$O$2:$O$538,'HD Dump'!$U$2:$U$538,D$7,'HD Dump'!$R$2:$R$538,"&gt;="&amp;$B49-90,'HD Dump'!$R$2:$R$538,"&lt;="&amp;$B49),AE48)</f>
        <v/>
      </c>
      <c r="AF49" s="18">
        <f>IF(COUNTIFS('HD Dump'!$U$2:$U$538,E$7,'HD Dump'!$R$2:$R$538,"&gt;="&amp;$B49-90,'HD Dump'!$R$2:$R$538,"&lt;="&amp;$B49)&gt;0,AVERAGEIFS('HD Dump'!$O$2:$O$538,'HD Dump'!$U$2:$U$538,E$7,'HD Dump'!$R$2:$R$538,"&gt;="&amp;$B49-90,'HD Dump'!$R$2:$R$538,"&lt;="&amp;$B49),AF48)</f>
        <v/>
      </c>
      <c r="AG49" s="18">
        <f>IF(COUNTIFS('HD Dump'!$U$2:$U$538,F$7,'HD Dump'!$R$2:$R$538,"&gt;="&amp;$B49-90,'HD Dump'!$R$2:$R$538,"&lt;="&amp;$B49)&gt;0,AVERAGEIFS('HD Dump'!$O$2:$O$538,'HD Dump'!$U$2:$U$538,F$7,'HD Dump'!$R$2:$R$538,"&gt;="&amp;$B49-90,'HD Dump'!$R$2:$R$538,"&lt;="&amp;$B49),AG48)</f>
        <v/>
      </c>
      <c r="AH49" s="18">
        <f>IF(COUNTIFS('HD Dump'!$U$2:$U$538,G$7,'HD Dump'!$R$2:$R$538,"&gt;="&amp;$B49-90,'HD Dump'!$R$2:$R$538,"&lt;="&amp;$B49)&gt;0,AVERAGEIFS('HD Dump'!$O$2:$O$538,'HD Dump'!$U$2:$U$538,G$7,'HD Dump'!$R$2:$R$538,"&gt;="&amp;$B49-90,'HD Dump'!$R$2:$R$538,"&lt;="&amp;$B49),AH48)</f>
        <v/>
      </c>
      <c r="AI49" s="18">
        <f>IF(COUNTIFS('HD Dump'!$U$2:$U$538,H$7,'HD Dump'!$R$2:$R$538,"&gt;="&amp;$B49-90,'HD Dump'!$R$2:$R$538,"&lt;="&amp;$B49)&gt;0,AVERAGEIFS('HD Dump'!$O$2:$O$538,'HD Dump'!$U$2:$U$538,H$7,'HD Dump'!$R$2:$R$538,"&gt;="&amp;$B49-90,'HD Dump'!$R$2:$R$538,"&lt;="&amp;$B49),AI48)</f>
        <v/>
      </c>
      <c r="AJ49" s="18">
        <f>IF(COUNTIFS('HD Dump'!$U$2:$U$538,I$7,'HD Dump'!$R$2:$R$538,"&gt;="&amp;$B49-90,'HD Dump'!$R$2:$R$538,"&lt;="&amp;$B49)&gt;0,AVERAGEIFS('HD Dump'!$O$2:$O$538,'HD Dump'!$U$2:$U$538,I$7,'HD Dump'!$R$2:$R$538,"&gt;="&amp;$B49-90,'HD Dump'!$R$2:$R$538,"&lt;="&amp;$B49),AJ48)</f>
        <v/>
      </c>
      <c r="AK49" s="18">
        <f>IF(COUNTIFS('HD Dump'!$U$2:$U$538,J$7,'HD Dump'!$R$2:$R$538,"&gt;="&amp;$B49-90,'HD Dump'!$R$2:$R$538,"&lt;="&amp;$B49)&gt;0,AVERAGEIFS('HD Dump'!$O$2:$O$538,'HD Dump'!$U$2:$U$538,J$7,'HD Dump'!$R$2:$R$538,"&gt;="&amp;$B49-90,'HD Dump'!$R$2:$R$538,"&lt;="&amp;$B49),AK48)</f>
        <v/>
      </c>
      <c r="AL49" s="18">
        <f>IF(COUNTIFS('HD Dump'!$U$2:$U$538,K$7,'HD Dump'!$R$2:$R$538,"&gt;="&amp;$B49-90,'HD Dump'!$R$2:$R$538,"&lt;="&amp;$B49)&gt;0,AVERAGEIFS('HD Dump'!$O$2:$O$538,'HD Dump'!$U$2:$U$538,K$7,'HD Dump'!$R$2:$R$538,"&gt;="&amp;$B49-90,'HD Dump'!$R$2:$R$538,"&lt;="&amp;$B49),AL48)</f>
        <v/>
      </c>
      <c r="AN49">
        <f>IFERROR(SUMPRODUCT((TEXT('RR Dump'!$L$2:$L$361,"yyyy-mm")=TEXT($B49,"yyyy-mm"))*((RRA!$A$109:$A$468=1)*RRA!$E$20+(RRA!$A$109:$A$468=2)*RRA!$E$21+(RRA!$A$109:$A$468=3)*RRA!$E$22+(RRA!$A$109:$A$468=4)*RRA!$E$23))/SUMPRODUCT((TEXT('RR Dump'!$L$2:$L$361,"yyyy-mm")=TEXT($B49,"yyyy-mm"))*1),0)</f>
        <v/>
      </c>
      <c r="AO49">
        <f>IFERROR(SUMPRODUCT((TEXT('RR Dump'!$L$2:$L$361,"yyyy-mm")=TEXT($B49,"yyyy-mm"))*((RRA!$A$109:$A$468=1)*RRA!$E$25+(RRA!$A$109:$A$468=2)*RRA!$E$26+(RRA!$A$109:$A$468=3)*RRA!$E$27+(RRA!$A$109:$A$468=4)*RRA!$E$28))/SUMPRODUCT((TEXT('RR Dump'!$L$2:$L$361,"yyyy-mm")=TEXT($B49,"yyyy-mm"))*1),0)</f>
        <v/>
      </c>
    </row>
    <row r="50">
      <c r="B50" s="9" t="n">
        <v>46691</v>
      </c>
      <c r="C50" s="19" t="inlineStr">
        <is>
          <t>Projected</t>
        </is>
      </c>
      <c r="D50" s="20">
        <f>IFERROR(INDEX(RRA!$E$48:$EX$48,MATCH($B50,RRA!$E$33:$EX$33,0))/360,"")</f>
        <v/>
      </c>
      <c r="E50" s="20" t="n"/>
      <c r="F50" s="20">
        <f>IFERROR((INDEX(RRA!$E$49:$EX$49,MATCH($B50,RRA!$E$33:$EX$33,0))/360*360-(1-$F50)*360*$D50)/($F50*360),"")</f>
        <v/>
      </c>
      <c r="G50" s="21">
        <f>IFERROR('Cash Flow (Annual)'!$K$14,"")</f>
        <v/>
      </c>
      <c r="H50" s="22">
        <f>IFERROR($F50/$D50-1,"")</f>
        <v/>
      </c>
      <c r="I50" s="20">
        <f>SUMPRODUCT((TEXT('RR Dump'!$L$2:$L$361,"yyyy-mm")=TEXT($B50,"yyyy-mm"))*((RRA!$A$109:$A$468=1)*RRA!$E$15+(RRA!$A$109:$A$468=2)*RRA!$E$16+(RRA!$A$109:$A$468=3)*RRA!$E$17+(RRA!$A$109:$A$468=4)*RRA!$E$18))+SUMPRODUCT((TEXT(EDATE(N('RR Dump'!$L$2:$L$361),RRA!$D$4),"yyyy-mm")=TEXT($B50,"yyyy-mm"))*((RRA!$A$109:$A$468=1)*RRA!$E$15+(RRA!$A$109:$A$468=2)*RRA!$E$16+(RRA!$A$109:$A$468=3)*RRA!$E$17+(RRA!$A$109:$A$468=4)*RRA!$E$18))</f>
        <v/>
      </c>
      <c r="J50" s="23">
        <f>IFERROR($L50-$J50,"")</f>
        <v/>
      </c>
      <c r="K50" s="20">
        <f>IFERROR($K50,"")</f>
        <v/>
      </c>
      <c r="L50" s="23">
        <f>SUMPRODUCT((TEXT('RR Dump'!$L$2:$L$361,"yyyy-mm")=TEXT($B50,"yyyy-mm"))*1)+SUMPRODUCT((TEXT(EDATE(N('RR Dump'!$L$2:$L$361),RRA!$D$4),"yyyy-mm")=TEXT($B50,"yyyy-mm"))*1)</f>
        <v/>
      </c>
      <c r="M50" s="20">
        <f>IFERROR(SUMPRODUCT((TEXT('RR Dump'!$L$2:$L$361,"yyyy-mm")=TEXT($B50,"yyyy-mm"))*N('RR Dump'!$I$2:$I$361))/SUMPRODUCT((TEXT('RR Dump'!$L$2:$L$361,"yyyy-mm")=TEXT($B50,"yyyy-mm"))*1),"")</f>
        <v/>
      </c>
      <c r="N50" s="20">
        <f>IFERROR(MAX($M50+AN50*($D50-$M50),$M50*(1+AO50)),"")</f>
        <v/>
      </c>
      <c r="O50" s="22">
        <f>IFERROR($N50/$M50-1,"")</f>
        <v/>
      </c>
      <c r="P50" s="20">
        <f>IFERROR($D50,"")</f>
        <v/>
      </c>
      <c r="T50" s="18">
        <f>IF(COUNTIFS('HD Dump'!$U$2:$U$538,C$7,'HD Dump'!$R$2:$R$538,"&gt;="&amp;$B50-90,'HD Dump'!$R$2:$R$538,"&lt;="&amp;$B50)&gt;0,AVERAGEIFS('HD Dump'!$M$2:$M$538,'HD Dump'!$U$2:$U$538,C$7,'HD Dump'!$R$2:$R$538,"&gt;="&amp;$B50-90,'HD Dump'!$R$2:$R$538,"&lt;="&amp;$B50),T49)</f>
        <v/>
      </c>
      <c r="U50" s="18">
        <f>IF(COUNTIFS('HD Dump'!$U$2:$U$538,D$7,'HD Dump'!$R$2:$R$538,"&gt;="&amp;$B50-90,'HD Dump'!$R$2:$R$538,"&lt;="&amp;$B50)&gt;0,AVERAGEIFS('HD Dump'!$M$2:$M$538,'HD Dump'!$U$2:$U$538,D$7,'HD Dump'!$R$2:$R$538,"&gt;="&amp;$B50-90,'HD Dump'!$R$2:$R$538,"&lt;="&amp;$B50),U49)</f>
        <v/>
      </c>
      <c r="V50" s="18">
        <f>IF(COUNTIFS('HD Dump'!$U$2:$U$538,E$7,'HD Dump'!$R$2:$R$538,"&gt;="&amp;$B50-90,'HD Dump'!$R$2:$R$538,"&lt;="&amp;$B50)&gt;0,AVERAGEIFS('HD Dump'!$M$2:$M$538,'HD Dump'!$U$2:$U$538,E$7,'HD Dump'!$R$2:$R$538,"&gt;="&amp;$B50-90,'HD Dump'!$R$2:$R$538,"&lt;="&amp;$B50),V49)</f>
        <v/>
      </c>
      <c r="W50" s="18">
        <f>IF(COUNTIFS('HD Dump'!$U$2:$U$538,F$7,'HD Dump'!$R$2:$R$538,"&gt;="&amp;$B50-90,'HD Dump'!$R$2:$R$538,"&lt;="&amp;$B50)&gt;0,AVERAGEIFS('HD Dump'!$M$2:$M$538,'HD Dump'!$U$2:$U$538,F$7,'HD Dump'!$R$2:$R$538,"&gt;="&amp;$B50-90,'HD Dump'!$R$2:$R$538,"&lt;="&amp;$B50),W49)</f>
        <v/>
      </c>
      <c r="X50" s="18">
        <f>IF(COUNTIFS('HD Dump'!$U$2:$U$538,G$7,'HD Dump'!$R$2:$R$538,"&gt;="&amp;$B50-90,'HD Dump'!$R$2:$R$538,"&lt;="&amp;$B50)&gt;0,AVERAGEIFS('HD Dump'!$M$2:$M$538,'HD Dump'!$U$2:$U$538,G$7,'HD Dump'!$R$2:$R$538,"&gt;="&amp;$B50-90,'HD Dump'!$R$2:$R$538,"&lt;="&amp;$B50),X49)</f>
        <v/>
      </c>
      <c r="Y50" s="18">
        <f>IF(COUNTIFS('HD Dump'!$U$2:$U$538,H$7,'HD Dump'!$R$2:$R$538,"&gt;="&amp;$B50-90,'HD Dump'!$R$2:$R$538,"&lt;="&amp;$B50)&gt;0,AVERAGEIFS('HD Dump'!$M$2:$M$538,'HD Dump'!$U$2:$U$538,H$7,'HD Dump'!$R$2:$R$538,"&gt;="&amp;$B50-90,'HD Dump'!$R$2:$R$538,"&lt;="&amp;$B50),Y49)</f>
        <v/>
      </c>
      <c r="Z50" s="18">
        <f>IF(COUNTIFS('HD Dump'!$U$2:$U$538,I$7,'HD Dump'!$R$2:$R$538,"&gt;="&amp;$B50-90,'HD Dump'!$R$2:$R$538,"&lt;="&amp;$B50)&gt;0,AVERAGEIFS('HD Dump'!$M$2:$M$538,'HD Dump'!$U$2:$U$538,I$7,'HD Dump'!$R$2:$R$538,"&gt;="&amp;$B50-90,'HD Dump'!$R$2:$R$538,"&lt;="&amp;$B50),Z49)</f>
        <v/>
      </c>
      <c r="AA50" s="18">
        <f>IF(COUNTIFS('HD Dump'!$U$2:$U$538,J$7,'HD Dump'!$R$2:$R$538,"&gt;="&amp;$B50-90,'HD Dump'!$R$2:$R$538,"&lt;="&amp;$B50)&gt;0,AVERAGEIFS('HD Dump'!$M$2:$M$538,'HD Dump'!$U$2:$U$538,J$7,'HD Dump'!$R$2:$R$538,"&gt;="&amp;$B50-90,'HD Dump'!$R$2:$R$538,"&lt;="&amp;$B50),AA49)</f>
        <v/>
      </c>
      <c r="AB50" s="18">
        <f>IF(COUNTIFS('HD Dump'!$U$2:$U$538,K$7,'HD Dump'!$R$2:$R$538,"&gt;="&amp;$B50-90,'HD Dump'!$R$2:$R$538,"&lt;="&amp;$B50)&gt;0,AVERAGEIFS('HD Dump'!$M$2:$M$538,'HD Dump'!$U$2:$U$538,K$7,'HD Dump'!$R$2:$R$538,"&gt;="&amp;$B50-90,'HD Dump'!$R$2:$R$538,"&lt;="&amp;$B50),AB49)</f>
        <v/>
      </c>
      <c r="AD50" s="18">
        <f>IF(COUNTIFS('HD Dump'!$U$2:$U$538,C$7,'HD Dump'!$R$2:$R$538,"&gt;="&amp;$B50-90,'HD Dump'!$R$2:$R$538,"&lt;="&amp;$B50)&gt;0,AVERAGEIFS('HD Dump'!$O$2:$O$538,'HD Dump'!$U$2:$U$538,C$7,'HD Dump'!$R$2:$R$538,"&gt;="&amp;$B50-90,'HD Dump'!$R$2:$R$538,"&lt;="&amp;$B50),AD49)</f>
        <v/>
      </c>
      <c r="AE50" s="18">
        <f>IF(COUNTIFS('HD Dump'!$U$2:$U$538,D$7,'HD Dump'!$R$2:$R$538,"&gt;="&amp;$B50-90,'HD Dump'!$R$2:$R$538,"&lt;="&amp;$B50)&gt;0,AVERAGEIFS('HD Dump'!$O$2:$O$538,'HD Dump'!$U$2:$U$538,D$7,'HD Dump'!$R$2:$R$538,"&gt;="&amp;$B50-90,'HD Dump'!$R$2:$R$538,"&lt;="&amp;$B50),AE49)</f>
        <v/>
      </c>
      <c r="AF50" s="18">
        <f>IF(COUNTIFS('HD Dump'!$U$2:$U$538,E$7,'HD Dump'!$R$2:$R$538,"&gt;="&amp;$B50-90,'HD Dump'!$R$2:$R$538,"&lt;="&amp;$B50)&gt;0,AVERAGEIFS('HD Dump'!$O$2:$O$538,'HD Dump'!$U$2:$U$538,E$7,'HD Dump'!$R$2:$R$538,"&gt;="&amp;$B50-90,'HD Dump'!$R$2:$R$538,"&lt;="&amp;$B50),AF49)</f>
        <v/>
      </c>
      <c r="AG50" s="18">
        <f>IF(COUNTIFS('HD Dump'!$U$2:$U$538,F$7,'HD Dump'!$R$2:$R$538,"&gt;="&amp;$B50-90,'HD Dump'!$R$2:$R$538,"&lt;="&amp;$B50)&gt;0,AVERAGEIFS('HD Dump'!$O$2:$O$538,'HD Dump'!$U$2:$U$538,F$7,'HD Dump'!$R$2:$R$538,"&gt;="&amp;$B50-90,'HD Dump'!$R$2:$R$538,"&lt;="&amp;$B50),AG49)</f>
        <v/>
      </c>
      <c r="AH50" s="18">
        <f>IF(COUNTIFS('HD Dump'!$U$2:$U$538,G$7,'HD Dump'!$R$2:$R$538,"&gt;="&amp;$B50-90,'HD Dump'!$R$2:$R$538,"&lt;="&amp;$B50)&gt;0,AVERAGEIFS('HD Dump'!$O$2:$O$538,'HD Dump'!$U$2:$U$538,G$7,'HD Dump'!$R$2:$R$538,"&gt;="&amp;$B50-90,'HD Dump'!$R$2:$R$538,"&lt;="&amp;$B50),AH49)</f>
        <v/>
      </c>
      <c r="AI50" s="18">
        <f>IF(COUNTIFS('HD Dump'!$U$2:$U$538,H$7,'HD Dump'!$R$2:$R$538,"&gt;="&amp;$B50-90,'HD Dump'!$R$2:$R$538,"&lt;="&amp;$B50)&gt;0,AVERAGEIFS('HD Dump'!$O$2:$O$538,'HD Dump'!$U$2:$U$538,H$7,'HD Dump'!$R$2:$R$538,"&gt;="&amp;$B50-90,'HD Dump'!$R$2:$R$538,"&lt;="&amp;$B50),AI49)</f>
        <v/>
      </c>
      <c r="AJ50" s="18">
        <f>IF(COUNTIFS('HD Dump'!$U$2:$U$538,I$7,'HD Dump'!$R$2:$R$538,"&gt;="&amp;$B50-90,'HD Dump'!$R$2:$R$538,"&lt;="&amp;$B50)&gt;0,AVERAGEIFS('HD Dump'!$O$2:$O$538,'HD Dump'!$U$2:$U$538,I$7,'HD Dump'!$R$2:$R$538,"&gt;="&amp;$B50-90,'HD Dump'!$R$2:$R$538,"&lt;="&amp;$B50),AJ49)</f>
        <v/>
      </c>
      <c r="AK50" s="18">
        <f>IF(COUNTIFS('HD Dump'!$U$2:$U$538,J$7,'HD Dump'!$R$2:$R$538,"&gt;="&amp;$B50-90,'HD Dump'!$R$2:$R$538,"&lt;="&amp;$B50)&gt;0,AVERAGEIFS('HD Dump'!$O$2:$O$538,'HD Dump'!$U$2:$U$538,J$7,'HD Dump'!$R$2:$R$538,"&gt;="&amp;$B50-90,'HD Dump'!$R$2:$R$538,"&lt;="&amp;$B50),AK49)</f>
        <v/>
      </c>
      <c r="AL50" s="18">
        <f>IF(COUNTIFS('HD Dump'!$U$2:$U$538,K$7,'HD Dump'!$R$2:$R$538,"&gt;="&amp;$B50-90,'HD Dump'!$R$2:$R$538,"&lt;="&amp;$B50)&gt;0,AVERAGEIFS('HD Dump'!$O$2:$O$538,'HD Dump'!$U$2:$U$538,K$7,'HD Dump'!$R$2:$R$538,"&gt;="&amp;$B50-90,'HD Dump'!$R$2:$R$538,"&lt;="&amp;$B50),AL49)</f>
        <v/>
      </c>
      <c r="AN50">
        <f>IFERROR(SUMPRODUCT((TEXT('RR Dump'!$L$2:$L$361,"yyyy-mm")=TEXT($B50,"yyyy-mm"))*((RRA!$A$109:$A$468=1)*RRA!$E$20+(RRA!$A$109:$A$468=2)*RRA!$E$21+(RRA!$A$109:$A$468=3)*RRA!$E$22+(RRA!$A$109:$A$468=4)*RRA!$E$23))/SUMPRODUCT((TEXT('RR Dump'!$L$2:$L$361,"yyyy-mm")=TEXT($B50,"yyyy-mm"))*1),0)</f>
        <v/>
      </c>
      <c r="AO50">
        <f>IFERROR(SUMPRODUCT((TEXT('RR Dump'!$L$2:$L$361,"yyyy-mm")=TEXT($B50,"yyyy-mm"))*((RRA!$A$109:$A$468=1)*RRA!$E$25+(RRA!$A$109:$A$468=2)*RRA!$E$26+(RRA!$A$109:$A$468=3)*RRA!$E$27+(RRA!$A$109:$A$468=4)*RRA!$E$28))/SUMPRODUCT((TEXT('RR Dump'!$L$2:$L$361,"yyyy-mm")=TEXT($B50,"yyyy-mm"))*1),0)</f>
        <v/>
      </c>
    </row>
    <row r="51">
      <c r="B51" s="9" t="n">
        <v>46721</v>
      </c>
      <c r="C51" s="19" t="inlineStr">
        <is>
          <t>Projected</t>
        </is>
      </c>
      <c r="D51" s="20">
        <f>IFERROR(INDEX(RRA!$E$48:$EX$48,MATCH($B51,RRA!$E$33:$EX$33,0))/360,"")</f>
        <v/>
      </c>
      <c r="E51" s="20" t="n"/>
      <c r="F51" s="20">
        <f>IFERROR((INDEX(RRA!$E$49:$EX$49,MATCH($B51,RRA!$E$33:$EX$33,0))/360*360-(1-$F51)*360*$D51)/($F51*360),"")</f>
        <v/>
      </c>
      <c r="G51" s="21">
        <f>IFERROR('Cash Flow (Annual)'!$K$14,"")</f>
        <v/>
      </c>
      <c r="H51" s="22">
        <f>IFERROR($F51/$D51-1,"")</f>
        <v/>
      </c>
      <c r="I51" s="20">
        <f>SUMPRODUCT((TEXT('RR Dump'!$L$2:$L$361,"yyyy-mm")=TEXT($B51,"yyyy-mm"))*((RRA!$A$109:$A$468=1)*RRA!$E$15+(RRA!$A$109:$A$468=2)*RRA!$E$16+(RRA!$A$109:$A$468=3)*RRA!$E$17+(RRA!$A$109:$A$468=4)*RRA!$E$18))+SUMPRODUCT((TEXT(EDATE(N('RR Dump'!$L$2:$L$361),RRA!$D$4),"yyyy-mm")=TEXT($B51,"yyyy-mm"))*((RRA!$A$109:$A$468=1)*RRA!$E$15+(RRA!$A$109:$A$468=2)*RRA!$E$16+(RRA!$A$109:$A$468=3)*RRA!$E$17+(RRA!$A$109:$A$468=4)*RRA!$E$18))</f>
        <v/>
      </c>
      <c r="J51" s="23">
        <f>IFERROR($L51-$J51,"")</f>
        <v/>
      </c>
      <c r="K51" s="20">
        <f>IFERROR($K51,"")</f>
        <v/>
      </c>
      <c r="L51" s="23">
        <f>SUMPRODUCT((TEXT('RR Dump'!$L$2:$L$361,"yyyy-mm")=TEXT($B51,"yyyy-mm"))*1)+SUMPRODUCT((TEXT(EDATE(N('RR Dump'!$L$2:$L$361),RRA!$D$4),"yyyy-mm")=TEXT($B51,"yyyy-mm"))*1)</f>
        <v/>
      </c>
      <c r="M51" s="20">
        <f>IFERROR(SUMPRODUCT((TEXT('RR Dump'!$L$2:$L$361,"yyyy-mm")=TEXT($B51,"yyyy-mm"))*N('RR Dump'!$I$2:$I$361))/SUMPRODUCT((TEXT('RR Dump'!$L$2:$L$361,"yyyy-mm")=TEXT($B51,"yyyy-mm"))*1),"")</f>
        <v/>
      </c>
      <c r="N51" s="20">
        <f>IFERROR(MAX($M51+AN51*($D51-$M51),$M51*(1+AO51)),"")</f>
        <v/>
      </c>
      <c r="O51" s="22">
        <f>IFERROR($N51/$M51-1,"")</f>
        <v/>
      </c>
      <c r="P51" s="20">
        <f>IFERROR($D51,"")</f>
        <v/>
      </c>
      <c r="T51" s="18">
        <f>IF(COUNTIFS('HD Dump'!$U$2:$U$538,C$7,'HD Dump'!$R$2:$R$538,"&gt;="&amp;$B51-90,'HD Dump'!$R$2:$R$538,"&lt;="&amp;$B51)&gt;0,AVERAGEIFS('HD Dump'!$M$2:$M$538,'HD Dump'!$U$2:$U$538,C$7,'HD Dump'!$R$2:$R$538,"&gt;="&amp;$B51-90,'HD Dump'!$R$2:$R$538,"&lt;="&amp;$B51),T50)</f>
        <v/>
      </c>
      <c r="U51" s="18">
        <f>IF(COUNTIFS('HD Dump'!$U$2:$U$538,D$7,'HD Dump'!$R$2:$R$538,"&gt;="&amp;$B51-90,'HD Dump'!$R$2:$R$538,"&lt;="&amp;$B51)&gt;0,AVERAGEIFS('HD Dump'!$M$2:$M$538,'HD Dump'!$U$2:$U$538,D$7,'HD Dump'!$R$2:$R$538,"&gt;="&amp;$B51-90,'HD Dump'!$R$2:$R$538,"&lt;="&amp;$B51),U50)</f>
        <v/>
      </c>
      <c r="V51" s="18">
        <f>IF(COUNTIFS('HD Dump'!$U$2:$U$538,E$7,'HD Dump'!$R$2:$R$538,"&gt;="&amp;$B51-90,'HD Dump'!$R$2:$R$538,"&lt;="&amp;$B51)&gt;0,AVERAGEIFS('HD Dump'!$M$2:$M$538,'HD Dump'!$U$2:$U$538,E$7,'HD Dump'!$R$2:$R$538,"&gt;="&amp;$B51-90,'HD Dump'!$R$2:$R$538,"&lt;="&amp;$B51),V50)</f>
        <v/>
      </c>
      <c r="W51" s="18">
        <f>IF(COUNTIFS('HD Dump'!$U$2:$U$538,F$7,'HD Dump'!$R$2:$R$538,"&gt;="&amp;$B51-90,'HD Dump'!$R$2:$R$538,"&lt;="&amp;$B51)&gt;0,AVERAGEIFS('HD Dump'!$M$2:$M$538,'HD Dump'!$U$2:$U$538,F$7,'HD Dump'!$R$2:$R$538,"&gt;="&amp;$B51-90,'HD Dump'!$R$2:$R$538,"&lt;="&amp;$B51),W50)</f>
        <v/>
      </c>
      <c r="X51" s="18">
        <f>IF(COUNTIFS('HD Dump'!$U$2:$U$538,G$7,'HD Dump'!$R$2:$R$538,"&gt;="&amp;$B51-90,'HD Dump'!$R$2:$R$538,"&lt;="&amp;$B51)&gt;0,AVERAGEIFS('HD Dump'!$M$2:$M$538,'HD Dump'!$U$2:$U$538,G$7,'HD Dump'!$R$2:$R$538,"&gt;="&amp;$B51-90,'HD Dump'!$R$2:$R$538,"&lt;="&amp;$B51),X50)</f>
        <v/>
      </c>
      <c r="Y51" s="18">
        <f>IF(COUNTIFS('HD Dump'!$U$2:$U$538,H$7,'HD Dump'!$R$2:$R$538,"&gt;="&amp;$B51-90,'HD Dump'!$R$2:$R$538,"&lt;="&amp;$B51)&gt;0,AVERAGEIFS('HD Dump'!$M$2:$M$538,'HD Dump'!$U$2:$U$538,H$7,'HD Dump'!$R$2:$R$538,"&gt;="&amp;$B51-90,'HD Dump'!$R$2:$R$538,"&lt;="&amp;$B51),Y50)</f>
        <v/>
      </c>
      <c r="Z51" s="18">
        <f>IF(COUNTIFS('HD Dump'!$U$2:$U$538,I$7,'HD Dump'!$R$2:$R$538,"&gt;="&amp;$B51-90,'HD Dump'!$R$2:$R$538,"&lt;="&amp;$B51)&gt;0,AVERAGEIFS('HD Dump'!$M$2:$M$538,'HD Dump'!$U$2:$U$538,I$7,'HD Dump'!$R$2:$R$538,"&gt;="&amp;$B51-90,'HD Dump'!$R$2:$R$538,"&lt;="&amp;$B51),Z50)</f>
        <v/>
      </c>
      <c r="AA51" s="18">
        <f>IF(COUNTIFS('HD Dump'!$U$2:$U$538,J$7,'HD Dump'!$R$2:$R$538,"&gt;="&amp;$B51-90,'HD Dump'!$R$2:$R$538,"&lt;="&amp;$B51)&gt;0,AVERAGEIFS('HD Dump'!$M$2:$M$538,'HD Dump'!$U$2:$U$538,J$7,'HD Dump'!$R$2:$R$538,"&gt;="&amp;$B51-90,'HD Dump'!$R$2:$R$538,"&lt;="&amp;$B51),AA50)</f>
        <v/>
      </c>
      <c r="AB51" s="18">
        <f>IF(COUNTIFS('HD Dump'!$U$2:$U$538,K$7,'HD Dump'!$R$2:$R$538,"&gt;="&amp;$B51-90,'HD Dump'!$R$2:$R$538,"&lt;="&amp;$B51)&gt;0,AVERAGEIFS('HD Dump'!$M$2:$M$538,'HD Dump'!$U$2:$U$538,K$7,'HD Dump'!$R$2:$R$538,"&gt;="&amp;$B51-90,'HD Dump'!$R$2:$R$538,"&lt;="&amp;$B51),AB50)</f>
        <v/>
      </c>
      <c r="AD51" s="18">
        <f>IF(COUNTIFS('HD Dump'!$U$2:$U$538,C$7,'HD Dump'!$R$2:$R$538,"&gt;="&amp;$B51-90,'HD Dump'!$R$2:$R$538,"&lt;="&amp;$B51)&gt;0,AVERAGEIFS('HD Dump'!$O$2:$O$538,'HD Dump'!$U$2:$U$538,C$7,'HD Dump'!$R$2:$R$538,"&gt;="&amp;$B51-90,'HD Dump'!$R$2:$R$538,"&lt;="&amp;$B51),AD50)</f>
        <v/>
      </c>
      <c r="AE51" s="18">
        <f>IF(COUNTIFS('HD Dump'!$U$2:$U$538,D$7,'HD Dump'!$R$2:$R$538,"&gt;="&amp;$B51-90,'HD Dump'!$R$2:$R$538,"&lt;="&amp;$B51)&gt;0,AVERAGEIFS('HD Dump'!$O$2:$O$538,'HD Dump'!$U$2:$U$538,D$7,'HD Dump'!$R$2:$R$538,"&gt;="&amp;$B51-90,'HD Dump'!$R$2:$R$538,"&lt;="&amp;$B51),AE50)</f>
        <v/>
      </c>
      <c r="AF51" s="18">
        <f>IF(COUNTIFS('HD Dump'!$U$2:$U$538,E$7,'HD Dump'!$R$2:$R$538,"&gt;="&amp;$B51-90,'HD Dump'!$R$2:$R$538,"&lt;="&amp;$B51)&gt;0,AVERAGEIFS('HD Dump'!$O$2:$O$538,'HD Dump'!$U$2:$U$538,E$7,'HD Dump'!$R$2:$R$538,"&gt;="&amp;$B51-90,'HD Dump'!$R$2:$R$538,"&lt;="&amp;$B51),AF50)</f>
        <v/>
      </c>
      <c r="AG51" s="18">
        <f>IF(COUNTIFS('HD Dump'!$U$2:$U$538,F$7,'HD Dump'!$R$2:$R$538,"&gt;="&amp;$B51-90,'HD Dump'!$R$2:$R$538,"&lt;="&amp;$B51)&gt;0,AVERAGEIFS('HD Dump'!$O$2:$O$538,'HD Dump'!$U$2:$U$538,F$7,'HD Dump'!$R$2:$R$538,"&gt;="&amp;$B51-90,'HD Dump'!$R$2:$R$538,"&lt;="&amp;$B51),AG50)</f>
        <v/>
      </c>
      <c r="AH51" s="18">
        <f>IF(COUNTIFS('HD Dump'!$U$2:$U$538,G$7,'HD Dump'!$R$2:$R$538,"&gt;="&amp;$B51-90,'HD Dump'!$R$2:$R$538,"&lt;="&amp;$B51)&gt;0,AVERAGEIFS('HD Dump'!$O$2:$O$538,'HD Dump'!$U$2:$U$538,G$7,'HD Dump'!$R$2:$R$538,"&gt;="&amp;$B51-90,'HD Dump'!$R$2:$R$538,"&lt;="&amp;$B51),AH50)</f>
        <v/>
      </c>
      <c r="AI51" s="18">
        <f>IF(COUNTIFS('HD Dump'!$U$2:$U$538,H$7,'HD Dump'!$R$2:$R$538,"&gt;="&amp;$B51-90,'HD Dump'!$R$2:$R$538,"&lt;="&amp;$B51)&gt;0,AVERAGEIFS('HD Dump'!$O$2:$O$538,'HD Dump'!$U$2:$U$538,H$7,'HD Dump'!$R$2:$R$538,"&gt;="&amp;$B51-90,'HD Dump'!$R$2:$R$538,"&lt;="&amp;$B51),AI50)</f>
        <v/>
      </c>
      <c r="AJ51" s="18">
        <f>IF(COUNTIFS('HD Dump'!$U$2:$U$538,I$7,'HD Dump'!$R$2:$R$538,"&gt;="&amp;$B51-90,'HD Dump'!$R$2:$R$538,"&lt;="&amp;$B51)&gt;0,AVERAGEIFS('HD Dump'!$O$2:$O$538,'HD Dump'!$U$2:$U$538,I$7,'HD Dump'!$R$2:$R$538,"&gt;="&amp;$B51-90,'HD Dump'!$R$2:$R$538,"&lt;="&amp;$B51),AJ50)</f>
        <v/>
      </c>
      <c r="AK51" s="18">
        <f>IF(COUNTIFS('HD Dump'!$U$2:$U$538,J$7,'HD Dump'!$R$2:$R$538,"&gt;="&amp;$B51-90,'HD Dump'!$R$2:$R$538,"&lt;="&amp;$B51)&gt;0,AVERAGEIFS('HD Dump'!$O$2:$O$538,'HD Dump'!$U$2:$U$538,J$7,'HD Dump'!$R$2:$R$538,"&gt;="&amp;$B51-90,'HD Dump'!$R$2:$R$538,"&lt;="&amp;$B51),AK50)</f>
        <v/>
      </c>
      <c r="AL51" s="18">
        <f>IF(COUNTIFS('HD Dump'!$U$2:$U$538,K$7,'HD Dump'!$R$2:$R$538,"&gt;="&amp;$B51-90,'HD Dump'!$R$2:$R$538,"&lt;="&amp;$B51)&gt;0,AVERAGEIFS('HD Dump'!$O$2:$O$538,'HD Dump'!$U$2:$U$538,K$7,'HD Dump'!$R$2:$R$538,"&gt;="&amp;$B51-90,'HD Dump'!$R$2:$R$538,"&lt;="&amp;$B51),AL50)</f>
        <v/>
      </c>
      <c r="AN51">
        <f>IFERROR(SUMPRODUCT((TEXT('RR Dump'!$L$2:$L$361,"yyyy-mm")=TEXT($B51,"yyyy-mm"))*((RRA!$A$109:$A$468=1)*RRA!$E$20+(RRA!$A$109:$A$468=2)*RRA!$E$21+(RRA!$A$109:$A$468=3)*RRA!$E$22+(RRA!$A$109:$A$468=4)*RRA!$E$23))/SUMPRODUCT((TEXT('RR Dump'!$L$2:$L$361,"yyyy-mm")=TEXT($B51,"yyyy-mm"))*1),0)</f>
        <v/>
      </c>
      <c r="AO51">
        <f>IFERROR(SUMPRODUCT((TEXT('RR Dump'!$L$2:$L$361,"yyyy-mm")=TEXT($B51,"yyyy-mm"))*((RRA!$A$109:$A$468=1)*RRA!$E$25+(RRA!$A$109:$A$468=2)*RRA!$E$26+(RRA!$A$109:$A$468=3)*RRA!$E$27+(RRA!$A$109:$A$468=4)*RRA!$E$28))/SUMPRODUCT((TEXT('RR Dump'!$L$2:$L$361,"yyyy-mm")=TEXT($B51,"yyyy-mm"))*1),0)</f>
        <v/>
      </c>
    </row>
    <row r="52">
      <c r="B52" s="9" t="n">
        <v>46752</v>
      </c>
      <c r="C52" s="19" t="inlineStr">
        <is>
          <t>Projected</t>
        </is>
      </c>
      <c r="D52" s="20">
        <f>IFERROR(INDEX(RRA!$E$48:$EX$48,MATCH($B52,RRA!$E$33:$EX$33,0))/360,"")</f>
        <v/>
      </c>
      <c r="E52" s="20" t="n"/>
      <c r="F52" s="20">
        <f>IFERROR((INDEX(RRA!$E$49:$EX$49,MATCH($B52,RRA!$E$33:$EX$33,0))/360*360-(1-$F52)*360*$D52)/($F52*360),"")</f>
        <v/>
      </c>
      <c r="G52" s="21">
        <f>IFERROR('Cash Flow (Annual)'!$L$14,"")</f>
        <v/>
      </c>
      <c r="H52" s="22">
        <f>IFERROR($F52/$D52-1,"")</f>
        <v/>
      </c>
      <c r="I52" s="20">
        <f>SUMPRODUCT((TEXT('RR Dump'!$L$2:$L$361,"yyyy-mm")=TEXT($B52,"yyyy-mm"))*((RRA!$A$109:$A$468=1)*RRA!$F$15+(RRA!$A$109:$A$468=2)*RRA!$F$16+(RRA!$A$109:$A$468=3)*RRA!$F$17+(RRA!$A$109:$A$468=4)*RRA!$F$18))+SUMPRODUCT((TEXT(EDATE(N('RR Dump'!$L$2:$L$361),RRA!$D$4),"yyyy-mm")=TEXT($B52,"yyyy-mm"))*((RRA!$A$109:$A$468=1)*RRA!$F$15+(RRA!$A$109:$A$468=2)*RRA!$F$16+(RRA!$A$109:$A$468=3)*RRA!$F$17+(RRA!$A$109:$A$468=4)*RRA!$F$18))</f>
        <v/>
      </c>
      <c r="J52" s="23">
        <f>IFERROR($L52-$J52,"")</f>
        <v/>
      </c>
      <c r="K52" s="20">
        <f>IFERROR($K52,"")</f>
        <v/>
      </c>
      <c r="L52" s="23">
        <f>SUMPRODUCT((TEXT('RR Dump'!$L$2:$L$361,"yyyy-mm")=TEXT($B52,"yyyy-mm"))*1)+SUMPRODUCT((TEXT(EDATE(N('RR Dump'!$L$2:$L$361),RRA!$D$4),"yyyy-mm")=TEXT($B52,"yyyy-mm"))*1)</f>
        <v/>
      </c>
      <c r="M52" s="20">
        <f>IFERROR(SUMPRODUCT((TEXT('RR Dump'!$L$2:$L$361,"yyyy-mm")=TEXT($B52,"yyyy-mm"))*N('RR Dump'!$I$2:$I$361))/SUMPRODUCT((TEXT('RR Dump'!$L$2:$L$361,"yyyy-mm")=TEXT($B52,"yyyy-mm"))*1),"")</f>
        <v/>
      </c>
      <c r="N52" s="20">
        <f>IFERROR(MAX($M52+AN52*($D52-$M52),$M52*(1+AO52)),"")</f>
        <v/>
      </c>
      <c r="O52" s="22">
        <f>IFERROR($N52/$M52-1,"")</f>
        <v/>
      </c>
      <c r="P52" s="20">
        <f>IFERROR($D52,"")</f>
        <v/>
      </c>
      <c r="T52" s="18">
        <f>IF(COUNTIFS('HD Dump'!$U$2:$U$538,C$7,'HD Dump'!$R$2:$R$538,"&gt;="&amp;$B52-90,'HD Dump'!$R$2:$R$538,"&lt;="&amp;$B52)&gt;0,AVERAGEIFS('HD Dump'!$M$2:$M$538,'HD Dump'!$U$2:$U$538,C$7,'HD Dump'!$R$2:$R$538,"&gt;="&amp;$B52-90,'HD Dump'!$R$2:$R$538,"&lt;="&amp;$B52),T51)</f>
        <v/>
      </c>
      <c r="U52" s="18">
        <f>IF(COUNTIFS('HD Dump'!$U$2:$U$538,D$7,'HD Dump'!$R$2:$R$538,"&gt;="&amp;$B52-90,'HD Dump'!$R$2:$R$538,"&lt;="&amp;$B52)&gt;0,AVERAGEIFS('HD Dump'!$M$2:$M$538,'HD Dump'!$U$2:$U$538,D$7,'HD Dump'!$R$2:$R$538,"&gt;="&amp;$B52-90,'HD Dump'!$R$2:$R$538,"&lt;="&amp;$B52),U51)</f>
        <v/>
      </c>
      <c r="V52" s="18">
        <f>IF(COUNTIFS('HD Dump'!$U$2:$U$538,E$7,'HD Dump'!$R$2:$R$538,"&gt;="&amp;$B52-90,'HD Dump'!$R$2:$R$538,"&lt;="&amp;$B52)&gt;0,AVERAGEIFS('HD Dump'!$M$2:$M$538,'HD Dump'!$U$2:$U$538,E$7,'HD Dump'!$R$2:$R$538,"&gt;="&amp;$B52-90,'HD Dump'!$R$2:$R$538,"&lt;="&amp;$B52),V51)</f>
        <v/>
      </c>
      <c r="W52" s="18">
        <f>IF(COUNTIFS('HD Dump'!$U$2:$U$538,F$7,'HD Dump'!$R$2:$R$538,"&gt;="&amp;$B52-90,'HD Dump'!$R$2:$R$538,"&lt;="&amp;$B52)&gt;0,AVERAGEIFS('HD Dump'!$M$2:$M$538,'HD Dump'!$U$2:$U$538,F$7,'HD Dump'!$R$2:$R$538,"&gt;="&amp;$B52-90,'HD Dump'!$R$2:$R$538,"&lt;="&amp;$B52),W51)</f>
        <v/>
      </c>
      <c r="X52" s="18">
        <f>IF(COUNTIFS('HD Dump'!$U$2:$U$538,G$7,'HD Dump'!$R$2:$R$538,"&gt;="&amp;$B52-90,'HD Dump'!$R$2:$R$538,"&lt;="&amp;$B52)&gt;0,AVERAGEIFS('HD Dump'!$M$2:$M$538,'HD Dump'!$U$2:$U$538,G$7,'HD Dump'!$R$2:$R$538,"&gt;="&amp;$B52-90,'HD Dump'!$R$2:$R$538,"&lt;="&amp;$B52),X51)</f>
        <v/>
      </c>
      <c r="Y52" s="18">
        <f>IF(COUNTIFS('HD Dump'!$U$2:$U$538,H$7,'HD Dump'!$R$2:$R$538,"&gt;="&amp;$B52-90,'HD Dump'!$R$2:$R$538,"&lt;="&amp;$B52)&gt;0,AVERAGEIFS('HD Dump'!$M$2:$M$538,'HD Dump'!$U$2:$U$538,H$7,'HD Dump'!$R$2:$R$538,"&gt;="&amp;$B52-90,'HD Dump'!$R$2:$R$538,"&lt;="&amp;$B52),Y51)</f>
        <v/>
      </c>
      <c r="Z52" s="18">
        <f>IF(COUNTIFS('HD Dump'!$U$2:$U$538,I$7,'HD Dump'!$R$2:$R$538,"&gt;="&amp;$B52-90,'HD Dump'!$R$2:$R$538,"&lt;="&amp;$B52)&gt;0,AVERAGEIFS('HD Dump'!$M$2:$M$538,'HD Dump'!$U$2:$U$538,I$7,'HD Dump'!$R$2:$R$538,"&gt;="&amp;$B52-90,'HD Dump'!$R$2:$R$538,"&lt;="&amp;$B52),Z51)</f>
        <v/>
      </c>
      <c r="AA52" s="18">
        <f>IF(COUNTIFS('HD Dump'!$U$2:$U$538,J$7,'HD Dump'!$R$2:$R$538,"&gt;="&amp;$B52-90,'HD Dump'!$R$2:$R$538,"&lt;="&amp;$B52)&gt;0,AVERAGEIFS('HD Dump'!$M$2:$M$538,'HD Dump'!$U$2:$U$538,J$7,'HD Dump'!$R$2:$R$538,"&gt;="&amp;$B52-90,'HD Dump'!$R$2:$R$538,"&lt;="&amp;$B52),AA51)</f>
        <v/>
      </c>
      <c r="AB52" s="18">
        <f>IF(COUNTIFS('HD Dump'!$U$2:$U$538,K$7,'HD Dump'!$R$2:$R$538,"&gt;="&amp;$B52-90,'HD Dump'!$R$2:$R$538,"&lt;="&amp;$B52)&gt;0,AVERAGEIFS('HD Dump'!$M$2:$M$538,'HD Dump'!$U$2:$U$538,K$7,'HD Dump'!$R$2:$R$538,"&gt;="&amp;$B52-90,'HD Dump'!$R$2:$R$538,"&lt;="&amp;$B52),AB51)</f>
        <v/>
      </c>
      <c r="AD52" s="18">
        <f>IF(COUNTIFS('HD Dump'!$U$2:$U$538,C$7,'HD Dump'!$R$2:$R$538,"&gt;="&amp;$B52-90,'HD Dump'!$R$2:$R$538,"&lt;="&amp;$B52)&gt;0,AVERAGEIFS('HD Dump'!$O$2:$O$538,'HD Dump'!$U$2:$U$538,C$7,'HD Dump'!$R$2:$R$538,"&gt;="&amp;$B52-90,'HD Dump'!$R$2:$R$538,"&lt;="&amp;$B52),AD51)</f>
        <v/>
      </c>
      <c r="AE52" s="18">
        <f>IF(COUNTIFS('HD Dump'!$U$2:$U$538,D$7,'HD Dump'!$R$2:$R$538,"&gt;="&amp;$B52-90,'HD Dump'!$R$2:$R$538,"&lt;="&amp;$B52)&gt;0,AVERAGEIFS('HD Dump'!$O$2:$O$538,'HD Dump'!$U$2:$U$538,D$7,'HD Dump'!$R$2:$R$538,"&gt;="&amp;$B52-90,'HD Dump'!$R$2:$R$538,"&lt;="&amp;$B52),AE51)</f>
        <v/>
      </c>
      <c r="AF52" s="18">
        <f>IF(COUNTIFS('HD Dump'!$U$2:$U$538,E$7,'HD Dump'!$R$2:$R$538,"&gt;="&amp;$B52-90,'HD Dump'!$R$2:$R$538,"&lt;="&amp;$B52)&gt;0,AVERAGEIFS('HD Dump'!$O$2:$O$538,'HD Dump'!$U$2:$U$538,E$7,'HD Dump'!$R$2:$R$538,"&gt;="&amp;$B52-90,'HD Dump'!$R$2:$R$538,"&lt;="&amp;$B52),AF51)</f>
        <v/>
      </c>
      <c r="AG52" s="18">
        <f>IF(COUNTIFS('HD Dump'!$U$2:$U$538,F$7,'HD Dump'!$R$2:$R$538,"&gt;="&amp;$B52-90,'HD Dump'!$R$2:$R$538,"&lt;="&amp;$B52)&gt;0,AVERAGEIFS('HD Dump'!$O$2:$O$538,'HD Dump'!$U$2:$U$538,F$7,'HD Dump'!$R$2:$R$538,"&gt;="&amp;$B52-90,'HD Dump'!$R$2:$R$538,"&lt;="&amp;$B52),AG51)</f>
        <v/>
      </c>
      <c r="AH52" s="18">
        <f>IF(COUNTIFS('HD Dump'!$U$2:$U$538,G$7,'HD Dump'!$R$2:$R$538,"&gt;="&amp;$B52-90,'HD Dump'!$R$2:$R$538,"&lt;="&amp;$B52)&gt;0,AVERAGEIFS('HD Dump'!$O$2:$O$538,'HD Dump'!$U$2:$U$538,G$7,'HD Dump'!$R$2:$R$538,"&gt;="&amp;$B52-90,'HD Dump'!$R$2:$R$538,"&lt;="&amp;$B52),AH51)</f>
        <v/>
      </c>
      <c r="AI52" s="18">
        <f>IF(COUNTIFS('HD Dump'!$U$2:$U$538,H$7,'HD Dump'!$R$2:$R$538,"&gt;="&amp;$B52-90,'HD Dump'!$R$2:$R$538,"&lt;="&amp;$B52)&gt;0,AVERAGEIFS('HD Dump'!$O$2:$O$538,'HD Dump'!$U$2:$U$538,H$7,'HD Dump'!$R$2:$R$538,"&gt;="&amp;$B52-90,'HD Dump'!$R$2:$R$538,"&lt;="&amp;$B52),AI51)</f>
        <v/>
      </c>
      <c r="AJ52" s="18">
        <f>IF(COUNTIFS('HD Dump'!$U$2:$U$538,I$7,'HD Dump'!$R$2:$R$538,"&gt;="&amp;$B52-90,'HD Dump'!$R$2:$R$538,"&lt;="&amp;$B52)&gt;0,AVERAGEIFS('HD Dump'!$O$2:$O$538,'HD Dump'!$U$2:$U$538,I$7,'HD Dump'!$R$2:$R$538,"&gt;="&amp;$B52-90,'HD Dump'!$R$2:$R$538,"&lt;="&amp;$B52),AJ51)</f>
        <v/>
      </c>
      <c r="AK52" s="18">
        <f>IF(COUNTIFS('HD Dump'!$U$2:$U$538,J$7,'HD Dump'!$R$2:$R$538,"&gt;="&amp;$B52-90,'HD Dump'!$R$2:$R$538,"&lt;="&amp;$B52)&gt;0,AVERAGEIFS('HD Dump'!$O$2:$O$538,'HD Dump'!$U$2:$U$538,J$7,'HD Dump'!$R$2:$R$538,"&gt;="&amp;$B52-90,'HD Dump'!$R$2:$R$538,"&lt;="&amp;$B52),AK51)</f>
        <v/>
      </c>
      <c r="AL52" s="18">
        <f>IF(COUNTIFS('HD Dump'!$U$2:$U$538,K$7,'HD Dump'!$R$2:$R$538,"&gt;="&amp;$B52-90,'HD Dump'!$R$2:$R$538,"&lt;="&amp;$B52)&gt;0,AVERAGEIFS('HD Dump'!$O$2:$O$538,'HD Dump'!$U$2:$U$538,K$7,'HD Dump'!$R$2:$R$538,"&gt;="&amp;$B52-90,'HD Dump'!$R$2:$R$538,"&lt;="&amp;$B52),AL51)</f>
        <v/>
      </c>
      <c r="AN52">
        <f>IFERROR(SUMPRODUCT((TEXT('RR Dump'!$L$2:$L$361,"yyyy-mm")=TEXT($B52,"yyyy-mm"))*((RRA!$A$109:$A$468=1)*RRA!$F$20+(RRA!$A$109:$A$468=2)*RRA!$F$21+(RRA!$A$109:$A$468=3)*RRA!$F$22+(RRA!$A$109:$A$468=4)*RRA!$F$23))/SUMPRODUCT((TEXT('RR Dump'!$L$2:$L$361,"yyyy-mm")=TEXT($B52,"yyyy-mm"))*1),0)</f>
        <v/>
      </c>
      <c r="AO52">
        <f>IFERROR(SUMPRODUCT((TEXT('RR Dump'!$L$2:$L$361,"yyyy-mm")=TEXT($B52,"yyyy-mm"))*((RRA!$A$109:$A$468=1)*RRA!$F$25+(RRA!$A$109:$A$468=2)*RRA!$F$26+(RRA!$A$109:$A$468=3)*RRA!$F$27+(RRA!$A$109:$A$468=4)*RRA!$F$28))/SUMPRODUCT((TEXT('RR Dump'!$L$2:$L$361,"yyyy-mm")=TEXT($B52,"yyyy-mm"))*1),0)</f>
        <v/>
      </c>
    </row>
    <row r="53">
      <c r="B53" s="9" t="n">
        <v>46783</v>
      </c>
      <c r="C53" s="19" t="inlineStr">
        <is>
          <t>Projected</t>
        </is>
      </c>
      <c r="D53" s="20">
        <f>IFERROR(INDEX(RRA!$E$48:$EX$48,MATCH($B53,RRA!$E$33:$EX$33,0))/360,"")</f>
        <v/>
      </c>
      <c r="E53" s="20" t="n"/>
      <c r="F53" s="20">
        <f>IFERROR((INDEX(RRA!$E$49:$EX$49,MATCH($B53,RRA!$E$33:$EX$33,0))/360*360-(1-$F53)*360*$D53)/($F53*360),"")</f>
        <v/>
      </c>
      <c r="G53" s="21">
        <f>IFERROR('Cash Flow (Annual)'!$L$14,"")</f>
        <v/>
      </c>
      <c r="H53" s="22">
        <f>IFERROR($F53/$D53-1,"")</f>
        <v/>
      </c>
      <c r="I53" s="20">
        <f>SUMPRODUCT((TEXT('RR Dump'!$L$2:$L$361,"yyyy-mm")=TEXT($B53,"yyyy-mm"))*((RRA!$A$109:$A$468=1)*RRA!$F$15+(RRA!$A$109:$A$468=2)*RRA!$F$16+(RRA!$A$109:$A$468=3)*RRA!$F$17+(RRA!$A$109:$A$468=4)*RRA!$F$18))+SUMPRODUCT((TEXT(EDATE(N('RR Dump'!$L$2:$L$361),RRA!$D$4),"yyyy-mm")=TEXT($B53,"yyyy-mm"))*((RRA!$A$109:$A$468=1)*RRA!$F$15+(RRA!$A$109:$A$468=2)*RRA!$F$16+(RRA!$A$109:$A$468=3)*RRA!$F$17+(RRA!$A$109:$A$468=4)*RRA!$F$18))</f>
        <v/>
      </c>
      <c r="J53" s="23">
        <f>IFERROR($L53-$J53,"")</f>
        <v/>
      </c>
      <c r="K53" s="20">
        <f>IFERROR($K53,"")</f>
        <v/>
      </c>
      <c r="L53" s="23">
        <f>SUMPRODUCT((TEXT('RR Dump'!$L$2:$L$361,"yyyy-mm")=TEXT($B53,"yyyy-mm"))*1)+SUMPRODUCT((TEXT(EDATE(N('RR Dump'!$L$2:$L$361),RRA!$D$4),"yyyy-mm")=TEXT($B53,"yyyy-mm"))*1)</f>
        <v/>
      </c>
      <c r="M53" s="20">
        <f>IFERROR(SUMPRODUCT((TEXT('RR Dump'!$L$2:$L$361,"yyyy-mm")=TEXT($B53,"yyyy-mm"))*N('RR Dump'!$I$2:$I$361))/SUMPRODUCT((TEXT('RR Dump'!$L$2:$L$361,"yyyy-mm")=TEXT($B53,"yyyy-mm"))*1),"")</f>
        <v/>
      </c>
      <c r="N53" s="20">
        <f>IFERROR(MAX($M53+AN53*($D53-$M53),$M53*(1+AO53)),"")</f>
        <v/>
      </c>
      <c r="O53" s="22">
        <f>IFERROR($N53/$M53-1,"")</f>
        <v/>
      </c>
      <c r="P53" s="20">
        <f>IFERROR($D53,"")</f>
        <v/>
      </c>
      <c r="T53" s="18">
        <f>IF(COUNTIFS('HD Dump'!$U$2:$U$538,C$7,'HD Dump'!$R$2:$R$538,"&gt;="&amp;$B53-90,'HD Dump'!$R$2:$R$538,"&lt;="&amp;$B53)&gt;0,AVERAGEIFS('HD Dump'!$M$2:$M$538,'HD Dump'!$U$2:$U$538,C$7,'HD Dump'!$R$2:$R$538,"&gt;="&amp;$B53-90,'HD Dump'!$R$2:$R$538,"&lt;="&amp;$B53),T52)</f>
        <v/>
      </c>
      <c r="U53" s="18">
        <f>IF(COUNTIFS('HD Dump'!$U$2:$U$538,D$7,'HD Dump'!$R$2:$R$538,"&gt;="&amp;$B53-90,'HD Dump'!$R$2:$R$538,"&lt;="&amp;$B53)&gt;0,AVERAGEIFS('HD Dump'!$M$2:$M$538,'HD Dump'!$U$2:$U$538,D$7,'HD Dump'!$R$2:$R$538,"&gt;="&amp;$B53-90,'HD Dump'!$R$2:$R$538,"&lt;="&amp;$B53),U52)</f>
        <v/>
      </c>
      <c r="V53" s="18">
        <f>IF(COUNTIFS('HD Dump'!$U$2:$U$538,E$7,'HD Dump'!$R$2:$R$538,"&gt;="&amp;$B53-90,'HD Dump'!$R$2:$R$538,"&lt;="&amp;$B53)&gt;0,AVERAGEIFS('HD Dump'!$M$2:$M$538,'HD Dump'!$U$2:$U$538,E$7,'HD Dump'!$R$2:$R$538,"&gt;="&amp;$B53-90,'HD Dump'!$R$2:$R$538,"&lt;="&amp;$B53),V52)</f>
        <v/>
      </c>
      <c r="W53" s="18">
        <f>IF(COUNTIFS('HD Dump'!$U$2:$U$538,F$7,'HD Dump'!$R$2:$R$538,"&gt;="&amp;$B53-90,'HD Dump'!$R$2:$R$538,"&lt;="&amp;$B53)&gt;0,AVERAGEIFS('HD Dump'!$M$2:$M$538,'HD Dump'!$U$2:$U$538,F$7,'HD Dump'!$R$2:$R$538,"&gt;="&amp;$B53-90,'HD Dump'!$R$2:$R$538,"&lt;="&amp;$B53),W52)</f>
        <v/>
      </c>
      <c r="X53" s="18">
        <f>IF(COUNTIFS('HD Dump'!$U$2:$U$538,G$7,'HD Dump'!$R$2:$R$538,"&gt;="&amp;$B53-90,'HD Dump'!$R$2:$R$538,"&lt;="&amp;$B53)&gt;0,AVERAGEIFS('HD Dump'!$M$2:$M$538,'HD Dump'!$U$2:$U$538,G$7,'HD Dump'!$R$2:$R$538,"&gt;="&amp;$B53-90,'HD Dump'!$R$2:$R$538,"&lt;="&amp;$B53),X52)</f>
        <v/>
      </c>
      <c r="Y53" s="18">
        <f>IF(COUNTIFS('HD Dump'!$U$2:$U$538,H$7,'HD Dump'!$R$2:$R$538,"&gt;="&amp;$B53-90,'HD Dump'!$R$2:$R$538,"&lt;="&amp;$B53)&gt;0,AVERAGEIFS('HD Dump'!$M$2:$M$538,'HD Dump'!$U$2:$U$538,H$7,'HD Dump'!$R$2:$R$538,"&gt;="&amp;$B53-90,'HD Dump'!$R$2:$R$538,"&lt;="&amp;$B53),Y52)</f>
        <v/>
      </c>
      <c r="Z53" s="18">
        <f>IF(COUNTIFS('HD Dump'!$U$2:$U$538,I$7,'HD Dump'!$R$2:$R$538,"&gt;="&amp;$B53-90,'HD Dump'!$R$2:$R$538,"&lt;="&amp;$B53)&gt;0,AVERAGEIFS('HD Dump'!$M$2:$M$538,'HD Dump'!$U$2:$U$538,I$7,'HD Dump'!$R$2:$R$538,"&gt;="&amp;$B53-90,'HD Dump'!$R$2:$R$538,"&lt;="&amp;$B53),Z52)</f>
        <v/>
      </c>
      <c r="AA53" s="18">
        <f>IF(COUNTIFS('HD Dump'!$U$2:$U$538,J$7,'HD Dump'!$R$2:$R$538,"&gt;="&amp;$B53-90,'HD Dump'!$R$2:$R$538,"&lt;="&amp;$B53)&gt;0,AVERAGEIFS('HD Dump'!$M$2:$M$538,'HD Dump'!$U$2:$U$538,J$7,'HD Dump'!$R$2:$R$538,"&gt;="&amp;$B53-90,'HD Dump'!$R$2:$R$538,"&lt;="&amp;$B53),AA52)</f>
        <v/>
      </c>
      <c r="AB53" s="18">
        <f>IF(COUNTIFS('HD Dump'!$U$2:$U$538,K$7,'HD Dump'!$R$2:$R$538,"&gt;="&amp;$B53-90,'HD Dump'!$R$2:$R$538,"&lt;="&amp;$B53)&gt;0,AVERAGEIFS('HD Dump'!$M$2:$M$538,'HD Dump'!$U$2:$U$538,K$7,'HD Dump'!$R$2:$R$538,"&gt;="&amp;$B53-90,'HD Dump'!$R$2:$R$538,"&lt;="&amp;$B53),AB52)</f>
        <v/>
      </c>
      <c r="AD53" s="18">
        <f>IF(COUNTIFS('HD Dump'!$U$2:$U$538,C$7,'HD Dump'!$R$2:$R$538,"&gt;="&amp;$B53-90,'HD Dump'!$R$2:$R$538,"&lt;="&amp;$B53)&gt;0,AVERAGEIFS('HD Dump'!$O$2:$O$538,'HD Dump'!$U$2:$U$538,C$7,'HD Dump'!$R$2:$R$538,"&gt;="&amp;$B53-90,'HD Dump'!$R$2:$R$538,"&lt;="&amp;$B53),AD52)</f>
        <v/>
      </c>
      <c r="AE53" s="18">
        <f>IF(COUNTIFS('HD Dump'!$U$2:$U$538,D$7,'HD Dump'!$R$2:$R$538,"&gt;="&amp;$B53-90,'HD Dump'!$R$2:$R$538,"&lt;="&amp;$B53)&gt;0,AVERAGEIFS('HD Dump'!$O$2:$O$538,'HD Dump'!$U$2:$U$538,D$7,'HD Dump'!$R$2:$R$538,"&gt;="&amp;$B53-90,'HD Dump'!$R$2:$R$538,"&lt;="&amp;$B53),AE52)</f>
        <v/>
      </c>
      <c r="AF53" s="18">
        <f>IF(COUNTIFS('HD Dump'!$U$2:$U$538,E$7,'HD Dump'!$R$2:$R$538,"&gt;="&amp;$B53-90,'HD Dump'!$R$2:$R$538,"&lt;="&amp;$B53)&gt;0,AVERAGEIFS('HD Dump'!$O$2:$O$538,'HD Dump'!$U$2:$U$538,E$7,'HD Dump'!$R$2:$R$538,"&gt;="&amp;$B53-90,'HD Dump'!$R$2:$R$538,"&lt;="&amp;$B53),AF52)</f>
        <v/>
      </c>
      <c r="AG53" s="18">
        <f>IF(COUNTIFS('HD Dump'!$U$2:$U$538,F$7,'HD Dump'!$R$2:$R$538,"&gt;="&amp;$B53-90,'HD Dump'!$R$2:$R$538,"&lt;="&amp;$B53)&gt;0,AVERAGEIFS('HD Dump'!$O$2:$O$538,'HD Dump'!$U$2:$U$538,F$7,'HD Dump'!$R$2:$R$538,"&gt;="&amp;$B53-90,'HD Dump'!$R$2:$R$538,"&lt;="&amp;$B53),AG52)</f>
        <v/>
      </c>
      <c r="AH53" s="18">
        <f>IF(COUNTIFS('HD Dump'!$U$2:$U$538,G$7,'HD Dump'!$R$2:$R$538,"&gt;="&amp;$B53-90,'HD Dump'!$R$2:$R$538,"&lt;="&amp;$B53)&gt;0,AVERAGEIFS('HD Dump'!$O$2:$O$538,'HD Dump'!$U$2:$U$538,G$7,'HD Dump'!$R$2:$R$538,"&gt;="&amp;$B53-90,'HD Dump'!$R$2:$R$538,"&lt;="&amp;$B53),AH52)</f>
        <v/>
      </c>
      <c r="AI53" s="18">
        <f>IF(COUNTIFS('HD Dump'!$U$2:$U$538,H$7,'HD Dump'!$R$2:$R$538,"&gt;="&amp;$B53-90,'HD Dump'!$R$2:$R$538,"&lt;="&amp;$B53)&gt;0,AVERAGEIFS('HD Dump'!$O$2:$O$538,'HD Dump'!$U$2:$U$538,H$7,'HD Dump'!$R$2:$R$538,"&gt;="&amp;$B53-90,'HD Dump'!$R$2:$R$538,"&lt;="&amp;$B53),AI52)</f>
        <v/>
      </c>
      <c r="AJ53" s="18">
        <f>IF(COUNTIFS('HD Dump'!$U$2:$U$538,I$7,'HD Dump'!$R$2:$R$538,"&gt;="&amp;$B53-90,'HD Dump'!$R$2:$R$538,"&lt;="&amp;$B53)&gt;0,AVERAGEIFS('HD Dump'!$O$2:$O$538,'HD Dump'!$U$2:$U$538,I$7,'HD Dump'!$R$2:$R$538,"&gt;="&amp;$B53-90,'HD Dump'!$R$2:$R$538,"&lt;="&amp;$B53),AJ52)</f>
        <v/>
      </c>
      <c r="AK53" s="18">
        <f>IF(COUNTIFS('HD Dump'!$U$2:$U$538,J$7,'HD Dump'!$R$2:$R$538,"&gt;="&amp;$B53-90,'HD Dump'!$R$2:$R$538,"&lt;="&amp;$B53)&gt;0,AVERAGEIFS('HD Dump'!$O$2:$O$538,'HD Dump'!$U$2:$U$538,J$7,'HD Dump'!$R$2:$R$538,"&gt;="&amp;$B53-90,'HD Dump'!$R$2:$R$538,"&lt;="&amp;$B53),AK52)</f>
        <v/>
      </c>
      <c r="AL53" s="18">
        <f>IF(COUNTIFS('HD Dump'!$U$2:$U$538,K$7,'HD Dump'!$R$2:$R$538,"&gt;="&amp;$B53-90,'HD Dump'!$R$2:$R$538,"&lt;="&amp;$B53)&gt;0,AVERAGEIFS('HD Dump'!$O$2:$O$538,'HD Dump'!$U$2:$U$538,K$7,'HD Dump'!$R$2:$R$538,"&gt;="&amp;$B53-90,'HD Dump'!$R$2:$R$538,"&lt;="&amp;$B53),AL52)</f>
        <v/>
      </c>
      <c r="AN53">
        <f>IFERROR(SUMPRODUCT((TEXT('RR Dump'!$L$2:$L$361,"yyyy-mm")=TEXT($B53,"yyyy-mm"))*((RRA!$A$109:$A$468=1)*RRA!$F$20+(RRA!$A$109:$A$468=2)*RRA!$F$21+(RRA!$A$109:$A$468=3)*RRA!$F$22+(RRA!$A$109:$A$468=4)*RRA!$F$23))/SUMPRODUCT((TEXT('RR Dump'!$L$2:$L$361,"yyyy-mm")=TEXT($B53,"yyyy-mm"))*1),0)</f>
        <v/>
      </c>
      <c r="AO53">
        <f>IFERROR(SUMPRODUCT((TEXT('RR Dump'!$L$2:$L$361,"yyyy-mm")=TEXT($B53,"yyyy-mm"))*((RRA!$A$109:$A$468=1)*RRA!$F$25+(RRA!$A$109:$A$468=2)*RRA!$F$26+(RRA!$A$109:$A$468=3)*RRA!$F$27+(RRA!$A$109:$A$468=4)*RRA!$F$28))/SUMPRODUCT((TEXT('RR Dump'!$L$2:$L$361,"yyyy-mm")=TEXT($B53,"yyyy-mm"))*1),0)</f>
        <v/>
      </c>
    </row>
    <row r="54">
      <c r="B54" s="9" t="n">
        <v>46812</v>
      </c>
      <c r="C54" s="19" t="inlineStr">
        <is>
          <t>Projected</t>
        </is>
      </c>
      <c r="D54" s="20">
        <f>IFERROR(INDEX(RRA!$E$48:$EX$48,MATCH($B54,RRA!$E$33:$EX$33,0))/360,"")</f>
        <v/>
      </c>
      <c r="E54" s="20" t="n"/>
      <c r="F54" s="20">
        <f>IFERROR((INDEX(RRA!$E$49:$EX$49,MATCH($B54,RRA!$E$33:$EX$33,0))/360*360-(1-$F54)*360*$D54)/($F54*360),"")</f>
        <v/>
      </c>
      <c r="G54" s="21">
        <f>IFERROR('Cash Flow (Annual)'!$L$14,"")</f>
        <v/>
      </c>
      <c r="H54" s="22">
        <f>IFERROR($F54/$D54-1,"")</f>
        <v/>
      </c>
      <c r="I54" s="20">
        <f>SUMPRODUCT((TEXT('RR Dump'!$L$2:$L$361,"yyyy-mm")=TEXT($B54,"yyyy-mm"))*((RRA!$A$109:$A$468=1)*RRA!$F$15+(RRA!$A$109:$A$468=2)*RRA!$F$16+(RRA!$A$109:$A$468=3)*RRA!$F$17+(RRA!$A$109:$A$468=4)*RRA!$F$18))+SUMPRODUCT((TEXT(EDATE(N('RR Dump'!$L$2:$L$361),RRA!$D$4),"yyyy-mm")=TEXT($B54,"yyyy-mm"))*((RRA!$A$109:$A$468=1)*RRA!$F$15+(RRA!$A$109:$A$468=2)*RRA!$F$16+(RRA!$A$109:$A$468=3)*RRA!$F$17+(RRA!$A$109:$A$468=4)*RRA!$F$18))</f>
        <v/>
      </c>
      <c r="J54" s="23">
        <f>IFERROR($L54-$J54,"")</f>
        <v/>
      </c>
      <c r="K54" s="20">
        <f>IFERROR($K54,"")</f>
        <v/>
      </c>
      <c r="L54" s="23">
        <f>SUMPRODUCT((TEXT('RR Dump'!$L$2:$L$361,"yyyy-mm")=TEXT($B54,"yyyy-mm"))*1)+SUMPRODUCT((TEXT(EDATE(N('RR Dump'!$L$2:$L$361),RRA!$D$4),"yyyy-mm")=TEXT($B54,"yyyy-mm"))*1)</f>
        <v/>
      </c>
      <c r="M54" s="20">
        <f>IFERROR(SUMPRODUCT((TEXT('RR Dump'!$L$2:$L$361,"yyyy-mm")=TEXT($B54,"yyyy-mm"))*N('RR Dump'!$I$2:$I$361))/SUMPRODUCT((TEXT('RR Dump'!$L$2:$L$361,"yyyy-mm")=TEXT($B54,"yyyy-mm"))*1),"")</f>
        <v/>
      </c>
      <c r="N54" s="20">
        <f>IFERROR(MAX($M54+AN54*($D54-$M54),$M54*(1+AO54)),"")</f>
        <v/>
      </c>
      <c r="O54" s="22">
        <f>IFERROR($N54/$M54-1,"")</f>
        <v/>
      </c>
      <c r="P54" s="20">
        <f>IFERROR($D54,"")</f>
        <v/>
      </c>
      <c r="T54" s="18">
        <f>IF(COUNTIFS('HD Dump'!$U$2:$U$538,C$7,'HD Dump'!$R$2:$R$538,"&gt;="&amp;$B54-90,'HD Dump'!$R$2:$R$538,"&lt;="&amp;$B54)&gt;0,AVERAGEIFS('HD Dump'!$M$2:$M$538,'HD Dump'!$U$2:$U$538,C$7,'HD Dump'!$R$2:$R$538,"&gt;="&amp;$B54-90,'HD Dump'!$R$2:$R$538,"&lt;="&amp;$B54),T53)</f>
        <v/>
      </c>
      <c r="U54" s="18">
        <f>IF(COUNTIFS('HD Dump'!$U$2:$U$538,D$7,'HD Dump'!$R$2:$R$538,"&gt;="&amp;$B54-90,'HD Dump'!$R$2:$R$538,"&lt;="&amp;$B54)&gt;0,AVERAGEIFS('HD Dump'!$M$2:$M$538,'HD Dump'!$U$2:$U$538,D$7,'HD Dump'!$R$2:$R$538,"&gt;="&amp;$B54-90,'HD Dump'!$R$2:$R$538,"&lt;="&amp;$B54),U53)</f>
        <v/>
      </c>
      <c r="V54" s="18">
        <f>IF(COUNTIFS('HD Dump'!$U$2:$U$538,E$7,'HD Dump'!$R$2:$R$538,"&gt;="&amp;$B54-90,'HD Dump'!$R$2:$R$538,"&lt;="&amp;$B54)&gt;0,AVERAGEIFS('HD Dump'!$M$2:$M$538,'HD Dump'!$U$2:$U$538,E$7,'HD Dump'!$R$2:$R$538,"&gt;="&amp;$B54-90,'HD Dump'!$R$2:$R$538,"&lt;="&amp;$B54),V53)</f>
        <v/>
      </c>
      <c r="W54" s="18">
        <f>IF(COUNTIFS('HD Dump'!$U$2:$U$538,F$7,'HD Dump'!$R$2:$R$538,"&gt;="&amp;$B54-90,'HD Dump'!$R$2:$R$538,"&lt;="&amp;$B54)&gt;0,AVERAGEIFS('HD Dump'!$M$2:$M$538,'HD Dump'!$U$2:$U$538,F$7,'HD Dump'!$R$2:$R$538,"&gt;="&amp;$B54-90,'HD Dump'!$R$2:$R$538,"&lt;="&amp;$B54),W53)</f>
        <v/>
      </c>
      <c r="X54" s="18">
        <f>IF(COUNTIFS('HD Dump'!$U$2:$U$538,G$7,'HD Dump'!$R$2:$R$538,"&gt;="&amp;$B54-90,'HD Dump'!$R$2:$R$538,"&lt;="&amp;$B54)&gt;0,AVERAGEIFS('HD Dump'!$M$2:$M$538,'HD Dump'!$U$2:$U$538,G$7,'HD Dump'!$R$2:$R$538,"&gt;="&amp;$B54-90,'HD Dump'!$R$2:$R$538,"&lt;="&amp;$B54),X53)</f>
        <v/>
      </c>
      <c r="Y54" s="18">
        <f>IF(COUNTIFS('HD Dump'!$U$2:$U$538,H$7,'HD Dump'!$R$2:$R$538,"&gt;="&amp;$B54-90,'HD Dump'!$R$2:$R$538,"&lt;="&amp;$B54)&gt;0,AVERAGEIFS('HD Dump'!$M$2:$M$538,'HD Dump'!$U$2:$U$538,H$7,'HD Dump'!$R$2:$R$538,"&gt;="&amp;$B54-90,'HD Dump'!$R$2:$R$538,"&lt;="&amp;$B54),Y53)</f>
        <v/>
      </c>
      <c r="Z54" s="18">
        <f>IF(COUNTIFS('HD Dump'!$U$2:$U$538,I$7,'HD Dump'!$R$2:$R$538,"&gt;="&amp;$B54-90,'HD Dump'!$R$2:$R$538,"&lt;="&amp;$B54)&gt;0,AVERAGEIFS('HD Dump'!$M$2:$M$538,'HD Dump'!$U$2:$U$538,I$7,'HD Dump'!$R$2:$R$538,"&gt;="&amp;$B54-90,'HD Dump'!$R$2:$R$538,"&lt;="&amp;$B54),Z53)</f>
        <v/>
      </c>
      <c r="AA54" s="18">
        <f>IF(COUNTIFS('HD Dump'!$U$2:$U$538,J$7,'HD Dump'!$R$2:$R$538,"&gt;="&amp;$B54-90,'HD Dump'!$R$2:$R$538,"&lt;="&amp;$B54)&gt;0,AVERAGEIFS('HD Dump'!$M$2:$M$538,'HD Dump'!$U$2:$U$538,J$7,'HD Dump'!$R$2:$R$538,"&gt;="&amp;$B54-90,'HD Dump'!$R$2:$R$538,"&lt;="&amp;$B54),AA53)</f>
        <v/>
      </c>
      <c r="AB54" s="18">
        <f>IF(COUNTIFS('HD Dump'!$U$2:$U$538,K$7,'HD Dump'!$R$2:$R$538,"&gt;="&amp;$B54-90,'HD Dump'!$R$2:$R$538,"&lt;="&amp;$B54)&gt;0,AVERAGEIFS('HD Dump'!$M$2:$M$538,'HD Dump'!$U$2:$U$538,K$7,'HD Dump'!$R$2:$R$538,"&gt;="&amp;$B54-90,'HD Dump'!$R$2:$R$538,"&lt;="&amp;$B54),AB53)</f>
        <v/>
      </c>
      <c r="AD54" s="18">
        <f>IF(COUNTIFS('HD Dump'!$U$2:$U$538,C$7,'HD Dump'!$R$2:$R$538,"&gt;="&amp;$B54-90,'HD Dump'!$R$2:$R$538,"&lt;="&amp;$B54)&gt;0,AVERAGEIFS('HD Dump'!$O$2:$O$538,'HD Dump'!$U$2:$U$538,C$7,'HD Dump'!$R$2:$R$538,"&gt;="&amp;$B54-90,'HD Dump'!$R$2:$R$538,"&lt;="&amp;$B54),AD53)</f>
        <v/>
      </c>
      <c r="AE54" s="18">
        <f>IF(COUNTIFS('HD Dump'!$U$2:$U$538,D$7,'HD Dump'!$R$2:$R$538,"&gt;="&amp;$B54-90,'HD Dump'!$R$2:$R$538,"&lt;="&amp;$B54)&gt;0,AVERAGEIFS('HD Dump'!$O$2:$O$538,'HD Dump'!$U$2:$U$538,D$7,'HD Dump'!$R$2:$R$538,"&gt;="&amp;$B54-90,'HD Dump'!$R$2:$R$538,"&lt;="&amp;$B54),AE53)</f>
        <v/>
      </c>
      <c r="AF54" s="18">
        <f>IF(COUNTIFS('HD Dump'!$U$2:$U$538,E$7,'HD Dump'!$R$2:$R$538,"&gt;="&amp;$B54-90,'HD Dump'!$R$2:$R$538,"&lt;="&amp;$B54)&gt;0,AVERAGEIFS('HD Dump'!$O$2:$O$538,'HD Dump'!$U$2:$U$538,E$7,'HD Dump'!$R$2:$R$538,"&gt;="&amp;$B54-90,'HD Dump'!$R$2:$R$538,"&lt;="&amp;$B54),AF53)</f>
        <v/>
      </c>
      <c r="AG54" s="18">
        <f>IF(COUNTIFS('HD Dump'!$U$2:$U$538,F$7,'HD Dump'!$R$2:$R$538,"&gt;="&amp;$B54-90,'HD Dump'!$R$2:$R$538,"&lt;="&amp;$B54)&gt;0,AVERAGEIFS('HD Dump'!$O$2:$O$538,'HD Dump'!$U$2:$U$538,F$7,'HD Dump'!$R$2:$R$538,"&gt;="&amp;$B54-90,'HD Dump'!$R$2:$R$538,"&lt;="&amp;$B54),AG53)</f>
        <v/>
      </c>
      <c r="AH54" s="18">
        <f>IF(COUNTIFS('HD Dump'!$U$2:$U$538,G$7,'HD Dump'!$R$2:$R$538,"&gt;="&amp;$B54-90,'HD Dump'!$R$2:$R$538,"&lt;="&amp;$B54)&gt;0,AVERAGEIFS('HD Dump'!$O$2:$O$538,'HD Dump'!$U$2:$U$538,G$7,'HD Dump'!$R$2:$R$538,"&gt;="&amp;$B54-90,'HD Dump'!$R$2:$R$538,"&lt;="&amp;$B54),AH53)</f>
        <v/>
      </c>
      <c r="AI54" s="18">
        <f>IF(COUNTIFS('HD Dump'!$U$2:$U$538,H$7,'HD Dump'!$R$2:$R$538,"&gt;="&amp;$B54-90,'HD Dump'!$R$2:$R$538,"&lt;="&amp;$B54)&gt;0,AVERAGEIFS('HD Dump'!$O$2:$O$538,'HD Dump'!$U$2:$U$538,H$7,'HD Dump'!$R$2:$R$538,"&gt;="&amp;$B54-90,'HD Dump'!$R$2:$R$538,"&lt;="&amp;$B54),AI53)</f>
        <v/>
      </c>
      <c r="AJ54" s="18">
        <f>IF(COUNTIFS('HD Dump'!$U$2:$U$538,I$7,'HD Dump'!$R$2:$R$538,"&gt;="&amp;$B54-90,'HD Dump'!$R$2:$R$538,"&lt;="&amp;$B54)&gt;0,AVERAGEIFS('HD Dump'!$O$2:$O$538,'HD Dump'!$U$2:$U$538,I$7,'HD Dump'!$R$2:$R$538,"&gt;="&amp;$B54-90,'HD Dump'!$R$2:$R$538,"&lt;="&amp;$B54),AJ53)</f>
        <v/>
      </c>
      <c r="AK54" s="18">
        <f>IF(COUNTIFS('HD Dump'!$U$2:$U$538,J$7,'HD Dump'!$R$2:$R$538,"&gt;="&amp;$B54-90,'HD Dump'!$R$2:$R$538,"&lt;="&amp;$B54)&gt;0,AVERAGEIFS('HD Dump'!$O$2:$O$538,'HD Dump'!$U$2:$U$538,J$7,'HD Dump'!$R$2:$R$538,"&gt;="&amp;$B54-90,'HD Dump'!$R$2:$R$538,"&lt;="&amp;$B54),AK53)</f>
        <v/>
      </c>
      <c r="AL54" s="18">
        <f>IF(COUNTIFS('HD Dump'!$U$2:$U$538,K$7,'HD Dump'!$R$2:$R$538,"&gt;="&amp;$B54-90,'HD Dump'!$R$2:$R$538,"&lt;="&amp;$B54)&gt;0,AVERAGEIFS('HD Dump'!$O$2:$O$538,'HD Dump'!$U$2:$U$538,K$7,'HD Dump'!$R$2:$R$538,"&gt;="&amp;$B54-90,'HD Dump'!$R$2:$R$538,"&lt;="&amp;$B54),AL53)</f>
        <v/>
      </c>
      <c r="AN54">
        <f>IFERROR(SUMPRODUCT((TEXT('RR Dump'!$L$2:$L$361,"yyyy-mm")=TEXT($B54,"yyyy-mm"))*((RRA!$A$109:$A$468=1)*RRA!$F$20+(RRA!$A$109:$A$468=2)*RRA!$F$21+(RRA!$A$109:$A$468=3)*RRA!$F$22+(RRA!$A$109:$A$468=4)*RRA!$F$23))/SUMPRODUCT((TEXT('RR Dump'!$L$2:$L$361,"yyyy-mm")=TEXT($B54,"yyyy-mm"))*1),0)</f>
        <v/>
      </c>
      <c r="AO54">
        <f>IFERROR(SUMPRODUCT((TEXT('RR Dump'!$L$2:$L$361,"yyyy-mm")=TEXT($B54,"yyyy-mm"))*((RRA!$A$109:$A$468=1)*RRA!$F$25+(RRA!$A$109:$A$468=2)*RRA!$F$26+(RRA!$A$109:$A$468=3)*RRA!$F$27+(RRA!$A$109:$A$468=4)*RRA!$F$28))/SUMPRODUCT((TEXT('RR Dump'!$L$2:$L$361,"yyyy-mm")=TEXT($B54,"yyyy-mm"))*1),0)</f>
        <v/>
      </c>
    </row>
    <row r="55">
      <c r="B55" s="9" t="n">
        <v>46843</v>
      </c>
      <c r="C55" s="19" t="inlineStr">
        <is>
          <t>Projected</t>
        </is>
      </c>
      <c r="D55" s="20">
        <f>IFERROR(INDEX(RRA!$E$48:$EX$48,MATCH($B55,RRA!$E$33:$EX$33,0))/360,"")</f>
        <v/>
      </c>
      <c r="E55" s="20" t="n"/>
      <c r="F55" s="20">
        <f>IFERROR((INDEX(RRA!$E$49:$EX$49,MATCH($B55,RRA!$E$33:$EX$33,0))/360*360-(1-$F55)*360*$D55)/($F55*360),"")</f>
        <v/>
      </c>
      <c r="G55" s="21">
        <f>IFERROR('Cash Flow (Annual)'!$L$14,"")</f>
        <v/>
      </c>
      <c r="H55" s="22">
        <f>IFERROR($F55/$D55-1,"")</f>
        <v/>
      </c>
      <c r="I55" s="20">
        <f>SUMPRODUCT((TEXT('RR Dump'!$L$2:$L$361,"yyyy-mm")=TEXT($B55,"yyyy-mm"))*((RRA!$A$109:$A$468=1)*RRA!$F$15+(RRA!$A$109:$A$468=2)*RRA!$F$16+(RRA!$A$109:$A$468=3)*RRA!$F$17+(RRA!$A$109:$A$468=4)*RRA!$F$18))+SUMPRODUCT((TEXT(EDATE(N('RR Dump'!$L$2:$L$361),RRA!$D$4),"yyyy-mm")=TEXT($B55,"yyyy-mm"))*((RRA!$A$109:$A$468=1)*RRA!$F$15+(RRA!$A$109:$A$468=2)*RRA!$F$16+(RRA!$A$109:$A$468=3)*RRA!$F$17+(RRA!$A$109:$A$468=4)*RRA!$F$18))</f>
        <v/>
      </c>
      <c r="J55" s="23">
        <f>IFERROR($L55-$J55,"")</f>
        <v/>
      </c>
      <c r="K55" s="20">
        <f>IFERROR($K55,"")</f>
        <v/>
      </c>
      <c r="L55" s="23">
        <f>SUMPRODUCT((TEXT('RR Dump'!$L$2:$L$361,"yyyy-mm")=TEXT($B55,"yyyy-mm"))*1)+SUMPRODUCT((TEXT(EDATE(N('RR Dump'!$L$2:$L$361),RRA!$D$4),"yyyy-mm")=TEXT($B55,"yyyy-mm"))*1)</f>
        <v/>
      </c>
      <c r="M55" s="20">
        <f>IFERROR(SUMPRODUCT((TEXT('RR Dump'!$L$2:$L$361,"yyyy-mm")=TEXT($B55,"yyyy-mm"))*N('RR Dump'!$I$2:$I$361))/SUMPRODUCT((TEXT('RR Dump'!$L$2:$L$361,"yyyy-mm")=TEXT($B55,"yyyy-mm"))*1),"")</f>
        <v/>
      </c>
      <c r="N55" s="20">
        <f>IFERROR(MAX($M55+AN55*($D55-$M55),$M55*(1+AO55)),"")</f>
        <v/>
      </c>
      <c r="O55" s="22">
        <f>IFERROR($N55/$M55-1,"")</f>
        <v/>
      </c>
      <c r="P55" s="20">
        <f>IFERROR($D55,"")</f>
        <v/>
      </c>
      <c r="T55" s="18">
        <f>IF(COUNTIFS('HD Dump'!$U$2:$U$538,C$7,'HD Dump'!$R$2:$R$538,"&gt;="&amp;$B55-90,'HD Dump'!$R$2:$R$538,"&lt;="&amp;$B55)&gt;0,AVERAGEIFS('HD Dump'!$M$2:$M$538,'HD Dump'!$U$2:$U$538,C$7,'HD Dump'!$R$2:$R$538,"&gt;="&amp;$B55-90,'HD Dump'!$R$2:$R$538,"&lt;="&amp;$B55),T54)</f>
        <v/>
      </c>
      <c r="U55" s="18">
        <f>IF(COUNTIFS('HD Dump'!$U$2:$U$538,D$7,'HD Dump'!$R$2:$R$538,"&gt;="&amp;$B55-90,'HD Dump'!$R$2:$R$538,"&lt;="&amp;$B55)&gt;0,AVERAGEIFS('HD Dump'!$M$2:$M$538,'HD Dump'!$U$2:$U$538,D$7,'HD Dump'!$R$2:$R$538,"&gt;="&amp;$B55-90,'HD Dump'!$R$2:$R$538,"&lt;="&amp;$B55),U54)</f>
        <v/>
      </c>
      <c r="V55" s="18">
        <f>IF(COUNTIFS('HD Dump'!$U$2:$U$538,E$7,'HD Dump'!$R$2:$R$538,"&gt;="&amp;$B55-90,'HD Dump'!$R$2:$R$538,"&lt;="&amp;$B55)&gt;0,AVERAGEIFS('HD Dump'!$M$2:$M$538,'HD Dump'!$U$2:$U$538,E$7,'HD Dump'!$R$2:$R$538,"&gt;="&amp;$B55-90,'HD Dump'!$R$2:$R$538,"&lt;="&amp;$B55),V54)</f>
        <v/>
      </c>
      <c r="W55" s="18">
        <f>IF(COUNTIFS('HD Dump'!$U$2:$U$538,F$7,'HD Dump'!$R$2:$R$538,"&gt;="&amp;$B55-90,'HD Dump'!$R$2:$R$538,"&lt;="&amp;$B55)&gt;0,AVERAGEIFS('HD Dump'!$M$2:$M$538,'HD Dump'!$U$2:$U$538,F$7,'HD Dump'!$R$2:$R$538,"&gt;="&amp;$B55-90,'HD Dump'!$R$2:$R$538,"&lt;="&amp;$B55),W54)</f>
        <v/>
      </c>
      <c r="X55" s="18">
        <f>IF(COUNTIFS('HD Dump'!$U$2:$U$538,G$7,'HD Dump'!$R$2:$R$538,"&gt;="&amp;$B55-90,'HD Dump'!$R$2:$R$538,"&lt;="&amp;$B55)&gt;0,AVERAGEIFS('HD Dump'!$M$2:$M$538,'HD Dump'!$U$2:$U$538,G$7,'HD Dump'!$R$2:$R$538,"&gt;="&amp;$B55-90,'HD Dump'!$R$2:$R$538,"&lt;="&amp;$B55),X54)</f>
        <v/>
      </c>
      <c r="Y55" s="18">
        <f>IF(COUNTIFS('HD Dump'!$U$2:$U$538,H$7,'HD Dump'!$R$2:$R$538,"&gt;="&amp;$B55-90,'HD Dump'!$R$2:$R$538,"&lt;="&amp;$B55)&gt;0,AVERAGEIFS('HD Dump'!$M$2:$M$538,'HD Dump'!$U$2:$U$538,H$7,'HD Dump'!$R$2:$R$538,"&gt;="&amp;$B55-90,'HD Dump'!$R$2:$R$538,"&lt;="&amp;$B55),Y54)</f>
        <v/>
      </c>
      <c r="Z55" s="18">
        <f>IF(COUNTIFS('HD Dump'!$U$2:$U$538,I$7,'HD Dump'!$R$2:$R$538,"&gt;="&amp;$B55-90,'HD Dump'!$R$2:$R$538,"&lt;="&amp;$B55)&gt;0,AVERAGEIFS('HD Dump'!$M$2:$M$538,'HD Dump'!$U$2:$U$538,I$7,'HD Dump'!$R$2:$R$538,"&gt;="&amp;$B55-90,'HD Dump'!$R$2:$R$538,"&lt;="&amp;$B55),Z54)</f>
        <v/>
      </c>
      <c r="AA55" s="18">
        <f>IF(COUNTIFS('HD Dump'!$U$2:$U$538,J$7,'HD Dump'!$R$2:$R$538,"&gt;="&amp;$B55-90,'HD Dump'!$R$2:$R$538,"&lt;="&amp;$B55)&gt;0,AVERAGEIFS('HD Dump'!$M$2:$M$538,'HD Dump'!$U$2:$U$538,J$7,'HD Dump'!$R$2:$R$538,"&gt;="&amp;$B55-90,'HD Dump'!$R$2:$R$538,"&lt;="&amp;$B55),AA54)</f>
        <v/>
      </c>
      <c r="AB55" s="18">
        <f>IF(COUNTIFS('HD Dump'!$U$2:$U$538,K$7,'HD Dump'!$R$2:$R$538,"&gt;="&amp;$B55-90,'HD Dump'!$R$2:$R$538,"&lt;="&amp;$B55)&gt;0,AVERAGEIFS('HD Dump'!$M$2:$M$538,'HD Dump'!$U$2:$U$538,K$7,'HD Dump'!$R$2:$R$538,"&gt;="&amp;$B55-90,'HD Dump'!$R$2:$R$538,"&lt;="&amp;$B55),AB54)</f>
        <v/>
      </c>
      <c r="AD55" s="18">
        <f>IF(COUNTIFS('HD Dump'!$U$2:$U$538,C$7,'HD Dump'!$R$2:$R$538,"&gt;="&amp;$B55-90,'HD Dump'!$R$2:$R$538,"&lt;="&amp;$B55)&gt;0,AVERAGEIFS('HD Dump'!$O$2:$O$538,'HD Dump'!$U$2:$U$538,C$7,'HD Dump'!$R$2:$R$538,"&gt;="&amp;$B55-90,'HD Dump'!$R$2:$R$538,"&lt;="&amp;$B55),AD54)</f>
        <v/>
      </c>
      <c r="AE55" s="18">
        <f>IF(COUNTIFS('HD Dump'!$U$2:$U$538,D$7,'HD Dump'!$R$2:$R$538,"&gt;="&amp;$B55-90,'HD Dump'!$R$2:$R$538,"&lt;="&amp;$B55)&gt;0,AVERAGEIFS('HD Dump'!$O$2:$O$538,'HD Dump'!$U$2:$U$538,D$7,'HD Dump'!$R$2:$R$538,"&gt;="&amp;$B55-90,'HD Dump'!$R$2:$R$538,"&lt;="&amp;$B55),AE54)</f>
        <v/>
      </c>
      <c r="AF55" s="18">
        <f>IF(COUNTIFS('HD Dump'!$U$2:$U$538,E$7,'HD Dump'!$R$2:$R$538,"&gt;="&amp;$B55-90,'HD Dump'!$R$2:$R$538,"&lt;="&amp;$B55)&gt;0,AVERAGEIFS('HD Dump'!$O$2:$O$538,'HD Dump'!$U$2:$U$538,E$7,'HD Dump'!$R$2:$R$538,"&gt;="&amp;$B55-90,'HD Dump'!$R$2:$R$538,"&lt;="&amp;$B55),AF54)</f>
        <v/>
      </c>
      <c r="AG55" s="18">
        <f>IF(COUNTIFS('HD Dump'!$U$2:$U$538,F$7,'HD Dump'!$R$2:$R$538,"&gt;="&amp;$B55-90,'HD Dump'!$R$2:$R$538,"&lt;="&amp;$B55)&gt;0,AVERAGEIFS('HD Dump'!$O$2:$O$538,'HD Dump'!$U$2:$U$538,F$7,'HD Dump'!$R$2:$R$538,"&gt;="&amp;$B55-90,'HD Dump'!$R$2:$R$538,"&lt;="&amp;$B55),AG54)</f>
        <v/>
      </c>
      <c r="AH55" s="18">
        <f>IF(COUNTIFS('HD Dump'!$U$2:$U$538,G$7,'HD Dump'!$R$2:$R$538,"&gt;="&amp;$B55-90,'HD Dump'!$R$2:$R$538,"&lt;="&amp;$B55)&gt;0,AVERAGEIFS('HD Dump'!$O$2:$O$538,'HD Dump'!$U$2:$U$538,G$7,'HD Dump'!$R$2:$R$538,"&gt;="&amp;$B55-90,'HD Dump'!$R$2:$R$538,"&lt;="&amp;$B55),AH54)</f>
        <v/>
      </c>
      <c r="AI55" s="18">
        <f>IF(COUNTIFS('HD Dump'!$U$2:$U$538,H$7,'HD Dump'!$R$2:$R$538,"&gt;="&amp;$B55-90,'HD Dump'!$R$2:$R$538,"&lt;="&amp;$B55)&gt;0,AVERAGEIFS('HD Dump'!$O$2:$O$538,'HD Dump'!$U$2:$U$538,H$7,'HD Dump'!$R$2:$R$538,"&gt;="&amp;$B55-90,'HD Dump'!$R$2:$R$538,"&lt;="&amp;$B55),AI54)</f>
        <v/>
      </c>
      <c r="AJ55" s="18">
        <f>IF(COUNTIFS('HD Dump'!$U$2:$U$538,I$7,'HD Dump'!$R$2:$R$538,"&gt;="&amp;$B55-90,'HD Dump'!$R$2:$R$538,"&lt;="&amp;$B55)&gt;0,AVERAGEIFS('HD Dump'!$O$2:$O$538,'HD Dump'!$U$2:$U$538,I$7,'HD Dump'!$R$2:$R$538,"&gt;="&amp;$B55-90,'HD Dump'!$R$2:$R$538,"&lt;="&amp;$B55),AJ54)</f>
        <v/>
      </c>
      <c r="AK55" s="18">
        <f>IF(COUNTIFS('HD Dump'!$U$2:$U$538,J$7,'HD Dump'!$R$2:$R$538,"&gt;="&amp;$B55-90,'HD Dump'!$R$2:$R$538,"&lt;="&amp;$B55)&gt;0,AVERAGEIFS('HD Dump'!$O$2:$O$538,'HD Dump'!$U$2:$U$538,J$7,'HD Dump'!$R$2:$R$538,"&gt;="&amp;$B55-90,'HD Dump'!$R$2:$R$538,"&lt;="&amp;$B55),AK54)</f>
        <v/>
      </c>
      <c r="AL55" s="18">
        <f>IF(COUNTIFS('HD Dump'!$U$2:$U$538,K$7,'HD Dump'!$R$2:$R$538,"&gt;="&amp;$B55-90,'HD Dump'!$R$2:$R$538,"&lt;="&amp;$B55)&gt;0,AVERAGEIFS('HD Dump'!$O$2:$O$538,'HD Dump'!$U$2:$U$538,K$7,'HD Dump'!$R$2:$R$538,"&gt;="&amp;$B55-90,'HD Dump'!$R$2:$R$538,"&lt;="&amp;$B55),AL54)</f>
        <v/>
      </c>
      <c r="AN55">
        <f>IFERROR(SUMPRODUCT((TEXT('RR Dump'!$L$2:$L$361,"yyyy-mm")=TEXT($B55,"yyyy-mm"))*((RRA!$A$109:$A$468=1)*RRA!$F$20+(RRA!$A$109:$A$468=2)*RRA!$F$21+(RRA!$A$109:$A$468=3)*RRA!$F$22+(RRA!$A$109:$A$468=4)*RRA!$F$23))/SUMPRODUCT((TEXT('RR Dump'!$L$2:$L$361,"yyyy-mm")=TEXT($B55,"yyyy-mm"))*1),0)</f>
        <v/>
      </c>
      <c r="AO55">
        <f>IFERROR(SUMPRODUCT((TEXT('RR Dump'!$L$2:$L$361,"yyyy-mm")=TEXT($B55,"yyyy-mm"))*((RRA!$A$109:$A$468=1)*RRA!$F$25+(RRA!$A$109:$A$468=2)*RRA!$F$26+(RRA!$A$109:$A$468=3)*RRA!$F$27+(RRA!$A$109:$A$468=4)*RRA!$F$28))/SUMPRODUCT((TEXT('RR Dump'!$L$2:$L$361,"yyyy-mm")=TEXT($B55,"yyyy-mm"))*1),0)</f>
        <v/>
      </c>
    </row>
    <row r="56">
      <c r="B56" s="9" t="n">
        <v>46873</v>
      </c>
      <c r="C56" s="19" t="inlineStr">
        <is>
          <t>Projected</t>
        </is>
      </c>
      <c r="D56" s="20">
        <f>IFERROR(INDEX(RRA!$E$48:$EX$48,MATCH($B56,RRA!$E$33:$EX$33,0))/360,"")</f>
        <v/>
      </c>
      <c r="E56" s="20" t="n"/>
      <c r="F56" s="20">
        <f>IFERROR((INDEX(RRA!$E$49:$EX$49,MATCH($B56,RRA!$E$33:$EX$33,0))/360*360-(1-$F56)*360*$D56)/($F56*360),"")</f>
        <v/>
      </c>
      <c r="G56" s="21">
        <f>IFERROR('Cash Flow (Annual)'!$L$14,"")</f>
        <v/>
      </c>
      <c r="H56" s="22">
        <f>IFERROR($F56/$D56-1,"")</f>
        <v/>
      </c>
      <c r="I56" s="20">
        <f>SUMPRODUCT((TEXT('RR Dump'!$L$2:$L$361,"yyyy-mm")=TEXT($B56,"yyyy-mm"))*((RRA!$A$109:$A$468=1)*RRA!$F$15+(RRA!$A$109:$A$468=2)*RRA!$F$16+(RRA!$A$109:$A$468=3)*RRA!$F$17+(RRA!$A$109:$A$468=4)*RRA!$F$18))+SUMPRODUCT((TEXT(EDATE(N('RR Dump'!$L$2:$L$361),RRA!$D$4),"yyyy-mm")=TEXT($B56,"yyyy-mm"))*((RRA!$A$109:$A$468=1)*RRA!$F$15+(RRA!$A$109:$A$468=2)*RRA!$F$16+(RRA!$A$109:$A$468=3)*RRA!$F$17+(RRA!$A$109:$A$468=4)*RRA!$F$18))</f>
        <v/>
      </c>
      <c r="J56" s="23">
        <f>IFERROR($L56-$J56,"")</f>
        <v/>
      </c>
      <c r="K56" s="20">
        <f>IFERROR($K56,"")</f>
        <v/>
      </c>
      <c r="L56" s="23">
        <f>SUMPRODUCT((TEXT('RR Dump'!$L$2:$L$361,"yyyy-mm")=TEXT($B56,"yyyy-mm"))*1)+SUMPRODUCT((TEXT(EDATE(N('RR Dump'!$L$2:$L$361),RRA!$D$4),"yyyy-mm")=TEXT($B56,"yyyy-mm"))*1)</f>
        <v/>
      </c>
      <c r="M56" s="20">
        <f>IFERROR(SUMPRODUCT((TEXT('RR Dump'!$L$2:$L$361,"yyyy-mm")=TEXT($B56,"yyyy-mm"))*N('RR Dump'!$I$2:$I$361))/SUMPRODUCT((TEXT('RR Dump'!$L$2:$L$361,"yyyy-mm")=TEXT($B56,"yyyy-mm"))*1),"")</f>
        <v/>
      </c>
      <c r="N56" s="20">
        <f>IFERROR(MAX($M56+AN56*($D56-$M56),$M56*(1+AO56)),"")</f>
        <v/>
      </c>
      <c r="O56" s="22">
        <f>IFERROR($N56/$M56-1,"")</f>
        <v/>
      </c>
      <c r="P56" s="20">
        <f>IFERROR($D56,"")</f>
        <v/>
      </c>
      <c r="T56" s="18">
        <f>IF(COUNTIFS('HD Dump'!$U$2:$U$538,C$7,'HD Dump'!$R$2:$R$538,"&gt;="&amp;$B56-90,'HD Dump'!$R$2:$R$538,"&lt;="&amp;$B56)&gt;0,AVERAGEIFS('HD Dump'!$M$2:$M$538,'HD Dump'!$U$2:$U$538,C$7,'HD Dump'!$R$2:$R$538,"&gt;="&amp;$B56-90,'HD Dump'!$R$2:$R$538,"&lt;="&amp;$B56),T55)</f>
        <v/>
      </c>
      <c r="U56" s="18">
        <f>IF(COUNTIFS('HD Dump'!$U$2:$U$538,D$7,'HD Dump'!$R$2:$R$538,"&gt;="&amp;$B56-90,'HD Dump'!$R$2:$R$538,"&lt;="&amp;$B56)&gt;0,AVERAGEIFS('HD Dump'!$M$2:$M$538,'HD Dump'!$U$2:$U$538,D$7,'HD Dump'!$R$2:$R$538,"&gt;="&amp;$B56-90,'HD Dump'!$R$2:$R$538,"&lt;="&amp;$B56),U55)</f>
        <v/>
      </c>
      <c r="V56" s="18">
        <f>IF(COUNTIFS('HD Dump'!$U$2:$U$538,E$7,'HD Dump'!$R$2:$R$538,"&gt;="&amp;$B56-90,'HD Dump'!$R$2:$R$538,"&lt;="&amp;$B56)&gt;0,AVERAGEIFS('HD Dump'!$M$2:$M$538,'HD Dump'!$U$2:$U$538,E$7,'HD Dump'!$R$2:$R$538,"&gt;="&amp;$B56-90,'HD Dump'!$R$2:$R$538,"&lt;="&amp;$B56),V55)</f>
        <v/>
      </c>
      <c r="W56" s="18">
        <f>IF(COUNTIFS('HD Dump'!$U$2:$U$538,F$7,'HD Dump'!$R$2:$R$538,"&gt;="&amp;$B56-90,'HD Dump'!$R$2:$R$538,"&lt;="&amp;$B56)&gt;0,AVERAGEIFS('HD Dump'!$M$2:$M$538,'HD Dump'!$U$2:$U$538,F$7,'HD Dump'!$R$2:$R$538,"&gt;="&amp;$B56-90,'HD Dump'!$R$2:$R$538,"&lt;="&amp;$B56),W55)</f>
        <v/>
      </c>
      <c r="X56" s="18">
        <f>IF(COUNTIFS('HD Dump'!$U$2:$U$538,G$7,'HD Dump'!$R$2:$R$538,"&gt;="&amp;$B56-90,'HD Dump'!$R$2:$R$538,"&lt;="&amp;$B56)&gt;0,AVERAGEIFS('HD Dump'!$M$2:$M$538,'HD Dump'!$U$2:$U$538,G$7,'HD Dump'!$R$2:$R$538,"&gt;="&amp;$B56-90,'HD Dump'!$R$2:$R$538,"&lt;="&amp;$B56),X55)</f>
        <v/>
      </c>
      <c r="Y56" s="18">
        <f>IF(COUNTIFS('HD Dump'!$U$2:$U$538,H$7,'HD Dump'!$R$2:$R$538,"&gt;="&amp;$B56-90,'HD Dump'!$R$2:$R$538,"&lt;="&amp;$B56)&gt;0,AVERAGEIFS('HD Dump'!$M$2:$M$538,'HD Dump'!$U$2:$U$538,H$7,'HD Dump'!$R$2:$R$538,"&gt;="&amp;$B56-90,'HD Dump'!$R$2:$R$538,"&lt;="&amp;$B56),Y55)</f>
        <v/>
      </c>
      <c r="Z56" s="18">
        <f>IF(COUNTIFS('HD Dump'!$U$2:$U$538,I$7,'HD Dump'!$R$2:$R$538,"&gt;="&amp;$B56-90,'HD Dump'!$R$2:$R$538,"&lt;="&amp;$B56)&gt;0,AVERAGEIFS('HD Dump'!$M$2:$M$538,'HD Dump'!$U$2:$U$538,I$7,'HD Dump'!$R$2:$R$538,"&gt;="&amp;$B56-90,'HD Dump'!$R$2:$R$538,"&lt;="&amp;$B56),Z55)</f>
        <v/>
      </c>
      <c r="AA56" s="18">
        <f>IF(COUNTIFS('HD Dump'!$U$2:$U$538,J$7,'HD Dump'!$R$2:$R$538,"&gt;="&amp;$B56-90,'HD Dump'!$R$2:$R$538,"&lt;="&amp;$B56)&gt;0,AVERAGEIFS('HD Dump'!$M$2:$M$538,'HD Dump'!$U$2:$U$538,J$7,'HD Dump'!$R$2:$R$538,"&gt;="&amp;$B56-90,'HD Dump'!$R$2:$R$538,"&lt;="&amp;$B56),AA55)</f>
        <v/>
      </c>
      <c r="AB56" s="18">
        <f>IF(COUNTIFS('HD Dump'!$U$2:$U$538,K$7,'HD Dump'!$R$2:$R$538,"&gt;="&amp;$B56-90,'HD Dump'!$R$2:$R$538,"&lt;="&amp;$B56)&gt;0,AVERAGEIFS('HD Dump'!$M$2:$M$538,'HD Dump'!$U$2:$U$538,K$7,'HD Dump'!$R$2:$R$538,"&gt;="&amp;$B56-90,'HD Dump'!$R$2:$R$538,"&lt;="&amp;$B56),AB55)</f>
        <v/>
      </c>
      <c r="AD56" s="18">
        <f>IF(COUNTIFS('HD Dump'!$U$2:$U$538,C$7,'HD Dump'!$R$2:$R$538,"&gt;="&amp;$B56-90,'HD Dump'!$R$2:$R$538,"&lt;="&amp;$B56)&gt;0,AVERAGEIFS('HD Dump'!$O$2:$O$538,'HD Dump'!$U$2:$U$538,C$7,'HD Dump'!$R$2:$R$538,"&gt;="&amp;$B56-90,'HD Dump'!$R$2:$R$538,"&lt;="&amp;$B56),AD55)</f>
        <v/>
      </c>
      <c r="AE56" s="18">
        <f>IF(COUNTIFS('HD Dump'!$U$2:$U$538,D$7,'HD Dump'!$R$2:$R$538,"&gt;="&amp;$B56-90,'HD Dump'!$R$2:$R$538,"&lt;="&amp;$B56)&gt;0,AVERAGEIFS('HD Dump'!$O$2:$O$538,'HD Dump'!$U$2:$U$538,D$7,'HD Dump'!$R$2:$R$538,"&gt;="&amp;$B56-90,'HD Dump'!$R$2:$R$538,"&lt;="&amp;$B56),AE55)</f>
        <v/>
      </c>
      <c r="AF56" s="18">
        <f>IF(COUNTIFS('HD Dump'!$U$2:$U$538,E$7,'HD Dump'!$R$2:$R$538,"&gt;="&amp;$B56-90,'HD Dump'!$R$2:$R$538,"&lt;="&amp;$B56)&gt;0,AVERAGEIFS('HD Dump'!$O$2:$O$538,'HD Dump'!$U$2:$U$538,E$7,'HD Dump'!$R$2:$R$538,"&gt;="&amp;$B56-90,'HD Dump'!$R$2:$R$538,"&lt;="&amp;$B56),AF55)</f>
        <v/>
      </c>
      <c r="AG56" s="18">
        <f>IF(COUNTIFS('HD Dump'!$U$2:$U$538,F$7,'HD Dump'!$R$2:$R$538,"&gt;="&amp;$B56-90,'HD Dump'!$R$2:$R$538,"&lt;="&amp;$B56)&gt;0,AVERAGEIFS('HD Dump'!$O$2:$O$538,'HD Dump'!$U$2:$U$538,F$7,'HD Dump'!$R$2:$R$538,"&gt;="&amp;$B56-90,'HD Dump'!$R$2:$R$538,"&lt;="&amp;$B56),AG55)</f>
        <v/>
      </c>
      <c r="AH56" s="18">
        <f>IF(COUNTIFS('HD Dump'!$U$2:$U$538,G$7,'HD Dump'!$R$2:$R$538,"&gt;="&amp;$B56-90,'HD Dump'!$R$2:$R$538,"&lt;="&amp;$B56)&gt;0,AVERAGEIFS('HD Dump'!$O$2:$O$538,'HD Dump'!$U$2:$U$538,G$7,'HD Dump'!$R$2:$R$538,"&gt;="&amp;$B56-90,'HD Dump'!$R$2:$R$538,"&lt;="&amp;$B56),AH55)</f>
        <v/>
      </c>
      <c r="AI56" s="18">
        <f>IF(COUNTIFS('HD Dump'!$U$2:$U$538,H$7,'HD Dump'!$R$2:$R$538,"&gt;="&amp;$B56-90,'HD Dump'!$R$2:$R$538,"&lt;="&amp;$B56)&gt;0,AVERAGEIFS('HD Dump'!$O$2:$O$538,'HD Dump'!$U$2:$U$538,H$7,'HD Dump'!$R$2:$R$538,"&gt;="&amp;$B56-90,'HD Dump'!$R$2:$R$538,"&lt;="&amp;$B56),AI55)</f>
        <v/>
      </c>
      <c r="AJ56" s="18">
        <f>IF(COUNTIFS('HD Dump'!$U$2:$U$538,I$7,'HD Dump'!$R$2:$R$538,"&gt;="&amp;$B56-90,'HD Dump'!$R$2:$R$538,"&lt;="&amp;$B56)&gt;0,AVERAGEIFS('HD Dump'!$O$2:$O$538,'HD Dump'!$U$2:$U$538,I$7,'HD Dump'!$R$2:$R$538,"&gt;="&amp;$B56-90,'HD Dump'!$R$2:$R$538,"&lt;="&amp;$B56),AJ55)</f>
        <v/>
      </c>
      <c r="AK56" s="18">
        <f>IF(COUNTIFS('HD Dump'!$U$2:$U$538,J$7,'HD Dump'!$R$2:$R$538,"&gt;="&amp;$B56-90,'HD Dump'!$R$2:$R$538,"&lt;="&amp;$B56)&gt;0,AVERAGEIFS('HD Dump'!$O$2:$O$538,'HD Dump'!$U$2:$U$538,J$7,'HD Dump'!$R$2:$R$538,"&gt;="&amp;$B56-90,'HD Dump'!$R$2:$R$538,"&lt;="&amp;$B56),AK55)</f>
        <v/>
      </c>
      <c r="AL56" s="18">
        <f>IF(COUNTIFS('HD Dump'!$U$2:$U$538,K$7,'HD Dump'!$R$2:$R$538,"&gt;="&amp;$B56-90,'HD Dump'!$R$2:$R$538,"&lt;="&amp;$B56)&gt;0,AVERAGEIFS('HD Dump'!$O$2:$O$538,'HD Dump'!$U$2:$U$538,K$7,'HD Dump'!$R$2:$R$538,"&gt;="&amp;$B56-90,'HD Dump'!$R$2:$R$538,"&lt;="&amp;$B56),AL55)</f>
        <v/>
      </c>
      <c r="AN56">
        <f>IFERROR(SUMPRODUCT((TEXT('RR Dump'!$L$2:$L$361,"yyyy-mm")=TEXT($B56,"yyyy-mm"))*((RRA!$A$109:$A$468=1)*RRA!$F$20+(RRA!$A$109:$A$468=2)*RRA!$F$21+(RRA!$A$109:$A$468=3)*RRA!$F$22+(RRA!$A$109:$A$468=4)*RRA!$F$23))/SUMPRODUCT((TEXT('RR Dump'!$L$2:$L$361,"yyyy-mm")=TEXT($B56,"yyyy-mm"))*1),0)</f>
        <v/>
      </c>
      <c r="AO56">
        <f>IFERROR(SUMPRODUCT((TEXT('RR Dump'!$L$2:$L$361,"yyyy-mm")=TEXT($B56,"yyyy-mm"))*((RRA!$A$109:$A$468=1)*RRA!$F$25+(RRA!$A$109:$A$468=2)*RRA!$F$26+(RRA!$A$109:$A$468=3)*RRA!$F$27+(RRA!$A$109:$A$468=4)*RRA!$F$28))/SUMPRODUCT((TEXT('RR Dump'!$L$2:$L$361,"yyyy-mm")=TEXT($B56,"yyyy-mm"))*1),0)</f>
        <v/>
      </c>
    </row>
    <row r="57">
      <c r="B57" s="9" t="n">
        <v>46904</v>
      </c>
      <c r="C57" s="19" t="inlineStr">
        <is>
          <t>Projected</t>
        </is>
      </c>
      <c r="D57" s="20">
        <f>IFERROR(INDEX(RRA!$E$48:$EX$48,MATCH($B57,RRA!$E$33:$EX$33,0))/360,"")</f>
        <v/>
      </c>
      <c r="E57" s="20" t="n"/>
      <c r="F57" s="20">
        <f>IFERROR((INDEX(RRA!$E$49:$EX$49,MATCH($B57,RRA!$E$33:$EX$33,0))/360*360-(1-$F57)*360*$D57)/($F57*360),"")</f>
        <v/>
      </c>
      <c r="G57" s="21">
        <f>IFERROR('Cash Flow (Annual)'!$L$14,"")</f>
        <v/>
      </c>
      <c r="H57" s="22">
        <f>IFERROR($F57/$D57-1,"")</f>
        <v/>
      </c>
      <c r="I57" s="20">
        <f>SUMPRODUCT((TEXT('RR Dump'!$L$2:$L$361,"yyyy-mm")=TEXT($B57,"yyyy-mm"))*((RRA!$A$109:$A$468=1)*RRA!$F$15+(RRA!$A$109:$A$468=2)*RRA!$F$16+(RRA!$A$109:$A$468=3)*RRA!$F$17+(RRA!$A$109:$A$468=4)*RRA!$F$18))+SUMPRODUCT((TEXT(EDATE(N('RR Dump'!$L$2:$L$361),RRA!$D$4),"yyyy-mm")=TEXT($B57,"yyyy-mm"))*((RRA!$A$109:$A$468=1)*RRA!$F$15+(RRA!$A$109:$A$468=2)*RRA!$F$16+(RRA!$A$109:$A$468=3)*RRA!$F$17+(RRA!$A$109:$A$468=4)*RRA!$F$18))</f>
        <v/>
      </c>
      <c r="J57" s="23">
        <f>IFERROR($L57-$J57,"")</f>
        <v/>
      </c>
      <c r="K57" s="20">
        <f>IFERROR($K57,"")</f>
        <v/>
      </c>
      <c r="L57" s="23">
        <f>SUMPRODUCT((TEXT('RR Dump'!$L$2:$L$361,"yyyy-mm")=TEXT($B57,"yyyy-mm"))*1)+SUMPRODUCT((TEXT(EDATE(N('RR Dump'!$L$2:$L$361),RRA!$D$4),"yyyy-mm")=TEXT($B57,"yyyy-mm"))*1)</f>
        <v/>
      </c>
      <c r="M57" s="20">
        <f>IFERROR(SUMPRODUCT((TEXT('RR Dump'!$L$2:$L$361,"yyyy-mm")=TEXT($B57,"yyyy-mm"))*N('RR Dump'!$I$2:$I$361))/SUMPRODUCT((TEXT('RR Dump'!$L$2:$L$361,"yyyy-mm")=TEXT($B57,"yyyy-mm"))*1),"")</f>
        <v/>
      </c>
      <c r="N57" s="20">
        <f>IFERROR(MAX($M57+AN57*($D57-$M57),$M57*(1+AO57)),"")</f>
        <v/>
      </c>
      <c r="O57" s="22">
        <f>IFERROR($N57/$M57-1,"")</f>
        <v/>
      </c>
      <c r="P57" s="20">
        <f>IFERROR($D57,"")</f>
        <v/>
      </c>
      <c r="T57" s="18">
        <f>IF(COUNTIFS('HD Dump'!$U$2:$U$538,C$7,'HD Dump'!$R$2:$R$538,"&gt;="&amp;$B57-90,'HD Dump'!$R$2:$R$538,"&lt;="&amp;$B57)&gt;0,AVERAGEIFS('HD Dump'!$M$2:$M$538,'HD Dump'!$U$2:$U$538,C$7,'HD Dump'!$R$2:$R$538,"&gt;="&amp;$B57-90,'HD Dump'!$R$2:$R$538,"&lt;="&amp;$B57),T56)</f>
        <v/>
      </c>
      <c r="U57" s="18">
        <f>IF(COUNTIFS('HD Dump'!$U$2:$U$538,D$7,'HD Dump'!$R$2:$R$538,"&gt;="&amp;$B57-90,'HD Dump'!$R$2:$R$538,"&lt;="&amp;$B57)&gt;0,AVERAGEIFS('HD Dump'!$M$2:$M$538,'HD Dump'!$U$2:$U$538,D$7,'HD Dump'!$R$2:$R$538,"&gt;="&amp;$B57-90,'HD Dump'!$R$2:$R$538,"&lt;="&amp;$B57),U56)</f>
        <v/>
      </c>
      <c r="V57" s="18">
        <f>IF(COUNTIFS('HD Dump'!$U$2:$U$538,E$7,'HD Dump'!$R$2:$R$538,"&gt;="&amp;$B57-90,'HD Dump'!$R$2:$R$538,"&lt;="&amp;$B57)&gt;0,AVERAGEIFS('HD Dump'!$M$2:$M$538,'HD Dump'!$U$2:$U$538,E$7,'HD Dump'!$R$2:$R$538,"&gt;="&amp;$B57-90,'HD Dump'!$R$2:$R$538,"&lt;="&amp;$B57),V56)</f>
        <v/>
      </c>
      <c r="W57" s="18">
        <f>IF(COUNTIFS('HD Dump'!$U$2:$U$538,F$7,'HD Dump'!$R$2:$R$538,"&gt;="&amp;$B57-90,'HD Dump'!$R$2:$R$538,"&lt;="&amp;$B57)&gt;0,AVERAGEIFS('HD Dump'!$M$2:$M$538,'HD Dump'!$U$2:$U$538,F$7,'HD Dump'!$R$2:$R$538,"&gt;="&amp;$B57-90,'HD Dump'!$R$2:$R$538,"&lt;="&amp;$B57),W56)</f>
        <v/>
      </c>
      <c r="X57" s="18">
        <f>IF(COUNTIFS('HD Dump'!$U$2:$U$538,G$7,'HD Dump'!$R$2:$R$538,"&gt;="&amp;$B57-90,'HD Dump'!$R$2:$R$538,"&lt;="&amp;$B57)&gt;0,AVERAGEIFS('HD Dump'!$M$2:$M$538,'HD Dump'!$U$2:$U$538,G$7,'HD Dump'!$R$2:$R$538,"&gt;="&amp;$B57-90,'HD Dump'!$R$2:$R$538,"&lt;="&amp;$B57),X56)</f>
        <v/>
      </c>
      <c r="Y57" s="18">
        <f>IF(COUNTIFS('HD Dump'!$U$2:$U$538,H$7,'HD Dump'!$R$2:$R$538,"&gt;="&amp;$B57-90,'HD Dump'!$R$2:$R$538,"&lt;="&amp;$B57)&gt;0,AVERAGEIFS('HD Dump'!$M$2:$M$538,'HD Dump'!$U$2:$U$538,H$7,'HD Dump'!$R$2:$R$538,"&gt;="&amp;$B57-90,'HD Dump'!$R$2:$R$538,"&lt;="&amp;$B57),Y56)</f>
        <v/>
      </c>
      <c r="Z57" s="18">
        <f>IF(COUNTIFS('HD Dump'!$U$2:$U$538,I$7,'HD Dump'!$R$2:$R$538,"&gt;="&amp;$B57-90,'HD Dump'!$R$2:$R$538,"&lt;="&amp;$B57)&gt;0,AVERAGEIFS('HD Dump'!$M$2:$M$538,'HD Dump'!$U$2:$U$538,I$7,'HD Dump'!$R$2:$R$538,"&gt;="&amp;$B57-90,'HD Dump'!$R$2:$R$538,"&lt;="&amp;$B57),Z56)</f>
        <v/>
      </c>
      <c r="AA57" s="18">
        <f>IF(COUNTIFS('HD Dump'!$U$2:$U$538,J$7,'HD Dump'!$R$2:$R$538,"&gt;="&amp;$B57-90,'HD Dump'!$R$2:$R$538,"&lt;="&amp;$B57)&gt;0,AVERAGEIFS('HD Dump'!$M$2:$M$538,'HD Dump'!$U$2:$U$538,J$7,'HD Dump'!$R$2:$R$538,"&gt;="&amp;$B57-90,'HD Dump'!$R$2:$R$538,"&lt;="&amp;$B57),AA56)</f>
        <v/>
      </c>
      <c r="AB57" s="18">
        <f>IF(COUNTIFS('HD Dump'!$U$2:$U$538,K$7,'HD Dump'!$R$2:$R$538,"&gt;="&amp;$B57-90,'HD Dump'!$R$2:$R$538,"&lt;="&amp;$B57)&gt;0,AVERAGEIFS('HD Dump'!$M$2:$M$538,'HD Dump'!$U$2:$U$538,K$7,'HD Dump'!$R$2:$R$538,"&gt;="&amp;$B57-90,'HD Dump'!$R$2:$R$538,"&lt;="&amp;$B57),AB56)</f>
        <v/>
      </c>
      <c r="AD57" s="18">
        <f>IF(COUNTIFS('HD Dump'!$U$2:$U$538,C$7,'HD Dump'!$R$2:$R$538,"&gt;="&amp;$B57-90,'HD Dump'!$R$2:$R$538,"&lt;="&amp;$B57)&gt;0,AVERAGEIFS('HD Dump'!$O$2:$O$538,'HD Dump'!$U$2:$U$538,C$7,'HD Dump'!$R$2:$R$538,"&gt;="&amp;$B57-90,'HD Dump'!$R$2:$R$538,"&lt;="&amp;$B57),AD56)</f>
        <v/>
      </c>
      <c r="AE57" s="18">
        <f>IF(COUNTIFS('HD Dump'!$U$2:$U$538,D$7,'HD Dump'!$R$2:$R$538,"&gt;="&amp;$B57-90,'HD Dump'!$R$2:$R$538,"&lt;="&amp;$B57)&gt;0,AVERAGEIFS('HD Dump'!$O$2:$O$538,'HD Dump'!$U$2:$U$538,D$7,'HD Dump'!$R$2:$R$538,"&gt;="&amp;$B57-90,'HD Dump'!$R$2:$R$538,"&lt;="&amp;$B57),AE56)</f>
        <v/>
      </c>
      <c r="AF57" s="18">
        <f>IF(COUNTIFS('HD Dump'!$U$2:$U$538,E$7,'HD Dump'!$R$2:$R$538,"&gt;="&amp;$B57-90,'HD Dump'!$R$2:$R$538,"&lt;="&amp;$B57)&gt;0,AVERAGEIFS('HD Dump'!$O$2:$O$538,'HD Dump'!$U$2:$U$538,E$7,'HD Dump'!$R$2:$R$538,"&gt;="&amp;$B57-90,'HD Dump'!$R$2:$R$538,"&lt;="&amp;$B57),AF56)</f>
        <v/>
      </c>
      <c r="AG57" s="18">
        <f>IF(COUNTIFS('HD Dump'!$U$2:$U$538,F$7,'HD Dump'!$R$2:$R$538,"&gt;="&amp;$B57-90,'HD Dump'!$R$2:$R$538,"&lt;="&amp;$B57)&gt;0,AVERAGEIFS('HD Dump'!$O$2:$O$538,'HD Dump'!$U$2:$U$538,F$7,'HD Dump'!$R$2:$R$538,"&gt;="&amp;$B57-90,'HD Dump'!$R$2:$R$538,"&lt;="&amp;$B57),AG56)</f>
        <v/>
      </c>
      <c r="AH57" s="18">
        <f>IF(COUNTIFS('HD Dump'!$U$2:$U$538,G$7,'HD Dump'!$R$2:$R$538,"&gt;="&amp;$B57-90,'HD Dump'!$R$2:$R$538,"&lt;="&amp;$B57)&gt;0,AVERAGEIFS('HD Dump'!$O$2:$O$538,'HD Dump'!$U$2:$U$538,G$7,'HD Dump'!$R$2:$R$538,"&gt;="&amp;$B57-90,'HD Dump'!$R$2:$R$538,"&lt;="&amp;$B57),AH56)</f>
        <v/>
      </c>
      <c r="AI57" s="18">
        <f>IF(COUNTIFS('HD Dump'!$U$2:$U$538,H$7,'HD Dump'!$R$2:$R$538,"&gt;="&amp;$B57-90,'HD Dump'!$R$2:$R$538,"&lt;="&amp;$B57)&gt;0,AVERAGEIFS('HD Dump'!$O$2:$O$538,'HD Dump'!$U$2:$U$538,H$7,'HD Dump'!$R$2:$R$538,"&gt;="&amp;$B57-90,'HD Dump'!$R$2:$R$538,"&lt;="&amp;$B57),AI56)</f>
        <v/>
      </c>
      <c r="AJ57" s="18">
        <f>IF(COUNTIFS('HD Dump'!$U$2:$U$538,I$7,'HD Dump'!$R$2:$R$538,"&gt;="&amp;$B57-90,'HD Dump'!$R$2:$R$538,"&lt;="&amp;$B57)&gt;0,AVERAGEIFS('HD Dump'!$O$2:$O$538,'HD Dump'!$U$2:$U$538,I$7,'HD Dump'!$R$2:$R$538,"&gt;="&amp;$B57-90,'HD Dump'!$R$2:$R$538,"&lt;="&amp;$B57),AJ56)</f>
        <v/>
      </c>
      <c r="AK57" s="18">
        <f>IF(COUNTIFS('HD Dump'!$U$2:$U$538,J$7,'HD Dump'!$R$2:$R$538,"&gt;="&amp;$B57-90,'HD Dump'!$R$2:$R$538,"&lt;="&amp;$B57)&gt;0,AVERAGEIFS('HD Dump'!$O$2:$O$538,'HD Dump'!$U$2:$U$538,J$7,'HD Dump'!$R$2:$R$538,"&gt;="&amp;$B57-90,'HD Dump'!$R$2:$R$538,"&lt;="&amp;$B57),AK56)</f>
        <v/>
      </c>
      <c r="AL57" s="18">
        <f>IF(COUNTIFS('HD Dump'!$U$2:$U$538,K$7,'HD Dump'!$R$2:$R$538,"&gt;="&amp;$B57-90,'HD Dump'!$R$2:$R$538,"&lt;="&amp;$B57)&gt;0,AVERAGEIFS('HD Dump'!$O$2:$O$538,'HD Dump'!$U$2:$U$538,K$7,'HD Dump'!$R$2:$R$538,"&gt;="&amp;$B57-90,'HD Dump'!$R$2:$R$538,"&lt;="&amp;$B57),AL56)</f>
        <v/>
      </c>
      <c r="AN57">
        <f>IFERROR(SUMPRODUCT((TEXT('RR Dump'!$L$2:$L$361,"yyyy-mm")=TEXT($B57,"yyyy-mm"))*((RRA!$A$109:$A$468=1)*RRA!$F$20+(RRA!$A$109:$A$468=2)*RRA!$F$21+(RRA!$A$109:$A$468=3)*RRA!$F$22+(RRA!$A$109:$A$468=4)*RRA!$F$23))/SUMPRODUCT((TEXT('RR Dump'!$L$2:$L$361,"yyyy-mm")=TEXT($B57,"yyyy-mm"))*1),0)</f>
        <v/>
      </c>
      <c r="AO57">
        <f>IFERROR(SUMPRODUCT((TEXT('RR Dump'!$L$2:$L$361,"yyyy-mm")=TEXT($B57,"yyyy-mm"))*((RRA!$A$109:$A$468=1)*RRA!$F$25+(RRA!$A$109:$A$468=2)*RRA!$F$26+(RRA!$A$109:$A$468=3)*RRA!$F$27+(RRA!$A$109:$A$468=4)*RRA!$F$28))/SUMPRODUCT((TEXT('RR Dump'!$L$2:$L$361,"yyyy-mm")=TEXT($B57,"yyyy-mm"))*1),0)</f>
        <v/>
      </c>
    </row>
    <row r="58">
      <c r="B58" s="9" t="n">
        <v>46934</v>
      </c>
      <c r="C58" s="19" t="inlineStr">
        <is>
          <t>Projected</t>
        </is>
      </c>
      <c r="D58" s="20">
        <f>IFERROR(INDEX(RRA!$E$48:$EX$48,MATCH($B58,RRA!$E$33:$EX$33,0))/360,"")</f>
        <v/>
      </c>
      <c r="E58" s="20" t="n"/>
      <c r="F58" s="20">
        <f>IFERROR((INDEX(RRA!$E$49:$EX$49,MATCH($B58,RRA!$E$33:$EX$33,0))/360*360-(1-$F58)*360*$D58)/($F58*360),"")</f>
        <v/>
      </c>
      <c r="G58" s="21">
        <f>IFERROR('Cash Flow (Annual)'!$L$14,"")</f>
        <v/>
      </c>
      <c r="H58" s="22">
        <f>IFERROR($F58/$D58-1,"")</f>
        <v/>
      </c>
      <c r="I58" s="20">
        <f>SUMPRODUCT((TEXT('RR Dump'!$L$2:$L$361,"yyyy-mm")=TEXT($B58,"yyyy-mm"))*((RRA!$A$109:$A$468=1)*RRA!$F$15+(RRA!$A$109:$A$468=2)*RRA!$F$16+(RRA!$A$109:$A$468=3)*RRA!$F$17+(RRA!$A$109:$A$468=4)*RRA!$F$18))+SUMPRODUCT((TEXT(EDATE(N('RR Dump'!$L$2:$L$361),RRA!$D$4),"yyyy-mm")=TEXT($B58,"yyyy-mm"))*((RRA!$A$109:$A$468=1)*RRA!$F$15+(RRA!$A$109:$A$468=2)*RRA!$F$16+(RRA!$A$109:$A$468=3)*RRA!$F$17+(RRA!$A$109:$A$468=4)*RRA!$F$18))</f>
        <v/>
      </c>
      <c r="J58" s="23">
        <f>IFERROR($L58-$J58,"")</f>
        <v/>
      </c>
      <c r="K58" s="20">
        <f>IFERROR($K58,"")</f>
        <v/>
      </c>
      <c r="L58" s="23">
        <f>SUMPRODUCT((TEXT('RR Dump'!$L$2:$L$361,"yyyy-mm")=TEXT($B58,"yyyy-mm"))*1)+SUMPRODUCT((TEXT(EDATE(N('RR Dump'!$L$2:$L$361),RRA!$D$4),"yyyy-mm")=TEXT($B58,"yyyy-mm"))*1)</f>
        <v/>
      </c>
      <c r="M58" s="20">
        <f>IFERROR(SUMPRODUCT((TEXT('RR Dump'!$L$2:$L$361,"yyyy-mm")=TEXT($B58,"yyyy-mm"))*N('RR Dump'!$I$2:$I$361))/SUMPRODUCT((TEXT('RR Dump'!$L$2:$L$361,"yyyy-mm")=TEXT($B58,"yyyy-mm"))*1),"")</f>
        <v/>
      </c>
      <c r="N58" s="20">
        <f>IFERROR(MAX($M58+AN58*($D58-$M58),$M58*(1+AO58)),"")</f>
        <v/>
      </c>
      <c r="O58" s="22">
        <f>IFERROR($N58/$M58-1,"")</f>
        <v/>
      </c>
      <c r="P58" s="20">
        <f>IFERROR($D58,"")</f>
        <v/>
      </c>
      <c r="T58" s="18">
        <f>IF(COUNTIFS('HD Dump'!$U$2:$U$538,C$7,'HD Dump'!$R$2:$R$538,"&gt;="&amp;$B58-90,'HD Dump'!$R$2:$R$538,"&lt;="&amp;$B58)&gt;0,AVERAGEIFS('HD Dump'!$M$2:$M$538,'HD Dump'!$U$2:$U$538,C$7,'HD Dump'!$R$2:$R$538,"&gt;="&amp;$B58-90,'HD Dump'!$R$2:$R$538,"&lt;="&amp;$B58),T57)</f>
        <v/>
      </c>
      <c r="U58" s="18">
        <f>IF(COUNTIFS('HD Dump'!$U$2:$U$538,D$7,'HD Dump'!$R$2:$R$538,"&gt;="&amp;$B58-90,'HD Dump'!$R$2:$R$538,"&lt;="&amp;$B58)&gt;0,AVERAGEIFS('HD Dump'!$M$2:$M$538,'HD Dump'!$U$2:$U$538,D$7,'HD Dump'!$R$2:$R$538,"&gt;="&amp;$B58-90,'HD Dump'!$R$2:$R$538,"&lt;="&amp;$B58),U57)</f>
        <v/>
      </c>
      <c r="V58" s="18">
        <f>IF(COUNTIFS('HD Dump'!$U$2:$U$538,E$7,'HD Dump'!$R$2:$R$538,"&gt;="&amp;$B58-90,'HD Dump'!$R$2:$R$538,"&lt;="&amp;$B58)&gt;0,AVERAGEIFS('HD Dump'!$M$2:$M$538,'HD Dump'!$U$2:$U$538,E$7,'HD Dump'!$R$2:$R$538,"&gt;="&amp;$B58-90,'HD Dump'!$R$2:$R$538,"&lt;="&amp;$B58),V57)</f>
        <v/>
      </c>
      <c r="W58" s="18">
        <f>IF(COUNTIFS('HD Dump'!$U$2:$U$538,F$7,'HD Dump'!$R$2:$R$538,"&gt;="&amp;$B58-90,'HD Dump'!$R$2:$R$538,"&lt;="&amp;$B58)&gt;0,AVERAGEIFS('HD Dump'!$M$2:$M$538,'HD Dump'!$U$2:$U$538,F$7,'HD Dump'!$R$2:$R$538,"&gt;="&amp;$B58-90,'HD Dump'!$R$2:$R$538,"&lt;="&amp;$B58),W57)</f>
        <v/>
      </c>
      <c r="X58" s="18">
        <f>IF(COUNTIFS('HD Dump'!$U$2:$U$538,G$7,'HD Dump'!$R$2:$R$538,"&gt;="&amp;$B58-90,'HD Dump'!$R$2:$R$538,"&lt;="&amp;$B58)&gt;0,AVERAGEIFS('HD Dump'!$M$2:$M$538,'HD Dump'!$U$2:$U$538,G$7,'HD Dump'!$R$2:$R$538,"&gt;="&amp;$B58-90,'HD Dump'!$R$2:$R$538,"&lt;="&amp;$B58),X57)</f>
        <v/>
      </c>
      <c r="Y58" s="18">
        <f>IF(COUNTIFS('HD Dump'!$U$2:$U$538,H$7,'HD Dump'!$R$2:$R$538,"&gt;="&amp;$B58-90,'HD Dump'!$R$2:$R$538,"&lt;="&amp;$B58)&gt;0,AVERAGEIFS('HD Dump'!$M$2:$M$538,'HD Dump'!$U$2:$U$538,H$7,'HD Dump'!$R$2:$R$538,"&gt;="&amp;$B58-90,'HD Dump'!$R$2:$R$538,"&lt;="&amp;$B58),Y57)</f>
        <v/>
      </c>
      <c r="Z58" s="18">
        <f>IF(COUNTIFS('HD Dump'!$U$2:$U$538,I$7,'HD Dump'!$R$2:$R$538,"&gt;="&amp;$B58-90,'HD Dump'!$R$2:$R$538,"&lt;="&amp;$B58)&gt;0,AVERAGEIFS('HD Dump'!$M$2:$M$538,'HD Dump'!$U$2:$U$538,I$7,'HD Dump'!$R$2:$R$538,"&gt;="&amp;$B58-90,'HD Dump'!$R$2:$R$538,"&lt;="&amp;$B58),Z57)</f>
        <v/>
      </c>
      <c r="AA58" s="18">
        <f>IF(COUNTIFS('HD Dump'!$U$2:$U$538,J$7,'HD Dump'!$R$2:$R$538,"&gt;="&amp;$B58-90,'HD Dump'!$R$2:$R$538,"&lt;="&amp;$B58)&gt;0,AVERAGEIFS('HD Dump'!$M$2:$M$538,'HD Dump'!$U$2:$U$538,J$7,'HD Dump'!$R$2:$R$538,"&gt;="&amp;$B58-90,'HD Dump'!$R$2:$R$538,"&lt;="&amp;$B58),AA57)</f>
        <v/>
      </c>
      <c r="AB58" s="18">
        <f>IF(COUNTIFS('HD Dump'!$U$2:$U$538,K$7,'HD Dump'!$R$2:$R$538,"&gt;="&amp;$B58-90,'HD Dump'!$R$2:$R$538,"&lt;="&amp;$B58)&gt;0,AVERAGEIFS('HD Dump'!$M$2:$M$538,'HD Dump'!$U$2:$U$538,K$7,'HD Dump'!$R$2:$R$538,"&gt;="&amp;$B58-90,'HD Dump'!$R$2:$R$538,"&lt;="&amp;$B58),AB57)</f>
        <v/>
      </c>
      <c r="AD58" s="18">
        <f>IF(COUNTIFS('HD Dump'!$U$2:$U$538,C$7,'HD Dump'!$R$2:$R$538,"&gt;="&amp;$B58-90,'HD Dump'!$R$2:$R$538,"&lt;="&amp;$B58)&gt;0,AVERAGEIFS('HD Dump'!$O$2:$O$538,'HD Dump'!$U$2:$U$538,C$7,'HD Dump'!$R$2:$R$538,"&gt;="&amp;$B58-90,'HD Dump'!$R$2:$R$538,"&lt;="&amp;$B58),AD57)</f>
        <v/>
      </c>
      <c r="AE58" s="18">
        <f>IF(COUNTIFS('HD Dump'!$U$2:$U$538,D$7,'HD Dump'!$R$2:$R$538,"&gt;="&amp;$B58-90,'HD Dump'!$R$2:$R$538,"&lt;="&amp;$B58)&gt;0,AVERAGEIFS('HD Dump'!$O$2:$O$538,'HD Dump'!$U$2:$U$538,D$7,'HD Dump'!$R$2:$R$538,"&gt;="&amp;$B58-90,'HD Dump'!$R$2:$R$538,"&lt;="&amp;$B58),AE57)</f>
        <v/>
      </c>
      <c r="AF58" s="18">
        <f>IF(COUNTIFS('HD Dump'!$U$2:$U$538,E$7,'HD Dump'!$R$2:$R$538,"&gt;="&amp;$B58-90,'HD Dump'!$R$2:$R$538,"&lt;="&amp;$B58)&gt;0,AVERAGEIFS('HD Dump'!$O$2:$O$538,'HD Dump'!$U$2:$U$538,E$7,'HD Dump'!$R$2:$R$538,"&gt;="&amp;$B58-90,'HD Dump'!$R$2:$R$538,"&lt;="&amp;$B58),AF57)</f>
        <v/>
      </c>
      <c r="AG58" s="18">
        <f>IF(COUNTIFS('HD Dump'!$U$2:$U$538,F$7,'HD Dump'!$R$2:$R$538,"&gt;="&amp;$B58-90,'HD Dump'!$R$2:$R$538,"&lt;="&amp;$B58)&gt;0,AVERAGEIFS('HD Dump'!$O$2:$O$538,'HD Dump'!$U$2:$U$538,F$7,'HD Dump'!$R$2:$R$538,"&gt;="&amp;$B58-90,'HD Dump'!$R$2:$R$538,"&lt;="&amp;$B58),AG57)</f>
        <v/>
      </c>
      <c r="AH58" s="18">
        <f>IF(COUNTIFS('HD Dump'!$U$2:$U$538,G$7,'HD Dump'!$R$2:$R$538,"&gt;="&amp;$B58-90,'HD Dump'!$R$2:$R$538,"&lt;="&amp;$B58)&gt;0,AVERAGEIFS('HD Dump'!$O$2:$O$538,'HD Dump'!$U$2:$U$538,G$7,'HD Dump'!$R$2:$R$538,"&gt;="&amp;$B58-90,'HD Dump'!$R$2:$R$538,"&lt;="&amp;$B58),AH57)</f>
        <v/>
      </c>
      <c r="AI58" s="18">
        <f>IF(COUNTIFS('HD Dump'!$U$2:$U$538,H$7,'HD Dump'!$R$2:$R$538,"&gt;="&amp;$B58-90,'HD Dump'!$R$2:$R$538,"&lt;="&amp;$B58)&gt;0,AVERAGEIFS('HD Dump'!$O$2:$O$538,'HD Dump'!$U$2:$U$538,H$7,'HD Dump'!$R$2:$R$538,"&gt;="&amp;$B58-90,'HD Dump'!$R$2:$R$538,"&lt;="&amp;$B58),AI57)</f>
        <v/>
      </c>
      <c r="AJ58" s="18">
        <f>IF(COUNTIFS('HD Dump'!$U$2:$U$538,I$7,'HD Dump'!$R$2:$R$538,"&gt;="&amp;$B58-90,'HD Dump'!$R$2:$R$538,"&lt;="&amp;$B58)&gt;0,AVERAGEIFS('HD Dump'!$O$2:$O$538,'HD Dump'!$U$2:$U$538,I$7,'HD Dump'!$R$2:$R$538,"&gt;="&amp;$B58-90,'HD Dump'!$R$2:$R$538,"&lt;="&amp;$B58),AJ57)</f>
        <v/>
      </c>
      <c r="AK58" s="18">
        <f>IF(COUNTIFS('HD Dump'!$U$2:$U$538,J$7,'HD Dump'!$R$2:$R$538,"&gt;="&amp;$B58-90,'HD Dump'!$R$2:$R$538,"&lt;="&amp;$B58)&gt;0,AVERAGEIFS('HD Dump'!$O$2:$O$538,'HD Dump'!$U$2:$U$538,J$7,'HD Dump'!$R$2:$R$538,"&gt;="&amp;$B58-90,'HD Dump'!$R$2:$R$538,"&lt;="&amp;$B58),AK57)</f>
        <v/>
      </c>
      <c r="AL58" s="18">
        <f>IF(COUNTIFS('HD Dump'!$U$2:$U$538,K$7,'HD Dump'!$R$2:$R$538,"&gt;="&amp;$B58-90,'HD Dump'!$R$2:$R$538,"&lt;="&amp;$B58)&gt;0,AVERAGEIFS('HD Dump'!$O$2:$O$538,'HD Dump'!$U$2:$U$538,K$7,'HD Dump'!$R$2:$R$538,"&gt;="&amp;$B58-90,'HD Dump'!$R$2:$R$538,"&lt;="&amp;$B58),AL57)</f>
        <v/>
      </c>
      <c r="AN58">
        <f>IFERROR(SUMPRODUCT((TEXT('RR Dump'!$L$2:$L$361,"yyyy-mm")=TEXT($B58,"yyyy-mm"))*((RRA!$A$109:$A$468=1)*RRA!$F$20+(RRA!$A$109:$A$468=2)*RRA!$F$21+(RRA!$A$109:$A$468=3)*RRA!$F$22+(RRA!$A$109:$A$468=4)*RRA!$F$23))/SUMPRODUCT((TEXT('RR Dump'!$L$2:$L$361,"yyyy-mm")=TEXT($B58,"yyyy-mm"))*1),0)</f>
        <v/>
      </c>
      <c r="AO58">
        <f>IFERROR(SUMPRODUCT((TEXT('RR Dump'!$L$2:$L$361,"yyyy-mm")=TEXT($B58,"yyyy-mm"))*((RRA!$A$109:$A$468=1)*RRA!$F$25+(RRA!$A$109:$A$468=2)*RRA!$F$26+(RRA!$A$109:$A$468=3)*RRA!$F$27+(RRA!$A$109:$A$468=4)*RRA!$F$28))/SUMPRODUCT((TEXT('RR Dump'!$L$2:$L$361,"yyyy-mm")=TEXT($B58,"yyyy-mm"))*1),0)</f>
        <v/>
      </c>
    </row>
    <row r="59">
      <c r="B59" s="9" t="n">
        <v>46965</v>
      </c>
      <c r="C59" s="19" t="inlineStr">
        <is>
          <t>Projected</t>
        </is>
      </c>
      <c r="D59" s="20">
        <f>IFERROR(INDEX(RRA!$E$48:$EX$48,MATCH($B59,RRA!$E$33:$EX$33,0))/360,"")</f>
        <v/>
      </c>
      <c r="E59" s="20" t="n"/>
      <c r="F59" s="20">
        <f>IFERROR((INDEX(RRA!$E$49:$EX$49,MATCH($B59,RRA!$E$33:$EX$33,0))/360*360-(1-$F59)*360*$D59)/($F59*360),"")</f>
        <v/>
      </c>
      <c r="G59" s="21">
        <f>IFERROR('Cash Flow (Annual)'!$L$14,"")</f>
        <v/>
      </c>
      <c r="H59" s="22">
        <f>IFERROR($F59/$D59-1,"")</f>
        <v/>
      </c>
      <c r="I59" s="20">
        <f>SUMPRODUCT((TEXT('RR Dump'!$L$2:$L$361,"yyyy-mm")=TEXT($B59,"yyyy-mm"))*((RRA!$A$109:$A$468=1)*RRA!$F$15+(RRA!$A$109:$A$468=2)*RRA!$F$16+(RRA!$A$109:$A$468=3)*RRA!$F$17+(RRA!$A$109:$A$468=4)*RRA!$F$18))+SUMPRODUCT((TEXT(EDATE(N('RR Dump'!$L$2:$L$361),RRA!$D$4),"yyyy-mm")=TEXT($B59,"yyyy-mm"))*((RRA!$A$109:$A$468=1)*RRA!$F$15+(RRA!$A$109:$A$468=2)*RRA!$F$16+(RRA!$A$109:$A$468=3)*RRA!$F$17+(RRA!$A$109:$A$468=4)*RRA!$F$18))</f>
        <v/>
      </c>
      <c r="J59" s="23">
        <f>IFERROR($L59-$J59,"")</f>
        <v/>
      </c>
      <c r="K59" s="20">
        <f>IFERROR($K59,"")</f>
        <v/>
      </c>
      <c r="L59" s="23">
        <f>SUMPRODUCT((TEXT('RR Dump'!$L$2:$L$361,"yyyy-mm")=TEXT($B59,"yyyy-mm"))*1)+SUMPRODUCT((TEXT(EDATE(N('RR Dump'!$L$2:$L$361),RRA!$D$4),"yyyy-mm")=TEXT($B59,"yyyy-mm"))*1)</f>
        <v/>
      </c>
      <c r="M59" s="20">
        <f>IFERROR(SUMPRODUCT((TEXT('RR Dump'!$L$2:$L$361,"yyyy-mm")=TEXT($B59,"yyyy-mm"))*N('RR Dump'!$I$2:$I$361))/SUMPRODUCT((TEXT('RR Dump'!$L$2:$L$361,"yyyy-mm")=TEXT($B59,"yyyy-mm"))*1),"")</f>
        <v/>
      </c>
      <c r="N59" s="20">
        <f>IFERROR(MAX($M59+AN59*($D59-$M59),$M59*(1+AO59)),"")</f>
        <v/>
      </c>
      <c r="O59" s="22">
        <f>IFERROR($N59/$M59-1,"")</f>
        <v/>
      </c>
      <c r="P59" s="20">
        <f>IFERROR($D59,"")</f>
        <v/>
      </c>
      <c r="T59" s="18">
        <f>IF(COUNTIFS('HD Dump'!$U$2:$U$538,C$7,'HD Dump'!$R$2:$R$538,"&gt;="&amp;$B59-90,'HD Dump'!$R$2:$R$538,"&lt;="&amp;$B59)&gt;0,AVERAGEIFS('HD Dump'!$M$2:$M$538,'HD Dump'!$U$2:$U$538,C$7,'HD Dump'!$R$2:$R$538,"&gt;="&amp;$B59-90,'HD Dump'!$R$2:$R$538,"&lt;="&amp;$B59),T58)</f>
        <v/>
      </c>
      <c r="U59" s="18">
        <f>IF(COUNTIFS('HD Dump'!$U$2:$U$538,D$7,'HD Dump'!$R$2:$R$538,"&gt;="&amp;$B59-90,'HD Dump'!$R$2:$R$538,"&lt;="&amp;$B59)&gt;0,AVERAGEIFS('HD Dump'!$M$2:$M$538,'HD Dump'!$U$2:$U$538,D$7,'HD Dump'!$R$2:$R$538,"&gt;="&amp;$B59-90,'HD Dump'!$R$2:$R$538,"&lt;="&amp;$B59),U58)</f>
        <v/>
      </c>
      <c r="V59" s="18">
        <f>IF(COUNTIFS('HD Dump'!$U$2:$U$538,E$7,'HD Dump'!$R$2:$R$538,"&gt;="&amp;$B59-90,'HD Dump'!$R$2:$R$538,"&lt;="&amp;$B59)&gt;0,AVERAGEIFS('HD Dump'!$M$2:$M$538,'HD Dump'!$U$2:$U$538,E$7,'HD Dump'!$R$2:$R$538,"&gt;="&amp;$B59-90,'HD Dump'!$R$2:$R$538,"&lt;="&amp;$B59),V58)</f>
        <v/>
      </c>
      <c r="W59" s="18">
        <f>IF(COUNTIFS('HD Dump'!$U$2:$U$538,F$7,'HD Dump'!$R$2:$R$538,"&gt;="&amp;$B59-90,'HD Dump'!$R$2:$R$538,"&lt;="&amp;$B59)&gt;0,AVERAGEIFS('HD Dump'!$M$2:$M$538,'HD Dump'!$U$2:$U$538,F$7,'HD Dump'!$R$2:$R$538,"&gt;="&amp;$B59-90,'HD Dump'!$R$2:$R$538,"&lt;="&amp;$B59),W58)</f>
        <v/>
      </c>
      <c r="X59" s="18">
        <f>IF(COUNTIFS('HD Dump'!$U$2:$U$538,G$7,'HD Dump'!$R$2:$R$538,"&gt;="&amp;$B59-90,'HD Dump'!$R$2:$R$538,"&lt;="&amp;$B59)&gt;0,AVERAGEIFS('HD Dump'!$M$2:$M$538,'HD Dump'!$U$2:$U$538,G$7,'HD Dump'!$R$2:$R$538,"&gt;="&amp;$B59-90,'HD Dump'!$R$2:$R$538,"&lt;="&amp;$B59),X58)</f>
        <v/>
      </c>
      <c r="Y59" s="18">
        <f>IF(COUNTIFS('HD Dump'!$U$2:$U$538,H$7,'HD Dump'!$R$2:$R$538,"&gt;="&amp;$B59-90,'HD Dump'!$R$2:$R$538,"&lt;="&amp;$B59)&gt;0,AVERAGEIFS('HD Dump'!$M$2:$M$538,'HD Dump'!$U$2:$U$538,H$7,'HD Dump'!$R$2:$R$538,"&gt;="&amp;$B59-90,'HD Dump'!$R$2:$R$538,"&lt;="&amp;$B59),Y58)</f>
        <v/>
      </c>
      <c r="Z59" s="18">
        <f>IF(COUNTIFS('HD Dump'!$U$2:$U$538,I$7,'HD Dump'!$R$2:$R$538,"&gt;="&amp;$B59-90,'HD Dump'!$R$2:$R$538,"&lt;="&amp;$B59)&gt;0,AVERAGEIFS('HD Dump'!$M$2:$M$538,'HD Dump'!$U$2:$U$538,I$7,'HD Dump'!$R$2:$R$538,"&gt;="&amp;$B59-90,'HD Dump'!$R$2:$R$538,"&lt;="&amp;$B59),Z58)</f>
        <v/>
      </c>
      <c r="AA59" s="18">
        <f>IF(COUNTIFS('HD Dump'!$U$2:$U$538,J$7,'HD Dump'!$R$2:$R$538,"&gt;="&amp;$B59-90,'HD Dump'!$R$2:$R$538,"&lt;="&amp;$B59)&gt;0,AVERAGEIFS('HD Dump'!$M$2:$M$538,'HD Dump'!$U$2:$U$538,J$7,'HD Dump'!$R$2:$R$538,"&gt;="&amp;$B59-90,'HD Dump'!$R$2:$R$538,"&lt;="&amp;$B59),AA58)</f>
        <v/>
      </c>
      <c r="AB59" s="18">
        <f>IF(COUNTIFS('HD Dump'!$U$2:$U$538,K$7,'HD Dump'!$R$2:$R$538,"&gt;="&amp;$B59-90,'HD Dump'!$R$2:$R$538,"&lt;="&amp;$B59)&gt;0,AVERAGEIFS('HD Dump'!$M$2:$M$538,'HD Dump'!$U$2:$U$538,K$7,'HD Dump'!$R$2:$R$538,"&gt;="&amp;$B59-90,'HD Dump'!$R$2:$R$538,"&lt;="&amp;$B59),AB58)</f>
        <v/>
      </c>
      <c r="AD59" s="18">
        <f>IF(COUNTIFS('HD Dump'!$U$2:$U$538,C$7,'HD Dump'!$R$2:$R$538,"&gt;="&amp;$B59-90,'HD Dump'!$R$2:$R$538,"&lt;="&amp;$B59)&gt;0,AVERAGEIFS('HD Dump'!$O$2:$O$538,'HD Dump'!$U$2:$U$538,C$7,'HD Dump'!$R$2:$R$538,"&gt;="&amp;$B59-90,'HD Dump'!$R$2:$R$538,"&lt;="&amp;$B59),AD58)</f>
        <v/>
      </c>
      <c r="AE59" s="18">
        <f>IF(COUNTIFS('HD Dump'!$U$2:$U$538,D$7,'HD Dump'!$R$2:$R$538,"&gt;="&amp;$B59-90,'HD Dump'!$R$2:$R$538,"&lt;="&amp;$B59)&gt;0,AVERAGEIFS('HD Dump'!$O$2:$O$538,'HD Dump'!$U$2:$U$538,D$7,'HD Dump'!$R$2:$R$538,"&gt;="&amp;$B59-90,'HD Dump'!$R$2:$R$538,"&lt;="&amp;$B59),AE58)</f>
        <v/>
      </c>
      <c r="AF59" s="18">
        <f>IF(COUNTIFS('HD Dump'!$U$2:$U$538,E$7,'HD Dump'!$R$2:$R$538,"&gt;="&amp;$B59-90,'HD Dump'!$R$2:$R$538,"&lt;="&amp;$B59)&gt;0,AVERAGEIFS('HD Dump'!$O$2:$O$538,'HD Dump'!$U$2:$U$538,E$7,'HD Dump'!$R$2:$R$538,"&gt;="&amp;$B59-90,'HD Dump'!$R$2:$R$538,"&lt;="&amp;$B59),AF58)</f>
        <v/>
      </c>
      <c r="AG59" s="18">
        <f>IF(COUNTIFS('HD Dump'!$U$2:$U$538,F$7,'HD Dump'!$R$2:$R$538,"&gt;="&amp;$B59-90,'HD Dump'!$R$2:$R$538,"&lt;="&amp;$B59)&gt;0,AVERAGEIFS('HD Dump'!$O$2:$O$538,'HD Dump'!$U$2:$U$538,F$7,'HD Dump'!$R$2:$R$538,"&gt;="&amp;$B59-90,'HD Dump'!$R$2:$R$538,"&lt;="&amp;$B59),AG58)</f>
        <v/>
      </c>
      <c r="AH59" s="18">
        <f>IF(COUNTIFS('HD Dump'!$U$2:$U$538,G$7,'HD Dump'!$R$2:$R$538,"&gt;="&amp;$B59-90,'HD Dump'!$R$2:$R$538,"&lt;="&amp;$B59)&gt;0,AVERAGEIFS('HD Dump'!$O$2:$O$538,'HD Dump'!$U$2:$U$538,G$7,'HD Dump'!$R$2:$R$538,"&gt;="&amp;$B59-90,'HD Dump'!$R$2:$R$538,"&lt;="&amp;$B59),AH58)</f>
        <v/>
      </c>
      <c r="AI59" s="18">
        <f>IF(COUNTIFS('HD Dump'!$U$2:$U$538,H$7,'HD Dump'!$R$2:$R$538,"&gt;="&amp;$B59-90,'HD Dump'!$R$2:$R$538,"&lt;="&amp;$B59)&gt;0,AVERAGEIFS('HD Dump'!$O$2:$O$538,'HD Dump'!$U$2:$U$538,H$7,'HD Dump'!$R$2:$R$538,"&gt;="&amp;$B59-90,'HD Dump'!$R$2:$R$538,"&lt;="&amp;$B59),AI58)</f>
        <v/>
      </c>
      <c r="AJ59" s="18">
        <f>IF(COUNTIFS('HD Dump'!$U$2:$U$538,I$7,'HD Dump'!$R$2:$R$538,"&gt;="&amp;$B59-90,'HD Dump'!$R$2:$R$538,"&lt;="&amp;$B59)&gt;0,AVERAGEIFS('HD Dump'!$O$2:$O$538,'HD Dump'!$U$2:$U$538,I$7,'HD Dump'!$R$2:$R$538,"&gt;="&amp;$B59-90,'HD Dump'!$R$2:$R$538,"&lt;="&amp;$B59),AJ58)</f>
        <v/>
      </c>
      <c r="AK59" s="18">
        <f>IF(COUNTIFS('HD Dump'!$U$2:$U$538,J$7,'HD Dump'!$R$2:$R$538,"&gt;="&amp;$B59-90,'HD Dump'!$R$2:$R$538,"&lt;="&amp;$B59)&gt;0,AVERAGEIFS('HD Dump'!$O$2:$O$538,'HD Dump'!$U$2:$U$538,J$7,'HD Dump'!$R$2:$R$538,"&gt;="&amp;$B59-90,'HD Dump'!$R$2:$R$538,"&lt;="&amp;$B59),AK58)</f>
        <v/>
      </c>
      <c r="AL59" s="18">
        <f>IF(COUNTIFS('HD Dump'!$U$2:$U$538,K$7,'HD Dump'!$R$2:$R$538,"&gt;="&amp;$B59-90,'HD Dump'!$R$2:$R$538,"&lt;="&amp;$B59)&gt;0,AVERAGEIFS('HD Dump'!$O$2:$O$538,'HD Dump'!$U$2:$U$538,K$7,'HD Dump'!$R$2:$R$538,"&gt;="&amp;$B59-90,'HD Dump'!$R$2:$R$538,"&lt;="&amp;$B59),AL58)</f>
        <v/>
      </c>
      <c r="AN59">
        <f>IFERROR(SUMPRODUCT((TEXT('RR Dump'!$L$2:$L$361,"yyyy-mm")=TEXT($B59,"yyyy-mm"))*((RRA!$A$109:$A$468=1)*RRA!$F$20+(RRA!$A$109:$A$468=2)*RRA!$F$21+(RRA!$A$109:$A$468=3)*RRA!$F$22+(RRA!$A$109:$A$468=4)*RRA!$F$23))/SUMPRODUCT((TEXT('RR Dump'!$L$2:$L$361,"yyyy-mm")=TEXT($B59,"yyyy-mm"))*1),0)</f>
        <v/>
      </c>
      <c r="AO59">
        <f>IFERROR(SUMPRODUCT((TEXT('RR Dump'!$L$2:$L$361,"yyyy-mm")=TEXT($B59,"yyyy-mm"))*((RRA!$A$109:$A$468=1)*RRA!$F$25+(RRA!$A$109:$A$468=2)*RRA!$F$26+(RRA!$A$109:$A$468=3)*RRA!$F$27+(RRA!$A$109:$A$468=4)*RRA!$F$28))/SUMPRODUCT((TEXT('RR Dump'!$L$2:$L$361,"yyyy-mm")=TEXT($B59,"yyyy-mm"))*1),0)</f>
        <v/>
      </c>
    </row>
    <row r="60">
      <c r="B60" s="9" t="n">
        <v>46996</v>
      </c>
      <c r="C60" s="19" t="inlineStr">
        <is>
          <t>Projected</t>
        </is>
      </c>
      <c r="D60" s="20">
        <f>IFERROR(INDEX(RRA!$E$48:$EX$48,MATCH($B60,RRA!$E$33:$EX$33,0))/360,"")</f>
        <v/>
      </c>
      <c r="E60" s="20" t="n"/>
      <c r="F60" s="20">
        <f>IFERROR((INDEX(RRA!$E$49:$EX$49,MATCH($B60,RRA!$E$33:$EX$33,0))/360*360-(1-$F60)*360*$D60)/($F60*360),"")</f>
        <v/>
      </c>
      <c r="G60" s="21">
        <f>IFERROR('Cash Flow (Annual)'!$L$14,"")</f>
        <v/>
      </c>
      <c r="H60" s="22">
        <f>IFERROR($F60/$D60-1,"")</f>
        <v/>
      </c>
      <c r="I60" s="20">
        <f>SUMPRODUCT((TEXT('RR Dump'!$L$2:$L$361,"yyyy-mm")=TEXT($B60,"yyyy-mm"))*((RRA!$A$109:$A$468=1)*RRA!$F$15+(RRA!$A$109:$A$468=2)*RRA!$F$16+(RRA!$A$109:$A$468=3)*RRA!$F$17+(RRA!$A$109:$A$468=4)*RRA!$F$18))+SUMPRODUCT((TEXT(EDATE(N('RR Dump'!$L$2:$L$361),RRA!$D$4),"yyyy-mm")=TEXT($B60,"yyyy-mm"))*((RRA!$A$109:$A$468=1)*RRA!$F$15+(RRA!$A$109:$A$468=2)*RRA!$F$16+(RRA!$A$109:$A$468=3)*RRA!$F$17+(RRA!$A$109:$A$468=4)*RRA!$F$18))</f>
        <v/>
      </c>
      <c r="J60" s="23">
        <f>IFERROR($L60-$J60,"")</f>
        <v/>
      </c>
      <c r="K60" s="20">
        <f>IFERROR($K60,"")</f>
        <v/>
      </c>
      <c r="L60" s="23">
        <f>SUMPRODUCT((TEXT('RR Dump'!$L$2:$L$361,"yyyy-mm")=TEXT($B60,"yyyy-mm"))*1)+SUMPRODUCT((TEXT(EDATE(N('RR Dump'!$L$2:$L$361),RRA!$D$4),"yyyy-mm")=TEXT($B60,"yyyy-mm"))*1)</f>
        <v/>
      </c>
      <c r="M60" s="20">
        <f>IFERROR(SUMPRODUCT((TEXT('RR Dump'!$L$2:$L$361,"yyyy-mm")=TEXT($B60,"yyyy-mm"))*N('RR Dump'!$I$2:$I$361))/SUMPRODUCT((TEXT('RR Dump'!$L$2:$L$361,"yyyy-mm")=TEXT($B60,"yyyy-mm"))*1),"")</f>
        <v/>
      </c>
      <c r="N60" s="20">
        <f>IFERROR(MAX($M60+AN60*($D60-$M60),$M60*(1+AO60)),"")</f>
        <v/>
      </c>
      <c r="O60" s="22">
        <f>IFERROR($N60/$M60-1,"")</f>
        <v/>
      </c>
      <c r="P60" s="20">
        <f>IFERROR($D60,"")</f>
        <v/>
      </c>
      <c r="T60" s="18">
        <f>IF(COUNTIFS('HD Dump'!$U$2:$U$538,C$7,'HD Dump'!$R$2:$R$538,"&gt;="&amp;$B60-90,'HD Dump'!$R$2:$R$538,"&lt;="&amp;$B60)&gt;0,AVERAGEIFS('HD Dump'!$M$2:$M$538,'HD Dump'!$U$2:$U$538,C$7,'HD Dump'!$R$2:$R$538,"&gt;="&amp;$B60-90,'HD Dump'!$R$2:$R$538,"&lt;="&amp;$B60),T59)</f>
        <v/>
      </c>
      <c r="U60" s="18">
        <f>IF(COUNTIFS('HD Dump'!$U$2:$U$538,D$7,'HD Dump'!$R$2:$R$538,"&gt;="&amp;$B60-90,'HD Dump'!$R$2:$R$538,"&lt;="&amp;$B60)&gt;0,AVERAGEIFS('HD Dump'!$M$2:$M$538,'HD Dump'!$U$2:$U$538,D$7,'HD Dump'!$R$2:$R$538,"&gt;="&amp;$B60-90,'HD Dump'!$R$2:$R$538,"&lt;="&amp;$B60),U59)</f>
        <v/>
      </c>
      <c r="V60" s="18">
        <f>IF(COUNTIFS('HD Dump'!$U$2:$U$538,E$7,'HD Dump'!$R$2:$R$538,"&gt;="&amp;$B60-90,'HD Dump'!$R$2:$R$538,"&lt;="&amp;$B60)&gt;0,AVERAGEIFS('HD Dump'!$M$2:$M$538,'HD Dump'!$U$2:$U$538,E$7,'HD Dump'!$R$2:$R$538,"&gt;="&amp;$B60-90,'HD Dump'!$R$2:$R$538,"&lt;="&amp;$B60),V59)</f>
        <v/>
      </c>
      <c r="W60" s="18">
        <f>IF(COUNTIFS('HD Dump'!$U$2:$U$538,F$7,'HD Dump'!$R$2:$R$538,"&gt;="&amp;$B60-90,'HD Dump'!$R$2:$R$538,"&lt;="&amp;$B60)&gt;0,AVERAGEIFS('HD Dump'!$M$2:$M$538,'HD Dump'!$U$2:$U$538,F$7,'HD Dump'!$R$2:$R$538,"&gt;="&amp;$B60-90,'HD Dump'!$R$2:$R$538,"&lt;="&amp;$B60),W59)</f>
        <v/>
      </c>
      <c r="X60" s="18">
        <f>IF(COUNTIFS('HD Dump'!$U$2:$U$538,G$7,'HD Dump'!$R$2:$R$538,"&gt;="&amp;$B60-90,'HD Dump'!$R$2:$R$538,"&lt;="&amp;$B60)&gt;0,AVERAGEIFS('HD Dump'!$M$2:$M$538,'HD Dump'!$U$2:$U$538,G$7,'HD Dump'!$R$2:$R$538,"&gt;="&amp;$B60-90,'HD Dump'!$R$2:$R$538,"&lt;="&amp;$B60),X59)</f>
        <v/>
      </c>
      <c r="Y60" s="18">
        <f>IF(COUNTIFS('HD Dump'!$U$2:$U$538,H$7,'HD Dump'!$R$2:$R$538,"&gt;="&amp;$B60-90,'HD Dump'!$R$2:$R$538,"&lt;="&amp;$B60)&gt;0,AVERAGEIFS('HD Dump'!$M$2:$M$538,'HD Dump'!$U$2:$U$538,H$7,'HD Dump'!$R$2:$R$538,"&gt;="&amp;$B60-90,'HD Dump'!$R$2:$R$538,"&lt;="&amp;$B60),Y59)</f>
        <v/>
      </c>
      <c r="Z60" s="18">
        <f>IF(COUNTIFS('HD Dump'!$U$2:$U$538,I$7,'HD Dump'!$R$2:$R$538,"&gt;="&amp;$B60-90,'HD Dump'!$R$2:$R$538,"&lt;="&amp;$B60)&gt;0,AVERAGEIFS('HD Dump'!$M$2:$M$538,'HD Dump'!$U$2:$U$538,I$7,'HD Dump'!$R$2:$R$538,"&gt;="&amp;$B60-90,'HD Dump'!$R$2:$R$538,"&lt;="&amp;$B60),Z59)</f>
        <v/>
      </c>
      <c r="AA60" s="18">
        <f>IF(COUNTIFS('HD Dump'!$U$2:$U$538,J$7,'HD Dump'!$R$2:$R$538,"&gt;="&amp;$B60-90,'HD Dump'!$R$2:$R$538,"&lt;="&amp;$B60)&gt;0,AVERAGEIFS('HD Dump'!$M$2:$M$538,'HD Dump'!$U$2:$U$538,J$7,'HD Dump'!$R$2:$R$538,"&gt;="&amp;$B60-90,'HD Dump'!$R$2:$R$538,"&lt;="&amp;$B60),AA59)</f>
        <v/>
      </c>
      <c r="AB60" s="18">
        <f>IF(COUNTIFS('HD Dump'!$U$2:$U$538,K$7,'HD Dump'!$R$2:$R$538,"&gt;="&amp;$B60-90,'HD Dump'!$R$2:$R$538,"&lt;="&amp;$B60)&gt;0,AVERAGEIFS('HD Dump'!$M$2:$M$538,'HD Dump'!$U$2:$U$538,K$7,'HD Dump'!$R$2:$R$538,"&gt;="&amp;$B60-90,'HD Dump'!$R$2:$R$538,"&lt;="&amp;$B60),AB59)</f>
        <v/>
      </c>
      <c r="AD60" s="18">
        <f>IF(COUNTIFS('HD Dump'!$U$2:$U$538,C$7,'HD Dump'!$R$2:$R$538,"&gt;="&amp;$B60-90,'HD Dump'!$R$2:$R$538,"&lt;="&amp;$B60)&gt;0,AVERAGEIFS('HD Dump'!$O$2:$O$538,'HD Dump'!$U$2:$U$538,C$7,'HD Dump'!$R$2:$R$538,"&gt;="&amp;$B60-90,'HD Dump'!$R$2:$R$538,"&lt;="&amp;$B60),AD59)</f>
        <v/>
      </c>
      <c r="AE60" s="18">
        <f>IF(COUNTIFS('HD Dump'!$U$2:$U$538,D$7,'HD Dump'!$R$2:$R$538,"&gt;="&amp;$B60-90,'HD Dump'!$R$2:$R$538,"&lt;="&amp;$B60)&gt;0,AVERAGEIFS('HD Dump'!$O$2:$O$538,'HD Dump'!$U$2:$U$538,D$7,'HD Dump'!$R$2:$R$538,"&gt;="&amp;$B60-90,'HD Dump'!$R$2:$R$538,"&lt;="&amp;$B60),AE59)</f>
        <v/>
      </c>
      <c r="AF60" s="18">
        <f>IF(COUNTIFS('HD Dump'!$U$2:$U$538,E$7,'HD Dump'!$R$2:$R$538,"&gt;="&amp;$B60-90,'HD Dump'!$R$2:$R$538,"&lt;="&amp;$B60)&gt;0,AVERAGEIFS('HD Dump'!$O$2:$O$538,'HD Dump'!$U$2:$U$538,E$7,'HD Dump'!$R$2:$R$538,"&gt;="&amp;$B60-90,'HD Dump'!$R$2:$R$538,"&lt;="&amp;$B60),AF59)</f>
        <v/>
      </c>
      <c r="AG60" s="18">
        <f>IF(COUNTIFS('HD Dump'!$U$2:$U$538,F$7,'HD Dump'!$R$2:$R$538,"&gt;="&amp;$B60-90,'HD Dump'!$R$2:$R$538,"&lt;="&amp;$B60)&gt;0,AVERAGEIFS('HD Dump'!$O$2:$O$538,'HD Dump'!$U$2:$U$538,F$7,'HD Dump'!$R$2:$R$538,"&gt;="&amp;$B60-90,'HD Dump'!$R$2:$R$538,"&lt;="&amp;$B60),AG59)</f>
        <v/>
      </c>
      <c r="AH60" s="18">
        <f>IF(COUNTIFS('HD Dump'!$U$2:$U$538,G$7,'HD Dump'!$R$2:$R$538,"&gt;="&amp;$B60-90,'HD Dump'!$R$2:$R$538,"&lt;="&amp;$B60)&gt;0,AVERAGEIFS('HD Dump'!$O$2:$O$538,'HD Dump'!$U$2:$U$538,G$7,'HD Dump'!$R$2:$R$538,"&gt;="&amp;$B60-90,'HD Dump'!$R$2:$R$538,"&lt;="&amp;$B60),AH59)</f>
        <v/>
      </c>
      <c r="AI60" s="18">
        <f>IF(COUNTIFS('HD Dump'!$U$2:$U$538,H$7,'HD Dump'!$R$2:$R$538,"&gt;="&amp;$B60-90,'HD Dump'!$R$2:$R$538,"&lt;="&amp;$B60)&gt;0,AVERAGEIFS('HD Dump'!$O$2:$O$538,'HD Dump'!$U$2:$U$538,H$7,'HD Dump'!$R$2:$R$538,"&gt;="&amp;$B60-90,'HD Dump'!$R$2:$R$538,"&lt;="&amp;$B60),AI59)</f>
        <v/>
      </c>
      <c r="AJ60" s="18">
        <f>IF(COUNTIFS('HD Dump'!$U$2:$U$538,I$7,'HD Dump'!$R$2:$R$538,"&gt;="&amp;$B60-90,'HD Dump'!$R$2:$R$538,"&lt;="&amp;$B60)&gt;0,AVERAGEIFS('HD Dump'!$O$2:$O$538,'HD Dump'!$U$2:$U$538,I$7,'HD Dump'!$R$2:$R$538,"&gt;="&amp;$B60-90,'HD Dump'!$R$2:$R$538,"&lt;="&amp;$B60),AJ59)</f>
        <v/>
      </c>
      <c r="AK60" s="18">
        <f>IF(COUNTIFS('HD Dump'!$U$2:$U$538,J$7,'HD Dump'!$R$2:$R$538,"&gt;="&amp;$B60-90,'HD Dump'!$R$2:$R$538,"&lt;="&amp;$B60)&gt;0,AVERAGEIFS('HD Dump'!$O$2:$O$538,'HD Dump'!$U$2:$U$538,J$7,'HD Dump'!$R$2:$R$538,"&gt;="&amp;$B60-90,'HD Dump'!$R$2:$R$538,"&lt;="&amp;$B60),AK59)</f>
        <v/>
      </c>
      <c r="AL60" s="18">
        <f>IF(COUNTIFS('HD Dump'!$U$2:$U$538,K$7,'HD Dump'!$R$2:$R$538,"&gt;="&amp;$B60-90,'HD Dump'!$R$2:$R$538,"&lt;="&amp;$B60)&gt;0,AVERAGEIFS('HD Dump'!$O$2:$O$538,'HD Dump'!$U$2:$U$538,K$7,'HD Dump'!$R$2:$R$538,"&gt;="&amp;$B60-90,'HD Dump'!$R$2:$R$538,"&lt;="&amp;$B60),AL59)</f>
        <v/>
      </c>
      <c r="AN60">
        <f>IFERROR(SUMPRODUCT((TEXT('RR Dump'!$L$2:$L$361,"yyyy-mm")=TEXT($B60,"yyyy-mm"))*((RRA!$A$109:$A$468=1)*RRA!$F$20+(RRA!$A$109:$A$468=2)*RRA!$F$21+(RRA!$A$109:$A$468=3)*RRA!$F$22+(RRA!$A$109:$A$468=4)*RRA!$F$23))/SUMPRODUCT((TEXT('RR Dump'!$L$2:$L$361,"yyyy-mm")=TEXT($B60,"yyyy-mm"))*1),0)</f>
        <v/>
      </c>
      <c r="AO60">
        <f>IFERROR(SUMPRODUCT((TEXT('RR Dump'!$L$2:$L$361,"yyyy-mm")=TEXT($B60,"yyyy-mm"))*((RRA!$A$109:$A$468=1)*RRA!$F$25+(RRA!$A$109:$A$468=2)*RRA!$F$26+(RRA!$A$109:$A$468=3)*RRA!$F$27+(RRA!$A$109:$A$468=4)*RRA!$F$28))/SUMPRODUCT((TEXT('RR Dump'!$L$2:$L$361,"yyyy-mm")=TEXT($B60,"yyyy-mm"))*1),0)</f>
        <v/>
      </c>
    </row>
    <row r="61">
      <c r="B61" s="9" t="n">
        <v>47026</v>
      </c>
      <c r="C61" s="19" t="inlineStr">
        <is>
          <t>Projected</t>
        </is>
      </c>
      <c r="D61" s="20">
        <f>IFERROR(INDEX(RRA!$E$48:$EX$48,MATCH($B61,RRA!$E$33:$EX$33,0))/360,"")</f>
        <v/>
      </c>
      <c r="E61" s="20" t="n"/>
      <c r="F61" s="20">
        <f>IFERROR((INDEX(RRA!$E$49:$EX$49,MATCH($B61,RRA!$E$33:$EX$33,0))/360*360-(1-$F61)*360*$D61)/($F61*360),"")</f>
        <v/>
      </c>
      <c r="G61" s="21">
        <f>IFERROR('Cash Flow (Annual)'!$L$14,"")</f>
        <v/>
      </c>
      <c r="H61" s="22">
        <f>IFERROR($F61/$D61-1,"")</f>
        <v/>
      </c>
      <c r="I61" s="20">
        <f>SUMPRODUCT((TEXT('RR Dump'!$L$2:$L$361,"yyyy-mm")=TEXT($B61,"yyyy-mm"))*((RRA!$A$109:$A$468=1)*RRA!$F$15+(RRA!$A$109:$A$468=2)*RRA!$F$16+(RRA!$A$109:$A$468=3)*RRA!$F$17+(RRA!$A$109:$A$468=4)*RRA!$F$18))+SUMPRODUCT((TEXT(EDATE(N('RR Dump'!$L$2:$L$361),RRA!$D$4),"yyyy-mm")=TEXT($B61,"yyyy-mm"))*((RRA!$A$109:$A$468=1)*RRA!$F$15+(RRA!$A$109:$A$468=2)*RRA!$F$16+(RRA!$A$109:$A$468=3)*RRA!$F$17+(RRA!$A$109:$A$468=4)*RRA!$F$18))</f>
        <v/>
      </c>
      <c r="J61" s="23">
        <f>IFERROR($L61-$J61,"")</f>
        <v/>
      </c>
      <c r="K61" s="20">
        <f>IFERROR($K61,"")</f>
        <v/>
      </c>
      <c r="L61" s="23">
        <f>SUMPRODUCT((TEXT('RR Dump'!$L$2:$L$361,"yyyy-mm")=TEXT($B61,"yyyy-mm"))*1)+SUMPRODUCT((TEXT(EDATE(N('RR Dump'!$L$2:$L$361),RRA!$D$4),"yyyy-mm")=TEXT($B61,"yyyy-mm"))*1)</f>
        <v/>
      </c>
      <c r="M61" s="20">
        <f>IFERROR(SUMPRODUCT((TEXT('RR Dump'!$L$2:$L$361,"yyyy-mm")=TEXT($B61,"yyyy-mm"))*N('RR Dump'!$I$2:$I$361))/SUMPRODUCT((TEXT('RR Dump'!$L$2:$L$361,"yyyy-mm")=TEXT($B61,"yyyy-mm"))*1),"")</f>
        <v/>
      </c>
      <c r="N61" s="20">
        <f>IFERROR(MAX($M61+AN61*($D61-$M61),$M61*(1+AO61)),"")</f>
        <v/>
      </c>
      <c r="O61" s="22">
        <f>IFERROR($N61/$M61-1,"")</f>
        <v/>
      </c>
      <c r="P61" s="20">
        <f>IFERROR($D61,"")</f>
        <v/>
      </c>
      <c r="T61" s="18">
        <f>IF(COUNTIFS('HD Dump'!$U$2:$U$538,C$7,'HD Dump'!$R$2:$R$538,"&gt;="&amp;$B61-90,'HD Dump'!$R$2:$R$538,"&lt;="&amp;$B61)&gt;0,AVERAGEIFS('HD Dump'!$M$2:$M$538,'HD Dump'!$U$2:$U$538,C$7,'HD Dump'!$R$2:$R$538,"&gt;="&amp;$B61-90,'HD Dump'!$R$2:$R$538,"&lt;="&amp;$B61),T60)</f>
        <v/>
      </c>
      <c r="U61" s="18">
        <f>IF(COUNTIFS('HD Dump'!$U$2:$U$538,D$7,'HD Dump'!$R$2:$R$538,"&gt;="&amp;$B61-90,'HD Dump'!$R$2:$R$538,"&lt;="&amp;$B61)&gt;0,AVERAGEIFS('HD Dump'!$M$2:$M$538,'HD Dump'!$U$2:$U$538,D$7,'HD Dump'!$R$2:$R$538,"&gt;="&amp;$B61-90,'HD Dump'!$R$2:$R$538,"&lt;="&amp;$B61),U60)</f>
        <v/>
      </c>
      <c r="V61" s="18">
        <f>IF(COUNTIFS('HD Dump'!$U$2:$U$538,E$7,'HD Dump'!$R$2:$R$538,"&gt;="&amp;$B61-90,'HD Dump'!$R$2:$R$538,"&lt;="&amp;$B61)&gt;0,AVERAGEIFS('HD Dump'!$M$2:$M$538,'HD Dump'!$U$2:$U$538,E$7,'HD Dump'!$R$2:$R$538,"&gt;="&amp;$B61-90,'HD Dump'!$R$2:$R$538,"&lt;="&amp;$B61),V60)</f>
        <v/>
      </c>
      <c r="W61" s="18">
        <f>IF(COUNTIFS('HD Dump'!$U$2:$U$538,F$7,'HD Dump'!$R$2:$R$538,"&gt;="&amp;$B61-90,'HD Dump'!$R$2:$R$538,"&lt;="&amp;$B61)&gt;0,AVERAGEIFS('HD Dump'!$M$2:$M$538,'HD Dump'!$U$2:$U$538,F$7,'HD Dump'!$R$2:$R$538,"&gt;="&amp;$B61-90,'HD Dump'!$R$2:$R$538,"&lt;="&amp;$B61),W60)</f>
        <v/>
      </c>
      <c r="X61" s="18">
        <f>IF(COUNTIFS('HD Dump'!$U$2:$U$538,G$7,'HD Dump'!$R$2:$R$538,"&gt;="&amp;$B61-90,'HD Dump'!$R$2:$R$538,"&lt;="&amp;$B61)&gt;0,AVERAGEIFS('HD Dump'!$M$2:$M$538,'HD Dump'!$U$2:$U$538,G$7,'HD Dump'!$R$2:$R$538,"&gt;="&amp;$B61-90,'HD Dump'!$R$2:$R$538,"&lt;="&amp;$B61),X60)</f>
        <v/>
      </c>
      <c r="Y61" s="18">
        <f>IF(COUNTIFS('HD Dump'!$U$2:$U$538,H$7,'HD Dump'!$R$2:$R$538,"&gt;="&amp;$B61-90,'HD Dump'!$R$2:$R$538,"&lt;="&amp;$B61)&gt;0,AVERAGEIFS('HD Dump'!$M$2:$M$538,'HD Dump'!$U$2:$U$538,H$7,'HD Dump'!$R$2:$R$538,"&gt;="&amp;$B61-90,'HD Dump'!$R$2:$R$538,"&lt;="&amp;$B61),Y60)</f>
        <v/>
      </c>
      <c r="Z61" s="18">
        <f>IF(COUNTIFS('HD Dump'!$U$2:$U$538,I$7,'HD Dump'!$R$2:$R$538,"&gt;="&amp;$B61-90,'HD Dump'!$R$2:$R$538,"&lt;="&amp;$B61)&gt;0,AVERAGEIFS('HD Dump'!$M$2:$M$538,'HD Dump'!$U$2:$U$538,I$7,'HD Dump'!$R$2:$R$538,"&gt;="&amp;$B61-90,'HD Dump'!$R$2:$R$538,"&lt;="&amp;$B61),Z60)</f>
        <v/>
      </c>
      <c r="AA61" s="18">
        <f>IF(COUNTIFS('HD Dump'!$U$2:$U$538,J$7,'HD Dump'!$R$2:$R$538,"&gt;="&amp;$B61-90,'HD Dump'!$R$2:$R$538,"&lt;="&amp;$B61)&gt;0,AVERAGEIFS('HD Dump'!$M$2:$M$538,'HD Dump'!$U$2:$U$538,J$7,'HD Dump'!$R$2:$R$538,"&gt;="&amp;$B61-90,'HD Dump'!$R$2:$R$538,"&lt;="&amp;$B61),AA60)</f>
        <v/>
      </c>
      <c r="AB61" s="18">
        <f>IF(COUNTIFS('HD Dump'!$U$2:$U$538,K$7,'HD Dump'!$R$2:$R$538,"&gt;="&amp;$B61-90,'HD Dump'!$R$2:$R$538,"&lt;="&amp;$B61)&gt;0,AVERAGEIFS('HD Dump'!$M$2:$M$538,'HD Dump'!$U$2:$U$538,K$7,'HD Dump'!$R$2:$R$538,"&gt;="&amp;$B61-90,'HD Dump'!$R$2:$R$538,"&lt;="&amp;$B61),AB60)</f>
        <v/>
      </c>
      <c r="AD61" s="18">
        <f>IF(COUNTIFS('HD Dump'!$U$2:$U$538,C$7,'HD Dump'!$R$2:$R$538,"&gt;="&amp;$B61-90,'HD Dump'!$R$2:$R$538,"&lt;="&amp;$B61)&gt;0,AVERAGEIFS('HD Dump'!$O$2:$O$538,'HD Dump'!$U$2:$U$538,C$7,'HD Dump'!$R$2:$R$538,"&gt;="&amp;$B61-90,'HD Dump'!$R$2:$R$538,"&lt;="&amp;$B61),AD60)</f>
        <v/>
      </c>
      <c r="AE61" s="18">
        <f>IF(COUNTIFS('HD Dump'!$U$2:$U$538,D$7,'HD Dump'!$R$2:$R$538,"&gt;="&amp;$B61-90,'HD Dump'!$R$2:$R$538,"&lt;="&amp;$B61)&gt;0,AVERAGEIFS('HD Dump'!$O$2:$O$538,'HD Dump'!$U$2:$U$538,D$7,'HD Dump'!$R$2:$R$538,"&gt;="&amp;$B61-90,'HD Dump'!$R$2:$R$538,"&lt;="&amp;$B61),AE60)</f>
        <v/>
      </c>
      <c r="AF61" s="18">
        <f>IF(COUNTIFS('HD Dump'!$U$2:$U$538,E$7,'HD Dump'!$R$2:$R$538,"&gt;="&amp;$B61-90,'HD Dump'!$R$2:$R$538,"&lt;="&amp;$B61)&gt;0,AVERAGEIFS('HD Dump'!$O$2:$O$538,'HD Dump'!$U$2:$U$538,E$7,'HD Dump'!$R$2:$R$538,"&gt;="&amp;$B61-90,'HD Dump'!$R$2:$R$538,"&lt;="&amp;$B61),AF60)</f>
        <v/>
      </c>
      <c r="AG61" s="18">
        <f>IF(COUNTIFS('HD Dump'!$U$2:$U$538,F$7,'HD Dump'!$R$2:$R$538,"&gt;="&amp;$B61-90,'HD Dump'!$R$2:$R$538,"&lt;="&amp;$B61)&gt;0,AVERAGEIFS('HD Dump'!$O$2:$O$538,'HD Dump'!$U$2:$U$538,F$7,'HD Dump'!$R$2:$R$538,"&gt;="&amp;$B61-90,'HD Dump'!$R$2:$R$538,"&lt;="&amp;$B61),AG60)</f>
        <v/>
      </c>
      <c r="AH61" s="18">
        <f>IF(COUNTIFS('HD Dump'!$U$2:$U$538,G$7,'HD Dump'!$R$2:$R$538,"&gt;="&amp;$B61-90,'HD Dump'!$R$2:$R$538,"&lt;="&amp;$B61)&gt;0,AVERAGEIFS('HD Dump'!$O$2:$O$538,'HD Dump'!$U$2:$U$538,G$7,'HD Dump'!$R$2:$R$538,"&gt;="&amp;$B61-90,'HD Dump'!$R$2:$R$538,"&lt;="&amp;$B61),AH60)</f>
        <v/>
      </c>
      <c r="AI61" s="18">
        <f>IF(COUNTIFS('HD Dump'!$U$2:$U$538,H$7,'HD Dump'!$R$2:$R$538,"&gt;="&amp;$B61-90,'HD Dump'!$R$2:$R$538,"&lt;="&amp;$B61)&gt;0,AVERAGEIFS('HD Dump'!$O$2:$O$538,'HD Dump'!$U$2:$U$538,H$7,'HD Dump'!$R$2:$R$538,"&gt;="&amp;$B61-90,'HD Dump'!$R$2:$R$538,"&lt;="&amp;$B61),AI60)</f>
        <v/>
      </c>
      <c r="AJ61" s="18">
        <f>IF(COUNTIFS('HD Dump'!$U$2:$U$538,I$7,'HD Dump'!$R$2:$R$538,"&gt;="&amp;$B61-90,'HD Dump'!$R$2:$R$538,"&lt;="&amp;$B61)&gt;0,AVERAGEIFS('HD Dump'!$O$2:$O$538,'HD Dump'!$U$2:$U$538,I$7,'HD Dump'!$R$2:$R$538,"&gt;="&amp;$B61-90,'HD Dump'!$R$2:$R$538,"&lt;="&amp;$B61),AJ60)</f>
        <v/>
      </c>
      <c r="AK61" s="18">
        <f>IF(COUNTIFS('HD Dump'!$U$2:$U$538,J$7,'HD Dump'!$R$2:$R$538,"&gt;="&amp;$B61-90,'HD Dump'!$R$2:$R$538,"&lt;="&amp;$B61)&gt;0,AVERAGEIFS('HD Dump'!$O$2:$O$538,'HD Dump'!$U$2:$U$538,J$7,'HD Dump'!$R$2:$R$538,"&gt;="&amp;$B61-90,'HD Dump'!$R$2:$R$538,"&lt;="&amp;$B61),AK60)</f>
        <v/>
      </c>
      <c r="AL61" s="18">
        <f>IF(COUNTIFS('HD Dump'!$U$2:$U$538,K$7,'HD Dump'!$R$2:$R$538,"&gt;="&amp;$B61-90,'HD Dump'!$R$2:$R$538,"&lt;="&amp;$B61)&gt;0,AVERAGEIFS('HD Dump'!$O$2:$O$538,'HD Dump'!$U$2:$U$538,K$7,'HD Dump'!$R$2:$R$538,"&gt;="&amp;$B61-90,'HD Dump'!$R$2:$R$538,"&lt;="&amp;$B61),AL60)</f>
        <v/>
      </c>
      <c r="AN61">
        <f>IFERROR(SUMPRODUCT((TEXT('RR Dump'!$L$2:$L$361,"yyyy-mm")=TEXT($B61,"yyyy-mm"))*((RRA!$A$109:$A$468=1)*RRA!$F$20+(RRA!$A$109:$A$468=2)*RRA!$F$21+(RRA!$A$109:$A$468=3)*RRA!$F$22+(RRA!$A$109:$A$468=4)*RRA!$F$23))/SUMPRODUCT((TEXT('RR Dump'!$L$2:$L$361,"yyyy-mm")=TEXT($B61,"yyyy-mm"))*1),0)</f>
        <v/>
      </c>
      <c r="AO61">
        <f>IFERROR(SUMPRODUCT((TEXT('RR Dump'!$L$2:$L$361,"yyyy-mm")=TEXT($B61,"yyyy-mm"))*((RRA!$A$109:$A$468=1)*RRA!$F$25+(RRA!$A$109:$A$468=2)*RRA!$F$26+(RRA!$A$109:$A$468=3)*RRA!$F$27+(RRA!$A$109:$A$468=4)*RRA!$F$28))/SUMPRODUCT((TEXT('RR Dump'!$L$2:$L$361,"yyyy-mm")=TEXT($B61,"yyyy-mm"))*1),0)</f>
        <v/>
      </c>
    </row>
    <row r="62">
      <c r="B62" s="9" t="n">
        <v>47057</v>
      </c>
      <c r="C62" s="19" t="inlineStr">
        <is>
          <t>Projected</t>
        </is>
      </c>
      <c r="D62" s="20">
        <f>IFERROR(INDEX(RRA!$E$48:$EX$48,MATCH($B62,RRA!$E$33:$EX$33,0))/360,"")</f>
        <v/>
      </c>
      <c r="E62" s="20" t="n"/>
      <c r="F62" s="20">
        <f>IFERROR((INDEX(RRA!$E$49:$EX$49,MATCH($B62,RRA!$E$33:$EX$33,0))/360*360-(1-$F62)*360*$D62)/($F62*360),"")</f>
        <v/>
      </c>
      <c r="G62" s="21">
        <f>IFERROR('Cash Flow (Annual)'!$L$14,"")</f>
        <v/>
      </c>
      <c r="H62" s="22">
        <f>IFERROR($F62/$D62-1,"")</f>
        <v/>
      </c>
      <c r="I62" s="20">
        <f>SUMPRODUCT((TEXT('RR Dump'!$L$2:$L$361,"yyyy-mm")=TEXT($B62,"yyyy-mm"))*((RRA!$A$109:$A$468=1)*RRA!$F$15+(RRA!$A$109:$A$468=2)*RRA!$F$16+(RRA!$A$109:$A$468=3)*RRA!$F$17+(RRA!$A$109:$A$468=4)*RRA!$F$18))+SUMPRODUCT((TEXT(EDATE(N('RR Dump'!$L$2:$L$361),RRA!$D$4),"yyyy-mm")=TEXT($B62,"yyyy-mm"))*((RRA!$A$109:$A$468=1)*RRA!$F$15+(RRA!$A$109:$A$468=2)*RRA!$F$16+(RRA!$A$109:$A$468=3)*RRA!$F$17+(RRA!$A$109:$A$468=4)*RRA!$F$18))</f>
        <v/>
      </c>
      <c r="J62" s="23">
        <f>IFERROR($L62-$J62,"")</f>
        <v/>
      </c>
      <c r="K62" s="20">
        <f>IFERROR($K62,"")</f>
        <v/>
      </c>
      <c r="L62" s="23">
        <f>SUMPRODUCT((TEXT('RR Dump'!$L$2:$L$361,"yyyy-mm")=TEXT($B62,"yyyy-mm"))*1)+SUMPRODUCT((TEXT(EDATE(N('RR Dump'!$L$2:$L$361),RRA!$D$4),"yyyy-mm")=TEXT($B62,"yyyy-mm"))*1)</f>
        <v/>
      </c>
      <c r="M62" s="20">
        <f>IFERROR(SUMPRODUCT((TEXT('RR Dump'!$L$2:$L$361,"yyyy-mm")=TEXT($B62,"yyyy-mm"))*N('RR Dump'!$I$2:$I$361))/SUMPRODUCT((TEXT('RR Dump'!$L$2:$L$361,"yyyy-mm")=TEXT($B62,"yyyy-mm"))*1),"")</f>
        <v/>
      </c>
      <c r="N62" s="20">
        <f>IFERROR(MAX($M62+AN62*($D62-$M62),$M62*(1+AO62)),"")</f>
        <v/>
      </c>
      <c r="O62" s="22">
        <f>IFERROR($N62/$M62-1,"")</f>
        <v/>
      </c>
      <c r="P62" s="20">
        <f>IFERROR($D62,"")</f>
        <v/>
      </c>
      <c r="T62" s="18">
        <f>IF(COUNTIFS('HD Dump'!$U$2:$U$538,C$7,'HD Dump'!$R$2:$R$538,"&gt;="&amp;$B62-90,'HD Dump'!$R$2:$R$538,"&lt;="&amp;$B62)&gt;0,AVERAGEIFS('HD Dump'!$M$2:$M$538,'HD Dump'!$U$2:$U$538,C$7,'HD Dump'!$R$2:$R$538,"&gt;="&amp;$B62-90,'HD Dump'!$R$2:$R$538,"&lt;="&amp;$B62),T61)</f>
        <v/>
      </c>
      <c r="U62" s="18">
        <f>IF(COUNTIFS('HD Dump'!$U$2:$U$538,D$7,'HD Dump'!$R$2:$R$538,"&gt;="&amp;$B62-90,'HD Dump'!$R$2:$R$538,"&lt;="&amp;$B62)&gt;0,AVERAGEIFS('HD Dump'!$M$2:$M$538,'HD Dump'!$U$2:$U$538,D$7,'HD Dump'!$R$2:$R$538,"&gt;="&amp;$B62-90,'HD Dump'!$R$2:$R$538,"&lt;="&amp;$B62),U61)</f>
        <v/>
      </c>
      <c r="V62" s="18">
        <f>IF(COUNTIFS('HD Dump'!$U$2:$U$538,E$7,'HD Dump'!$R$2:$R$538,"&gt;="&amp;$B62-90,'HD Dump'!$R$2:$R$538,"&lt;="&amp;$B62)&gt;0,AVERAGEIFS('HD Dump'!$M$2:$M$538,'HD Dump'!$U$2:$U$538,E$7,'HD Dump'!$R$2:$R$538,"&gt;="&amp;$B62-90,'HD Dump'!$R$2:$R$538,"&lt;="&amp;$B62),V61)</f>
        <v/>
      </c>
      <c r="W62" s="18">
        <f>IF(COUNTIFS('HD Dump'!$U$2:$U$538,F$7,'HD Dump'!$R$2:$R$538,"&gt;="&amp;$B62-90,'HD Dump'!$R$2:$R$538,"&lt;="&amp;$B62)&gt;0,AVERAGEIFS('HD Dump'!$M$2:$M$538,'HD Dump'!$U$2:$U$538,F$7,'HD Dump'!$R$2:$R$538,"&gt;="&amp;$B62-90,'HD Dump'!$R$2:$R$538,"&lt;="&amp;$B62),W61)</f>
        <v/>
      </c>
      <c r="X62" s="18">
        <f>IF(COUNTIFS('HD Dump'!$U$2:$U$538,G$7,'HD Dump'!$R$2:$R$538,"&gt;="&amp;$B62-90,'HD Dump'!$R$2:$R$538,"&lt;="&amp;$B62)&gt;0,AVERAGEIFS('HD Dump'!$M$2:$M$538,'HD Dump'!$U$2:$U$538,G$7,'HD Dump'!$R$2:$R$538,"&gt;="&amp;$B62-90,'HD Dump'!$R$2:$R$538,"&lt;="&amp;$B62),X61)</f>
        <v/>
      </c>
      <c r="Y62" s="18">
        <f>IF(COUNTIFS('HD Dump'!$U$2:$U$538,H$7,'HD Dump'!$R$2:$R$538,"&gt;="&amp;$B62-90,'HD Dump'!$R$2:$R$538,"&lt;="&amp;$B62)&gt;0,AVERAGEIFS('HD Dump'!$M$2:$M$538,'HD Dump'!$U$2:$U$538,H$7,'HD Dump'!$R$2:$R$538,"&gt;="&amp;$B62-90,'HD Dump'!$R$2:$R$538,"&lt;="&amp;$B62),Y61)</f>
        <v/>
      </c>
      <c r="Z62" s="18">
        <f>IF(COUNTIFS('HD Dump'!$U$2:$U$538,I$7,'HD Dump'!$R$2:$R$538,"&gt;="&amp;$B62-90,'HD Dump'!$R$2:$R$538,"&lt;="&amp;$B62)&gt;0,AVERAGEIFS('HD Dump'!$M$2:$M$538,'HD Dump'!$U$2:$U$538,I$7,'HD Dump'!$R$2:$R$538,"&gt;="&amp;$B62-90,'HD Dump'!$R$2:$R$538,"&lt;="&amp;$B62),Z61)</f>
        <v/>
      </c>
      <c r="AA62" s="18">
        <f>IF(COUNTIFS('HD Dump'!$U$2:$U$538,J$7,'HD Dump'!$R$2:$R$538,"&gt;="&amp;$B62-90,'HD Dump'!$R$2:$R$538,"&lt;="&amp;$B62)&gt;0,AVERAGEIFS('HD Dump'!$M$2:$M$538,'HD Dump'!$U$2:$U$538,J$7,'HD Dump'!$R$2:$R$538,"&gt;="&amp;$B62-90,'HD Dump'!$R$2:$R$538,"&lt;="&amp;$B62),AA61)</f>
        <v/>
      </c>
      <c r="AB62" s="18">
        <f>IF(COUNTIFS('HD Dump'!$U$2:$U$538,K$7,'HD Dump'!$R$2:$R$538,"&gt;="&amp;$B62-90,'HD Dump'!$R$2:$R$538,"&lt;="&amp;$B62)&gt;0,AVERAGEIFS('HD Dump'!$M$2:$M$538,'HD Dump'!$U$2:$U$538,K$7,'HD Dump'!$R$2:$R$538,"&gt;="&amp;$B62-90,'HD Dump'!$R$2:$R$538,"&lt;="&amp;$B62),AB61)</f>
        <v/>
      </c>
      <c r="AD62" s="18">
        <f>IF(COUNTIFS('HD Dump'!$U$2:$U$538,C$7,'HD Dump'!$R$2:$R$538,"&gt;="&amp;$B62-90,'HD Dump'!$R$2:$R$538,"&lt;="&amp;$B62)&gt;0,AVERAGEIFS('HD Dump'!$O$2:$O$538,'HD Dump'!$U$2:$U$538,C$7,'HD Dump'!$R$2:$R$538,"&gt;="&amp;$B62-90,'HD Dump'!$R$2:$R$538,"&lt;="&amp;$B62),AD61)</f>
        <v/>
      </c>
      <c r="AE62" s="18">
        <f>IF(COUNTIFS('HD Dump'!$U$2:$U$538,D$7,'HD Dump'!$R$2:$R$538,"&gt;="&amp;$B62-90,'HD Dump'!$R$2:$R$538,"&lt;="&amp;$B62)&gt;0,AVERAGEIFS('HD Dump'!$O$2:$O$538,'HD Dump'!$U$2:$U$538,D$7,'HD Dump'!$R$2:$R$538,"&gt;="&amp;$B62-90,'HD Dump'!$R$2:$R$538,"&lt;="&amp;$B62),AE61)</f>
        <v/>
      </c>
      <c r="AF62" s="18">
        <f>IF(COUNTIFS('HD Dump'!$U$2:$U$538,E$7,'HD Dump'!$R$2:$R$538,"&gt;="&amp;$B62-90,'HD Dump'!$R$2:$R$538,"&lt;="&amp;$B62)&gt;0,AVERAGEIFS('HD Dump'!$O$2:$O$538,'HD Dump'!$U$2:$U$538,E$7,'HD Dump'!$R$2:$R$538,"&gt;="&amp;$B62-90,'HD Dump'!$R$2:$R$538,"&lt;="&amp;$B62),AF61)</f>
        <v/>
      </c>
      <c r="AG62" s="18">
        <f>IF(COUNTIFS('HD Dump'!$U$2:$U$538,F$7,'HD Dump'!$R$2:$R$538,"&gt;="&amp;$B62-90,'HD Dump'!$R$2:$R$538,"&lt;="&amp;$B62)&gt;0,AVERAGEIFS('HD Dump'!$O$2:$O$538,'HD Dump'!$U$2:$U$538,F$7,'HD Dump'!$R$2:$R$538,"&gt;="&amp;$B62-90,'HD Dump'!$R$2:$R$538,"&lt;="&amp;$B62),AG61)</f>
        <v/>
      </c>
      <c r="AH62" s="18">
        <f>IF(COUNTIFS('HD Dump'!$U$2:$U$538,G$7,'HD Dump'!$R$2:$R$538,"&gt;="&amp;$B62-90,'HD Dump'!$R$2:$R$538,"&lt;="&amp;$B62)&gt;0,AVERAGEIFS('HD Dump'!$O$2:$O$538,'HD Dump'!$U$2:$U$538,G$7,'HD Dump'!$R$2:$R$538,"&gt;="&amp;$B62-90,'HD Dump'!$R$2:$R$538,"&lt;="&amp;$B62),AH61)</f>
        <v/>
      </c>
      <c r="AI62" s="18">
        <f>IF(COUNTIFS('HD Dump'!$U$2:$U$538,H$7,'HD Dump'!$R$2:$R$538,"&gt;="&amp;$B62-90,'HD Dump'!$R$2:$R$538,"&lt;="&amp;$B62)&gt;0,AVERAGEIFS('HD Dump'!$O$2:$O$538,'HD Dump'!$U$2:$U$538,H$7,'HD Dump'!$R$2:$R$538,"&gt;="&amp;$B62-90,'HD Dump'!$R$2:$R$538,"&lt;="&amp;$B62),AI61)</f>
        <v/>
      </c>
      <c r="AJ62" s="18">
        <f>IF(COUNTIFS('HD Dump'!$U$2:$U$538,I$7,'HD Dump'!$R$2:$R$538,"&gt;="&amp;$B62-90,'HD Dump'!$R$2:$R$538,"&lt;="&amp;$B62)&gt;0,AVERAGEIFS('HD Dump'!$O$2:$O$538,'HD Dump'!$U$2:$U$538,I$7,'HD Dump'!$R$2:$R$538,"&gt;="&amp;$B62-90,'HD Dump'!$R$2:$R$538,"&lt;="&amp;$B62),AJ61)</f>
        <v/>
      </c>
      <c r="AK62" s="18">
        <f>IF(COUNTIFS('HD Dump'!$U$2:$U$538,J$7,'HD Dump'!$R$2:$R$538,"&gt;="&amp;$B62-90,'HD Dump'!$R$2:$R$538,"&lt;="&amp;$B62)&gt;0,AVERAGEIFS('HD Dump'!$O$2:$O$538,'HD Dump'!$U$2:$U$538,J$7,'HD Dump'!$R$2:$R$538,"&gt;="&amp;$B62-90,'HD Dump'!$R$2:$R$538,"&lt;="&amp;$B62),AK61)</f>
        <v/>
      </c>
      <c r="AL62" s="18">
        <f>IF(COUNTIFS('HD Dump'!$U$2:$U$538,K$7,'HD Dump'!$R$2:$R$538,"&gt;="&amp;$B62-90,'HD Dump'!$R$2:$R$538,"&lt;="&amp;$B62)&gt;0,AVERAGEIFS('HD Dump'!$O$2:$O$538,'HD Dump'!$U$2:$U$538,K$7,'HD Dump'!$R$2:$R$538,"&gt;="&amp;$B62-90,'HD Dump'!$R$2:$R$538,"&lt;="&amp;$B62),AL61)</f>
        <v/>
      </c>
      <c r="AN62">
        <f>IFERROR(SUMPRODUCT((TEXT('RR Dump'!$L$2:$L$361,"yyyy-mm")=TEXT($B62,"yyyy-mm"))*((RRA!$A$109:$A$468=1)*RRA!$F$20+(RRA!$A$109:$A$468=2)*RRA!$F$21+(RRA!$A$109:$A$468=3)*RRA!$F$22+(RRA!$A$109:$A$468=4)*RRA!$F$23))/SUMPRODUCT((TEXT('RR Dump'!$L$2:$L$361,"yyyy-mm")=TEXT($B62,"yyyy-mm"))*1),0)</f>
        <v/>
      </c>
      <c r="AO62">
        <f>IFERROR(SUMPRODUCT((TEXT('RR Dump'!$L$2:$L$361,"yyyy-mm")=TEXT($B62,"yyyy-mm"))*((RRA!$A$109:$A$468=1)*RRA!$F$25+(RRA!$A$109:$A$468=2)*RRA!$F$26+(RRA!$A$109:$A$468=3)*RRA!$F$27+(RRA!$A$109:$A$468=4)*RRA!$F$28))/SUMPRODUCT((TEXT('RR Dump'!$L$2:$L$361,"yyyy-mm")=TEXT($B62,"yyyy-mm"))*1),0)</f>
        <v/>
      </c>
    </row>
    <row r="63">
      <c r="B63" s="9" t="n">
        <v>47087</v>
      </c>
      <c r="C63" s="19" t="inlineStr">
        <is>
          <t>Projected</t>
        </is>
      </c>
      <c r="D63" s="20">
        <f>IFERROR(INDEX(RRA!$E$48:$EX$48,MATCH($B63,RRA!$E$33:$EX$33,0))/360,"")</f>
        <v/>
      </c>
      <c r="E63" s="20" t="n"/>
      <c r="F63" s="20">
        <f>IFERROR((INDEX(RRA!$E$49:$EX$49,MATCH($B63,RRA!$E$33:$EX$33,0))/360*360-(1-$F63)*360*$D63)/($F63*360),"")</f>
        <v/>
      </c>
      <c r="G63" s="21">
        <f>IFERROR('Cash Flow (Annual)'!$L$14,"")</f>
        <v/>
      </c>
      <c r="H63" s="22">
        <f>IFERROR($F63/$D63-1,"")</f>
        <v/>
      </c>
      <c r="I63" s="20">
        <f>SUMPRODUCT((TEXT('RR Dump'!$L$2:$L$361,"yyyy-mm")=TEXT($B63,"yyyy-mm"))*((RRA!$A$109:$A$468=1)*RRA!$F$15+(RRA!$A$109:$A$468=2)*RRA!$F$16+(RRA!$A$109:$A$468=3)*RRA!$F$17+(RRA!$A$109:$A$468=4)*RRA!$F$18))+SUMPRODUCT((TEXT(EDATE(N('RR Dump'!$L$2:$L$361),RRA!$D$4),"yyyy-mm")=TEXT($B63,"yyyy-mm"))*((RRA!$A$109:$A$468=1)*RRA!$F$15+(RRA!$A$109:$A$468=2)*RRA!$F$16+(RRA!$A$109:$A$468=3)*RRA!$F$17+(RRA!$A$109:$A$468=4)*RRA!$F$18))</f>
        <v/>
      </c>
      <c r="J63" s="23">
        <f>IFERROR($L63-$J63,"")</f>
        <v/>
      </c>
      <c r="K63" s="20">
        <f>IFERROR($K63,"")</f>
        <v/>
      </c>
      <c r="L63" s="23">
        <f>SUMPRODUCT((TEXT('RR Dump'!$L$2:$L$361,"yyyy-mm")=TEXT($B63,"yyyy-mm"))*1)+SUMPRODUCT((TEXT(EDATE(N('RR Dump'!$L$2:$L$361),RRA!$D$4),"yyyy-mm")=TEXT($B63,"yyyy-mm"))*1)</f>
        <v/>
      </c>
      <c r="M63" s="20">
        <f>IFERROR(SUMPRODUCT((TEXT('RR Dump'!$L$2:$L$361,"yyyy-mm")=TEXT($B63,"yyyy-mm"))*N('RR Dump'!$I$2:$I$361))/SUMPRODUCT((TEXT('RR Dump'!$L$2:$L$361,"yyyy-mm")=TEXT($B63,"yyyy-mm"))*1),"")</f>
        <v/>
      </c>
      <c r="N63" s="20">
        <f>IFERROR(MAX($M63+AN63*($D63-$M63),$M63*(1+AO63)),"")</f>
        <v/>
      </c>
      <c r="O63" s="22">
        <f>IFERROR($N63/$M63-1,"")</f>
        <v/>
      </c>
      <c r="P63" s="20">
        <f>IFERROR($D63,"")</f>
        <v/>
      </c>
      <c r="T63" s="18">
        <f>IF(COUNTIFS('HD Dump'!$U$2:$U$538,C$7,'HD Dump'!$R$2:$R$538,"&gt;="&amp;$B63-90,'HD Dump'!$R$2:$R$538,"&lt;="&amp;$B63)&gt;0,AVERAGEIFS('HD Dump'!$M$2:$M$538,'HD Dump'!$U$2:$U$538,C$7,'HD Dump'!$R$2:$R$538,"&gt;="&amp;$B63-90,'HD Dump'!$R$2:$R$538,"&lt;="&amp;$B63),T62)</f>
        <v/>
      </c>
      <c r="U63" s="18">
        <f>IF(COUNTIFS('HD Dump'!$U$2:$U$538,D$7,'HD Dump'!$R$2:$R$538,"&gt;="&amp;$B63-90,'HD Dump'!$R$2:$R$538,"&lt;="&amp;$B63)&gt;0,AVERAGEIFS('HD Dump'!$M$2:$M$538,'HD Dump'!$U$2:$U$538,D$7,'HD Dump'!$R$2:$R$538,"&gt;="&amp;$B63-90,'HD Dump'!$R$2:$R$538,"&lt;="&amp;$B63),U62)</f>
        <v/>
      </c>
      <c r="V63" s="18">
        <f>IF(COUNTIFS('HD Dump'!$U$2:$U$538,E$7,'HD Dump'!$R$2:$R$538,"&gt;="&amp;$B63-90,'HD Dump'!$R$2:$R$538,"&lt;="&amp;$B63)&gt;0,AVERAGEIFS('HD Dump'!$M$2:$M$538,'HD Dump'!$U$2:$U$538,E$7,'HD Dump'!$R$2:$R$538,"&gt;="&amp;$B63-90,'HD Dump'!$R$2:$R$538,"&lt;="&amp;$B63),V62)</f>
        <v/>
      </c>
      <c r="W63" s="18">
        <f>IF(COUNTIFS('HD Dump'!$U$2:$U$538,F$7,'HD Dump'!$R$2:$R$538,"&gt;="&amp;$B63-90,'HD Dump'!$R$2:$R$538,"&lt;="&amp;$B63)&gt;0,AVERAGEIFS('HD Dump'!$M$2:$M$538,'HD Dump'!$U$2:$U$538,F$7,'HD Dump'!$R$2:$R$538,"&gt;="&amp;$B63-90,'HD Dump'!$R$2:$R$538,"&lt;="&amp;$B63),W62)</f>
        <v/>
      </c>
      <c r="X63" s="18">
        <f>IF(COUNTIFS('HD Dump'!$U$2:$U$538,G$7,'HD Dump'!$R$2:$R$538,"&gt;="&amp;$B63-90,'HD Dump'!$R$2:$R$538,"&lt;="&amp;$B63)&gt;0,AVERAGEIFS('HD Dump'!$M$2:$M$538,'HD Dump'!$U$2:$U$538,G$7,'HD Dump'!$R$2:$R$538,"&gt;="&amp;$B63-90,'HD Dump'!$R$2:$R$538,"&lt;="&amp;$B63),X62)</f>
        <v/>
      </c>
      <c r="Y63" s="18">
        <f>IF(COUNTIFS('HD Dump'!$U$2:$U$538,H$7,'HD Dump'!$R$2:$R$538,"&gt;="&amp;$B63-90,'HD Dump'!$R$2:$R$538,"&lt;="&amp;$B63)&gt;0,AVERAGEIFS('HD Dump'!$M$2:$M$538,'HD Dump'!$U$2:$U$538,H$7,'HD Dump'!$R$2:$R$538,"&gt;="&amp;$B63-90,'HD Dump'!$R$2:$R$538,"&lt;="&amp;$B63),Y62)</f>
        <v/>
      </c>
      <c r="Z63" s="18">
        <f>IF(COUNTIFS('HD Dump'!$U$2:$U$538,I$7,'HD Dump'!$R$2:$R$538,"&gt;="&amp;$B63-90,'HD Dump'!$R$2:$R$538,"&lt;="&amp;$B63)&gt;0,AVERAGEIFS('HD Dump'!$M$2:$M$538,'HD Dump'!$U$2:$U$538,I$7,'HD Dump'!$R$2:$R$538,"&gt;="&amp;$B63-90,'HD Dump'!$R$2:$R$538,"&lt;="&amp;$B63),Z62)</f>
        <v/>
      </c>
      <c r="AA63" s="18">
        <f>IF(COUNTIFS('HD Dump'!$U$2:$U$538,J$7,'HD Dump'!$R$2:$R$538,"&gt;="&amp;$B63-90,'HD Dump'!$R$2:$R$538,"&lt;="&amp;$B63)&gt;0,AVERAGEIFS('HD Dump'!$M$2:$M$538,'HD Dump'!$U$2:$U$538,J$7,'HD Dump'!$R$2:$R$538,"&gt;="&amp;$B63-90,'HD Dump'!$R$2:$R$538,"&lt;="&amp;$B63),AA62)</f>
        <v/>
      </c>
      <c r="AB63" s="18">
        <f>IF(COUNTIFS('HD Dump'!$U$2:$U$538,K$7,'HD Dump'!$R$2:$R$538,"&gt;="&amp;$B63-90,'HD Dump'!$R$2:$R$538,"&lt;="&amp;$B63)&gt;0,AVERAGEIFS('HD Dump'!$M$2:$M$538,'HD Dump'!$U$2:$U$538,K$7,'HD Dump'!$R$2:$R$538,"&gt;="&amp;$B63-90,'HD Dump'!$R$2:$R$538,"&lt;="&amp;$B63),AB62)</f>
        <v/>
      </c>
      <c r="AD63" s="18">
        <f>IF(COUNTIFS('HD Dump'!$U$2:$U$538,C$7,'HD Dump'!$R$2:$R$538,"&gt;="&amp;$B63-90,'HD Dump'!$R$2:$R$538,"&lt;="&amp;$B63)&gt;0,AVERAGEIFS('HD Dump'!$O$2:$O$538,'HD Dump'!$U$2:$U$538,C$7,'HD Dump'!$R$2:$R$538,"&gt;="&amp;$B63-90,'HD Dump'!$R$2:$R$538,"&lt;="&amp;$B63),AD62)</f>
        <v/>
      </c>
      <c r="AE63" s="18">
        <f>IF(COUNTIFS('HD Dump'!$U$2:$U$538,D$7,'HD Dump'!$R$2:$R$538,"&gt;="&amp;$B63-90,'HD Dump'!$R$2:$R$538,"&lt;="&amp;$B63)&gt;0,AVERAGEIFS('HD Dump'!$O$2:$O$538,'HD Dump'!$U$2:$U$538,D$7,'HD Dump'!$R$2:$R$538,"&gt;="&amp;$B63-90,'HD Dump'!$R$2:$R$538,"&lt;="&amp;$B63),AE62)</f>
        <v/>
      </c>
      <c r="AF63" s="18">
        <f>IF(COUNTIFS('HD Dump'!$U$2:$U$538,E$7,'HD Dump'!$R$2:$R$538,"&gt;="&amp;$B63-90,'HD Dump'!$R$2:$R$538,"&lt;="&amp;$B63)&gt;0,AVERAGEIFS('HD Dump'!$O$2:$O$538,'HD Dump'!$U$2:$U$538,E$7,'HD Dump'!$R$2:$R$538,"&gt;="&amp;$B63-90,'HD Dump'!$R$2:$R$538,"&lt;="&amp;$B63),AF62)</f>
        <v/>
      </c>
      <c r="AG63" s="18">
        <f>IF(COUNTIFS('HD Dump'!$U$2:$U$538,F$7,'HD Dump'!$R$2:$R$538,"&gt;="&amp;$B63-90,'HD Dump'!$R$2:$R$538,"&lt;="&amp;$B63)&gt;0,AVERAGEIFS('HD Dump'!$O$2:$O$538,'HD Dump'!$U$2:$U$538,F$7,'HD Dump'!$R$2:$R$538,"&gt;="&amp;$B63-90,'HD Dump'!$R$2:$R$538,"&lt;="&amp;$B63),AG62)</f>
        <v/>
      </c>
      <c r="AH63" s="18">
        <f>IF(COUNTIFS('HD Dump'!$U$2:$U$538,G$7,'HD Dump'!$R$2:$R$538,"&gt;="&amp;$B63-90,'HD Dump'!$R$2:$R$538,"&lt;="&amp;$B63)&gt;0,AVERAGEIFS('HD Dump'!$O$2:$O$538,'HD Dump'!$U$2:$U$538,G$7,'HD Dump'!$R$2:$R$538,"&gt;="&amp;$B63-90,'HD Dump'!$R$2:$R$538,"&lt;="&amp;$B63),AH62)</f>
        <v/>
      </c>
      <c r="AI63" s="18">
        <f>IF(COUNTIFS('HD Dump'!$U$2:$U$538,H$7,'HD Dump'!$R$2:$R$538,"&gt;="&amp;$B63-90,'HD Dump'!$R$2:$R$538,"&lt;="&amp;$B63)&gt;0,AVERAGEIFS('HD Dump'!$O$2:$O$538,'HD Dump'!$U$2:$U$538,H$7,'HD Dump'!$R$2:$R$538,"&gt;="&amp;$B63-90,'HD Dump'!$R$2:$R$538,"&lt;="&amp;$B63),AI62)</f>
        <v/>
      </c>
      <c r="AJ63" s="18">
        <f>IF(COUNTIFS('HD Dump'!$U$2:$U$538,I$7,'HD Dump'!$R$2:$R$538,"&gt;="&amp;$B63-90,'HD Dump'!$R$2:$R$538,"&lt;="&amp;$B63)&gt;0,AVERAGEIFS('HD Dump'!$O$2:$O$538,'HD Dump'!$U$2:$U$538,I$7,'HD Dump'!$R$2:$R$538,"&gt;="&amp;$B63-90,'HD Dump'!$R$2:$R$538,"&lt;="&amp;$B63),AJ62)</f>
        <v/>
      </c>
      <c r="AK63" s="18">
        <f>IF(COUNTIFS('HD Dump'!$U$2:$U$538,J$7,'HD Dump'!$R$2:$R$538,"&gt;="&amp;$B63-90,'HD Dump'!$R$2:$R$538,"&lt;="&amp;$B63)&gt;0,AVERAGEIFS('HD Dump'!$O$2:$O$538,'HD Dump'!$U$2:$U$538,J$7,'HD Dump'!$R$2:$R$538,"&gt;="&amp;$B63-90,'HD Dump'!$R$2:$R$538,"&lt;="&amp;$B63),AK62)</f>
        <v/>
      </c>
      <c r="AL63" s="18">
        <f>IF(COUNTIFS('HD Dump'!$U$2:$U$538,K$7,'HD Dump'!$R$2:$R$538,"&gt;="&amp;$B63-90,'HD Dump'!$R$2:$R$538,"&lt;="&amp;$B63)&gt;0,AVERAGEIFS('HD Dump'!$O$2:$O$538,'HD Dump'!$U$2:$U$538,K$7,'HD Dump'!$R$2:$R$538,"&gt;="&amp;$B63-90,'HD Dump'!$R$2:$R$538,"&lt;="&amp;$B63),AL62)</f>
        <v/>
      </c>
      <c r="AN63">
        <f>IFERROR(SUMPRODUCT((TEXT('RR Dump'!$L$2:$L$361,"yyyy-mm")=TEXT($B63,"yyyy-mm"))*((RRA!$A$109:$A$468=1)*RRA!$F$20+(RRA!$A$109:$A$468=2)*RRA!$F$21+(RRA!$A$109:$A$468=3)*RRA!$F$22+(RRA!$A$109:$A$468=4)*RRA!$F$23))/SUMPRODUCT((TEXT('RR Dump'!$L$2:$L$361,"yyyy-mm")=TEXT($B63,"yyyy-mm"))*1),0)</f>
        <v/>
      </c>
      <c r="AO63">
        <f>IFERROR(SUMPRODUCT((TEXT('RR Dump'!$L$2:$L$361,"yyyy-mm")=TEXT($B63,"yyyy-mm"))*((RRA!$A$109:$A$468=1)*RRA!$F$25+(RRA!$A$109:$A$468=2)*RRA!$F$26+(RRA!$A$109:$A$468=3)*RRA!$F$27+(RRA!$A$109:$A$468=4)*RRA!$F$28))/SUMPRODUCT((TEXT('RR Dump'!$L$2:$L$361,"yyyy-mm")=TEXT($B63,"yyyy-mm"))*1),0)</f>
        <v/>
      </c>
    </row>
    <row r="66">
      <c r="B66" s="24" t="inlineStr">
        <is>
          <t>RECONCILIATION — this tab vs Cash Flow (Annual)</t>
        </is>
      </c>
      <c r="E66" s="25" t="inlineStr">
        <is>
          <t>model</t>
        </is>
      </c>
      <c r="F66" s="25" t="inlineStr">
        <is>
          <t>this tab</t>
        </is>
      </c>
      <c r="G66" s="25" t="inlineStr">
        <is>
          <t>diff</t>
        </is>
      </c>
    </row>
    <row r="67">
      <c r="B67" s="26" t="inlineStr">
        <is>
          <t>Market rent /unit, Y1</t>
        </is>
      </c>
      <c r="E67" s="27">
        <f>'Cash Flow (Annual)'!$K$4</f>
        <v/>
      </c>
      <c r="F67" s="27">
        <f>AVERAGEIFS($D$11:$D$63,$B$11:$B$63,"&gt;="&amp;DATE(2026,12,1),$B$11:$B$63,"&lt;="&amp;DATE(2027,11,30))</f>
        <v/>
      </c>
      <c r="G67" s="27">
        <f>IFERROR($F67-$E67,"")</f>
        <v/>
      </c>
    </row>
    <row r="68">
      <c r="B68" s="26" t="inlineStr">
        <is>
          <t>Market rent /unit, Y2</t>
        </is>
      </c>
      <c r="E68" s="27">
        <f>'Cash Flow (Annual)'!$L$4</f>
        <v/>
      </c>
      <c r="F68" s="27">
        <f>AVERAGEIFS($D$11:$D$63,$B$11:$B$63,"&gt;="&amp;DATE(2027,12,1),$B$11:$B$63,"&lt;="&amp;DATE(2028,11,30))</f>
        <v/>
      </c>
      <c r="G68" s="27">
        <f>IFERROR($F68-$E68,"")</f>
        <v/>
      </c>
    </row>
    <row r="69">
      <c r="B69" s="26" t="inlineStr">
        <is>
          <t>Contract rent /unit, Y1</t>
        </is>
      </c>
      <c r="E69" s="27">
        <f>RRA!$H$4/360/12</f>
        <v/>
      </c>
      <c r="F69" s="27">
        <f>AVERAGEIFS($F$11:$F$63,$B$11:$B$63,"&gt;="&amp;DATE(2026,12,1),$B$11:$B$63,"&lt;="&amp;DATE(2027,11,30))</f>
        <v/>
      </c>
      <c r="G69" s="27">
        <f>IFERROR($F69-$E69,"")</f>
        <v/>
      </c>
    </row>
    <row r="70">
      <c r="B70" s="26" t="inlineStr">
        <is>
          <t>Contract rent /unit, Y2</t>
        </is>
      </c>
      <c r="E70" s="27">
        <f>RRA!$I$4/360/12</f>
        <v/>
      </c>
      <c r="F70" s="27">
        <f>AVERAGEIFS($F$11:$F$63,$B$11:$B$63,"&gt;="&amp;DATE(2027,12,1),$B$11:$B$63,"&lt;="&amp;DATE(2028,11,30))</f>
        <v/>
      </c>
      <c r="G70" s="27">
        <f>IFERROR($F70-$E70,"")</f>
        <v/>
      </c>
    </row>
    <row r="71">
      <c r="B71" s="26" t="inlineStr">
        <is>
          <t>Physical occupancy, Y1</t>
        </is>
      </c>
      <c r="E71" s="28">
        <f>'Cash Flow (Annual)'!$K$14</f>
        <v/>
      </c>
      <c r="F71" s="28">
        <f>AVERAGEIFS($G$11:$G$63,$B$11:$B$63,"&gt;="&amp;DATE(2026,12,1),$B$11:$B$63,"&lt;="&amp;DATE(2027,11,30))</f>
        <v/>
      </c>
      <c r="G71" s="28">
        <f>IFERROR($F71-$E71,"")</f>
        <v/>
      </c>
    </row>
    <row r="72">
      <c r="B72" s="26" t="inlineStr">
        <is>
          <t>(LTL)/GTL %, Y1</t>
        </is>
      </c>
      <c r="E72" s="28">
        <f>RRA!$H$6</f>
        <v/>
      </c>
      <c r="F72" s="28">
        <f>AVERAGEIFS($H$11:$H$63,$B$11:$B$63,"&gt;="&amp;DATE(2026,12,1),$B$11:$B$63,"&lt;="&amp;DATE(2027,11,30))</f>
        <v/>
      </c>
      <c r="G72" s="28">
        <f>IFERROR($F72-$E72,"")</f>
        <v/>
      </c>
    </row>
    <row r="74">
      <c r="B74" s="29" t="inlineStr">
        <is>
          <t>SELF-CHECK — expected values computed independently in Python from the raw documents. If a formula failed to resolve, these will not match.</t>
        </is>
      </c>
      <c r="E74" s="30" t="inlineStr">
        <is>
          <t>expected</t>
        </is>
      </c>
      <c r="F74" s="30" t="inlineStr">
        <is>
          <t>this tab</t>
        </is>
      </c>
      <c r="G74" s="30" t="inlineStr">
        <is>
          <t>within 2%?</t>
        </is>
      </c>
    </row>
    <row r="75">
      <c r="B75" s="26" t="inlineStr">
        <is>
          <t>Market rent, Jul-2026 (T90 HelloData)</t>
        </is>
      </c>
      <c r="E75" s="31" t="n">
        <v>1893</v>
      </c>
      <c r="F75" s="31">
        <f>$D$35</f>
        <v/>
      </c>
      <c r="G75" s="32">
        <f>IFERROR(ABS($F75-$E75)&lt;MAX(2,$E75*0.02),FALSE)</f>
        <v/>
      </c>
    </row>
    <row r="76">
      <c r="B76" s="26" t="inlineStr">
        <is>
          <t>Effective rent, Jul-2026</t>
        </is>
      </c>
      <c r="E76" s="31" t="n">
        <v>1893</v>
      </c>
      <c r="F76" s="31">
        <f>$E$35</f>
        <v/>
      </c>
      <c r="G76" s="32">
        <f>IFERROR(ABS($F76-$E76)&lt;MAX(2,$E76*0.02),FALSE)</f>
        <v/>
      </c>
    </row>
    <row r="77">
      <c r="B77" s="26" t="inlineStr">
        <is>
          <t>Contract rent, Jun-2026</t>
        </is>
      </c>
      <c r="E77" s="31" t="n">
        <v>1732</v>
      </c>
      <c r="F77" s="31">
        <f>$F$34</f>
        <v/>
      </c>
      <c r="G77" s="32">
        <f>IFERROR(ABS($F77-$E77)&lt;MAX(2,$E77*0.02),FALSE)</f>
        <v/>
      </c>
    </row>
    <row r="78">
      <c r="B78" s="26" t="inlineStr">
        <is>
          <t>Physical occupancy, Jun-2026</t>
        </is>
      </c>
      <c r="E78" s="28" t="n">
        <v>0.963</v>
      </c>
      <c r="F78" s="28">
        <f>$G$34</f>
        <v/>
      </c>
      <c r="G78" s="32">
        <f>IFERROR(ABS($F78-$E78)&lt;MAX(2,$E78*0.02),FALSE)</f>
        <v/>
      </c>
    </row>
    <row r="79">
      <c r="B79" s="26" t="inlineStr">
        <is>
          <t>Market rent /unit, Y1 avg (RRA)</t>
        </is>
      </c>
      <c r="E79" s="31" t="n">
        <v>1915</v>
      </c>
      <c r="F79" s="31">
        <f>'Cash Flow (Annual)'!$K$4</f>
        <v/>
      </c>
      <c r="G79" s="32">
        <f>IFERROR(ABS($F79-$E79)&lt;MAX(2,$E79*0.02),FALSE)</f>
        <v/>
      </c>
    </row>
    <row r="80">
      <c r="B80" s="26" t="inlineStr">
        <is>
          <t>Contract rent /unit, Y1 avg (RRA)</t>
        </is>
      </c>
      <c r="E80" s="31" t="n">
        <v>1845</v>
      </c>
      <c r="F80" s="31">
        <f>RRA!$H$4/360/12</f>
        <v/>
      </c>
      <c r="G80" s="32">
        <f>IFERROR(ABS($F80-$E80)&lt;MAX(2,$E80*0.02),FALSE)</f>
        <v/>
      </c>
    </row>
    <row r="81">
      <c r="B81" s="26" t="inlineStr">
        <is>
          <t>Leases expiring, Aug-2027</t>
        </is>
      </c>
      <c r="E81" s="31" t="n">
        <v>58</v>
      </c>
      <c r="F81" s="31">
        <f>$L$48</f>
        <v/>
      </c>
      <c r="G81" s="32">
        <f>IFERROR(ABS($F81-$E81)&lt;MAX(2,$E81*0.02),FALSE)</f>
        <v/>
      </c>
    </row>
  </sheetData>
  <mergeCells count="2">
    <mergeCell ref="B3:M3"/>
    <mergeCell ref="B4:M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2026-08-21T23:48:40Z</dcterms:created>
  <dcterms:modified xsi:type="dcterms:W3CDTF">2026-08-21T23:48:40Z</dcterms:modified>
</cp:coreProperties>
</file>