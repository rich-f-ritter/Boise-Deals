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lestonegp.sharepoint.com/sites/TMG-Internal-T/Milestone/Investments-Unrealized/00. Acquisitions/03. West/01. Mountain West/Boise/Seasons at Meridian/00. Seller Info/z. 08.20 Follow-Up DD/"/>
    </mc:Choice>
  </mc:AlternateContent>
  <xr:revisionPtr revIDLastSave="1" documentId="11_9B7803F0E70EC226B01930E53ABE797D20E688CC" xr6:coauthVersionLast="47" xr6:coauthVersionMax="47" xr10:uidLastSave="{0BE7C6D4-D2BB-4F07-84FF-27858324FDD8}"/>
  <bookViews>
    <workbookView xWindow="-14040" yWindow="-16320" windowWidth="29040" windowHeight="15720" tabRatio="500" activeTab="2" xr2:uid="{00000000-000D-0000-FFFF-FFFF00000000}"/>
  </bookViews>
  <sheets>
    <sheet name="Fully Loaded Comp" sheetId="1" r:id="rId1"/>
    <sheet name="Payroll Burden" sheetId="2" r:id="rId2"/>
    <sheet name="Wage Rate Schedu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3" l="1"/>
  <c r="D14" i="3"/>
  <c r="D13" i="3"/>
  <c r="D12" i="3"/>
  <c r="D11" i="3"/>
  <c r="D10" i="3"/>
  <c r="D9" i="3"/>
  <c r="D8" i="3"/>
  <c r="D7" i="3"/>
  <c r="D6" i="3"/>
  <c r="D5" i="3"/>
  <c r="D4" i="3"/>
  <c r="D3" i="3"/>
  <c r="D2" i="3"/>
  <c r="K11" i="2"/>
  <c r="H11" i="2"/>
  <c r="I11" i="2" s="1"/>
  <c r="J11" i="2" s="1"/>
  <c r="G11" i="2"/>
  <c r="D11" i="2"/>
  <c r="C11" i="2"/>
  <c r="E11" i="2" s="1"/>
  <c r="F11" i="2" s="1"/>
  <c r="J10" i="2"/>
  <c r="I10" i="2"/>
  <c r="E10" i="2"/>
  <c r="F10" i="2" s="1"/>
  <c r="I9" i="2"/>
  <c r="J9" i="2" s="1"/>
  <c r="E9" i="2"/>
  <c r="F9" i="2" s="1"/>
  <c r="I8" i="2"/>
  <c r="J8" i="2" s="1"/>
  <c r="E8" i="2"/>
  <c r="F8" i="2" s="1"/>
  <c r="I7" i="2"/>
  <c r="J7" i="2" s="1"/>
  <c r="E7" i="2"/>
  <c r="F7" i="2" s="1"/>
  <c r="I6" i="2"/>
  <c r="J6" i="2" s="1"/>
  <c r="E6" i="2"/>
  <c r="F6" i="2" s="1"/>
  <c r="I5" i="2"/>
  <c r="J5" i="2" s="1"/>
  <c r="E5" i="2"/>
  <c r="F5" i="2" s="1"/>
  <c r="I4" i="2"/>
  <c r="J4" i="2" s="1"/>
  <c r="E4" i="2"/>
  <c r="F4" i="2" s="1"/>
  <c r="G10" i="1"/>
  <c r="F10" i="1"/>
  <c r="E10" i="1"/>
  <c r="D10" i="1"/>
  <c r="C10" i="1"/>
  <c r="B10" i="1"/>
  <c r="A10" i="1"/>
</calcChain>
</file>

<file path=xl/sharedStrings.xml><?xml version="1.0" encoding="utf-8"?>
<sst xmlns="http://schemas.openxmlformats.org/spreadsheetml/2006/main" count="59" uniqueCount="53">
  <si>
    <t>Base (actual)</t>
  </si>
  <si>
    <t>Incentives</t>
  </si>
  <si>
    <t>Benefits</t>
  </si>
  <si>
    <t>Taxes &amp; WC</t>
  </si>
  <si>
    <t>401K</t>
  </si>
  <si>
    <t>Admin</t>
  </si>
  <si>
    <t>Fully Loaded</t>
  </si>
  <si>
    <t>Account</t>
  </si>
  <si>
    <t>Description</t>
  </si>
  <si>
    <t>Actual</t>
  </si>
  <si>
    <t>Budget</t>
  </si>
  <si>
    <t>Variance ($)</t>
  </si>
  <si>
    <t>Variance (%)</t>
  </si>
  <si>
    <t>YTD Actual</t>
  </si>
  <si>
    <t>YTD Budget</t>
  </si>
  <si>
    <t>YTD Variance ($)</t>
  </si>
  <si>
    <t>YTD Variance (%)</t>
  </si>
  <si>
    <t>Annual Budget</t>
  </si>
  <si>
    <t>6000-0000</t>
  </si>
  <si>
    <t>Operating Expenses</t>
  </si>
  <si>
    <t>6402-0000</t>
  </si>
  <si>
    <t>Payroll Burden</t>
  </si>
  <si>
    <t>6402-0100</t>
  </si>
  <si>
    <t>Salaries &amp; Wages</t>
  </si>
  <si>
    <t>6402-0105</t>
  </si>
  <si>
    <t>Bonuses</t>
  </si>
  <si>
    <t>6402-0110</t>
  </si>
  <si>
    <t>Commissions</t>
  </si>
  <si>
    <t>6402-0115</t>
  </si>
  <si>
    <t>Employee Benefits</t>
  </si>
  <si>
    <t>6402-0120</t>
  </si>
  <si>
    <t>Workers' Comp/Payroll Taxes</t>
  </si>
  <si>
    <t>7066-0000</t>
  </si>
  <si>
    <t>401K Plan Expense</t>
  </si>
  <si>
    <t>6402-0125</t>
  </si>
  <si>
    <t>Admin/Misc Fees</t>
  </si>
  <si>
    <t>6410-0000</t>
  </si>
  <si>
    <t>Total Payroll/Burden</t>
  </si>
  <si>
    <t>Note: source image had no column headers. Labels (Actual/Budget/YTD/Annual Budget) are inferred from the arithmetic: Variance = Budget - Actual; Variance % = Variance / Budget; Annual Budget = 2x YTD Budget (report is at month 6). Correct labels if the source differs.</t>
  </si>
  <si>
    <t>Position</t>
  </si>
  <si>
    <t>% Increase (2025 to 2026)</t>
  </si>
  <si>
    <t>2025 Hourly Rate</t>
  </si>
  <si>
    <t>2026 Hourly Rate</t>
  </si>
  <si>
    <t>Annual Pay</t>
  </si>
  <si>
    <t>Community Manager (Salary)</t>
  </si>
  <si>
    <t>Assistant Manager</t>
  </si>
  <si>
    <t>Leasing Manager</t>
  </si>
  <si>
    <t>Rental Consultant</t>
  </si>
  <si>
    <t>Service Manager</t>
  </si>
  <si>
    <t>Service Tech.</t>
  </si>
  <si>
    <t>Housekeeper</t>
  </si>
  <si>
    <t>Total Annual Pay</t>
  </si>
  <si>
    <t>Note: 2026 rate = 2025 rate x (1 + % increase). Annual Pay is from the source (approx. 2026 rate x 2,080 hrs); small differences vs rate x 2,080 reflect unrounded rates in the source.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</si>
</sst>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\$#,##0.00"/>
    <numFmt numFmtId="166" formatCode="\$#,##0"/>
  </numFmts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 applyAlignment="1">
      <alignment horizontal="right"/>
    </xf>
    <xf numFmtId="10" fontId="1" fillId="0" borderId="1" xfId="0" applyNumberFormat="1" applyFont="1" applyBorder="1" applyAlignment="1">
      <alignment horizontal="right"/>
    </xf>
    <xf numFmtId="0" fontId="3" fillId="0" borderId="0" xfId="0" applyFont="1"/>
    <xf numFmtId="9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0" fillId="0" borderId="1" xfId="0" applyBorder="1"/>
    <xf numFmtId="166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zoomScaleNormal="100" workbookViewId="0">
      <pane ySplit="1" topLeftCell="A2" activePane="bottomLeft" state="frozen"/>
      <selection pane="bottomLeft" activeCell="G10" sqref="G10"/>
    </sheetView>
  </sheetViews>
  <sheetFormatPr defaultColWidth="8.6640625" defaultRowHeight="14.4" x14ac:dyDescent="0.3"/>
  <cols>
    <col min="1" max="7" width="13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3">
      <c r="A2" s="2">
        <v>6333</v>
      </c>
      <c r="B2" s="2">
        <v>992</v>
      </c>
      <c r="C2" s="2">
        <v>1357</v>
      </c>
      <c r="D2" s="2">
        <v>498</v>
      </c>
      <c r="E2" s="2">
        <v>163</v>
      </c>
      <c r="F2" s="2">
        <v>38</v>
      </c>
      <c r="G2" s="2">
        <v>9382</v>
      </c>
    </row>
    <row r="3" spans="1:7" ht="15" customHeight="1" x14ac:dyDescent="0.3">
      <c r="A3" s="2">
        <v>5626</v>
      </c>
      <c r="B3" s="2">
        <v>492</v>
      </c>
      <c r="C3" s="2">
        <v>1357</v>
      </c>
      <c r="D3" s="2">
        <v>416</v>
      </c>
      <c r="E3" s="2">
        <v>145</v>
      </c>
      <c r="F3" s="2">
        <v>38</v>
      </c>
      <c r="G3" s="2">
        <v>8074</v>
      </c>
    </row>
    <row r="4" spans="1:7" ht="15" customHeight="1" x14ac:dyDescent="0.3">
      <c r="A4" s="2">
        <v>2960</v>
      </c>
      <c r="B4" s="2">
        <v>3043</v>
      </c>
      <c r="C4" s="2">
        <v>1357</v>
      </c>
      <c r="D4" s="2">
        <v>408</v>
      </c>
      <c r="E4" s="2">
        <v>76</v>
      </c>
      <c r="F4" s="2">
        <v>38</v>
      </c>
      <c r="G4" s="2">
        <v>7883</v>
      </c>
    </row>
    <row r="5" spans="1:7" ht="15" customHeight="1" x14ac:dyDescent="0.3">
      <c r="A5" s="2">
        <v>3537</v>
      </c>
      <c r="B5" s="2">
        <v>1471</v>
      </c>
      <c r="C5" s="2">
        <v>1357</v>
      </c>
      <c r="D5" s="2">
        <v>341</v>
      </c>
      <c r="E5" s="2">
        <v>91</v>
      </c>
      <c r="F5" s="2">
        <v>38</v>
      </c>
      <c r="G5" s="2">
        <v>6835</v>
      </c>
    </row>
    <row r="6" spans="1:7" ht="15" customHeight="1" x14ac:dyDescent="0.3">
      <c r="A6" s="2">
        <v>3340</v>
      </c>
      <c r="B6" s="2">
        <v>567</v>
      </c>
      <c r="C6" s="2">
        <v>1357</v>
      </c>
      <c r="D6" s="2">
        <v>266</v>
      </c>
      <c r="E6" s="2">
        <v>86</v>
      </c>
      <c r="F6" s="2">
        <v>38</v>
      </c>
      <c r="G6" s="2">
        <v>5653</v>
      </c>
    </row>
    <row r="7" spans="1:7" ht="15" customHeight="1" x14ac:dyDescent="0.3">
      <c r="A7" s="2">
        <v>3242</v>
      </c>
      <c r="B7" s="2">
        <v>567</v>
      </c>
      <c r="C7" s="2">
        <v>1357</v>
      </c>
      <c r="D7" s="2">
        <v>259</v>
      </c>
      <c r="E7" s="2">
        <v>84</v>
      </c>
      <c r="F7" s="2">
        <v>38</v>
      </c>
      <c r="G7" s="2">
        <v>5547</v>
      </c>
    </row>
    <row r="8" spans="1:7" ht="15" customHeight="1" x14ac:dyDescent="0.3">
      <c r="A8" s="2">
        <v>3036</v>
      </c>
      <c r="B8" s="2">
        <v>567</v>
      </c>
      <c r="C8" s="2">
        <v>1357</v>
      </c>
      <c r="D8" s="2">
        <v>245</v>
      </c>
      <c r="E8" s="2">
        <v>78</v>
      </c>
      <c r="F8" s="2">
        <v>38</v>
      </c>
      <c r="G8" s="2">
        <v>5321</v>
      </c>
    </row>
    <row r="9" spans="1:7" ht="15" customHeight="1" x14ac:dyDescent="0.3">
      <c r="A9" s="2">
        <v>2884</v>
      </c>
      <c r="B9" s="2">
        <v>615</v>
      </c>
      <c r="C9" s="2">
        <v>1357</v>
      </c>
      <c r="D9" s="2">
        <v>238</v>
      </c>
      <c r="E9" s="2">
        <v>74</v>
      </c>
      <c r="F9" s="2">
        <v>38</v>
      </c>
      <c r="G9" s="2">
        <v>5207</v>
      </c>
    </row>
    <row r="10" spans="1:7" ht="15" customHeight="1" x14ac:dyDescent="0.3">
      <c r="A10" s="3">
        <f t="shared" ref="A10:G10" si="0">SUM(A2:A9)</f>
        <v>30958</v>
      </c>
      <c r="B10" s="3">
        <f t="shared" si="0"/>
        <v>8314</v>
      </c>
      <c r="C10" s="3">
        <f t="shared" si="0"/>
        <v>10856</v>
      </c>
      <c r="D10" s="3">
        <f t="shared" si="0"/>
        <v>2671</v>
      </c>
      <c r="E10" s="3">
        <f t="shared" si="0"/>
        <v>797</v>
      </c>
      <c r="F10" s="3">
        <f t="shared" si="0"/>
        <v>304</v>
      </c>
      <c r="G10" s="3">
        <f t="shared" si="0"/>
        <v>53902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2" customWidth="1"/>
    <col min="2" max="2" width="26" customWidth="1"/>
    <col min="3" max="11" width="13" customWidth="1"/>
  </cols>
  <sheetData>
    <row r="1" spans="1:11" ht="30" customHeight="1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3">
      <c r="A2" s="4" t="s">
        <v>18</v>
      </c>
      <c r="B2" s="4" t="s">
        <v>19</v>
      </c>
    </row>
    <row r="3" spans="1:11" x14ac:dyDescent="0.3">
      <c r="A3" s="4" t="s">
        <v>20</v>
      </c>
      <c r="B3" s="4" t="s">
        <v>21</v>
      </c>
    </row>
    <row r="4" spans="1:11" x14ac:dyDescent="0.3">
      <c r="A4" s="5" t="s">
        <v>22</v>
      </c>
      <c r="B4" s="5" t="s">
        <v>23</v>
      </c>
      <c r="C4" s="6">
        <v>30958.06</v>
      </c>
      <c r="D4" s="6">
        <v>33609.339999999997</v>
      </c>
      <c r="E4" s="6">
        <f t="shared" ref="E4:E11" si="0">D4-C4</f>
        <v>2651.2799999999952</v>
      </c>
      <c r="F4" s="7">
        <f t="shared" ref="F4:F11" si="1">IFERROR(E4/D4,"N/A")</f>
        <v>7.8885214645690621E-2</v>
      </c>
      <c r="G4" s="6">
        <v>196717.26</v>
      </c>
      <c r="H4" s="6">
        <v>218460.73</v>
      </c>
      <c r="I4" s="6">
        <f t="shared" ref="I4:I11" si="2">H4-G4</f>
        <v>21743.47</v>
      </c>
      <c r="J4" s="7">
        <f t="shared" ref="J4:J11" si="3">IFERROR(I4/H4,"N/A")</f>
        <v>9.9530336642196515E-2</v>
      </c>
      <c r="K4" s="6">
        <v>436921.47</v>
      </c>
    </row>
    <row r="5" spans="1:11" x14ac:dyDescent="0.3">
      <c r="A5" s="5" t="s">
        <v>24</v>
      </c>
      <c r="B5" s="5" t="s">
        <v>25</v>
      </c>
      <c r="C5" s="6">
        <v>0</v>
      </c>
      <c r="D5" s="6">
        <v>0</v>
      </c>
      <c r="E5" s="6">
        <f t="shared" si="0"/>
        <v>0</v>
      </c>
      <c r="F5" s="7" t="str">
        <f t="shared" si="1"/>
        <v>N/A</v>
      </c>
      <c r="G5" s="6">
        <v>670.9</v>
      </c>
      <c r="H5" s="6">
        <v>11556.21</v>
      </c>
      <c r="I5" s="6">
        <f t="shared" si="2"/>
        <v>10885.31</v>
      </c>
      <c r="J5" s="7">
        <f t="shared" si="3"/>
        <v>0.94194463409716511</v>
      </c>
      <c r="K5" s="6">
        <v>23112.42</v>
      </c>
    </row>
    <row r="6" spans="1:11" x14ac:dyDescent="0.3">
      <c r="A6" s="5" t="s">
        <v>26</v>
      </c>
      <c r="B6" s="5" t="s">
        <v>27</v>
      </c>
      <c r="C6" s="6">
        <v>8314</v>
      </c>
      <c r="D6" s="6">
        <v>3137.99</v>
      </c>
      <c r="E6" s="6">
        <f t="shared" si="0"/>
        <v>-5176.01</v>
      </c>
      <c r="F6" s="7">
        <f t="shared" si="1"/>
        <v>-1.6494666968345981</v>
      </c>
      <c r="G6" s="6">
        <v>49935</v>
      </c>
      <c r="H6" s="6">
        <v>17028.189999999999</v>
      </c>
      <c r="I6" s="6">
        <f t="shared" si="2"/>
        <v>-32906.81</v>
      </c>
      <c r="J6" s="7">
        <f t="shared" si="3"/>
        <v>-1.9324901824562681</v>
      </c>
      <c r="K6" s="6">
        <v>36855.9</v>
      </c>
    </row>
    <row r="7" spans="1:11" x14ac:dyDescent="0.3">
      <c r="A7" s="5" t="s">
        <v>28</v>
      </c>
      <c r="B7" s="5" t="s">
        <v>29</v>
      </c>
      <c r="C7" s="6">
        <v>10853.08</v>
      </c>
      <c r="D7" s="6">
        <v>3950.34</v>
      </c>
      <c r="E7" s="6">
        <f t="shared" si="0"/>
        <v>-6902.74</v>
      </c>
      <c r="F7" s="7">
        <f t="shared" si="1"/>
        <v>-1.7473787066429725</v>
      </c>
      <c r="G7" s="6">
        <v>37743.22</v>
      </c>
      <c r="H7" s="6">
        <v>26557.35</v>
      </c>
      <c r="I7" s="6">
        <f t="shared" si="2"/>
        <v>-11185.870000000003</v>
      </c>
      <c r="J7" s="7">
        <f t="shared" si="3"/>
        <v>-0.42119676850288162</v>
      </c>
      <c r="K7" s="6">
        <v>55289.49</v>
      </c>
    </row>
    <row r="8" spans="1:11" x14ac:dyDescent="0.3">
      <c r="A8" s="5" t="s">
        <v>30</v>
      </c>
      <c r="B8" s="5" t="s">
        <v>31</v>
      </c>
      <c r="C8" s="6">
        <v>2671.57</v>
      </c>
      <c r="D8" s="6">
        <v>4409.68</v>
      </c>
      <c r="E8" s="6">
        <f t="shared" si="0"/>
        <v>1738.1100000000001</v>
      </c>
      <c r="F8" s="7">
        <f t="shared" si="1"/>
        <v>0.39415785272400716</v>
      </c>
      <c r="G8" s="6">
        <v>22891.66</v>
      </c>
      <c r="H8" s="6">
        <v>29645.42</v>
      </c>
      <c r="I8" s="6">
        <f t="shared" si="2"/>
        <v>6753.7599999999984</v>
      </c>
      <c r="J8" s="7">
        <f t="shared" si="3"/>
        <v>0.22781799009762718</v>
      </c>
      <c r="K8" s="6">
        <v>59626.77</v>
      </c>
    </row>
    <row r="9" spans="1:11" x14ac:dyDescent="0.3">
      <c r="A9" s="5" t="s">
        <v>32</v>
      </c>
      <c r="B9" s="5" t="s">
        <v>33</v>
      </c>
      <c r="C9" s="6">
        <v>798.64</v>
      </c>
      <c r="D9" s="6">
        <v>1102.42</v>
      </c>
      <c r="E9" s="6">
        <f t="shared" si="0"/>
        <v>303.78000000000009</v>
      </c>
      <c r="F9" s="7">
        <f t="shared" si="1"/>
        <v>0.27555741006150114</v>
      </c>
      <c r="G9" s="6">
        <v>6160.82</v>
      </c>
      <c r="H9" s="6">
        <v>7411.35</v>
      </c>
      <c r="I9" s="6">
        <f t="shared" si="2"/>
        <v>1250.5300000000007</v>
      </c>
      <c r="J9" s="7">
        <f t="shared" si="3"/>
        <v>0.16873174253003848</v>
      </c>
      <c r="K9" s="6">
        <v>14906.7</v>
      </c>
    </row>
    <row r="10" spans="1:11" x14ac:dyDescent="0.3">
      <c r="A10" s="5" t="s">
        <v>34</v>
      </c>
      <c r="B10" s="5" t="s">
        <v>35</v>
      </c>
      <c r="C10" s="6">
        <v>305.89999999999998</v>
      </c>
      <c r="D10" s="6">
        <v>330.73</v>
      </c>
      <c r="E10" s="6">
        <f t="shared" si="0"/>
        <v>24.830000000000041</v>
      </c>
      <c r="F10" s="7">
        <f t="shared" si="1"/>
        <v>7.5076346264324495E-2</v>
      </c>
      <c r="G10" s="6">
        <v>2545.2800000000002</v>
      </c>
      <c r="H10" s="6">
        <v>2223.41</v>
      </c>
      <c r="I10" s="6">
        <f t="shared" si="2"/>
        <v>-321.87000000000035</v>
      </c>
      <c r="J10" s="7">
        <f t="shared" si="3"/>
        <v>-0.14476412357594881</v>
      </c>
      <c r="K10" s="6">
        <v>4472.01</v>
      </c>
    </row>
    <row r="11" spans="1:11" x14ac:dyDescent="0.3">
      <c r="A11" s="8" t="s">
        <v>36</v>
      </c>
      <c r="B11" s="8" t="s">
        <v>37</v>
      </c>
      <c r="C11" s="9">
        <f>SUM(C4:C10)</f>
        <v>53901.25</v>
      </c>
      <c r="D11" s="9">
        <f>SUM(D4:D10)</f>
        <v>46540.5</v>
      </c>
      <c r="E11" s="9">
        <f t="shared" si="0"/>
        <v>-7360.75</v>
      </c>
      <c r="F11" s="10">
        <f t="shared" si="1"/>
        <v>-0.15815794845349748</v>
      </c>
      <c r="G11" s="9">
        <f>SUM(G4:G10)</f>
        <v>316664.14</v>
      </c>
      <c r="H11" s="9">
        <f>SUM(H4:H10)</f>
        <v>312882.65999999992</v>
      </c>
      <c r="I11" s="9">
        <f t="shared" si="2"/>
        <v>-3781.4800000000978</v>
      </c>
      <c r="J11" s="10">
        <f t="shared" si="3"/>
        <v>-1.2085936625571066E-2</v>
      </c>
      <c r="K11" s="9">
        <f>SUM(K4:K10)</f>
        <v>631184.76</v>
      </c>
    </row>
    <row r="13" spans="1:11" x14ac:dyDescent="0.3">
      <c r="A13" s="11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5" sqref="H25"/>
    </sheetView>
  </sheetViews>
  <sheetFormatPr defaultColWidth="8.6640625" defaultRowHeight="14.4" x14ac:dyDescent="0.3"/>
  <cols>
    <col min="1" max="1" width="26" customWidth="1"/>
    <col min="2" max="5" width="14" customWidth="1"/>
  </cols>
  <sheetData>
    <row r="1" spans="1:5" ht="42" customHeight="1" x14ac:dyDescent="0.3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3">
      <c r="A2" s="5" t="s">
        <v>44</v>
      </c>
      <c r="B2" s="12">
        <v>0.03</v>
      </c>
      <c r="C2" s="13">
        <v>41.72</v>
      </c>
      <c r="D2" s="13">
        <f>C2*(1+B2)</f>
        <v>42.971600000000002</v>
      </c>
      <c r="E2" s="14">
        <v>89381</v>
      </c>
    </row>
    <row r="3" spans="1:5" x14ac:dyDescent="0.3">
      <c r="A3" s="5" t="s">
        <v>45</v>
      </c>
      <c r="B3" s="5"/>
      <c r="C3" s="13">
        <v>24</v>
      </c>
      <c r="D3" s="13">
        <f>C3</f>
        <v>24</v>
      </c>
      <c r="E3" s="14">
        <v>49920</v>
      </c>
    </row>
    <row r="4" spans="1:5" x14ac:dyDescent="0.3">
      <c r="A4" s="5" t="s">
        <v>46</v>
      </c>
      <c r="B4" s="5"/>
      <c r="C4" s="13">
        <v>0</v>
      </c>
      <c r="D4" s="13">
        <f>C4</f>
        <v>0</v>
      </c>
      <c r="E4" s="14">
        <v>0</v>
      </c>
    </row>
    <row r="5" spans="1:5" x14ac:dyDescent="0.3">
      <c r="A5" s="5" t="s">
        <v>47</v>
      </c>
      <c r="B5" s="12">
        <v>0.03</v>
      </c>
      <c r="C5" s="13">
        <v>19.5</v>
      </c>
      <c r="D5" s="13">
        <f>C5*(1+B5)</f>
        <v>20.085000000000001</v>
      </c>
      <c r="E5" s="14">
        <v>41777</v>
      </c>
    </row>
    <row r="6" spans="1:5" x14ac:dyDescent="0.3">
      <c r="A6" s="5" t="s">
        <v>47</v>
      </c>
      <c r="B6" s="12">
        <v>0.03</v>
      </c>
      <c r="C6" s="13">
        <v>19</v>
      </c>
      <c r="D6" s="13">
        <f>C6*(1+B6)</f>
        <v>19.57</v>
      </c>
      <c r="E6" s="14">
        <v>40706</v>
      </c>
    </row>
    <row r="7" spans="1:5" x14ac:dyDescent="0.3">
      <c r="A7" s="5" t="s">
        <v>47</v>
      </c>
      <c r="B7" s="5"/>
      <c r="C7" s="13">
        <v>0</v>
      </c>
      <c r="D7" s="13">
        <f>C7</f>
        <v>0</v>
      </c>
      <c r="E7" s="14">
        <v>0</v>
      </c>
    </row>
    <row r="8" spans="1:5" x14ac:dyDescent="0.3">
      <c r="A8" s="5" t="s">
        <v>48</v>
      </c>
      <c r="B8" s="12">
        <v>0.03</v>
      </c>
      <c r="C8" s="13">
        <v>37.06</v>
      </c>
      <c r="D8" s="13">
        <f>C8*(1+B8)</f>
        <v>38.171800000000005</v>
      </c>
      <c r="E8" s="14">
        <v>79397</v>
      </c>
    </row>
    <row r="9" spans="1:5" x14ac:dyDescent="0.3">
      <c r="A9" s="5" t="s">
        <v>49</v>
      </c>
      <c r="B9" s="12">
        <v>0.03</v>
      </c>
      <c r="C9" s="13">
        <v>22</v>
      </c>
      <c r="D9" s="13">
        <f>C9*(1+B9)</f>
        <v>22.66</v>
      </c>
      <c r="E9" s="14">
        <v>47133</v>
      </c>
    </row>
    <row r="10" spans="1:5" x14ac:dyDescent="0.3">
      <c r="A10" s="5" t="s">
        <v>49</v>
      </c>
      <c r="B10" s="5"/>
      <c r="C10" s="13">
        <v>22</v>
      </c>
      <c r="D10" s="13">
        <f>C10</f>
        <v>22</v>
      </c>
      <c r="E10" s="14">
        <v>45760</v>
      </c>
    </row>
    <row r="11" spans="1:5" x14ac:dyDescent="0.3">
      <c r="A11" s="5" t="s">
        <v>49</v>
      </c>
      <c r="B11" s="5"/>
      <c r="C11" s="13">
        <v>0</v>
      </c>
      <c r="D11" s="13">
        <f>C11</f>
        <v>0</v>
      </c>
      <c r="E11" s="14">
        <v>0</v>
      </c>
    </row>
    <row r="12" spans="1:5" x14ac:dyDescent="0.3">
      <c r="A12" s="5" t="s">
        <v>49</v>
      </c>
      <c r="B12" s="5"/>
      <c r="C12" s="13">
        <v>0</v>
      </c>
      <c r="D12" s="13">
        <f>C12</f>
        <v>0</v>
      </c>
      <c r="E12" s="14">
        <v>0</v>
      </c>
    </row>
    <row r="13" spans="1:5" x14ac:dyDescent="0.3">
      <c r="A13" s="5" t="s">
        <v>50</v>
      </c>
      <c r="B13" s="12">
        <v>0.03</v>
      </c>
      <c r="C13" s="13">
        <v>20</v>
      </c>
      <c r="D13" s="13">
        <f>C13*(1+B13)</f>
        <v>20.6</v>
      </c>
      <c r="E13" s="14">
        <v>42848</v>
      </c>
    </row>
    <row r="14" spans="1:5" x14ac:dyDescent="0.3">
      <c r="A14" s="5" t="s">
        <v>50</v>
      </c>
      <c r="B14" s="5"/>
      <c r="C14" s="13">
        <v>0</v>
      </c>
      <c r="D14" s="13">
        <f>C14</f>
        <v>0</v>
      </c>
      <c r="E14" s="14">
        <v>0</v>
      </c>
    </row>
    <row r="15" spans="1:5" x14ac:dyDescent="0.3">
      <c r="A15" s="8" t="s">
        <v>51</v>
      </c>
      <c r="B15" s="15"/>
      <c r="C15" s="15"/>
      <c r="D15" s="15"/>
      <c r="E15" s="16">
        <f>SUM(E2:E14)</f>
        <v>436922</v>
      </c>
    </row>
    <row r="17" spans="1:1" x14ac:dyDescent="0.3">
      <c r="A17" s="11" t="s">
        <v>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C0B6C4-EF9C-4836-94EA-9C2AFF3FD6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fc072-d52f-4752-b8cb-46d6b725e756"/>
    <ds:schemaRef ds:uri="844a25e3-3ac4-400b-ae54-819e2dded8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BBADB7-62CF-47F7-AE6A-3865B7862E6A}">
  <ds:schemaRefs>
    <ds:schemaRef ds:uri="http://schemas.microsoft.com/office/2006/metadata/properties"/>
    <ds:schemaRef ds:uri="http://schemas.microsoft.com/office/infopath/2007/PartnerControls"/>
    <ds:schemaRef ds:uri="f94fc072-d52f-4752-b8cb-46d6b725e756"/>
    <ds:schemaRef ds:uri="844a25e3-3ac4-400b-ae54-819e2dded817"/>
  </ds:schemaRefs>
</ds:datastoreItem>
</file>

<file path=customXml/itemProps3.xml><?xml version="1.0" encoding="utf-8"?>
<ds:datastoreItem xmlns:ds="http://schemas.openxmlformats.org/officeDocument/2006/customXml" ds:itemID="{912A1653-F91E-445C-AE91-E8FB145F65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Fully Loaded Comp</vt:lpstr>
      <vt:lpstr>Payroll Burden</vt:lpstr>
      <vt:lpstr>Wage Rate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Richard Ritter</cp:lastModifiedBy>
  <cp:revision>0</cp:revision>
  <dcterms:created xsi:type="dcterms:W3CDTF">2026-08-20T21:55:49Z</dcterms:created>
  <dcterms:modified xsi:type="dcterms:W3CDTF">2026-08-21T17:54:12Z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  <property fmtid="{D5CDD505-2E9C-101B-9397-08002B2CF9AE}" pid="3" name="MediaServiceImageTags">
    <vt:lpwstr/>
  </property>
</Properties>
</file>