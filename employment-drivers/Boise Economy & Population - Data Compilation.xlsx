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1 · T3M Summary" sheetId="2" state="visible" r:id="rId2"/>
    <sheet name="2 · CES Monthly" sheetId="3" state="visible" r:id="rId3"/>
    <sheet name="3 · QCEW vs CES" sheetId="4" state="visible" r:id="rId4"/>
    <sheet name="4 · Cross-Metro" sheetId="5" state="visible" r:id="rId5"/>
    <sheet name="5 · Labor &amp; Wages" sheetId="6" state="visible" r:id="rId6"/>
    <sheet name="6 · Population-Migration" sheetId="7" state="visible" r:id="rId7"/>
    <sheet name="7 · Placer Feeders" sheetId="8" state="visible" r:id="rId8"/>
    <sheet name="8 · Placer ZIPs" sheetId="9" state="visible" r:id="rId9"/>
    <sheet name="9 · Employers" sheetId="10" state="visible" r:id="rId10"/>
    <sheet name="10 · Projections-Catalysts" sheetId="11" state="visible" r:id="rId11"/>
    <sheet name="11 · Sources-Checkpoin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+#,##0;-#,##0;0"/>
    <numFmt numFmtId="166" formatCode="+0.00%;-0.00%;0.00%"/>
    <numFmt numFmtId="167" formatCode="+0.00;-0.00"/>
    <numFmt numFmtId="168" formatCode="$#,##0"/>
    <numFmt numFmtId="169" formatCode="0.0"/>
    <numFmt numFmtId="170" formatCode="+0.0;-0.0"/>
  </numFmts>
  <fonts count="9">
    <font>
      <name val="Calibri"/>
      <family val="2"/>
      <color theme="1"/>
      <sz val="11"/>
      <scheme val="minor"/>
    </font>
    <font>
      <name val="Arial"/>
      <b val="1"/>
      <color rgb="002E5E4E"/>
      <sz val="13"/>
    </font>
    <font>
      <name val="Arial"/>
      <i val="1"/>
      <color rgb="00666666"/>
      <sz val="8.5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2F7D4F"/>
      <sz val="10"/>
    </font>
    <font>
      <name val="Arial"/>
      <b val="1"/>
      <color rgb="00A3492B"/>
      <sz val="10"/>
    </font>
    <font>
      <name val="Arial"/>
      <b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E8EDE7"/>
      </patternFill>
    </fill>
    <fill>
      <patternFill patternType="solid">
        <fgColor rgb="002E5E4E"/>
      </patternFill>
    </fill>
    <fill>
      <patternFill patternType="solid">
        <f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7" fontId="3" fillId="0" borderId="0" pivotButton="0" quotePrefix="0" xfId="0"/>
    <xf numFmtId="3" fontId="3" fillId="0" borderId="0" pivotButton="0" quotePrefix="0" xfId="0"/>
    <xf numFmtId="3" fontId="4" fillId="0" borderId="0" pivotButton="0" quotePrefix="0" xfId="0"/>
    <xf numFmtId="167" fontId="4" fillId="0" borderId="0" pivotButton="0" quotePrefix="0" xfId="0"/>
    <xf numFmtId="10" fontId="3" fillId="0" borderId="0" pivotButton="0" quotePrefix="0" xfId="0"/>
    <xf numFmtId="10" fontId="4" fillId="0" borderId="0" pivotButton="0" quotePrefix="0" xfId="0"/>
    <xf numFmtId="168" fontId="3" fillId="0" borderId="0" pivotButton="0" quotePrefix="0" xfId="0"/>
    <xf numFmtId="0" fontId="2" fillId="4" borderId="0" pivotButton="0" quotePrefix="0" xfId="0"/>
    <xf numFmtId="169" fontId="3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165" fontId="4" fillId="4" borderId="0" pivotButton="0" quotePrefix="0" xfId="0"/>
    <xf numFmtId="170" fontId="4" fillId="4" borderId="0" pivotButton="0" quotePrefix="0" xfId="0"/>
    <xf numFmtId="168" fontId="4" fillId="4" borderId="0" pivotButton="0" quotePrefix="0" xfId="0"/>
    <xf numFmtId="17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8" customWidth="1" min="2" max="2"/>
  </cols>
  <sheetData>
    <row r="1">
      <c r="A1" s="1" t="inlineStr">
        <is>
          <t>Boise Economy &amp; Population Growth — Data Compilation</t>
        </is>
      </c>
    </row>
    <row r="2">
      <c r="A2" s="2" t="inlineStr">
        <is>
          <t>Prepared Aug 13, 2026 · Seasons at Meridian deal file · milestone: employment-drivers knowledge base</t>
        </is>
      </c>
    </row>
    <row r="4">
      <c r="A4" s="3" t="inlineStr"/>
      <c r="B4" s="4" t="inlineStr"/>
    </row>
    <row r="5" ht="39" customHeight="1">
      <c r="A5" s="5" t="inlineStr">
        <is>
          <t>WHAT THIS IS</t>
        </is>
      </c>
      <c r="B5" s="4" t="inlineStr">
        <is>
          <t>Every quantitative series behind the Boise employment &amp; population research, compiled for direct review. Companion to 'The Boise Slowdown' research paper and the memos in employment-drivers/.</t>
        </is>
      </c>
    </row>
    <row r="6" ht="52" customHeight="1">
      <c r="A6" s="5" t="inlineStr">
        <is>
          <t>DATA VERIFICATION (8/13/26)</t>
        </is>
      </c>
      <c r="B6" s="4" t="inlineStr">
        <is>
          <t>BLS CES flat file re-downloaded fresh and byte-identical (md5 match) to the analysis copy; latest Boise month = June 2026 (July metro CES releases ~early Sept). QCEW re-pulled fresh: Ada Q4-25 +2.51%, Canyon +2.09% confirmed. QCEW Q1-2026 confirmed NOT yet published (HTTP 404; ~Sept 2026).</t>
        </is>
      </c>
    </row>
    <row r="7" ht="39" customHeight="1">
      <c r="A7" s="5" t="inlineStr">
        <is>
          <t>VALUES, NOT FORMULAS</t>
        </is>
      </c>
      <c r="B7" s="4" t="inlineStr">
        <is>
          <t>Derived columns (T3M, YoY, gaps, rates) are computed values, not live formulas — this environment cannot cache formula results. Raw inputs are included on each tab so every figure can be re-derived. Method notes at each table.</t>
        </is>
      </c>
    </row>
    <row r="8" ht="26" customHeight="1">
      <c r="A8" s="5" t="inlineStr">
        <is>
          <t>SCOPE NOTE</t>
        </is>
      </c>
      <c r="B8" s="4" t="inlineStr">
        <is>
          <t>Valuation / comps / replacement-cost material was removed from this research per direction (separate task; see repo folder valuation/).</t>
        </is>
      </c>
    </row>
    <row r="9">
      <c r="A9" s="3" t="inlineStr"/>
      <c r="B9" s="4" t="inlineStr"/>
    </row>
    <row r="10">
      <c r="A10" s="6" t="inlineStr">
        <is>
          <t>TAB GUIDE</t>
        </is>
      </c>
      <c r="B10" s="4" t="inlineStr"/>
    </row>
    <row r="11" ht="13" customHeight="1">
      <c r="A11" s="5" t="inlineStr">
        <is>
          <t>1 · T3M Summary</t>
        </is>
      </c>
      <c r="B11" s="4" t="inlineStr">
        <is>
          <t>Headline trailing-3-month employment: history, sectors, momentum, contributions, shift-share</t>
        </is>
      </c>
    </row>
    <row r="12" ht="13" customHeight="1">
      <c r="A12" s="5" t="inlineStr">
        <is>
          <t>2 · CES Monthly</t>
        </is>
      </c>
      <c r="B12" s="4" t="inlineStr">
        <is>
          <t>Raw monthly CES payrolls, Boise total + 10 sectors, Jan 2019–Jun 2026, with YoY</t>
        </is>
      </c>
    </row>
    <row r="13" ht="13" customHeight="1">
      <c r="A13" s="5" t="inlineStr">
        <is>
          <t>3 · QCEW vs CES</t>
        </is>
      </c>
      <c r="B13" s="4" t="inlineStr">
        <is>
          <t>The measurement-artifact evidence: Ada/Canyon hard counts vs the survey, + Ada sector detail</t>
        </is>
      </c>
    </row>
    <row r="14" ht="13" customHeight="1">
      <c r="A14" s="5" t="inlineStr">
        <is>
          <t>4 · Cross-Metro</t>
        </is>
      </c>
      <c r="B14" s="4" t="inlineStr">
        <is>
          <t>Same CES-vs-QCEW test across 10 metros (birth-death fingerprint)</t>
        </is>
      </c>
    </row>
    <row r="15" ht="13" customHeight="1">
      <c r="A15" s="5" t="inlineStr">
        <is>
          <t>5 · Labor &amp; Wages</t>
        </is>
      </c>
      <c r="B15" s="4" t="inlineStr">
        <is>
          <t>Labor force, unemployment, household employment, wages, income</t>
        </is>
      </c>
    </row>
    <row r="16" ht="13" customHeight="1">
      <c r="A16" s="5" t="inlineStr">
        <is>
          <t>6 · Population-Migration</t>
        </is>
      </c>
      <c r="B16" s="4" t="inlineStr">
        <is>
          <t>Census + Placer.ai MSA growth by year; county/CBSA national ranks</t>
        </is>
      </c>
    </row>
    <row r="17" ht="13" customHeight="1">
      <c r="A17" s="5" t="inlineStr">
        <is>
          <t>7 · Placer Feeders</t>
        </is>
      </c>
      <c r="B17" s="4" t="inlineStr">
        <is>
          <t>Origin markets: who is moving to Boise, income of feeders, trend</t>
        </is>
      </c>
    </row>
    <row r="18" ht="13" customHeight="1">
      <c r="A18" s="5" t="inlineStr">
        <is>
          <t>8 · Placer ZIPs</t>
        </is>
      </c>
      <c r="B18" s="4" t="inlineStr">
        <is>
          <t>Treasure Valley ZIP-level net migration — the subject's ZIP is #1</t>
        </is>
      </c>
    </row>
    <row r="19" ht="13" customHeight="1">
      <c r="A19" s="5" t="inlineStr">
        <is>
          <t>9 · Employers</t>
        </is>
      </c>
      <c r="B19" s="4" t="inlineStr">
        <is>
          <t>Major-employer base with trajectory (mixed 2023–26 vintages, flagged)</t>
        </is>
      </c>
    </row>
    <row r="20" ht="13" customHeight="1">
      <c r="A20" s="5" t="inlineStr">
        <is>
          <t>10 · Projections-Catalysts</t>
        </is>
      </c>
      <c r="B20" s="4" t="inlineStr">
        <is>
          <t>IDOL forecasts, 2026–2030 catalyst timeline, risk ledger</t>
        </is>
      </c>
    </row>
    <row r="21" ht="13" customHeight="1">
      <c r="A21" s="5" t="inlineStr">
        <is>
          <t>11 · Sources-Checkpoints</t>
        </is>
      </c>
      <c r="B21" s="4" t="inlineStr">
        <is>
          <t>Primary sources, data vintages, and the two diligence checkpoints</t>
        </is>
      </c>
    </row>
    <row r="22">
      <c r="A22" s="3" t="inlineStr"/>
      <c r="B22" s="4" t="inlineStr"/>
    </row>
    <row r="23">
      <c r="A23" s="6" t="inlineStr">
        <is>
          <t>KEY TAKEAWAYS</t>
        </is>
      </c>
      <c r="B23" s="4" t="inlineStr"/>
    </row>
    <row r="24" ht="39" customHeight="1">
      <c r="A24" s="5" t="inlineStr">
        <is>
          <t>Employment</t>
        </is>
      </c>
      <c r="B24" s="4" t="inlineStr">
        <is>
          <t>CES T3M +0.42% (Jun-26) but QCEW hard counts +2.4% through Q4-25 — much of the measured slowdown is survey artifact; upward benchmark revision expected early 2027. Real slowdown driver is the national labor-supply stall.</t>
        </is>
      </c>
    </row>
    <row r="25" ht="26" customHeight="1">
      <c r="A25" s="5" t="inlineStr">
        <is>
          <t>Population</t>
        </is>
      </c>
      <c r="B25" s="4" t="inlineStr">
        <is>
          <t>Placer: migration re-accelerated to a 5-yr high YE Jun-26 (~+11.6K net domestic; #5 CBSA nationally; Ada = #8 county). Subject's ZIP 83642 = metro's #1 in-migration ZIP, accelerating.</t>
        </is>
      </c>
    </row>
    <row r="26" ht="26" customHeight="1">
      <c r="A26" s="5" t="inlineStr">
        <is>
          <t>Checkpoints</t>
        </is>
      </c>
      <c r="B26" s="4" t="inlineStr">
        <is>
          <t>Sept 2026: QCEW Q1-26 (employment artifact test). Dec 2026–Mar 2027: Census Vintage 2026 (migration confirmation).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Trailing-3-Month Employment — Boise City MSA</t>
        </is>
      </c>
    </row>
    <row r="2">
      <c r="A2" s="2" t="inlineStr">
        <is>
          <t>T3M = avg of 3 months ending in stated month vs same window prior year, NSA. Source: BLS CES flat file sm.data.13.Idaho (dl. 8/13/26, latest Jun 2026). Series IDs: appendix E.</t>
        </is>
      </c>
    </row>
    <row r="4">
      <c r="A4" s="6" t="inlineStr">
        <is>
          <t>A. Total nonfarm — T3M YoY history</t>
        </is>
      </c>
    </row>
    <row r="5">
      <c r="A5" s="7" t="inlineStr">
        <is>
          <t>T3M window ending</t>
        </is>
      </c>
      <c r="B5" s="7" t="inlineStr">
        <is>
          <t>T3M level (000s)</t>
        </is>
      </c>
      <c r="C5" s="7" t="inlineStr">
        <is>
          <t>YoY jobs</t>
        </is>
      </c>
      <c r="D5" s="7" t="inlineStr">
        <is>
          <t>YoY %</t>
        </is>
      </c>
    </row>
    <row r="6">
      <c r="A6" s="3" t="inlineStr">
        <is>
          <t>2023-06</t>
        </is>
      </c>
      <c r="B6" s="8" t="n">
        <v>394</v>
      </c>
      <c r="C6" s="9" t="n">
        <v>10933</v>
      </c>
      <c r="D6" s="10" t="n">
        <v>0.02854159415245383</v>
      </c>
    </row>
    <row r="7">
      <c r="A7" s="3" t="inlineStr">
        <is>
          <t>2023-12</t>
        </is>
      </c>
      <c r="B7" s="8" t="n">
        <v>403.2</v>
      </c>
      <c r="C7" s="9" t="n">
        <v>12667</v>
      </c>
      <c r="D7" s="10" t="n">
        <v>0.03243427791054976</v>
      </c>
    </row>
    <row r="8">
      <c r="A8" s="3" t="inlineStr">
        <is>
          <t>2024-06</t>
        </is>
      </c>
      <c r="B8" s="8" t="n">
        <v>404.6</v>
      </c>
      <c r="C8" s="9" t="n">
        <v>10633</v>
      </c>
      <c r="D8" s="10" t="n">
        <v>0.02698815566835888</v>
      </c>
    </row>
    <row r="9">
      <c r="A9" s="3" t="inlineStr">
        <is>
          <t>2024-12</t>
        </is>
      </c>
      <c r="B9" s="8" t="n">
        <v>410.3</v>
      </c>
      <c r="C9" s="9" t="n">
        <v>7133</v>
      </c>
      <c r="D9" s="10" t="n">
        <v>0.01769179894179884</v>
      </c>
    </row>
    <row r="10">
      <c r="A10" s="3" t="inlineStr">
        <is>
          <t>2025-06</t>
        </is>
      </c>
      <c r="B10" s="8" t="n">
        <v>414.7</v>
      </c>
      <c r="C10" s="9" t="n">
        <v>10033</v>
      </c>
      <c r="D10" s="10" t="n">
        <v>0.02479611170607132</v>
      </c>
    </row>
    <row r="11">
      <c r="A11" s="3" t="inlineStr">
        <is>
          <t>2025-09</t>
        </is>
      </c>
      <c r="B11" s="8" t="n">
        <v>415.7</v>
      </c>
      <c r="C11" s="9" t="n">
        <v>8933</v>
      </c>
      <c r="D11" s="10" t="n">
        <v>0.02196361252253731</v>
      </c>
    </row>
    <row r="12">
      <c r="A12" s="3" t="inlineStr">
        <is>
          <t>2025-12</t>
        </is>
      </c>
      <c r="B12" s="8" t="n">
        <v>414.1</v>
      </c>
      <c r="C12" s="9" t="n">
        <v>3733</v>
      </c>
      <c r="D12" s="10" t="n">
        <v>0.009098294069861845</v>
      </c>
    </row>
    <row r="13">
      <c r="A13" s="3" t="inlineStr">
        <is>
          <t>2026-03</t>
        </is>
      </c>
      <c r="B13" s="8" t="n">
        <v>406.3</v>
      </c>
      <c r="C13" s="9" t="n">
        <v>2067</v>
      </c>
      <c r="D13" s="10" t="n">
        <v>0.005112980372752984</v>
      </c>
    </row>
    <row r="14">
      <c r="A14" s="6" t="inlineStr">
        <is>
          <t>2026-06</t>
        </is>
      </c>
      <c r="B14" s="11" t="n">
        <v>416.4</v>
      </c>
      <c r="C14" s="12" t="n">
        <v>1733</v>
      </c>
      <c r="D14" s="13" t="n">
        <v>0.004180064308681786</v>
      </c>
    </row>
    <row r="16">
      <c r="A16" s="6" t="inlineStr">
        <is>
          <t>B. Sectors — T3M YoY (windows ending Jun-24 | Jun-25 | Mar-26 | Jun-26)</t>
        </is>
      </c>
    </row>
    <row r="17">
      <c r="A17" s="7" t="inlineStr">
        <is>
          <t>Sector</t>
        </is>
      </c>
      <c r="B17" s="7" t="inlineStr">
        <is>
          <t>T3M Jun-26 (000s)</t>
        </is>
      </c>
      <c r="C17" s="7" t="inlineStr">
        <is>
          <t>YoY jobs</t>
        </is>
      </c>
      <c r="D17" s="7" t="inlineStr">
        <is>
          <t>Jun-24 %</t>
        </is>
      </c>
      <c r="E17" s="7" t="inlineStr">
        <is>
          <t>Jun-25 %</t>
        </is>
      </c>
      <c r="F17" s="7" t="inlineStr">
        <is>
          <t>Mar-26 %</t>
        </is>
      </c>
      <c r="G17" s="7" t="inlineStr">
        <is>
          <t>Jun-26 %</t>
        </is>
      </c>
    </row>
    <row r="18">
      <c r="A18" s="3" t="inlineStr">
        <is>
          <t>Mining/logging/construction</t>
        </is>
      </c>
      <c r="B18" s="8" t="n">
        <v>39.7</v>
      </c>
      <c r="C18" s="9" t="n">
        <v>900</v>
      </c>
      <c r="D18" s="10" t="n">
        <v>0.05043646944713864</v>
      </c>
      <c r="E18" s="10" t="n">
        <v>0.07386888273314862</v>
      </c>
      <c r="F18" s="10" t="n">
        <v>0.007246376811594235</v>
      </c>
      <c r="G18" s="10" t="n">
        <v>0.02321582115219267</v>
      </c>
    </row>
    <row r="19">
      <c r="A19" s="3" t="inlineStr">
        <is>
          <t>Other services</t>
        </is>
      </c>
      <c r="B19" s="8" t="n">
        <v>14.5</v>
      </c>
      <c r="C19" s="9" t="n">
        <v>367</v>
      </c>
      <c r="D19" s="10" t="n">
        <v>0.03194103194103182</v>
      </c>
      <c r="E19" s="10" t="n">
        <v>0.01190476190476186</v>
      </c>
      <c r="F19" s="10" t="n">
        <v>0.02631578947368429</v>
      </c>
      <c r="G19" s="10" t="n">
        <v>0.02588235294117647</v>
      </c>
    </row>
    <row r="20">
      <c r="A20" s="3" t="inlineStr">
        <is>
          <t>Financial activities</t>
        </is>
      </c>
      <c r="B20" s="8" t="n">
        <v>23.6</v>
      </c>
      <c r="C20" s="9" t="n">
        <v>500</v>
      </c>
      <c r="D20" s="10" t="n">
        <v>-0.01306240928882441</v>
      </c>
      <c r="E20" s="10" t="n">
        <v>0.01764705882352935</v>
      </c>
      <c r="F20" s="10" t="n">
        <v>0.008759124087591275</v>
      </c>
      <c r="G20" s="10" t="n">
        <v>0.02167630057803449</v>
      </c>
    </row>
    <row r="21">
      <c r="A21" s="3" t="inlineStr">
        <is>
          <t>Trade/transport/utilities</t>
        </is>
      </c>
      <c r="B21" s="8" t="n">
        <v>79.8</v>
      </c>
      <c r="C21" s="9" t="n">
        <v>1333</v>
      </c>
      <c r="D21" s="10" t="n">
        <v>0.02286719437115226</v>
      </c>
      <c r="E21" s="10" t="n">
        <v>0.0124677558039552</v>
      </c>
      <c r="F21" s="10" t="n">
        <v>-0.00339414509970315</v>
      </c>
      <c r="G21" s="10" t="n">
        <v>0.0169851380042465</v>
      </c>
    </row>
    <row r="22">
      <c r="A22" s="3" t="inlineStr">
        <is>
          <t>Prof &amp; business services</t>
        </is>
      </c>
      <c r="B22" s="8" t="n">
        <v>62.5</v>
      </c>
      <c r="C22" s="9" t="n">
        <v>667</v>
      </c>
      <c r="D22" s="10" t="n">
        <v>0.008192244675040872</v>
      </c>
      <c r="E22" s="10" t="n">
        <v>0.004333694474539573</v>
      </c>
      <c r="F22" s="10" t="n">
        <v>0.0165054069436541</v>
      </c>
      <c r="G22" s="10" t="n">
        <v>0.01078748651564165</v>
      </c>
    </row>
    <row r="23">
      <c r="A23" s="3" t="inlineStr">
        <is>
          <t>Education &amp; health</t>
        </is>
      </c>
      <c r="B23" s="8" t="n">
        <v>67</v>
      </c>
      <c r="C23" s="9" t="n">
        <v>433</v>
      </c>
      <c r="D23" s="10" t="n">
        <v>0.06334841628959276</v>
      </c>
      <c r="E23" s="10" t="n">
        <v>0.06276595744680868</v>
      </c>
      <c r="F23" s="10" t="n">
        <v>0.02270381836945301</v>
      </c>
      <c r="G23" s="10" t="n">
        <v>0.006506506506506415</v>
      </c>
    </row>
    <row r="24">
      <c r="A24" s="3" t="inlineStr">
        <is>
          <t>Manufacturing</t>
        </is>
      </c>
      <c r="B24" s="8" t="n">
        <v>31.1</v>
      </c>
      <c r="C24" s="9" t="n">
        <v>-100</v>
      </c>
      <c r="D24" s="10" t="n">
        <v>0.001085776330076005</v>
      </c>
      <c r="E24" s="10" t="n">
        <v>0.01518438177874182</v>
      </c>
      <c r="F24" s="10" t="n">
        <v>-0.00434310532030413</v>
      </c>
      <c r="G24" s="10" t="n">
        <v>-0.003205128205128305</v>
      </c>
    </row>
    <row r="25">
      <c r="A25" s="3" t="inlineStr">
        <is>
          <t>Government</t>
        </is>
      </c>
      <c r="B25" s="8" t="n">
        <v>53.4</v>
      </c>
      <c r="C25" s="9" t="n">
        <v>-400</v>
      </c>
      <c r="D25" s="10" t="n">
        <v>0.04755614266842789</v>
      </c>
      <c r="E25" s="10" t="n">
        <v>0.01765447667087017</v>
      </c>
      <c r="F25" s="10" t="n">
        <v>0.009270704573547617</v>
      </c>
      <c r="G25" s="10" t="n">
        <v>-0.00743494423791824</v>
      </c>
    </row>
    <row r="26">
      <c r="A26" s="3" t="inlineStr">
        <is>
          <t>Information</t>
        </is>
      </c>
      <c r="B26" s="8" t="n">
        <v>4.3</v>
      </c>
      <c r="C26" s="9" t="n">
        <v>-200</v>
      </c>
      <c r="D26" s="10" t="n">
        <v>-0.006802721088435493</v>
      </c>
      <c r="E26" s="10" t="n">
        <v>-0.07534246575342463</v>
      </c>
      <c r="F26" s="10" t="n">
        <v>-0.05185185185185182</v>
      </c>
      <c r="G26" s="10" t="n">
        <v>-0.04444444444444451</v>
      </c>
    </row>
    <row r="27">
      <c r="A27" s="3" t="inlineStr">
        <is>
          <t>Leisure &amp; hospitality</t>
        </is>
      </c>
      <c r="B27" s="8" t="n">
        <v>40.5</v>
      </c>
      <c r="C27" s="9" t="n">
        <v>-1767</v>
      </c>
      <c r="D27" s="10" t="n">
        <v>0.009693053311793154</v>
      </c>
      <c r="E27" s="10" t="n">
        <v>0.01439999999999997</v>
      </c>
      <c r="F27" s="10" t="n">
        <v>-0.02682313495389788</v>
      </c>
      <c r="G27" s="10" t="n">
        <v>-0.04179810725552047</v>
      </c>
    </row>
    <row r="28">
      <c r="A28" s="6" t="inlineStr">
        <is>
          <t>TOTAL NONFARM</t>
        </is>
      </c>
      <c r="B28" s="11" t="n">
        <v>416.4</v>
      </c>
      <c r="C28" s="12" t="n">
        <v>1733</v>
      </c>
      <c r="D28" s="13" t="n">
        <v>0.02698815566835888</v>
      </c>
      <c r="E28" s="13" t="n">
        <v>0.02479611170607132</v>
      </c>
      <c r="F28" s="13" t="n">
        <v>0.005112980372752984</v>
      </c>
      <c r="G28" s="13" t="n">
        <v>0.004180064308681786</v>
      </c>
    </row>
    <row r="30">
      <c r="A30" s="6" t="inlineStr">
        <is>
          <t>C. Contribution to deceleration (Jun-25 window vs Jun-26 window, pp of total growth)</t>
        </is>
      </c>
    </row>
    <row r="31">
      <c r="A31" s="7" t="inlineStr">
        <is>
          <t>Sector</t>
        </is>
      </c>
      <c r="B31" s="7" t="inlineStr">
        <is>
          <t>Contribution Jun-25 (pp)</t>
        </is>
      </c>
      <c r="C31" s="7" t="inlineStr">
        <is>
          <t>Contribution Jun-26 (pp)</t>
        </is>
      </c>
      <c r="D31" s="7" t="inlineStr">
        <is>
          <t>Swing (pp)</t>
        </is>
      </c>
    </row>
    <row r="32">
      <c r="A32" s="3" t="inlineStr">
        <is>
          <t>Education &amp; health</t>
        </is>
      </c>
      <c r="B32" s="14" t="n">
        <v>0.009720734821649256</v>
      </c>
      <c r="C32" s="14" t="n">
        <v>0.001045016077170393</v>
      </c>
      <c r="D32" s="14" t="n">
        <v>-0.008675718744478863</v>
      </c>
    </row>
    <row r="33">
      <c r="A33" s="3" t="inlineStr">
        <is>
          <t>Leisure &amp; hospitality</t>
        </is>
      </c>
      <c r="B33" s="14" t="n">
        <v>0.001482823955844801</v>
      </c>
      <c r="C33" s="14" t="n">
        <v>-0.004260450160771701</v>
      </c>
      <c r="D33" s="14" t="n">
        <v>-0.005743274116616503</v>
      </c>
    </row>
    <row r="34">
      <c r="A34" s="3" t="inlineStr">
        <is>
          <t>Mining/logging/construction</t>
        </is>
      </c>
      <c r="B34" s="14" t="n">
        <v>0.006590328692643539</v>
      </c>
      <c r="C34" s="14" t="n">
        <v>0.002170418006430865</v>
      </c>
      <c r="D34" s="14" t="n">
        <v>-0.004419910686212674</v>
      </c>
    </row>
    <row r="35">
      <c r="A35" s="3" t="inlineStr">
        <is>
          <t>Government</t>
        </is>
      </c>
      <c r="B35" s="14" t="n">
        <v>0.00230661504242525</v>
      </c>
      <c r="C35" s="14" t="n">
        <v>-0.0009646302250803824</v>
      </c>
      <c r="D35" s="14" t="n">
        <v>-0.003271245267505633</v>
      </c>
    </row>
    <row r="36">
      <c r="A36" s="3" t="inlineStr">
        <is>
          <t>Manufacturing</t>
        </is>
      </c>
      <c r="B36" s="14" t="n">
        <v>0.001153307521212616</v>
      </c>
      <c r="C36" s="14" t="n">
        <v>-0.0002411575562700999</v>
      </c>
      <c r="D36" s="14" t="n">
        <v>-0.001394465077482716</v>
      </c>
    </row>
    <row r="37">
      <c r="A37" s="3" t="inlineStr">
        <is>
          <t>Financial activities</t>
        </is>
      </c>
      <c r="B37" s="14" t="n">
        <v>0.0009885493038965282</v>
      </c>
      <c r="C37" s="14" t="n">
        <v>0.001205787781350474</v>
      </c>
      <c r="D37" s="14" t="n">
        <v>0.0002172384774539455</v>
      </c>
    </row>
    <row r="38">
      <c r="A38" s="3" t="inlineStr">
        <is>
          <t>Information</t>
        </is>
      </c>
      <c r="B38" s="14" t="n">
        <v>-0.0009061701952384864</v>
      </c>
      <c r="C38" s="14" t="n">
        <v>-0.0004823151125401933</v>
      </c>
      <c r="D38" s="14" t="n">
        <v>0.000423855082698293</v>
      </c>
    </row>
    <row r="39">
      <c r="A39" s="3" t="inlineStr">
        <is>
          <t>Other services</t>
        </is>
      </c>
      <c r="B39" s="14" t="n">
        <v>0.00041189554329022</v>
      </c>
      <c r="C39" s="14" t="n">
        <v>0.0008842443729903505</v>
      </c>
      <c r="D39" s="14" t="n">
        <v>0.0004723488297001305</v>
      </c>
    </row>
    <row r="40">
      <c r="A40" s="3" t="inlineStr">
        <is>
          <t>Trade/transport/utilities</t>
        </is>
      </c>
      <c r="B40" s="14" t="n">
        <v>0.00238899415108329</v>
      </c>
      <c r="C40" s="14" t="n">
        <v>0.003215434083601309</v>
      </c>
      <c r="D40" s="14" t="n">
        <v>0.000826439932518019</v>
      </c>
    </row>
    <row r="41">
      <c r="A41" s="3" t="inlineStr">
        <is>
          <t>Prof &amp; business services</t>
        </is>
      </c>
      <c r="B41" s="14" t="n">
        <v>0.0006590328692643697</v>
      </c>
      <c r="C41" s="14" t="n">
        <v>0.00160771704180062</v>
      </c>
      <c r="D41" s="14" t="n">
        <v>0.0009486841725362504</v>
      </c>
    </row>
    <row r="43">
      <c r="A43" s="6" t="inlineStr">
        <is>
          <t>D. Shift-share (window ending Jun-26): expected at national sector growth rates vs actual</t>
        </is>
      </c>
    </row>
    <row r="44">
      <c r="A44" s="3" t="inlineStr">
        <is>
          <t>Expected jobs if Boise sectors grew at national rates</t>
        </is>
      </c>
      <c r="B44" s="9" t="n">
        <v>1061</v>
      </c>
    </row>
    <row r="45">
      <c r="A45" s="3" t="inlineStr">
        <is>
          <t>Actual Boise jobs added (T3M YoY)</t>
        </is>
      </c>
      <c r="B45" s="9" t="n">
        <v>1733</v>
      </c>
    </row>
    <row r="46">
      <c r="A46" s="3" t="inlineStr">
        <is>
          <t>Local residual (Boise outperformance)</t>
        </is>
      </c>
      <c r="B46" s="9" t="n">
        <v>673</v>
      </c>
    </row>
    <row r="47">
      <c r="A47" s="3" t="inlineStr">
        <is>
          <t>Local residual one year earlier (Jun-25 window)</t>
        </is>
      </c>
      <c r="B47" s="9" t="n">
        <v>7869</v>
      </c>
    </row>
    <row r="48">
      <c r="A48" s="2" t="inlineStr">
        <is>
          <t>US sector rates from FRED SA supersector series; method in paper §3.1 / appendix E.</t>
        </is>
      </c>
    </row>
    <row r="50">
      <c r="A50" s="6" t="inlineStr">
        <is>
          <t>E. Sequential momentum (T3M level vs 6 months prior, annualized; compare like halves only — NSA)</t>
        </is>
      </c>
    </row>
    <row r="51">
      <c r="A51" s="7" t="inlineStr">
        <is>
          <t>Period</t>
        </is>
      </c>
      <c r="B51" s="7" t="inlineStr">
        <is>
          <t>Annualized pace</t>
        </is>
      </c>
    </row>
    <row r="52">
      <c r="A52" s="3" t="inlineStr">
        <is>
          <t>H2 2024</t>
        </is>
      </c>
      <c r="B52" s="10" t="n">
        <v>0.02837209387233441</v>
      </c>
    </row>
    <row r="53">
      <c r="A53" s="3" t="inlineStr">
        <is>
          <t>H1 2025</t>
        </is>
      </c>
      <c r="B53" s="10" t="n">
        <v>0.02123256438564813</v>
      </c>
    </row>
    <row r="54">
      <c r="A54" s="3" t="inlineStr">
        <is>
          <t>H2 2025</t>
        </is>
      </c>
      <c r="B54" s="10" t="n">
        <v>-0.002891797024431542</v>
      </c>
    </row>
    <row r="55">
      <c r="A55" s="3" t="inlineStr">
        <is>
          <t>H1 2026</t>
        </is>
      </c>
      <c r="B55" s="10" t="n">
        <v>0.01130208190624593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CES Monthly Payrolls — Boise MSA (NSA, thousands)</t>
        </is>
      </c>
    </row>
    <row r="2">
      <c r="A2" s="2" t="inlineStr">
        <is>
          <t>Raw survey data, Jan 2019–Jun 2026. Source: BLS sm.data.13.Idaho, downloaded &amp; verified 8/13/26. YoY = same month prior year. CAUTION: post-Mar-2025 months are sample-based pending the early-2027 benchmark (see tab 3).</t>
        </is>
      </c>
    </row>
    <row r="4">
      <c r="A4" s="7" t="inlineStr">
        <is>
          <t>Month</t>
        </is>
      </c>
      <c r="B4" s="7" t="inlineStr">
        <is>
          <t>Total nonfarm</t>
        </is>
      </c>
      <c r="C4" s="7" t="inlineStr">
        <is>
          <t>Total YoY %</t>
        </is>
      </c>
      <c r="D4" s="7" t="inlineStr">
        <is>
          <t>Mining/logging/construction</t>
        </is>
      </c>
      <c r="E4" s="7" t="inlineStr">
        <is>
          <t>Other services</t>
        </is>
      </c>
      <c r="F4" s="7" t="inlineStr">
        <is>
          <t>Financial activities</t>
        </is>
      </c>
      <c r="G4" s="7" t="inlineStr">
        <is>
          <t>Trade/transport/utilities</t>
        </is>
      </c>
      <c r="H4" s="7" t="inlineStr">
        <is>
          <t>Prof &amp; business services</t>
        </is>
      </c>
      <c r="I4" s="7" t="inlineStr">
        <is>
          <t>Education &amp; health</t>
        </is>
      </c>
      <c r="J4" s="7" t="inlineStr">
        <is>
          <t>Manufacturing</t>
        </is>
      </c>
      <c r="K4" s="7" t="inlineStr">
        <is>
          <t>Government</t>
        </is>
      </c>
      <c r="L4" s="7" t="inlineStr">
        <is>
          <t>Information</t>
        </is>
      </c>
      <c r="M4" s="7" t="inlineStr">
        <is>
          <t>Leisure &amp; hospitality</t>
        </is>
      </c>
    </row>
    <row r="5">
      <c r="A5" s="3" t="inlineStr">
        <is>
          <t>2019-01</t>
        </is>
      </c>
      <c r="B5" s="8" t="n">
        <v>333.4</v>
      </c>
      <c r="C5" s="10" t="n">
        <v>0.04317897371714619</v>
      </c>
      <c r="D5" s="8" t="n">
        <v>24.6</v>
      </c>
      <c r="E5" s="8" t="n">
        <v>12.1</v>
      </c>
      <c r="F5" s="8" t="n">
        <v>18.7</v>
      </c>
      <c r="G5" s="8" t="n">
        <v>63</v>
      </c>
      <c r="H5" s="8" t="n">
        <v>49</v>
      </c>
      <c r="I5" s="8" t="n">
        <v>50.1</v>
      </c>
      <c r="J5" s="8" t="n">
        <v>30.5</v>
      </c>
      <c r="K5" s="8" t="n">
        <v>47.3</v>
      </c>
      <c r="L5" s="8" t="n">
        <v>3.9</v>
      </c>
      <c r="M5" s="8" t="n">
        <v>34.2</v>
      </c>
    </row>
    <row r="6">
      <c r="A6" s="3" t="inlineStr">
        <is>
          <t>2019-02</t>
        </is>
      </c>
      <c r="B6" s="8" t="n">
        <v>337.5</v>
      </c>
      <c r="C6" s="10" t="n">
        <v>0.04263206672845232</v>
      </c>
      <c r="D6" s="8" t="n">
        <v>24.9</v>
      </c>
      <c r="E6" s="8" t="n">
        <v>12.3</v>
      </c>
      <c r="F6" s="8" t="n">
        <v>18.9</v>
      </c>
      <c r="G6" s="8" t="n">
        <v>62.9</v>
      </c>
      <c r="H6" s="8" t="n">
        <v>49.7</v>
      </c>
      <c r="I6" s="8" t="n">
        <v>50.8</v>
      </c>
      <c r="J6" s="8" t="n">
        <v>30.4</v>
      </c>
      <c r="K6" s="8" t="n">
        <v>49</v>
      </c>
      <c r="L6" s="8" t="n">
        <v>3.9</v>
      </c>
      <c r="M6" s="8" t="n">
        <v>34.7</v>
      </c>
    </row>
    <row r="7">
      <c r="A7" s="3" t="inlineStr">
        <is>
          <t>2019-03</t>
        </is>
      </c>
      <c r="B7" s="8" t="n">
        <v>339.7</v>
      </c>
      <c r="C7" s="10" t="n">
        <v>0.03852033017425849</v>
      </c>
      <c r="D7" s="8" t="n">
        <v>25.5</v>
      </c>
      <c r="E7" s="8" t="n">
        <v>12.3</v>
      </c>
      <c r="F7" s="8" t="n">
        <v>18.9</v>
      </c>
      <c r="G7" s="8" t="n">
        <v>63.3</v>
      </c>
      <c r="H7" s="8" t="n">
        <v>50.2</v>
      </c>
      <c r="I7" s="8" t="n">
        <v>50.9</v>
      </c>
      <c r="J7" s="8" t="n">
        <v>30.3</v>
      </c>
      <c r="K7" s="8" t="n">
        <v>49.3</v>
      </c>
      <c r="L7" s="8" t="n">
        <v>3.9</v>
      </c>
      <c r="M7" s="8" t="n">
        <v>35.1</v>
      </c>
    </row>
    <row r="8">
      <c r="A8" s="3" t="inlineStr">
        <is>
          <t>2019-04</t>
        </is>
      </c>
      <c r="B8" s="8" t="n">
        <v>342.7</v>
      </c>
      <c r="C8" s="10" t="n">
        <v>0.0406923777710293</v>
      </c>
      <c r="D8" s="8" t="n">
        <v>25.8</v>
      </c>
      <c r="E8" s="8" t="n">
        <v>12.3</v>
      </c>
      <c r="F8" s="8" t="n">
        <v>19</v>
      </c>
      <c r="G8" s="8" t="n">
        <v>64.09999999999999</v>
      </c>
      <c r="H8" s="8" t="n">
        <v>51</v>
      </c>
      <c r="I8" s="8" t="n">
        <v>51.3</v>
      </c>
      <c r="J8" s="8" t="n">
        <v>30.1</v>
      </c>
      <c r="K8" s="8" t="n">
        <v>49.2</v>
      </c>
      <c r="L8" s="8" t="n">
        <v>3.9</v>
      </c>
      <c r="M8" s="8" t="n">
        <v>36</v>
      </c>
    </row>
    <row r="9">
      <c r="A9" s="3" t="inlineStr">
        <is>
          <t>2019-05</t>
        </is>
      </c>
      <c r="B9" s="8" t="n">
        <v>345.8</v>
      </c>
      <c r="C9" s="10" t="n">
        <v>0.04345202172601104</v>
      </c>
      <c r="D9" s="8" t="n">
        <v>26.6</v>
      </c>
      <c r="E9" s="8" t="n">
        <v>12.6</v>
      </c>
      <c r="F9" s="8" t="n">
        <v>19.2</v>
      </c>
      <c r="G9" s="8" t="n">
        <v>64.09999999999999</v>
      </c>
      <c r="H9" s="8" t="n">
        <v>51.6</v>
      </c>
      <c r="I9" s="8" t="n">
        <v>51.6</v>
      </c>
      <c r="J9" s="8" t="n">
        <v>30.3</v>
      </c>
      <c r="K9" s="8" t="n">
        <v>49.3</v>
      </c>
      <c r="L9" s="8" t="n">
        <v>4</v>
      </c>
      <c r="M9" s="8" t="n">
        <v>36.5</v>
      </c>
    </row>
    <row r="10">
      <c r="A10" s="3" t="inlineStr">
        <is>
          <t>2019-06</t>
        </is>
      </c>
      <c r="B10" s="8" t="n">
        <v>346.5</v>
      </c>
      <c r="C10" s="10" t="n">
        <v>0.03835780641294573</v>
      </c>
      <c r="D10" s="8" t="n">
        <v>27.3</v>
      </c>
      <c r="E10" s="8" t="n">
        <v>13</v>
      </c>
      <c r="F10" s="8" t="n">
        <v>19.4</v>
      </c>
      <c r="G10" s="8" t="n">
        <v>64.2</v>
      </c>
      <c r="H10" s="8" t="n">
        <v>51.8</v>
      </c>
      <c r="I10" s="8" t="n">
        <v>51.3</v>
      </c>
      <c r="J10" s="8" t="n">
        <v>30.7</v>
      </c>
      <c r="K10" s="8" t="n">
        <v>47.7</v>
      </c>
      <c r="L10" s="8" t="n">
        <v>3.9</v>
      </c>
      <c r="M10" s="8" t="n">
        <v>37.2</v>
      </c>
    </row>
    <row r="11">
      <c r="A11" s="3" t="inlineStr">
        <is>
          <t>2019-07</t>
        </is>
      </c>
      <c r="B11" s="8" t="n">
        <v>345</v>
      </c>
      <c r="C11" s="10" t="n">
        <v>0.03386275097392866</v>
      </c>
      <c r="D11" s="8" t="n">
        <v>27.6</v>
      </c>
      <c r="E11" s="8" t="n">
        <v>13</v>
      </c>
      <c r="F11" s="8" t="n">
        <v>19.5</v>
      </c>
      <c r="G11" s="8" t="n">
        <v>63.9</v>
      </c>
      <c r="H11" s="8" t="n">
        <v>52.6</v>
      </c>
      <c r="I11" s="8" t="n">
        <v>51.4</v>
      </c>
      <c r="J11" s="8" t="n">
        <v>30.7</v>
      </c>
      <c r="K11" s="8" t="n">
        <v>45.3</v>
      </c>
      <c r="L11" s="8" t="n">
        <v>3.9</v>
      </c>
      <c r="M11" s="8" t="n">
        <v>37.1</v>
      </c>
    </row>
    <row r="12">
      <c r="A12" s="3" t="inlineStr">
        <is>
          <t>2019-08</t>
        </is>
      </c>
      <c r="B12" s="8" t="n">
        <v>347.9</v>
      </c>
      <c r="C12" s="10" t="n">
        <v>0.03757828810020869</v>
      </c>
      <c r="D12" s="8" t="n">
        <v>27.7</v>
      </c>
      <c r="E12" s="8" t="n">
        <v>12.9</v>
      </c>
      <c r="F12" s="8" t="n">
        <v>19.5</v>
      </c>
      <c r="G12" s="8" t="n">
        <v>64.7</v>
      </c>
      <c r="H12" s="8" t="n">
        <v>53.2</v>
      </c>
      <c r="I12" s="8" t="n">
        <v>51.9</v>
      </c>
      <c r="J12" s="8" t="n">
        <v>30.6</v>
      </c>
      <c r="K12" s="8" t="n">
        <v>45.8</v>
      </c>
      <c r="L12" s="8" t="n">
        <v>4</v>
      </c>
      <c r="M12" s="8" t="n">
        <v>37.6</v>
      </c>
    </row>
    <row r="13">
      <c r="A13" s="3" t="inlineStr">
        <is>
          <t>2019-09</t>
        </is>
      </c>
      <c r="B13" s="8" t="n">
        <v>348.7</v>
      </c>
      <c r="C13" s="10" t="n">
        <v>0.03656361474435199</v>
      </c>
      <c r="D13" s="8" t="n">
        <v>27.4</v>
      </c>
      <c r="E13" s="8" t="n">
        <v>12.7</v>
      </c>
      <c r="F13" s="8" t="n">
        <v>19.6</v>
      </c>
      <c r="G13" s="8" t="n">
        <v>64.59999999999999</v>
      </c>
      <c r="H13" s="8" t="n">
        <v>52.6</v>
      </c>
      <c r="I13" s="8" t="n">
        <v>51.9</v>
      </c>
      <c r="J13" s="8" t="n">
        <v>30.3</v>
      </c>
      <c r="K13" s="8" t="n">
        <v>48.9</v>
      </c>
      <c r="L13" s="8" t="n">
        <v>3.9</v>
      </c>
      <c r="M13" s="8" t="n">
        <v>36.8</v>
      </c>
    </row>
    <row r="14">
      <c r="A14" s="3" t="inlineStr">
        <is>
          <t>2019-10</t>
        </is>
      </c>
      <c r="B14" s="8" t="n">
        <v>351.1</v>
      </c>
      <c r="C14" s="10" t="n">
        <v>0.03722304283604139</v>
      </c>
      <c r="D14" s="8" t="n">
        <v>27.3</v>
      </c>
      <c r="E14" s="8" t="n">
        <v>12.7</v>
      </c>
      <c r="F14" s="8" t="n">
        <v>19.7</v>
      </c>
      <c r="G14" s="8" t="n">
        <v>65.09999999999999</v>
      </c>
      <c r="H14" s="8" t="n">
        <v>52.8</v>
      </c>
      <c r="I14" s="8" t="n">
        <v>52.7</v>
      </c>
      <c r="J14" s="8" t="n">
        <v>30.2</v>
      </c>
      <c r="K14" s="8" t="n">
        <v>49.8</v>
      </c>
      <c r="L14" s="8" t="n">
        <v>4</v>
      </c>
      <c r="M14" s="8" t="n">
        <v>36.8</v>
      </c>
    </row>
    <row r="15">
      <c r="A15" s="3" t="inlineStr">
        <is>
          <t>2019-11</t>
        </is>
      </c>
      <c r="B15" s="8" t="n">
        <v>352.8</v>
      </c>
      <c r="C15" s="10" t="n">
        <v>0.04009433962264164</v>
      </c>
      <c r="D15" s="8" t="n">
        <v>27.3</v>
      </c>
      <c r="E15" s="8" t="n">
        <v>12.8</v>
      </c>
      <c r="F15" s="8" t="n">
        <v>19.8</v>
      </c>
      <c r="G15" s="8" t="n">
        <v>66.5</v>
      </c>
      <c r="H15" s="8" t="n">
        <v>52.9</v>
      </c>
      <c r="I15" s="8" t="n">
        <v>53.1</v>
      </c>
      <c r="J15" s="8" t="n">
        <v>30.7</v>
      </c>
      <c r="K15" s="8" t="n">
        <v>49.6</v>
      </c>
      <c r="L15" s="8" t="n">
        <v>4</v>
      </c>
      <c r="M15" s="8" t="n">
        <v>36.1</v>
      </c>
    </row>
    <row r="16">
      <c r="A16" s="3" t="inlineStr">
        <is>
          <t>2019-12</t>
        </is>
      </c>
      <c r="B16" s="8" t="n">
        <v>352.1</v>
      </c>
      <c r="C16" s="10" t="n">
        <v>0.03987005316007086</v>
      </c>
      <c r="D16" s="8" t="n">
        <v>27</v>
      </c>
      <c r="E16" s="8" t="n">
        <v>12.8</v>
      </c>
      <c r="F16" s="8" t="n">
        <v>20</v>
      </c>
      <c r="G16" s="8" t="n">
        <v>67.2</v>
      </c>
      <c r="H16" s="8" t="n">
        <v>52.4</v>
      </c>
      <c r="I16" s="8" t="n">
        <v>52.8</v>
      </c>
      <c r="J16" s="8" t="n">
        <v>30.3</v>
      </c>
      <c r="K16" s="8" t="n">
        <v>49.6</v>
      </c>
      <c r="L16" s="8" t="n">
        <v>4</v>
      </c>
      <c r="M16" s="8" t="n">
        <v>36</v>
      </c>
    </row>
    <row r="17">
      <c r="A17" s="3" t="inlineStr">
        <is>
          <t>2020-01</t>
        </is>
      </c>
      <c r="B17" s="8" t="n">
        <v>347.5</v>
      </c>
      <c r="C17" s="10" t="n">
        <v>0.04229154169166183</v>
      </c>
      <c r="D17" s="8" t="n">
        <v>26.7</v>
      </c>
      <c r="E17" s="8" t="n">
        <v>12.8</v>
      </c>
      <c r="F17" s="8" t="n">
        <v>19.7</v>
      </c>
      <c r="G17" s="8" t="n">
        <v>65.59999999999999</v>
      </c>
      <c r="H17" s="8" t="n">
        <v>51.7</v>
      </c>
      <c r="I17" s="8" t="n">
        <v>53.2</v>
      </c>
      <c r="J17" s="8" t="n">
        <v>29.9</v>
      </c>
      <c r="K17" s="8" t="n">
        <v>48.1</v>
      </c>
      <c r="L17" s="8" t="n">
        <v>4</v>
      </c>
      <c r="M17" s="8" t="n">
        <v>35.8</v>
      </c>
    </row>
    <row r="18">
      <c r="A18" s="3" t="inlineStr">
        <is>
          <t>2020-02</t>
        </is>
      </c>
      <c r="B18" s="8" t="n">
        <v>351.7</v>
      </c>
      <c r="C18" s="10" t="n">
        <v>0.04207407407407393</v>
      </c>
      <c r="D18" s="8" t="n">
        <v>27.1</v>
      </c>
      <c r="E18" s="8" t="n">
        <v>12.9</v>
      </c>
      <c r="F18" s="8" t="n">
        <v>19.8</v>
      </c>
      <c r="G18" s="8" t="n">
        <v>65.3</v>
      </c>
      <c r="H18" s="8" t="n">
        <v>52.8</v>
      </c>
      <c r="I18" s="8" t="n">
        <v>53.5</v>
      </c>
      <c r="J18" s="8" t="n">
        <v>30.2</v>
      </c>
      <c r="K18" s="8" t="n">
        <v>50.1</v>
      </c>
      <c r="L18" s="8" t="n">
        <v>4</v>
      </c>
      <c r="M18" s="8" t="n">
        <v>36</v>
      </c>
    </row>
    <row r="19">
      <c r="A19" s="3" t="inlineStr">
        <is>
          <t>2020-03</t>
        </is>
      </c>
      <c r="B19" s="8" t="n">
        <v>352.7</v>
      </c>
      <c r="C19" s="10" t="n">
        <v>0.03826906093612004</v>
      </c>
      <c r="D19" s="8" t="n">
        <v>27.7</v>
      </c>
      <c r="E19" s="8" t="n">
        <v>12.9</v>
      </c>
      <c r="F19" s="8" t="n">
        <v>20</v>
      </c>
      <c r="G19" s="8" t="n">
        <v>65.5</v>
      </c>
      <c r="H19" s="8" t="n">
        <v>53.4</v>
      </c>
      <c r="I19" s="8" t="n">
        <v>53.3</v>
      </c>
      <c r="J19" s="8" t="n">
        <v>30.1</v>
      </c>
      <c r="K19" s="8" t="n">
        <v>50.1</v>
      </c>
      <c r="L19" s="8" t="n">
        <v>3.9</v>
      </c>
      <c r="M19" s="8" t="n">
        <v>35.8</v>
      </c>
    </row>
    <row r="20">
      <c r="A20" s="3" t="inlineStr">
        <is>
          <t>2020-04</t>
        </is>
      </c>
      <c r="B20" s="8" t="n">
        <v>316.8</v>
      </c>
      <c r="C20" s="10" t="n">
        <v>-0.07557630580682806</v>
      </c>
      <c r="D20" s="8" t="n">
        <v>27.3</v>
      </c>
      <c r="E20" s="8" t="n">
        <v>10.3</v>
      </c>
      <c r="F20" s="8" t="n">
        <v>19.6</v>
      </c>
      <c r="G20" s="8" t="n">
        <v>59</v>
      </c>
      <c r="H20" s="8" t="n">
        <v>50.9</v>
      </c>
      <c r="I20" s="8" t="n">
        <v>49.1</v>
      </c>
      <c r="J20" s="8" t="n">
        <v>28.4</v>
      </c>
      <c r="K20" s="8" t="n">
        <v>47.6</v>
      </c>
      <c r="L20" s="8" t="n">
        <v>3.2</v>
      </c>
      <c r="M20" s="8" t="n">
        <v>21.4</v>
      </c>
    </row>
    <row r="21">
      <c r="A21" s="3" t="inlineStr">
        <is>
          <t>2020-05</t>
        </is>
      </c>
      <c r="B21" s="8" t="n">
        <v>328.8</v>
      </c>
      <c r="C21" s="10" t="n">
        <v>-0.04916136495083867</v>
      </c>
      <c r="D21" s="8" t="n">
        <v>28.4</v>
      </c>
      <c r="E21" s="8" t="n">
        <v>11.1</v>
      </c>
      <c r="F21" s="8" t="n">
        <v>19.7</v>
      </c>
      <c r="G21" s="8" t="n">
        <v>61.5</v>
      </c>
      <c r="H21" s="8" t="n">
        <v>51.9</v>
      </c>
      <c r="I21" s="8" t="n">
        <v>50.7</v>
      </c>
      <c r="J21" s="8" t="n">
        <v>29.1</v>
      </c>
      <c r="K21" s="8" t="n">
        <v>46.2</v>
      </c>
      <c r="L21" s="8" t="n">
        <v>3.4</v>
      </c>
      <c r="M21" s="8" t="n">
        <v>26.8</v>
      </c>
    </row>
    <row r="22">
      <c r="A22" s="3" t="inlineStr">
        <is>
          <t>2020-06</t>
        </is>
      </c>
      <c r="B22" s="8" t="n">
        <v>340.3</v>
      </c>
      <c r="C22" s="10" t="n">
        <v>-0.01789321789321785</v>
      </c>
      <c r="D22" s="8" t="n">
        <v>29.3</v>
      </c>
      <c r="E22" s="8" t="n">
        <v>12</v>
      </c>
      <c r="F22" s="8" t="n">
        <v>19.9</v>
      </c>
      <c r="G22" s="8" t="n">
        <v>63.7</v>
      </c>
      <c r="H22" s="8" t="n">
        <v>52.7</v>
      </c>
      <c r="I22" s="8" t="n">
        <v>51.8</v>
      </c>
      <c r="J22" s="8" t="n">
        <v>29.8</v>
      </c>
      <c r="K22" s="8" t="n">
        <v>45.5</v>
      </c>
      <c r="L22" s="8" t="n">
        <v>3.4</v>
      </c>
      <c r="M22" s="8" t="n">
        <v>32.2</v>
      </c>
    </row>
    <row r="23">
      <c r="A23" s="3" t="inlineStr">
        <is>
          <t>2020-07</t>
        </is>
      </c>
      <c r="B23" s="8" t="n">
        <v>342.6</v>
      </c>
      <c r="C23" s="10" t="n">
        <v>-0.006956521739130417</v>
      </c>
      <c r="D23" s="8" t="n">
        <v>29.3</v>
      </c>
      <c r="E23" s="8" t="n">
        <v>12.2</v>
      </c>
      <c r="F23" s="8" t="n">
        <v>20.2</v>
      </c>
      <c r="G23" s="8" t="n">
        <v>64.3</v>
      </c>
      <c r="H23" s="8" t="n">
        <v>53.2</v>
      </c>
      <c r="I23" s="8" t="n">
        <v>51.7</v>
      </c>
      <c r="J23" s="8" t="n">
        <v>30.1</v>
      </c>
      <c r="K23" s="8" t="n">
        <v>45.4</v>
      </c>
      <c r="L23" s="8" t="n">
        <v>3.5</v>
      </c>
      <c r="M23" s="8" t="n">
        <v>32.7</v>
      </c>
    </row>
    <row r="24">
      <c r="A24" s="3" t="inlineStr">
        <is>
          <t>2020-08</t>
        </is>
      </c>
      <c r="B24" s="8" t="n">
        <v>344.8</v>
      </c>
      <c r="C24" s="10" t="n">
        <v>-0.008910606496119522</v>
      </c>
      <c r="D24" s="8" t="n">
        <v>29.3</v>
      </c>
      <c r="E24" s="8" t="n">
        <v>12.2</v>
      </c>
      <c r="F24" s="8" t="n">
        <v>20.3</v>
      </c>
      <c r="G24" s="8" t="n">
        <v>65.2</v>
      </c>
      <c r="H24" s="8" t="n">
        <v>53.4</v>
      </c>
      <c r="I24" s="8" t="n">
        <v>52.2</v>
      </c>
      <c r="J24" s="8" t="n">
        <v>30.2</v>
      </c>
      <c r="K24" s="8" t="n">
        <v>45.4</v>
      </c>
      <c r="L24" s="8" t="n">
        <v>3.6</v>
      </c>
      <c r="M24" s="8" t="n">
        <v>33</v>
      </c>
    </row>
    <row r="25">
      <c r="A25" s="3" t="inlineStr">
        <is>
          <t>2020-09</t>
        </is>
      </c>
      <c r="B25" s="8" t="n">
        <v>346.9</v>
      </c>
      <c r="C25" s="10" t="n">
        <v>-0.005162030398623507</v>
      </c>
      <c r="D25" s="8" t="n">
        <v>29.2</v>
      </c>
      <c r="E25" s="8" t="n">
        <v>12</v>
      </c>
      <c r="F25" s="8" t="n">
        <v>20.3</v>
      </c>
      <c r="G25" s="8" t="n">
        <v>65.5</v>
      </c>
      <c r="H25" s="8" t="n">
        <v>53.2</v>
      </c>
      <c r="I25" s="8" t="n">
        <v>52.5</v>
      </c>
      <c r="J25" s="8" t="n">
        <v>30.1</v>
      </c>
      <c r="K25" s="8" t="n">
        <v>47.3</v>
      </c>
      <c r="L25" s="8" t="n">
        <v>3.6</v>
      </c>
      <c r="M25" s="8" t="n">
        <v>33.2</v>
      </c>
    </row>
    <row r="26">
      <c r="A26" s="3" t="inlineStr">
        <is>
          <t>2020-10</t>
        </is>
      </c>
      <c r="B26" s="8" t="n">
        <v>352.9</v>
      </c>
      <c r="C26" s="10" t="n">
        <v>0.005126744517231385</v>
      </c>
      <c r="D26" s="8" t="n">
        <v>29.5</v>
      </c>
      <c r="E26" s="8" t="n">
        <v>12.1</v>
      </c>
      <c r="F26" s="8" t="n">
        <v>20.6</v>
      </c>
      <c r="G26" s="8" t="n">
        <v>66.90000000000001</v>
      </c>
      <c r="H26" s="8" t="n">
        <v>54.3</v>
      </c>
      <c r="I26" s="8" t="n">
        <v>53.4</v>
      </c>
      <c r="J26" s="8" t="n">
        <v>30.5</v>
      </c>
      <c r="K26" s="8" t="n">
        <v>48.5</v>
      </c>
      <c r="L26" s="8" t="n">
        <v>3.5</v>
      </c>
      <c r="M26" s="8" t="n">
        <v>33.6</v>
      </c>
    </row>
    <row r="27">
      <c r="A27" s="3" t="inlineStr">
        <is>
          <t>2020-11</t>
        </is>
      </c>
      <c r="B27" s="8" t="n">
        <v>354.1</v>
      </c>
      <c r="C27" s="10" t="n">
        <v>0.003684807256235878</v>
      </c>
      <c r="D27" s="8" t="n">
        <v>29.3</v>
      </c>
      <c r="E27" s="8" t="n">
        <v>12</v>
      </c>
      <c r="F27" s="8" t="n">
        <v>20.7</v>
      </c>
      <c r="G27" s="8" t="n">
        <v>69.2</v>
      </c>
      <c r="H27" s="8" t="n">
        <v>54.3</v>
      </c>
      <c r="I27" s="8" t="n">
        <v>53.5</v>
      </c>
      <c r="J27" s="8" t="n">
        <v>30.6</v>
      </c>
      <c r="K27" s="8" t="n">
        <v>48.2</v>
      </c>
      <c r="L27" s="8" t="n">
        <v>3.5</v>
      </c>
      <c r="M27" s="8" t="n">
        <v>32.8</v>
      </c>
    </row>
    <row r="28">
      <c r="A28" s="3" t="inlineStr">
        <is>
          <t>2020-12</t>
        </is>
      </c>
      <c r="B28" s="8" t="n">
        <v>355.6</v>
      </c>
      <c r="C28" s="10" t="n">
        <v>0.00994035785288272</v>
      </c>
      <c r="D28" s="8" t="n">
        <v>29.2</v>
      </c>
      <c r="E28" s="8" t="n">
        <v>12</v>
      </c>
      <c r="F28" s="8" t="n">
        <v>20.8</v>
      </c>
      <c r="G28" s="8" t="n">
        <v>71.40000000000001</v>
      </c>
      <c r="H28" s="8" t="n">
        <v>54.2</v>
      </c>
      <c r="I28" s="8" t="n">
        <v>53.7</v>
      </c>
      <c r="J28" s="8" t="n">
        <v>30.7</v>
      </c>
      <c r="K28" s="8" t="n">
        <v>47.8</v>
      </c>
      <c r="L28" s="8" t="n">
        <v>3.6</v>
      </c>
      <c r="M28" s="8" t="n">
        <v>32.2</v>
      </c>
    </row>
    <row r="29">
      <c r="A29" s="3" t="inlineStr">
        <is>
          <t>2021-01</t>
        </is>
      </c>
      <c r="B29" s="8" t="n">
        <v>351</v>
      </c>
      <c r="C29" s="10" t="n">
        <v>0.01007194244604315</v>
      </c>
      <c r="D29" s="8" t="n">
        <v>28.3</v>
      </c>
      <c r="E29" s="8" t="n">
        <v>12.1</v>
      </c>
      <c r="F29" s="8" t="n">
        <v>20.7</v>
      </c>
      <c r="G29" s="8" t="n">
        <v>70.40000000000001</v>
      </c>
      <c r="H29" s="8" t="n">
        <v>53.3</v>
      </c>
      <c r="I29" s="8" t="n">
        <v>53.9</v>
      </c>
      <c r="J29" s="8" t="n">
        <v>30.5</v>
      </c>
      <c r="K29" s="8" t="n">
        <v>46.4</v>
      </c>
      <c r="L29" s="8" t="n">
        <v>3.6</v>
      </c>
      <c r="M29" s="8" t="n">
        <v>31.8</v>
      </c>
    </row>
    <row r="30">
      <c r="A30" s="3" t="inlineStr">
        <is>
          <t>2021-02</t>
        </is>
      </c>
      <c r="B30" s="8" t="n">
        <v>356.8</v>
      </c>
      <c r="C30" s="10" t="n">
        <v>0.01450099516633507</v>
      </c>
      <c r="D30" s="8" t="n">
        <v>29</v>
      </c>
      <c r="E30" s="8" t="n">
        <v>12.2</v>
      </c>
      <c r="F30" s="8" t="n">
        <v>20.8</v>
      </c>
      <c r="G30" s="8" t="n">
        <v>71.09999999999999</v>
      </c>
      <c r="H30" s="8" t="n">
        <v>54.3</v>
      </c>
      <c r="I30" s="8" t="n">
        <v>54.3</v>
      </c>
      <c r="J30" s="8" t="n">
        <v>30.6</v>
      </c>
      <c r="K30" s="8" t="n">
        <v>48.5</v>
      </c>
      <c r="L30" s="8" t="n">
        <v>3.6</v>
      </c>
      <c r="M30" s="8" t="n">
        <v>32.4</v>
      </c>
    </row>
    <row r="31">
      <c r="A31" s="3" t="inlineStr">
        <is>
          <t>2021-03</t>
        </is>
      </c>
      <c r="B31" s="8" t="n">
        <v>360.6</v>
      </c>
      <c r="C31" s="10" t="n">
        <v>0.02239863907003126</v>
      </c>
      <c r="D31" s="8" t="n">
        <v>29.7</v>
      </c>
      <c r="E31" s="8" t="n">
        <v>12.3</v>
      </c>
      <c r="F31" s="8" t="n">
        <v>20.9</v>
      </c>
      <c r="G31" s="8" t="n">
        <v>71.7</v>
      </c>
      <c r="H31" s="8" t="n">
        <v>54.9</v>
      </c>
      <c r="I31" s="8" t="n">
        <v>54.5</v>
      </c>
      <c r="J31" s="8" t="n">
        <v>30.6</v>
      </c>
      <c r="K31" s="8" t="n">
        <v>49</v>
      </c>
      <c r="L31" s="8" t="n">
        <v>3.6</v>
      </c>
      <c r="M31" s="8" t="n">
        <v>33.4</v>
      </c>
    </row>
    <row r="32">
      <c r="A32" s="3" t="inlineStr">
        <is>
          <t>2021-04</t>
        </is>
      </c>
      <c r="B32" s="8" t="n">
        <v>362.7</v>
      </c>
      <c r="C32" s="10" t="n">
        <v>0.1448863636363635</v>
      </c>
      <c r="D32" s="8" t="n">
        <v>30.6</v>
      </c>
      <c r="E32" s="8" t="n">
        <v>12.3</v>
      </c>
      <c r="F32" s="8" t="n">
        <v>20.8</v>
      </c>
      <c r="G32" s="8" t="n">
        <v>71.5</v>
      </c>
      <c r="H32" s="8" t="n">
        <v>55.2</v>
      </c>
      <c r="I32" s="8" t="n">
        <v>54.5</v>
      </c>
      <c r="J32" s="8" t="n">
        <v>30.7</v>
      </c>
      <c r="K32" s="8" t="n">
        <v>48.7</v>
      </c>
      <c r="L32" s="8" t="n">
        <v>3.8</v>
      </c>
      <c r="M32" s="8" t="n">
        <v>34.6</v>
      </c>
    </row>
    <row r="33">
      <c r="A33" s="3" t="inlineStr">
        <is>
          <t>2021-05</t>
        </is>
      </c>
      <c r="B33" s="8" t="n">
        <v>364.5</v>
      </c>
      <c r="C33" s="10" t="n">
        <v>0.1085766423357664</v>
      </c>
      <c r="D33" s="8" t="n">
        <v>30.9</v>
      </c>
      <c r="E33" s="8" t="n">
        <v>12.3</v>
      </c>
      <c r="F33" s="8" t="n">
        <v>20.9</v>
      </c>
      <c r="G33" s="8" t="n">
        <v>71.7</v>
      </c>
      <c r="H33" s="8" t="n">
        <v>55.7</v>
      </c>
      <c r="I33" s="8" t="n">
        <v>54.5</v>
      </c>
      <c r="J33" s="8" t="n">
        <v>30.8</v>
      </c>
      <c r="K33" s="8" t="n">
        <v>48.4</v>
      </c>
      <c r="L33" s="8" t="n">
        <v>3.9</v>
      </c>
      <c r="M33" s="8" t="n">
        <v>35.4</v>
      </c>
    </row>
    <row r="34">
      <c r="A34" s="3" t="inlineStr">
        <is>
          <t>2021-06</t>
        </is>
      </c>
      <c r="B34" s="8" t="n">
        <v>367.2</v>
      </c>
      <c r="C34" s="10" t="n">
        <v>0.0790478989127239</v>
      </c>
      <c r="D34" s="8" t="n">
        <v>31.5</v>
      </c>
      <c r="E34" s="8" t="n">
        <v>12.7</v>
      </c>
      <c r="F34" s="8" t="n">
        <v>21</v>
      </c>
      <c r="G34" s="8" t="n">
        <v>72.40000000000001</v>
      </c>
      <c r="H34" s="8" t="n">
        <v>55.9</v>
      </c>
      <c r="I34" s="8" t="n">
        <v>54.2</v>
      </c>
      <c r="J34" s="8" t="n">
        <v>31.1</v>
      </c>
      <c r="K34" s="8" t="n">
        <v>47.8</v>
      </c>
      <c r="L34" s="8" t="n">
        <v>3.9</v>
      </c>
      <c r="M34" s="8" t="n">
        <v>36.7</v>
      </c>
    </row>
    <row r="35">
      <c r="A35" s="3" t="inlineStr">
        <is>
          <t>2021-07</t>
        </is>
      </c>
      <c r="B35" s="8" t="n">
        <v>369.3</v>
      </c>
      <c r="C35" s="10" t="n">
        <v>0.07793345008756569</v>
      </c>
      <c r="D35" s="8" t="n">
        <v>31.6</v>
      </c>
      <c r="E35" s="8" t="n">
        <v>12.8</v>
      </c>
      <c r="F35" s="8" t="n">
        <v>21.6</v>
      </c>
      <c r="G35" s="8" t="n">
        <v>72.5</v>
      </c>
      <c r="H35" s="8" t="n">
        <v>57.3</v>
      </c>
      <c r="I35" s="8" t="n">
        <v>54.6</v>
      </c>
      <c r="J35" s="8" t="n">
        <v>31.1</v>
      </c>
      <c r="K35" s="8" t="n">
        <v>46.1</v>
      </c>
      <c r="L35" s="8" t="n">
        <v>4</v>
      </c>
      <c r="M35" s="8" t="n">
        <v>37.7</v>
      </c>
    </row>
    <row r="36">
      <c r="A36" s="3" t="inlineStr">
        <is>
          <t>2021-08</t>
        </is>
      </c>
      <c r="B36" s="8" t="n">
        <v>369.1</v>
      </c>
      <c r="C36" s="10" t="n">
        <v>0.07047563805104406</v>
      </c>
      <c r="D36" s="8" t="n">
        <v>31.5</v>
      </c>
      <c r="E36" s="8" t="n">
        <v>12.8</v>
      </c>
      <c r="F36" s="8" t="n">
        <v>21.7</v>
      </c>
      <c r="G36" s="8" t="n">
        <v>73.09999999999999</v>
      </c>
      <c r="H36" s="8" t="n">
        <v>57.2</v>
      </c>
      <c r="I36" s="8" t="n">
        <v>54.5</v>
      </c>
      <c r="J36" s="8" t="n">
        <v>30.9</v>
      </c>
      <c r="K36" s="8" t="n">
        <v>45.3</v>
      </c>
      <c r="L36" s="8" t="n">
        <v>4.1</v>
      </c>
      <c r="M36" s="8" t="n">
        <v>38</v>
      </c>
    </row>
    <row r="37">
      <c r="A37" s="3" t="inlineStr">
        <is>
          <t>2021-09</t>
        </is>
      </c>
      <c r="B37" s="8" t="n">
        <v>369</v>
      </c>
      <c r="C37" s="10" t="n">
        <v>0.06370712020755276</v>
      </c>
      <c r="D37" s="8" t="n">
        <v>30.9</v>
      </c>
      <c r="E37" s="8" t="n">
        <v>12.6</v>
      </c>
      <c r="F37" s="8" t="n">
        <v>21.5</v>
      </c>
      <c r="G37" s="8" t="n">
        <v>72.90000000000001</v>
      </c>
      <c r="H37" s="8" t="n">
        <v>56.8</v>
      </c>
      <c r="I37" s="8" t="n">
        <v>54.5</v>
      </c>
      <c r="J37" s="8" t="n">
        <v>30.5</v>
      </c>
      <c r="K37" s="8" t="n">
        <v>48.1</v>
      </c>
      <c r="L37" s="8" t="n">
        <v>4</v>
      </c>
      <c r="M37" s="8" t="n">
        <v>37.2</v>
      </c>
    </row>
    <row r="38">
      <c r="A38" s="3" t="inlineStr">
        <is>
          <t>2021-10</t>
        </is>
      </c>
      <c r="B38" s="8" t="n">
        <v>372.7</v>
      </c>
      <c r="C38" s="10" t="n">
        <v>0.05610654576367247</v>
      </c>
      <c r="D38" s="8" t="n">
        <v>31.1</v>
      </c>
      <c r="E38" s="8" t="n">
        <v>12.6</v>
      </c>
      <c r="F38" s="8" t="n">
        <v>22</v>
      </c>
      <c r="G38" s="8" t="n">
        <v>74.3</v>
      </c>
      <c r="H38" s="8" t="n">
        <v>56.6</v>
      </c>
      <c r="I38" s="8" t="n">
        <v>54.5</v>
      </c>
      <c r="J38" s="8" t="n">
        <v>31</v>
      </c>
      <c r="K38" s="8" t="n">
        <v>49.5</v>
      </c>
      <c r="L38" s="8" t="n">
        <v>4</v>
      </c>
      <c r="M38" s="8" t="n">
        <v>37.1</v>
      </c>
    </row>
    <row r="39">
      <c r="A39" s="3" t="inlineStr">
        <is>
          <t>2021-11</t>
        </is>
      </c>
      <c r="B39" s="8" t="n">
        <v>374.6</v>
      </c>
      <c r="C39" s="10" t="n">
        <v>0.05789325049421068</v>
      </c>
      <c r="D39" s="8" t="n">
        <v>31.1</v>
      </c>
      <c r="E39" s="8" t="n">
        <v>12.6</v>
      </c>
      <c r="F39" s="8" t="n">
        <v>22.1</v>
      </c>
      <c r="G39" s="8" t="n">
        <v>75.5</v>
      </c>
      <c r="H39" s="8" t="n">
        <v>56.9</v>
      </c>
      <c r="I39" s="8" t="n">
        <v>54.7</v>
      </c>
      <c r="J39" s="8" t="n">
        <v>31.3</v>
      </c>
      <c r="K39" s="8" t="n">
        <v>49.5</v>
      </c>
      <c r="L39" s="8" t="n">
        <v>4.1</v>
      </c>
      <c r="M39" s="8" t="n">
        <v>36.8</v>
      </c>
    </row>
    <row r="40">
      <c r="A40" s="3" t="inlineStr">
        <is>
          <t>2021-12</t>
        </is>
      </c>
      <c r="B40" s="8" t="n">
        <v>375</v>
      </c>
      <c r="C40" s="10" t="n">
        <v>0.05455568053993254</v>
      </c>
      <c r="D40" s="8" t="n">
        <v>30.9</v>
      </c>
      <c r="E40" s="8" t="n">
        <v>12.7</v>
      </c>
      <c r="F40" s="8" t="n">
        <v>22.2</v>
      </c>
      <c r="G40" s="8" t="n">
        <v>76.5</v>
      </c>
      <c r="H40" s="8" t="n">
        <v>56.7</v>
      </c>
      <c r="I40" s="8" t="n">
        <v>54.8</v>
      </c>
      <c r="J40" s="8" t="n">
        <v>31.2</v>
      </c>
      <c r="K40" s="8" t="n">
        <v>48.9</v>
      </c>
      <c r="L40" s="8" t="n">
        <v>4.1</v>
      </c>
      <c r="M40" s="8" t="n">
        <v>37</v>
      </c>
    </row>
    <row r="41">
      <c r="A41" s="3" t="inlineStr">
        <is>
          <t>2022-01</t>
        </is>
      </c>
      <c r="B41" s="8" t="n">
        <v>369.9</v>
      </c>
      <c r="C41" s="10" t="n">
        <v>0.05384615384615388</v>
      </c>
      <c r="D41" s="8" t="n">
        <v>30.9</v>
      </c>
      <c r="E41" s="8" t="n">
        <v>12.5</v>
      </c>
      <c r="F41" s="8" t="n">
        <v>22.3</v>
      </c>
      <c r="G41" s="8" t="n">
        <v>74.90000000000001</v>
      </c>
      <c r="H41" s="8" t="n">
        <v>54.7</v>
      </c>
      <c r="I41" s="8" t="n">
        <v>55.1</v>
      </c>
      <c r="J41" s="8" t="n">
        <v>31</v>
      </c>
      <c r="K41" s="8" t="n">
        <v>48.1</v>
      </c>
      <c r="L41" s="8" t="n">
        <v>4.1</v>
      </c>
      <c r="M41" s="8" t="n">
        <v>36.3</v>
      </c>
    </row>
    <row r="42">
      <c r="A42" s="3" t="inlineStr">
        <is>
          <t>2022-02</t>
        </is>
      </c>
      <c r="B42" s="8" t="n">
        <v>375.4</v>
      </c>
      <c r="C42" s="10" t="n">
        <v>0.05213004484304928</v>
      </c>
      <c r="D42" s="8" t="n">
        <v>31.8</v>
      </c>
      <c r="E42" s="8" t="n">
        <v>12.6</v>
      </c>
      <c r="F42" s="8" t="n">
        <v>22.6</v>
      </c>
      <c r="G42" s="8" t="n">
        <v>75.59999999999999</v>
      </c>
      <c r="H42" s="8" t="n">
        <v>55.9</v>
      </c>
      <c r="I42" s="8" t="n">
        <v>55.5</v>
      </c>
      <c r="J42" s="8" t="n">
        <v>31.1</v>
      </c>
      <c r="K42" s="8" t="n">
        <v>49.4</v>
      </c>
      <c r="L42" s="8" t="n">
        <v>4.1</v>
      </c>
      <c r="M42" s="8" t="n">
        <v>36.8</v>
      </c>
    </row>
    <row r="43">
      <c r="A43" s="3" t="inlineStr">
        <is>
          <t>2022-03</t>
        </is>
      </c>
      <c r="B43" s="8" t="n">
        <v>378.6</v>
      </c>
      <c r="C43" s="10" t="n">
        <v>0.04991680532445919</v>
      </c>
      <c r="D43" s="8" t="n">
        <v>32.4</v>
      </c>
      <c r="E43" s="8" t="n">
        <v>12.7</v>
      </c>
      <c r="F43" s="8" t="n">
        <v>22.8</v>
      </c>
      <c r="G43" s="8" t="n">
        <v>75.8</v>
      </c>
      <c r="H43" s="8" t="n">
        <v>56.8</v>
      </c>
      <c r="I43" s="8" t="n">
        <v>55.8</v>
      </c>
      <c r="J43" s="8" t="n">
        <v>31.2</v>
      </c>
      <c r="K43" s="8" t="n">
        <v>49.6</v>
      </c>
      <c r="L43" s="8" t="n">
        <v>4.1</v>
      </c>
      <c r="M43" s="8" t="n">
        <v>37.4</v>
      </c>
    </row>
    <row r="44">
      <c r="A44" s="3" t="inlineStr">
        <is>
          <t>2022-04</t>
        </is>
      </c>
      <c r="B44" s="8" t="n">
        <v>381.8</v>
      </c>
      <c r="C44" s="10" t="n">
        <v>0.05266060104769799</v>
      </c>
      <c r="D44" s="8" t="n">
        <v>32.8</v>
      </c>
      <c r="E44" s="8" t="n">
        <v>13</v>
      </c>
      <c r="F44" s="8" t="n">
        <v>23</v>
      </c>
      <c r="G44" s="8" t="n">
        <v>75.40000000000001</v>
      </c>
      <c r="H44" s="8" t="n">
        <v>58.2</v>
      </c>
      <c r="I44" s="8" t="n">
        <v>56.1</v>
      </c>
      <c r="J44" s="8" t="n">
        <v>31.3</v>
      </c>
      <c r="K44" s="8" t="n">
        <v>49.6</v>
      </c>
      <c r="L44" s="8" t="n">
        <v>4.3</v>
      </c>
      <c r="M44" s="8" t="n">
        <v>38.1</v>
      </c>
    </row>
    <row r="45">
      <c r="A45" s="3" t="inlineStr">
        <is>
          <t>2022-05</t>
        </is>
      </c>
      <c r="B45" s="8" t="n">
        <v>382.5</v>
      </c>
      <c r="C45" s="10" t="n">
        <v>0.04938271604938271</v>
      </c>
      <c r="D45" s="8" t="n">
        <v>33.2</v>
      </c>
      <c r="E45" s="8" t="n">
        <v>13</v>
      </c>
      <c r="F45" s="8" t="n">
        <v>23</v>
      </c>
      <c r="G45" s="8" t="n">
        <v>75.3</v>
      </c>
      <c r="H45" s="8" t="n">
        <v>58.6</v>
      </c>
      <c r="I45" s="8" t="n">
        <v>56.2</v>
      </c>
      <c r="J45" s="8" t="n">
        <v>31.2</v>
      </c>
      <c r="K45" s="8" t="n">
        <v>49.1</v>
      </c>
      <c r="L45" s="8" t="n">
        <v>4.5</v>
      </c>
      <c r="M45" s="8" t="n">
        <v>38.4</v>
      </c>
    </row>
    <row r="46">
      <c r="A46" s="3" t="inlineStr">
        <is>
          <t>2022-06</t>
        </is>
      </c>
      <c r="B46" s="8" t="n">
        <v>384.9</v>
      </c>
      <c r="C46" s="10" t="n">
        <v>0.04820261437908502</v>
      </c>
      <c r="D46" s="8" t="n">
        <v>34.3</v>
      </c>
      <c r="E46" s="8" t="n">
        <v>13.3</v>
      </c>
      <c r="F46" s="8" t="n">
        <v>23</v>
      </c>
      <c r="G46" s="8" t="n">
        <v>75.3</v>
      </c>
      <c r="H46" s="8" t="n">
        <v>59.2</v>
      </c>
      <c r="I46" s="8" t="n">
        <v>56.2</v>
      </c>
      <c r="J46" s="8" t="n">
        <v>31.6</v>
      </c>
      <c r="K46" s="8" t="n">
        <v>48.4</v>
      </c>
      <c r="L46" s="8" t="n">
        <v>4.5</v>
      </c>
      <c r="M46" s="8" t="n">
        <v>39.1</v>
      </c>
    </row>
    <row r="47">
      <c r="A47" s="3" t="inlineStr">
        <is>
          <t>2022-07</t>
        </is>
      </c>
      <c r="B47" s="8" t="n">
        <v>386.8</v>
      </c>
      <c r="C47" s="10" t="n">
        <v>0.04738694828053069</v>
      </c>
      <c r="D47" s="8" t="n">
        <v>35.1</v>
      </c>
      <c r="E47" s="8" t="n">
        <v>13.6</v>
      </c>
      <c r="F47" s="8" t="n">
        <v>23.2</v>
      </c>
      <c r="G47" s="8" t="n">
        <v>75.5</v>
      </c>
      <c r="H47" s="8" t="n">
        <v>59.7</v>
      </c>
      <c r="I47" s="8" t="n">
        <v>56.7</v>
      </c>
      <c r="J47" s="8" t="n">
        <v>32.3</v>
      </c>
      <c r="K47" s="8" t="n">
        <v>46.9</v>
      </c>
      <c r="L47" s="8" t="n">
        <v>4.6</v>
      </c>
      <c r="M47" s="8" t="n">
        <v>39.2</v>
      </c>
    </row>
    <row r="48">
      <c r="A48" s="3" t="inlineStr">
        <is>
          <t>2022-08</t>
        </is>
      </c>
      <c r="B48" s="8" t="n">
        <v>388.1</v>
      </c>
      <c r="C48" s="10" t="n">
        <v>0.05147656461663508</v>
      </c>
      <c r="D48" s="8" t="n">
        <v>35.1</v>
      </c>
      <c r="E48" s="8" t="n">
        <v>13.6</v>
      </c>
      <c r="F48" s="8" t="n">
        <v>23.2</v>
      </c>
      <c r="G48" s="8" t="n">
        <v>75.5</v>
      </c>
      <c r="H48" s="8" t="n">
        <v>60.1</v>
      </c>
      <c r="I48" s="8" t="n">
        <v>56.8</v>
      </c>
      <c r="J48" s="8" t="n">
        <v>32.1</v>
      </c>
      <c r="K48" s="8" t="n">
        <v>47.4</v>
      </c>
      <c r="L48" s="8" t="n">
        <v>4.6</v>
      </c>
      <c r="M48" s="8" t="n">
        <v>39.7</v>
      </c>
    </row>
    <row r="49">
      <c r="A49" s="3" t="inlineStr">
        <is>
          <t>2022-09</t>
        </is>
      </c>
      <c r="B49" s="8" t="n">
        <v>387.6</v>
      </c>
      <c r="C49" s="10" t="n">
        <v>0.05040650406504077</v>
      </c>
      <c r="D49" s="8" t="n">
        <v>34.7</v>
      </c>
      <c r="E49" s="8" t="n">
        <v>13.3</v>
      </c>
      <c r="F49" s="8" t="n">
        <v>23</v>
      </c>
      <c r="G49" s="8" t="n">
        <v>75.09999999999999</v>
      </c>
      <c r="H49" s="8" t="n">
        <v>59.6</v>
      </c>
      <c r="I49" s="8" t="n">
        <v>57</v>
      </c>
      <c r="J49" s="8" t="n">
        <v>32</v>
      </c>
      <c r="K49" s="8" t="n">
        <v>49.3</v>
      </c>
      <c r="L49" s="8" t="n">
        <v>4.6</v>
      </c>
      <c r="M49" s="8" t="n">
        <v>39</v>
      </c>
    </row>
    <row r="50">
      <c r="A50" s="3" t="inlineStr">
        <is>
          <t>2022-10</t>
        </is>
      </c>
      <c r="B50" s="8" t="n">
        <v>390</v>
      </c>
      <c r="C50" s="10" t="n">
        <v>0.04641803058760408</v>
      </c>
      <c r="D50" s="8" t="n">
        <v>34.6</v>
      </c>
      <c r="E50" s="8" t="n">
        <v>13.3</v>
      </c>
      <c r="F50" s="8" t="n">
        <v>23.3</v>
      </c>
      <c r="G50" s="8" t="n">
        <v>75.8</v>
      </c>
      <c r="H50" s="8" t="n">
        <v>60.3</v>
      </c>
      <c r="I50" s="8" t="n">
        <v>57.2</v>
      </c>
      <c r="J50" s="8" t="n">
        <v>32</v>
      </c>
      <c r="K50" s="8" t="n">
        <v>50.2</v>
      </c>
      <c r="L50" s="8" t="n">
        <v>4.7</v>
      </c>
      <c r="M50" s="8" t="n">
        <v>38.6</v>
      </c>
    </row>
    <row r="51">
      <c r="A51" s="3" t="inlineStr">
        <is>
          <t>2022-11</t>
        </is>
      </c>
      <c r="B51" s="8" t="n">
        <v>391.8</v>
      </c>
      <c r="C51" s="10" t="n">
        <v>0.04591564335290976</v>
      </c>
      <c r="D51" s="8" t="n">
        <v>34.3</v>
      </c>
      <c r="E51" s="8" t="n">
        <v>13.3</v>
      </c>
      <c r="F51" s="8" t="n">
        <v>23.2</v>
      </c>
      <c r="G51" s="8" t="n">
        <v>77.09999999999999</v>
      </c>
      <c r="H51" s="8" t="n">
        <v>60.7</v>
      </c>
      <c r="I51" s="8" t="n">
        <v>57.5</v>
      </c>
      <c r="J51" s="8" t="n">
        <v>32</v>
      </c>
      <c r="K51" s="8" t="n">
        <v>50.2</v>
      </c>
      <c r="L51" s="8" t="n">
        <v>4.8</v>
      </c>
      <c r="M51" s="8" t="n">
        <v>38.7</v>
      </c>
    </row>
    <row r="52">
      <c r="A52" s="3" t="inlineStr">
        <is>
          <t>2022-12</t>
        </is>
      </c>
      <c r="B52" s="8" t="n">
        <v>389.8</v>
      </c>
      <c r="C52" s="10" t="n">
        <v>0.03946666666666676</v>
      </c>
      <c r="D52" s="8" t="n">
        <v>33.5</v>
      </c>
      <c r="E52" s="8" t="n">
        <v>13.3</v>
      </c>
      <c r="F52" s="8" t="n">
        <v>23.2</v>
      </c>
      <c r="G52" s="8" t="n">
        <v>77.8</v>
      </c>
      <c r="H52" s="8" t="n">
        <v>59.8</v>
      </c>
      <c r="I52" s="8" t="n">
        <v>57.7</v>
      </c>
      <c r="J52" s="8" t="n">
        <v>31.6</v>
      </c>
      <c r="K52" s="8" t="n">
        <v>49.6</v>
      </c>
      <c r="L52" s="8" t="n">
        <v>4.8</v>
      </c>
      <c r="M52" s="8" t="n">
        <v>38.5</v>
      </c>
    </row>
    <row r="53">
      <c r="A53" s="3" t="inlineStr">
        <is>
          <t>2023-01</t>
        </is>
      </c>
      <c r="B53" s="8" t="n">
        <v>383.5</v>
      </c>
      <c r="C53" s="10" t="n">
        <v>0.03676669370100027</v>
      </c>
      <c r="D53" s="8" t="n">
        <v>32.2</v>
      </c>
      <c r="E53" s="8" t="n">
        <v>13.1</v>
      </c>
      <c r="F53" s="8" t="n">
        <v>22.8</v>
      </c>
      <c r="G53" s="8" t="n">
        <v>75.5</v>
      </c>
      <c r="H53" s="8" t="n">
        <v>57.9</v>
      </c>
      <c r="I53" s="8" t="n">
        <v>58.2</v>
      </c>
      <c r="J53" s="8" t="n">
        <v>31.4</v>
      </c>
      <c r="K53" s="8" t="n">
        <v>49.5</v>
      </c>
      <c r="L53" s="8" t="n">
        <v>4.9</v>
      </c>
      <c r="M53" s="8" t="n">
        <v>38</v>
      </c>
    </row>
    <row r="54">
      <c r="A54" s="3" t="inlineStr">
        <is>
          <t>2023-02</t>
        </is>
      </c>
      <c r="B54" s="8" t="n">
        <v>386.5</v>
      </c>
      <c r="C54" s="10" t="n">
        <v>0.02956846030900384</v>
      </c>
      <c r="D54" s="8" t="n">
        <v>32.7</v>
      </c>
      <c r="E54" s="8" t="n">
        <v>13.2</v>
      </c>
      <c r="F54" s="8" t="n">
        <v>22.7</v>
      </c>
      <c r="G54" s="8" t="n">
        <v>75.3</v>
      </c>
      <c r="H54" s="8" t="n">
        <v>59.2</v>
      </c>
      <c r="I54" s="8" t="n">
        <v>57.8</v>
      </c>
      <c r="J54" s="8" t="n">
        <v>31.2</v>
      </c>
      <c r="K54" s="8" t="n">
        <v>50.9</v>
      </c>
      <c r="L54" s="8" t="n">
        <v>4.9</v>
      </c>
      <c r="M54" s="8" t="n">
        <v>38.6</v>
      </c>
    </row>
    <row r="55">
      <c r="A55" s="3" t="inlineStr">
        <is>
          <t>2023-03</t>
        </is>
      </c>
      <c r="B55" s="8" t="n">
        <v>386.9</v>
      </c>
      <c r="C55" s="10" t="n">
        <v>0.0219228737453776</v>
      </c>
      <c r="D55" s="8" t="n">
        <v>33</v>
      </c>
      <c r="E55" s="8" t="n">
        <v>13.2</v>
      </c>
      <c r="F55" s="8" t="n">
        <v>22.8</v>
      </c>
      <c r="G55" s="8" t="n">
        <v>75.3</v>
      </c>
      <c r="H55" s="8" t="n">
        <v>59.5</v>
      </c>
      <c r="I55" s="8" t="n">
        <v>56.6</v>
      </c>
      <c r="J55" s="8" t="n">
        <v>30.9</v>
      </c>
      <c r="K55" s="8" t="n">
        <v>51.3</v>
      </c>
      <c r="L55" s="8" t="n">
        <v>4.9</v>
      </c>
      <c r="M55" s="8" t="n">
        <v>39.4</v>
      </c>
    </row>
    <row r="56">
      <c r="A56" s="3" t="inlineStr">
        <is>
          <t>2023-04</t>
        </is>
      </c>
      <c r="B56" s="8" t="n">
        <v>392.9</v>
      </c>
      <c r="C56" s="10" t="n">
        <v>0.02907281299109465</v>
      </c>
      <c r="D56" s="8" t="n">
        <v>33.7</v>
      </c>
      <c r="E56" s="8" t="n">
        <v>13.4</v>
      </c>
      <c r="F56" s="8" t="n">
        <v>22.9</v>
      </c>
      <c r="G56" s="8" t="n">
        <v>75.7</v>
      </c>
      <c r="H56" s="8" t="n">
        <v>60.8</v>
      </c>
      <c r="I56" s="8" t="n">
        <v>59.7</v>
      </c>
      <c r="J56" s="8" t="n">
        <v>30.6</v>
      </c>
      <c r="K56" s="8" t="n">
        <v>51</v>
      </c>
      <c r="L56" s="8" t="n">
        <v>4.9</v>
      </c>
      <c r="M56" s="8" t="n">
        <v>40.2</v>
      </c>
    </row>
    <row r="57">
      <c r="A57" s="3" t="inlineStr">
        <is>
          <t>2023-05</t>
        </is>
      </c>
      <c r="B57" s="8" t="n">
        <v>393.5</v>
      </c>
      <c r="C57" s="10" t="n">
        <v>0.02875816993464042</v>
      </c>
      <c r="D57" s="8" t="n">
        <v>34.3</v>
      </c>
      <c r="E57" s="8" t="n">
        <v>13.5</v>
      </c>
      <c r="F57" s="8" t="n">
        <v>22.9</v>
      </c>
      <c r="G57" s="8" t="n">
        <v>75.7</v>
      </c>
      <c r="H57" s="8" t="n">
        <v>61.1</v>
      </c>
      <c r="I57" s="8" t="n">
        <v>58.7</v>
      </c>
      <c r="J57" s="8" t="n">
        <v>30.6</v>
      </c>
      <c r="K57" s="8" t="n">
        <v>50.4</v>
      </c>
      <c r="L57" s="8" t="n">
        <v>4.9</v>
      </c>
      <c r="M57" s="8" t="n">
        <v>41.4</v>
      </c>
    </row>
    <row r="58">
      <c r="A58" s="3" t="inlineStr">
        <is>
          <t>2023-06</t>
        </is>
      </c>
      <c r="B58" s="8" t="n">
        <v>395.6</v>
      </c>
      <c r="C58" s="10" t="n">
        <v>0.02779942842296723</v>
      </c>
      <c r="D58" s="8" t="n">
        <v>35.1</v>
      </c>
      <c r="E58" s="8" t="n">
        <v>13.8</v>
      </c>
      <c r="F58" s="8" t="n">
        <v>23.1</v>
      </c>
      <c r="G58" s="8" t="n">
        <v>76</v>
      </c>
      <c r="H58" s="8" t="n">
        <v>61.2</v>
      </c>
      <c r="I58" s="8" t="n">
        <v>58.4</v>
      </c>
      <c r="J58" s="8" t="n">
        <v>30.9</v>
      </c>
      <c r="K58" s="8" t="n">
        <v>50</v>
      </c>
      <c r="L58" s="8" t="n">
        <v>4.9</v>
      </c>
      <c r="M58" s="8" t="n">
        <v>42.2</v>
      </c>
    </row>
    <row r="59">
      <c r="A59" s="3" t="inlineStr">
        <is>
          <t>2023-07</t>
        </is>
      </c>
      <c r="B59" s="8" t="n">
        <v>392.5</v>
      </c>
      <c r="C59" s="10" t="n">
        <v>0.01473629782833497</v>
      </c>
      <c r="D59" s="8" t="n">
        <v>35.1</v>
      </c>
      <c r="E59" s="8" t="n">
        <v>13.6</v>
      </c>
      <c r="F59" s="8" t="n">
        <v>22.9</v>
      </c>
      <c r="G59" s="8" t="n">
        <v>75.09999999999999</v>
      </c>
      <c r="H59" s="8" t="n">
        <v>61</v>
      </c>
      <c r="I59" s="8" t="n">
        <v>60</v>
      </c>
      <c r="J59" s="8" t="n">
        <v>30.8</v>
      </c>
      <c r="K59" s="8" t="n">
        <v>47</v>
      </c>
      <c r="L59" s="8" t="n">
        <v>4.8</v>
      </c>
      <c r="M59" s="8" t="n">
        <v>42.2</v>
      </c>
    </row>
    <row r="60">
      <c r="A60" s="3" t="inlineStr">
        <is>
          <t>2023-08</t>
        </is>
      </c>
      <c r="B60" s="8" t="n">
        <v>395.4</v>
      </c>
      <c r="C60" s="10" t="n">
        <v>0.0188095851584642</v>
      </c>
      <c r="D60" s="8" t="n">
        <v>35.3</v>
      </c>
      <c r="E60" s="8" t="n">
        <v>13.7</v>
      </c>
      <c r="F60" s="8" t="n">
        <v>23</v>
      </c>
      <c r="G60" s="8" t="n">
        <v>76</v>
      </c>
      <c r="H60" s="8" t="n">
        <v>61</v>
      </c>
      <c r="I60" s="8" t="n">
        <v>59.5</v>
      </c>
      <c r="J60" s="8" t="n">
        <v>30.8</v>
      </c>
      <c r="K60" s="8" t="n">
        <v>49</v>
      </c>
      <c r="L60" s="8" t="n">
        <v>4.8</v>
      </c>
      <c r="M60" s="8" t="n">
        <v>42.3</v>
      </c>
    </row>
    <row r="61">
      <c r="A61" s="3" t="inlineStr">
        <is>
          <t>2023-09</t>
        </is>
      </c>
      <c r="B61" s="8" t="n">
        <v>395</v>
      </c>
      <c r="C61" s="10" t="n">
        <v>0.01909184726522173</v>
      </c>
      <c r="D61" s="8" t="n">
        <v>35.4</v>
      </c>
      <c r="E61" s="8" t="n">
        <v>13.5</v>
      </c>
      <c r="F61" s="8" t="n">
        <v>22.8</v>
      </c>
      <c r="G61" s="8" t="n">
        <v>76.2</v>
      </c>
      <c r="H61" s="8" t="n">
        <v>60.2</v>
      </c>
      <c r="I61" s="8" t="n">
        <v>58.3</v>
      </c>
      <c r="J61" s="8" t="n">
        <v>30.8</v>
      </c>
      <c r="K61" s="8" t="n">
        <v>51.5</v>
      </c>
      <c r="L61" s="8" t="n">
        <v>4.8</v>
      </c>
      <c r="M61" s="8" t="n">
        <v>41.5</v>
      </c>
    </row>
    <row r="62">
      <c r="A62" s="3" t="inlineStr">
        <is>
          <t>2023-10</t>
        </is>
      </c>
      <c r="B62" s="8" t="n">
        <v>401.7</v>
      </c>
      <c r="C62" s="10" t="n">
        <v>0.03000000000000003</v>
      </c>
      <c r="D62" s="8" t="n">
        <v>36.1</v>
      </c>
      <c r="E62" s="8" t="n">
        <v>13.8</v>
      </c>
      <c r="F62" s="8" t="n">
        <v>23.1</v>
      </c>
      <c r="G62" s="8" t="n">
        <v>77.3</v>
      </c>
      <c r="H62" s="8" t="n">
        <v>61.3</v>
      </c>
      <c r="I62" s="8" t="n">
        <v>61.3</v>
      </c>
      <c r="J62" s="8" t="n">
        <v>31</v>
      </c>
      <c r="K62" s="8" t="n">
        <v>52.4</v>
      </c>
      <c r="L62" s="8" t="n">
        <v>4.8</v>
      </c>
      <c r="M62" s="8" t="n">
        <v>40.6</v>
      </c>
    </row>
    <row r="63">
      <c r="A63" s="3" t="inlineStr">
        <is>
          <t>2023-11</t>
        </is>
      </c>
      <c r="B63" s="8" t="n">
        <v>404</v>
      </c>
      <c r="C63" s="10" t="n">
        <v>0.03113833588565584</v>
      </c>
      <c r="D63" s="8" t="n">
        <v>36.2</v>
      </c>
      <c r="E63" s="8" t="n">
        <v>13.9</v>
      </c>
      <c r="F63" s="8" t="n">
        <v>23</v>
      </c>
      <c r="G63" s="8" t="n">
        <v>79.2</v>
      </c>
      <c r="H63" s="8" t="n">
        <v>61.3</v>
      </c>
      <c r="I63" s="8" t="n">
        <v>61.2</v>
      </c>
      <c r="J63" s="8" t="n">
        <v>31.1</v>
      </c>
      <c r="K63" s="8" t="n">
        <v>52.5</v>
      </c>
      <c r="L63" s="8" t="n">
        <v>4.9</v>
      </c>
      <c r="M63" s="8" t="n">
        <v>40.7</v>
      </c>
    </row>
    <row r="64">
      <c r="A64" s="3" t="inlineStr">
        <is>
          <t>2023-12</t>
        </is>
      </c>
      <c r="B64" s="8" t="n">
        <v>403.9</v>
      </c>
      <c r="C64" s="10" t="n">
        <v>0.03617239610056422</v>
      </c>
      <c r="D64" s="8" t="n">
        <v>35.9</v>
      </c>
      <c r="E64" s="8" t="n">
        <v>13.9</v>
      </c>
      <c r="F64" s="8" t="n">
        <v>23.2</v>
      </c>
      <c r="G64" s="8" t="n">
        <v>79.8</v>
      </c>
      <c r="H64" s="8" t="n">
        <v>60.6</v>
      </c>
      <c r="I64" s="8" t="n">
        <v>61.4</v>
      </c>
      <c r="J64" s="8" t="n">
        <v>31</v>
      </c>
      <c r="K64" s="8" t="n">
        <v>52.6</v>
      </c>
      <c r="L64" s="8" t="n">
        <v>4.8</v>
      </c>
      <c r="M64" s="8" t="n">
        <v>40.7</v>
      </c>
    </row>
    <row r="65">
      <c r="A65" s="3" t="inlineStr">
        <is>
          <t>2024-01</t>
        </is>
      </c>
      <c r="B65" s="8" t="n">
        <v>392.1</v>
      </c>
      <c r="C65" s="10" t="n">
        <v>0.02242503259452411</v>
      </c>
      <c r="D65" s="8" t="n">
        <v>33.7</v>
      </c>
      <c r="E65" s="8" t="n">
        <v>13.5</v>
      </c>
      <c r="F65" s="8" t="n">
        <v>22.4</v>
      </c>
      <c r="G65" s="8" t="n">
        <v>76.7</v>
      </c>
      <c r="H65" s="8" t="n">
        <v>58.5</v>
      </c>
      <c r="I65" s="8" t="n">
        <v>61.2</v>
      </c>
      <c r="J65" s="8" t="n">
        <v>30.6</v>
      </c>
      <c r="K65" s="8" t="n">
        <v>51.6</v>
      </c>
      <c r="L65" s="8" t="n">
        <v>4.8</v>
      </c>
      <c r="M65" s="8" t="n">
        <v>39.1</v>
      </c>
    </row>
    <row r="66">
      <c r="A66" s="3" t="inlineStr">
        <is>
          <t>2024-02</t>
        </is>
      </c>
      <c r="B66" s="8" t="n">
        <v>394.8</v>
      </c>
      <c r="C66" s="10" t="n">
        <v>0.02147477360931438</v>
      </c>
      <c r="D66" s="8" t="n">
        <v>34.2</v>
      </c>
      <c r="E66" s="8" t="n">
        <v>13.7</v>
      </c>
      <c r="F66" s="8" t="n">
        <v>22.5</v>
      </c>
      <c r="G66" s="8" t="n">
        <v>76.5</v>
      </c>
      <c r="H66" s="8" t="n">
        <v>59.2</v>
      </c>
      <c r="I66" s="8" t="n">
        <v>61.2</v>
      </c>
      <c r="J66" s="8" t="n">
        <v>30.5</v>
      </c>
      <c r="K66" s="8" t="n">
        <v>53</v>
      </c>
      <c r="L66" s="8" t="n">
        <v>4.8</v>
      </c>
      <c r="M66" s="8" t="n">
        <v>39.2</v>
      </c>
    </row>
    <row r="67">
      <c r="A67" s="3" t="inlineStr">
        <is>
          <t>2024-03</t>
        </is>
      </c>
      <c r="B67" s="8" t="n">
        <v>397.4</v>
      </c>
      <c r="C67" s="10" t="n">
        <v>0.0271387955544069</v>
      </c>
      <c r="D67" s="8" t="n">
        <v>34.8</v>
      </c>
      <c r="E67" s="8" t="n">
        <v>13.7</v>
      </c>
      <c r="F67" s="8" t="n">
        <v>22.6</v>
      </c>
      <c r="G67" s="8" t="n">
        <v>77.2</v>
      </c>
      <c r="H67" s="8" t="n">
        <v>60.2</v>
      </c>
      <c r="I67" s="8" t="n">
        <v>59.9</v>
      </c>
      <c r="J67" s="8" t="n">
        <v>30.8</v>
      </c>
      <c r="K67" s="8" t="n">
        <v>53.4</v>
      </c>
      <c r="L67" s="8" t="n">
        <v>4.8</v>
      </c>
      <c r="M67" s="8" t="n">
        <v>40</v>
      </c>
    </row>
    <row r="68">
      <c r="A68" s="3" t="inlineStr">
        <is>
          <t>2024-04</t>
        </is>
      </c>
      <c r="B68" s="8" t="n">
        <v>403.1</v>
      </c>
      <c r="C68" s="10" t="n">
        <v>0.0259608042758972</v>
      </c>
      <c r="D68" s="8" t="n">
        <v>35.4</v>
      </c>
      <c r="E68" s="8" t="n">
        <v>13.8</v>
      </c>
      <c r="F68" s="8" t="n">
        <v>22.6</v>
      </c>
      <c r="G68" s="8" t="n">
        <v>76.90000000000001</v>
      </c>
      <c r="H68" s="8" t="n">
        <v>61.3</v>
      </c>
      <c r="I68" s="8" t="n">
        <v>63.4</v>
      </c>
      <c r="J68" s="8" t="n">
        <v>30.6</v>
      </c>
      <c r="K68" s="8" t="n">
        <v>53.3</v>
      </c>
      <c r="L68" s="8" t="n">
        <v>4.9</v>
      </c>
      <c r="M68" s="8" t="n">
        <v>40.9</v>
      </c>
    </row>
    <row r="69">
      <c r="A69" s="3" t="inlineStr">
        <is>
          <t>2024-05</t>
        </is>
      </c>
      <c r="B69" s="8" t="n">
        <v>404.5</v>
      </c>
      <c r="C69" s="10" t="n">
        <v>0.02795425667090212</v>
      </c>
      <c r="D69" s="8" t="n">
        <v>36</v>
      </c>
      <c r="E69" s="8" t="n">
        <v>13.9</v>
      </c>
      <c r="F69" s="8" t="n">
        <v>22.7</v>
      </c>
      <c r="G69" s="8" t="n">
        <v>77.7</v>
      </c>
      <c r="H69" s="8" t="n">
        <v>61.4</v>
      </c>
      <c r="I69" s="8" t="n">
        <v>62.7</v>
      </c>
      <c r="J69" s="8" t="n">
        <v>30.6</v>
      </c>
      <c r="K69" s="8" t="n">
        <v>52.9</v>
      </c>
      <c r="L69" s="8" t="n">
        <v>4.9</v>
      </c>
      <c r="M69" s="8" t="n">
        <v>41.7</v>
      </c>
    </row>
    <row r="70">
      <c r="A70" s="3" t="inlineStr">
        <is>
          <t>2024-06</t>
        </is>
      </c>
      <c r="B70" s="8" t="n">
        <v>406.3</v>
      </c>
      <c r="C70" s="10" t="n">
        <v>0.02704752275025268</v>
      </c>
      <c r="D70" s="8" t="n">
        <v>36.9</v>
      </c>
      <c r="E70" s="8" t="n">
        <v>14.3</v>
      </c>
      <c r="F70" s="8" t="n">
        <v>22.7</v>
      </c>
      <c r="G70" s="8" t="n">
        <v>78</v>
      </c>
      <c r="H70" s="8" t="n">
        <v>61.9</v>
      </c>
      <c r="I70" s="8" t="n">
        <v>61.9</v>
      </c>
      <c r="J70" s="8" t="n">
        <v>31</v>
      </c>
      <c r="K70" s="8" t="n">
        <v>52.4</v>
      </c>
      <c r="L70" s="8" t="n">
        <v>4.8</v>
      </c>
      <c r="M70" s="8" t="n">
        <v>42.4</v>
      </c>
    </row>
    <row r="71">
      <c r="A71" s="3" t="inlineStr">
        <is>
          <t>2024-07</t>
        </is>
      </c>
      <c r="B71" s="8" t="n">
        <v>405.7</v>
      </c>
      <c r="C71" s="10" t="n">
        <v>0.03363057324840768</v>
      </c>
      <c r="D71" s="8" t="n">
        <v>37</v>
      </c>
      <c r="E71" s="8" t="n">
        <v>14.4</v>
      </c>
      <c r="F71" s="8" t="n">
        <v>22.9</v>
      </c>
      <c r="G71" s="8" t="n">
        <v>78.5</v>
      </c>
      <c r="H71" s="8" t="n">
        <v>62</v>
      </c>
      <c r="I71" s="8" t="n">
        <v>63.6</v>
      </c>
      <c r="J71" s="8" t="n">
        <v>31.2</v>
      </c>
      <c r="K71" s="8" t="n">
        <v>49.1</v>
      </c>
      <c r="L71" s="8" t="n">
        <v>4.7</v>
      </c>
      <c r="M71" s="8" t="n">
        <v>42.3</v>
      </c>
    </row>
    <row r="72">
      <c r="A72" s="3" t="inlineStr">
        <is>
          <t>2024-08</t>
        </is>
      </c>
      <c r="B72" s="8" t="n">
        <v>408.2</v>
      </c>
      <c r="C72" s="10" t="n">
        <v>0.03237228123419333</v>
      </c>
      <c r="D72" s="8" t="n">
        <v>37.6</v>
      </c>
      <c r="E72" s="8" t="n">
        <v>14.3</v>
      </c>
      <c r="F72" s="8" t="n">
        <v>23</v>
      </c>
      <c r="G72" s="8" t="n">
        <v>78.2</v>
      </c>
      <c r="H72" s="8" t="n">
        <v>61.6</v>
      </c>
      <c r="I72" s="8" t="n">
        <v>63.5</v>
      </c>
      <c r="J72" s="8" t="n">
        <v>31.2</v>
      </c>
      <c r="K72" s="8" t="n">
        <v>51.7</v>
      </c>
      <c r="L72" s="8" t="n">
        <v>4.7</v>
      </c>
      <c r="M72" s="8" t="n">
        <v>42.4</v>
      </c>
    </row>
    <row r="73">
      <c r="A73" s="3" t="inlineStr">
        <is>
          <t>2024-09</t>
        </is>
      </c>
      <c r="B73" s="8" t="n">
        <v>406.3</v>
      </c>
      <c r="C73" s="10" t="n">
        <v>0.02860759493670884</v>
      </c>
      <c r="D73" s="8" t="n">
        <v>37.4</v>
      </c>
      <c r="E73" s="8" t="n">
        <v>14.2</v>
      </c>
      <c r="F73" s="8" t="n">
        <v>22.9</v>
      </c>
      <c r="G73" s="8" t="n">
        <v>78.2</v>
      </c>
      <c r="H73" s="8" t="n">
        <v>61.4</v>
      </c>
      <c r="I73" s="8" t="n">
        <v>61.9</v>
      </c>
      <c r="J73" s="8" t="n">
        <v>31.3</v>
      </c>
      <c r="K73" s="8" t="n">
        <v>53</v>
      </c>
      <c r="L73" s="8" t="n">
        <v>4.7</v>
      </c>
      <c r="M73" s="8" t="n">
        <v>41.3</v>
      </c>
    </row>
    <row r="74">
      <c r="A74" s="3" t="inlineStr">
        <is>
          <t>2024-10</t>
        </is>
      </c>
      <c r="B74" s="8" t="n">
        <v>411.3</v>
      </c>
      <c r="C74" s="10" t="n">
        <v>0.02389843166542205</v>
      </c>
      <c r="D74" s="8" t="n">
        <v>37.3</v>
      </c>
      <c r="E74" s="8" t="n">
        <v>14.2</v>
      </c>
      <c r="F74" s="8" t="n">
        <v>23.1</v>
      </c>
      <c r="G74" s="8" t="n">
        <v>78.7</v>
      </c>
      <c r="H74" s="8" t="n">
        <v>61.6</v>
      </c>
      <c r="I74" s="8" t="n">
        <v>65.2</v>
      </c>
      <c r="J74" s="8" t="n">
        <v>31.7</v>
      </c>
      <c r="K74" s="8" t="n">
        <v>53.7</v>
      </c>
      <c r="L74" s="8" t="n">
        <v>4.7</v>
      </c>
      <c r="M74" s="8" t="n">
        <v>41.1</v>
      </c>
    </row>
    <row r="75">
      <c r="A75" s="3" t="inlineStr">
        <is>
          <t>2024-11</t>
        </is>
      </c>
      <c r="B75" s="8" t="n">
        <v>410.9</v>
      </c>
      <c r="C75" s="10" t="n">
        <v>0.01707920792079198</v>
      </c>
      <c r="D75" s="8" t="n">
        <v>37.3</v>
      </c>
      <c r="E75" s="8" t="n">
        <v>14.1</v>
      </c>
      <c r="F75" s="8" t="n">
        <v>23.2</v>
      </c>
      <c r="G75" s="8" t="n">
        <v>80.59999999999999</v>
      </c>
      <c r="H75" s="8" t="n">
        <v>61.3</v>
      </c>
      <c r="I75" s="8" t="n">
        <v>64.2</v>
      </c>
      <c r="J75" s="8" t="n">
        <v>31.8</v>
      </c>
      <c r="K75" s="8" t="n">
        <v>53.4</v>
      </c>
      <c r="L75" s="8" t="n">
        <v>4.7</v>
      </c>
      <c r="M75" s="8" t="n">
        <v>40.3</v>
      </c>
    </row>
    <row r="76">
      <c r="A76" s="3" t="inlineStr">
        <is>
          <t>2024-12</t>
        </is>
      </c>
      <c r="B76" s="8" t="n">
        <v>408.8</v>
      </c>
      <c r="C76" s="10" t="n">
        <v>0.01213171577123062</v>
      </c>
      <c r="D76" s="8" t="n">
        <v>36.7</v>
      </c>
      <c r="E76" s="8" t="n">
        <v>14.1</v>
      </c>
      <c r="F76" s="8" t="n">
        <v>23.2</v>
      </c>
      <c r="G76" s="8" t="n">
        <v>81.09999999999999</v>
      </c>
      <c r="H76" s="8" t="n">
        <v>60.2</v>
      </c>
      <c r="I76" s="8" t="n">
        <v>64.09999999999999</v>
      </c>
      <c r="J76" s="8" t="n">
        <v>31.5</v>
      </c>
      <c r="K76" s="8" t="n">
        <v>53.1</v>
      </c>
      <c r="L76" s="8" t="n">
        <v>4.7</v>
      </c>
      <c r="M76" s="8" t="n">
        <v>40.1</v>
      </c>
    </row>
    <row r="77">
      <c r="A77" s="3" t="inlineStr">
        <is>
          <t>2025-01</t>
        </is>
      </c>
      <c r="B77" s="8" t="n">
        <v>403.5</v>
      </c>
      <c r="C77" s="10" t="n">
        <v>0.02907421576128533</v>
      </c>
      <c r="D77" s="8" t="n">
        <v>36.5</v>
      </c>
      <c r="E77" s="8" t="n">
        <v>13.9</v>
      </c>
      <c r="F77" s="8" t="n">
        <v>22.8</v>
      </c>
      <c r="G77" s="8" t="n">
        <v>78.90000000000001</v>
      </c>
      <c r="H77" s="8" t="n">
        <v>57.9</v>
      </c>
      <c r="I77" s="8" t="n">
        <v>65.59999999999999</v>
      </c>
      <c r="J77" s="8" t="n">
        <v>30.5</v>
      </c>
      <c r="K77" s="8" t="n">
        <v>53.6</v>
      </c>
      <c r="L77" s="8" t="n">
        <v>4.5</v>
      </c>
      <c r="M77" s="8" t="n">
        <v>39.3</v>
      </c>
    </row>
    <row r="78">
      <c r="A78" s="3" t="inlineStr">
        <is>
          <t>2025-02</t>
        </is>
      </c>
      <c r="B78" s="8" t="n">
        <v>404.2</v>
      </c>
      <c r="C78" s="10" t="n">
        <v>0.02380952380952372</v>
      </c>
      <c r="D78" s="8" t="n">
        <v>36.6</v>
      </c>
      <c r="E78" s="8" t="n">
        <v>13.9</v>
      </c>
      <c r="F78" s="8" t="n">
        <v>22.9</v>
      </c>
      <c r="G78" s="8" t="n">
        <v>78.40000000000001</v>
      </c>
      <c r="H78" s="8" t="n">
        <v>58.5</v>
      </c>
      <c r="I78" s="8" t="n">
        <v>64.8</v>
      </c>
      <c r="J78" s="8" t="n">
        <v>30.8</v>
      </c>
      <c r="K78" s="8" t="n">
        <v>54.1</v>
      </c>
      <c r="L78" s="8" t="n">
        <v>4.5</v>
      </c>
      <c r="M78" s="8" t="n">
        <v>39.7</v>
      </c>
    </row>
    <row r="79">
      <c r="A79" s="3" t="inlineStr">
        <is>
          <t>2025-03</t>
        </is>
      </c>
      <c r="B79" s="8" t="n">
        <v>404.9</v>
      </c>
      <c r="C79" s="10" t="n">
        <v>0.01887267237040757</v>
      </c>
      <c r="D79" s="8" t="n">
        <v>37.3</v>
      </c>
      <c r="E79" s="8" t="n">
        <v>14</v>
      </c>
      <c r="F79" s="8" t="n">
        <v>22.8</v>
      </c>
      <c r="G79" s="8" t="n">
        <v>78.40000000000001</v>
      </c>
      <c r="H79" s="8" t="n">
        <v>59.3</v>
      </c>
      <c r="I79" s="8" t="n">
        <v>63.4</v>
      </c>
      <c r="J79" s="8" t="n">
        <v>30.8</v>
      </c>
      <c r="K79" s="8" t="n">
        <v>54.1</v>
      </c>
      <c r="L79" s="8" t="n">
        <v>4.5</v>
      </c>
      <c r="M79" s="8" t="n">
        <v>40.3</v>
      </c>
    </row>
    <row r="80">
      <c r="A80" s="3" t="inlineStr">
        <is>
          <t>2025-04</t>
        </is>
      </c>
      <c r="B80" s="8" t="n">
        <v>414.1</v>
      </c>
      <c r="C80" s="10" t="n">
        <v>0.027288514016373</v>
      </c>
      <c r="D80" s="8" t="n">
        <v>38.2</v>
      </c>
      <c r="E80" s="8" t="n">
        <v>14.1</v>
      </c>
      <c r="F80" s="8" t="n">
        <v>23</v>
      </c>
      <c r="G80" s="8" t="n">
        <v>78.5</v>
      </c>
      <c r="H80" s="8" t="n">
        <v>61.6</v>
      </c>
      <c r="I80" s="8" t="n">
        <v>67.40000000000001</v>
      </c>
      <c r="J80" s="8" t="n">
        <v>31.1</v>
      </c>
      <c r="K80" s="8" t="n">
        <v>54</v>
      </c>
      <c r="L80" s="8" t="n">
        <v>4.5</v>
      </c>
      <c r="M80" s="8" t="n">
        <v>41.7</v>
      </c>
    </row>
    <row r="81">
      <c r="A81" s="3" t="inlineStr">
        <is>
          <t>2025-05</t>
        </is>
      </c>
      <c r="B81" s="8" t="n">
        <v>414.9</v>
      </c>
      <c r="C81" s="10" t="n">
        <v>0.02571075401730516</v>
      </c>
      <c r="D81" s="8" t="n">
        <v>38.9</v>
      </c>
      <c r="E81" s="8" t="n">
        <v>14.1</v>
      </c>
      <c r="F81" s="8" t="n">
        <v>23.1</v>
      </c>
      <c r="G81" s="8" t="n">
        <v>78.40000000000001</v>
      </c>
      <c r="H81" s="8" t="n">
        <v>61.8</v>
      </c>
      <c r="I81" s="8" t="n">
        <v>66.5</v>
      </c>
      <c r="J81" s="8" t="n">
        <v>31.2</v>
      </c>
      <c r="K81" s="8" t="n">
        <v>54</v>
      </c>
      <c r="L81" s="8" t="n">
        <v>4.5</v>
      </c>
      <c r="M81" s="8" t="n">
        <v>42.4</v>
      </c>
    </row>
    <row r="82">
      <c r="A82" s="3" t="inlineStr">
        <is>
          <t>2025-06</t>
        </is>
      </c>
      <c r="B82" s="8" t="n">
        <v>415</v>
      </c>
      <c r="C82" s="10" t="n">
        <v>0.02141274920009839</v>
      </c>
      <c r="D82" s="8" t="n">
        <v>39.2</v>
      </c>
      <c r="E82" s="8" t="n">
        <v>14.3</v>
      </c>
      <c r="F82" s="8" t="n">
        <v>23.1</v>
      </c>
      <c r="G82" s="8" t="n">
        <v>78.59999999999999</v>
      </c>
      <c r="H82" s="8" t="n">
        <v>62</v>
      </c>
      <c r="I82" s="8" t="n">
        <v>65.90000000000001</v>
      </c>
      <c r="J82" s="8" t="n">
        <v>31.3</v>
      </c>
      <c r="K82" s="8" t="n">
        <v>53.4</v>
      </c>
      <c r="L82" s="8" t="n">
        <v>4.5</v>
      </c>
      <c r="M82" s="8" t="n">
        <v>42.7</v>
      </c>
    </row>
    <row r="83">
      <c r="A83" s="3" t="inlineStr">
        <is>
          <t>2025-07</t>
        </is>
      </c>
      <c r="B83" s="8" t="n">
        <v>415.8</v>
      </c>
      <c r="C83" s="10" t="n">
        <v>0.02489524279023914</v>
      </c>
      <c r="D83" s="8" t="n">
        <v>39.4</v>
      </c>
      <c r="E83" s="8" t="n">
        <v>14.5</v>
      </c>
      <c r="F83" s="8" t="n">
        <v>23.4</v>
      </c>
      <c r="G83" s="8" t="n">
        <v>79.2</v>
      </c>
      <c r="H83" s="8" t="n">
        <v>62.3</v>
      </c>
      <c r="I83" s="8" t="n">
        <v>67.5</v>
      </c>
      <c r="J83" s="8" t="n">
        <v>31</v>
      </c>
      <c r="K83" s="8" t="n">
        <v>50.8</v>
      </c>
      <c r="L83" s="8" t="n">
        <v>4.6</v>
      </c>
      <c r="M83" s="8" t="n">
        <v>43.1</v>
      </c>
    </row>
    <row r="84">
      <c r="A84" s="3" t="inlineStr">
        <is>
          <t>2025-08</t>
        </is>
      </c>
      <c r="B84" s="8" t="n">
        <v>417.2</v>
      </c>
      <c r="C84" s="10" t="n">
        <v>0.02204801567858894</v>
      </c>
      <c r="D84" s="8" t="n">
        <v>39.6</v>
      </c>
      <c r="E84" s="8" t="n">
        <v>14.4</v>
      </c>
      <c r="F84" s="8" t="n">
        <v>23.4</v>
      </c>
      <c r="G84" s="8" t="n">
        <v>79.5</v>
      </c>
      <c r="H84" s="8" t="n">
        <v>62.4</v>
      </c>
      <c r="I84" s="8" t="n">
        <v>66.7</v>
      </c>
      <c r="J84" s="8" t="n">
        <v>30.8</v>
      </c>
      <c r="K84" s="8" t="n">
        <v>52.6</v>
      </c>
      <c r="L84" s="8" t="n">
        <v>4.6</v>
      </c>
      <c r="M84" s="8" t="n">
        <v>43.2</v>
      </c>
    </row>
    <row r="85">
      <c r="A85" s="3" t="inlineStr">
        <is>
          <t>2025-09</t>
        </is>
      </c>
      <c r="B85" s="8" t="n">
        <v>414</v>
      </c>
      <c r="C85" s="10" t="n">
        <v>0.01895151365985726</v>
      </c>
      <c r="D85" s="8" t="n">
        <v>39.2</v>
      </c>
      <c r="E85" s="8" t="n">
        <v>14.2</v>
      </c>
      <c r="F85" s="8" t="n">
        <v>23.1</v>
      </c>
      <c r="G85" s="8" t="n">
        <v>79.09999999999999</v>
      </c>
      <c r="H85" s="8" t="n">
        <v>61.8</v>
      </c>
      <c r="I85" s="8" t="n">
        <v>65.09999999999999</v>
      </c>
      <c r="J85" s="8" t="n">
        <v>30.7</v>
      </c>
      <c r="K85" s="8" t="n">
        <v>54.3</v>
      </c>
      <c r="L85" s="8" t="n">
        <v>4.5</v>
      </c>
      <c r="M85" s="8" t="n">
        <v>42</v>
      </c>
    </row>
    <row r="86">
      <c r="A86" s="3" t="inlineStr">
        <is>
          <t>2025-10</t>
        </is>
      </c>
      <c r="B86" s="8" t="n">
        <v>414.4</v>
      </c>
      <c r="C86" s="10" t="n">
        <v>0.007537077558959382</v>
      </c>
      <c r="D86" s="8" t="n">
        <v>39.3</v>
      </c>
      <c r="E86" s="8" t="n">
        <v>14.6</v>
      </c>
      <c r="F86" s="8" t="n">
        <v>23.7</v>
      </c>
      <c r="G86" s="8" t="n">
        <v>78.8</v>
      </c>
      <c r="H86" s="8" t="n">
        <v>62.4</v>
      </c>
      <c r="I86" s="8" t="n">
        <v>65.8</v>
      </c>
      <c r="J86" s="8" t="n">
        <v>30.8</v>
      </c>
      <c r="K86" s="8" t="n">
        <v>54.1</v>
      </c>
      <c r="L86" s="8" t="n">
        <v>4.4</v>
      </c>
      <c r="M86" s="8" t="n">
        <v>40.5</v>
      </c>
    </row>
    <row r="87">
      <c r="A87" s="3" t="inlineStr">
        <is>
          <t>2025-11</t>
        </is>
      </c>
      <c r="B87" s="8" t="n">
        <v>414.3</v>
      </c>
      <c r="C87" s="10" t="n">
        <v>0.008274519347773346</v>
      </c>
      <c r="D87" s="8" t="n">
        <v>39.3</v>
      </c>
      <c r="E87" s="8" t="n">
        <v>14.5</v>
      </c>
      <c r="F87" s="8" t="n">
        <v>23.8</v>
      </c>
      <c r="G87" s="8" t="n">
        <v>79.7</v>
      </c>
      <c r="H87" s="8" t="n">
        <v>61.7</v>
      </c>
      <c r="I87" s="8" t="n">
        <v>65.7</v>
      </c>
      <c r="J87" s="8" t="n">
        <v>31</v>
      </c>
      <c r="K87" s="8" t="n">
        <v>54.1</v>
      </c>
      <c r="L87" s="8" t="n">
        <v>4.5</v>
      </c>
      <c r="M87" s="8" t="n">
        <v>40</v>
      </c>
    </row>
    <row r="88">
      <c r="A88" s="3" t="inlineStr">
        <is>
          <t>2025-12</t>
        </is>
      </c>
      <c r="B88" s="8" t="n">
        <v>413.5</v>
      </c>
      <c r="C88" s="10" t="n">
        <v>0.01149706457925626</v>
      </c>
      <c r="D88" s="8" t="n">
        <v>39</v>
      </c>
      <c r="E88" s="8" t="n">
        <v>14.5</v>
      </c>
      <c r="F88" s="8" t="n">
        <v>23.4</v>
      </c>
      <c r="G88" s="8" t="n">
        <v>80.09999999999999</v>
      </c>
      <c r="H88" s="8" t="n">
        <v>62.3</v>
      </c>
      <c r="I88" s="8" t="n">
        <v>66.2</v>
      </c>
      <c r="J88" s="8" t="n">
        <v>30.7</v>
      </c>
      <c r="K88" s="8" t="n">
        <v>53.3</v>
      </c>
      <c r="L88" s="8" t="n">
        <v>4.5</v>
      </c>
      <c r="M88" s="8" t="n">
        <v>39.5</v>
      </c>
    </row>
    <row r="89">
      <c r="A89" s="3" t="inlineStr">
        <is>
          <t>2026-01</t>
        </is>
      </c>
      <c r="B89" s="8" t="n">
        <v>405.1</v>
      </c>
      <c r="C89" s="10" t="n">
        <v>0.003965303593556513</v>
      </c>
      <c r="D89" s="8" t="n">
        <v>36.7</v>
      </c>
      <c r="E89" s="8" t="n">
        <v>14.4</v>
      </c>
      <c r="F89" s="8" t="n">
        <v>22.9</v>
      </c>
      <c r="G89" s="8" t="n">
        <v>78.09999999999999</v>
      </c>
      <c r="H89" s="8" t="n">
        <v>59.5</v>
      </c>
      <c r="I89" s="8" t="n">
        <v>66.09999999999999</v>
      </c>
      <c r="J89" s="8" t="n">
        <v>30.6</v>
      </c>
      <c r="K89" s="8" t="n">
        <v>54</v>
      </c>
      <c r="L89" s="8" t="n">
        <v>4.3</v>
      </c>
      <c r="M89" s="8" t="n">
        <v>38.5</v>
      </c>
    </row>
    <row r="90">
      <c r="A90" s="3" t="inlineStr">
        <is>
          <t>2026-02</t>
        </is>
      </c>
      <c r="B90" s="8" t="n">
        <v>405.1</v>
      </c>
      <c r="C90" s="10" t="n">
        <v>0.002226620484908626</v>
      </c>
      <c r="D90" s="8" t="n">
        <v>37.1</v>
      </c>
      <c r="E90" s="8" t="n">
        <v>14.2</v>
      </c>
      <c r="F90" s="8" t="n">
        <v>23</v>
      </c>
      <c r="G90" s="8" t="n">
        <v>78.09999999999999</v>
      </c>
      <c r="H90" s="8" t="n">
        <v>58.9</v>
      </c>
      <c r="I90" s="8" t="n">
        <v>66.09999999999999</v>
      </c>
      <c r="J90" s="8" t="n">
        <v>30.4</v>
      </c>
      <c r="K90" s="8" t="n">
        <v>54.5</v>
      </c>
      <c r="L90" s="8" t="n">
        <v>4.3</v>
      </c>
      <c r="M90" s="8" t="n">
        <v>38.5</v>
      </c>
    </row>
    <row r="91">
      <c r="A91" s="3" t="inlineStr">
        <is>
          <t>2026-03</t>
        </is>
      </c>
      <c r="B91" s="8" t="n">
        <v>408.6</v>
      </c>
      <c r="C91" s="10" t="n">
        <v>0.009138058779945668</v>
      </c>
      <c r="D91" s="8" t="n">
        <v>37.4</v>
      </c>
      <c r="E91" s="8" t="n">
        <v>14.3</v>
      </c>
      <c r="F91" s="8" t="n">
        <v>23.2</v>
      </c>
      <c r="G91" s="8" t="n">
        <v>78.7</v>
      </c>
      <c r="H91" s="8" t="n">
        <v>60.2</v>
      </c>
      <c r="I91" s="8" t="n">
        <v>66</v>
      </c>
      <c r="J91" s="8" t="n">
        <v>30.7</v>
      </c>
      <c r="K91" s="8" t="n">
        <v>54.8</v>
      </c>
      <c r="L91" s="8" t="n">
        <v>4.2</v>
      </c>
      <c r="M91" s="8" t="n">
        <v>39.1</v>
      </c>
    </row>
    <row r="92">
      <c r="A92" s="3" t="inlineStr">
        <is>
          <t>2026-04</t>
        </is>
      </c>
      <c r="B92" s="8" t="n">
        <v>412.7</v>
      </c>
      <c r="C92" s="10" t="n">
        <v>-0.003380825887466909</v>
      </c>
      <c r="D92" s="8" t="n">
        <v>38</v>
      </c>
      <c r="E92" s="8" t="n">
        <v>14.2</v>
      </c>
      <c r="F92" s="8" t="n">
        <v>23.6</v>
      </c>
      <c r="G92" s="8" t="n">
        <v>79.40000000000001</v>
      </c>
      <c r="H92" s="8" t="n">
        <v>61.8</v>
      </c>
      <c r="I92" s="8" t="n">
        <v>66.59999999999999</v>
      </c>
      <c r="J92" s="8" t="n">
        <v>30.9</v>
      </c>
      <c r="K92" s="8" t="n">
        <v>54.4</v>
      </c>
      <c r="L92" s="8" t="n">
        <v>4.3</v>
      </c>
      <c r="M92" s="8" t="n">
        <v>39.5</v>
      </c>
    </row>
    <row r="93">
      <c r="A93" s="3" t="inlineStr">
        <is>
          <t>2026-05</t>
        </is>
      </c>
      <c r="B93" s="8" t="n">
        <v>416.4</v>
      </c>
      <c r="C93" s="10" t="n">
        <v>0.003615328994938549</v>
      </c>
      <c r="D93" s="8" t="n">
        <v>39.9</v>
      </c>
      <c r="E93" s="8" t="n">
        <v>14.7</v>
      </c>
      <c r="F93" s="8" t="n">
        <v>23.4</v>
      </c>
      <c r="G93" s="8" t="n">
        <v>79.7</v>
      </c>
      <c r="H93" s="8" t="n">
        <v>62.5</v>
      </c>
      <c r="I93" s="8" t="n">
        <v>67.2</v>
      </c>
      <c r="J93" s="8" t="n">
        <v>31</v>
      </c>
      <c r="K93" s="8" t="n">
        <v>53.1</v>
      </c>
      <c r="L93" s="8" t="n">
        <v>4.3</v>
      </c>
      <c r="M93" s="8" t="n">
        <v>40.6</v>
      </c>
    </row>
    <row r="94">
      <c r="A94" s="3" t="inlineStr">
        <is>
          <t>2026-06</t>
        </is>
      </c>
      <c r="B94" s="8" t="n">
        <v>420.1</v>
      </c>
      <c r="C94" s="10" t="n">
        <v>0.01228915662650598</v>
      </c>
      <c r="D94" s="8" t="n">
        <v>41.1</v>
      </c>
      <c r="E94" s="8" t="n">
        <v>14.7</v>
      </c>
      <c r="F94" s="8" t="n">
        <v>23.7</v>
      </c>
      <c r="G94" s="8" t="n">
        <v>80.40000000000001</v>
      </c>
      <c r="H94" s="8" t="n">
        <v>63.1</v>
      </c>
      <c r="I94" s="8" t="n">
        <v>67.3</v>
      </c>
      <c r="J94" s="8" t="n">
        <v>31.4</v>
      </c>
      <c r="K94" s="8" t="n">
        <v>52.7</v>
      </c>
      <c r="L94" s="8" t="n">
        <v>4.3</v>
      </c>
      <c r="M94" s="8" t="n">
        <v>41.4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2" customWidth="1" min="5" max="5"/>
    <col width="16" customWidth="1" min="6" max="6"/>
    <col width="20" customWidth="1" min="7" max="7"/>
    <col width="17" customWidth="1" min="8" max="8"/>
  </cols>
  <sheetData>
    <row r="1">
      <c r="A1" s="1" t="inlineStr">
        <is>
          <t>The Measurement Artifact — QCEW hard counts vs the CES survey</t>
        </is>
      </c>
    </row>
    <row r="2">
      <c r="A2" s="2" t="inlineStr">
        <is>
          <t>QCEW = UI tax records (~97% of jobs; the benchmark truth). Pulled fresh from BLS QCEW open-data API 8/13/26; Q4 2025 = latest published (preliminary); Q1 2026 publishes ~Sept 2026. CES = survey (tab 2).</t>
        </is>
      </c>
    </row>
    <row r="4">
      <c r="A4" s="6" t="inlineStr">
        <is>
          <t>A. County total covered employment (avg monthly level; all ownerships)</t>
        </is>
      </c>
    </row>
    <row r="5">
      <c r="A5" s="7" t="inlineStr">
        <is>
          <t>Quarter</t>
        </is>
      </c>
      <c r="B5" s="7" t="inlineStr">
        <is>
          <t>Ada level</t>
        </is>
      </c>
      <c r="C5" s="7" t="inlineStr">
        <is>
          <t>Ada YoY %</t>
        </is>
      </c>
      <c r="D5" s="7" t="inlineStr">
        <is>
          <t>Canyon level</t>
        </is>
      </c>
      <c r="E5" s="7" t="inlineStr">
        <is>
          <t>Canyon YoY %</t>
        </is>
      </c>
      <c r="F5" s="7" t="inlineStr">
        <is>
          <t>Ada+Canyon YoY %</t>
        </is>
      </c>
      <c r="G5" s="7" t="inlineStr">
        <is>
          <t>CES T3M YoY (match qtr)</t>
        </is>
      </c>
      <c r="H5" s="7" t="inlineStr">
        <is>
          <t>Gap CES−QCEW (pp)</t>
        </is>
      </c>
    </row>
    <row r="6">
      <c r="A6" s="3" t="inlineStr">
        <is>
          <t>2023 Q4</t>
        </is>
      </c>
      <c r="B6" s="15" t="n">
        <v>286020</v>
      </c>
      <c r="D6" s="15" t="n">
        <v>88891</v>
      </c>
    </row>
    <row r="7">
      <c r="A7" s="3" t="inlineStr">
        <is>
          <t>2024 Q1</t>
        </is>
      </c>
      <c r="B7" s="15" t="n">
        <v>281288</v>
      </c>
      <c r="D7" s="15" t="n">
        <v>85997</v>
      </c>
    </row>
    <row r="8">
      <c r="A8" s="3" t="inlineStr">
        <is>
          <t>2024 Q2</t>
        </is>
      </c>
      <c r="B8" s="15" t="n">
        <v>289093</v>
      </c>
      <c r="D8" s="15" t="n">
        <v>88764</v>
      </c>
    </row>
    <row r="9">
      <c r="A9" s="3" t="inlineStr">
        <is>
          <t>2024 Q3</t>
        </is>
      </c>
      <c r="B9" s="15" t="n">
        <v>290806</v>
      </c>
      <c r="D9" s="15" t="n">
        <v>89677</v>
      </c>
    </row>
    <row r="10">
      <c r="A10" s="3" t="inlineStr">
        <is>
          <t>2024 Q4</t>
        </is>
      </c>
      <c r="B10" s="15" t="n">
        <v>290853</v>
      </c>
      <c r="C10" s="10" t="n">
        <v>0.01689740006829354</v>
      </c>
      <c r="D10" s="15" t="n">
        <v>90300</v>
      </c>
      <c r="E10" s="10" t="n">
        <v>0.01584706420573445</v>
      </c>
      <c r="F10" s="10" t="n">
        <v>0.01664836605956066</v>
      </c>
      <c r="G10" s="10" t="n">
        <v>0.01769179894179884</v>
      </c>
      <c r="H10" s="14" t="n">
        <v>0.1043432882238182</v>
      </c>
    </row>
    <row r="11">
      <c r="A11" s="3" t="inlineStr">
        <is>
          <t>2025 Q1</t>
        </is>
      </c>
      <c r="B11" s="15" t="n">
        <v>287697</v>
      </c>
      <c r="C11" s="10" t="n">
        <v>0.02278208007204952</v>
      </c>
      <c r="D11" s="15" t="n">
        <v>87355</v>
      </c>
      <c r="E11" s="10" t="n">
        <v>0.01578737242772044</v>
      </c>
      <c r="F11" s="10" t="n">
        <v>0.02114432375918462</v>
      </c>
      <c r="G11" s="10" t="n">
        <v>0.02389597230431462</v>
      </c>
      <c r="H11" s="14" t="n">
        <v>0.2751648545129992</v>
      </c>
    </row>
    <row r="12">
      <c r="A12" s="3" t="inlineStr">
        <is>
          <t>2025 Q2</t>
        </is>
      </c>
      <c r="B12" s="15" t="n">
        <v>296785</v>
      </c>
      <c r="C12" s="10" t="n">
        <v>0.0266061710174339</v>
      </c>
      <c r="D12" s="15" t="n">
        <v>90328</v>
      </c>
      <c r="E12" s="10" t="n">
        <v>0.01761982192413569</v>
      </c>
      <c r="F12" s="10" t="n">
        <v>0.02449515733906393</v>
      </c>
      <c r="G12" s="10" t="n">
        <v>0.02479611170607132</v>
      </c>
      <c r="H12" s="14" t="n">
        <v>0.03009543670073889</v>
      </c>
    </row>
    <row r="13">
      <c r="A13" s="3" t="inlineStr">
        <is>
          <t>2025 Q3</t>
        </is>
      </c>
      <c r="B13" s="15" t="n">
        <v>297014</v>
      </c>
      <c r="C13" s="10" t="n">
        <v>0.02134988199450483</v>
      </c>
      <c r="D13" s="15" t="n">
        <v>91280</v>
      </c>
      <c r="E13" s="10" t="n">
        <v>0.01787904694643716</v>
      </c>
      <c r="F13" s="10" t="n">
        <v>0.0205318337163265</v>
      </c>
      <c r="G13" s="10" t="n">
        <v>0.02196361252253731</v>
      </c>
      <c r="H13" s="14" t="n">
        <v>0.1431778806210815</v>
      </c>
    </row>
    <row r="14">
      <c r="A14" s="6" t="inlineStr">
        <is>
          <t>2025 Q4</t>
        </is>
      </c>
      <c r="B14" s="16" t="n">
        <v>298159</v>
      </c>
      <c r="C14" s="13" t="n">
        <v>0.02511918951132297</v>
      </c>
      <c r="D14" s="16" t="n">
        <v>92190</v>
      </c>
      <c r="E14" s="13" t="n">
        <v>0.02092654115909931</v>
      </c>
      <c r="F14" s="13" t="n">
        <v>0.02412589858849468</v>
      </c>
      <c r="G14" s="13" t="n">
        <v>0.009098294069861845</v>
      </c>
      <c r="H14" s="17" t="n">
        <v>-1.502760451863283</v>
      </c>
    </row>
    <row r="15">
      <c r="A15" s="2" t="inlineStr">
        <is>
          <t>Read: survey and tax records agree through Q3-25, then split by ~1.4pp in the shutdown quarter. Boise re-benchmarks to QCEW early 2027 — expected upward CES revision.</t>
        </is>
      </c>
    </row>
    <row r="17">
      <c r="A17" s="6" t="inlineStr">
        <is>
          <t>B. Ada County by sector — QCEW Q4 2025 vs Q4 2024 (private ownership)</t>
        </is>
      </c>
    </row>
    <row r="18">
      <c r="A18" s="7" t="inlineStr">
        <is>
          <t>Sector (NAICS)</t>
        </is>
      </c>
      <c r="B18" s="7" t="inlineStr">
        <is>
          <t>Q4 2025 avg</t>
        </is>
      </c>
      <c r="C18" s="7" t="inlineStr">
        <is>
          <t>Q4 2024 avg</t>
        </is>
      </c>
      <c r="D18" s="7" t="inlineStr">
        <is>
          <t>YoY jobs</t>
        </is>
      </c>
      <c r="E18" s="7" t="inlineStr">
        <is>
          <t>YoY %</t>
        </is>
      </c>
    </row>
    <row r="19">
      <c r="A19" s="3" t="inlineStr">
        <is>
          <t>Health care &amp; social asst</t>
        </is>
      </c>
      <c r="B19" s="15" t="n">
        <v>47832</v>
      </c>
      <c r="C19" s="15" t="n">
        <v>44646</v>
      </c>
      <c r="D19" s="9" t="n">
        <v>3186</v>
      </c>
      <c r="E19" s="10" t="n">
        <v>0.07136884230016882</v>
      </c>
    </row>
    <row r="20">
      <c r="A20" s="3" t="inlineStr">
        <is>
          <t>Construction</t>
        </is>
      </c>
      <c r="B20" s="15" t="n">
        <v>24086</v>
      </c>
      <c r="C20" s="15" t="n">
        <v>22585</v>
      </c>
      <c r="D20" s="9" t="n">
        <v>1502</v>
      </c>
      <c r="E20" s="10" t="n">
        <v>0.06649053930395232</v>
      </c>
    </row>
    <row r="21">
      <c r="A21" s="3" t="inlineStr">
        <is>
          <t>Accommodation &amp; food svcs</t>
        </is>
      </c>
      <c r="B21" s="15" t="n">
        <v>25862</v>
      </c>
      <c r="C21" s="15" t="n">
        <v>25348</v>
      </c>
      <c r="D21" s="9" t="n">
        <v>514</v>
      </c>
      <c r="E21" s="10" t="n">
        <v>0.02027746728910507</v>
      </c>
    </row>
    <row r="22">
      <c r="A22" s="3" t="inlineStr">
        <is>
          <t>Arts/entertainment/rec</t>
        </is>
      </c>
      <c r="B22" s="15" t="n">
        <v>6032</v>
      </c>
      <c r="C22" s="15" t="n">
        <v>5977</v>
      </c>
      <c r="D22" s="9" t="n">
        <v>55</v>
      </c>
      <c r="E22" s="10" t="n">
        <v>0.009202453987730008</v>
      </c>
    </row>
    <row r="23">
      <c r="A23" s="3" t="inlineStr">
        <is>
          <t>Retail trade</t>
        </is>
      </c>
      <c r="B23" s="15" t="n">
        <v>29592</v>
      </c>
      <c r="C23" s="15" t="n">
        <v>29589</v>
      </c>
      <c r="D23" s="9" t="n">
        <v>3</v>
      </c>
      <c r="E23" s="10" t="n">
        <v>0.000112655746569601</v>
      </c>
    </row>
    <row r="24">
      <c r="A24" s="3" t="inlineStr">
        <is>
          <t>Manufacturing</t>
        </is>
      </c>
      <c r="B24" s="15" t="n">
        <v>18380</v>
      </c>
      <c r="C24" s="15" t="n">
        <v>18637</v>
      </c>
      <c r="D24" s="9" t="n">
        <v>-257</v>
      </c>
      <c r="E24" s="10" t="n">
        <v>-0.0138074116468736</v>
      </c>
    </row>
    <row r="25">
      <c r="A25" s="3" t="inlineStr">
        <is>
          <t>Prof/sci/tech svcs</t>
        </is>
      </c>
      <c r="B25" s="15" t="n">
        <v>20702</v>
      </c>
      <c r="C25" s="15" t="n">
        <v>21027</v>
      </c>
      <c r="D25" s="9" t="n">
        <v>-325</v>
      </c>
      <c r="E25" s="10" t="n">
        <v>-0.01544071020925819</v>
      </c>
    </row>
    <row r="26">
      <c r="A26" s="3" t="inlineStr">
        <is>
          <t>Finance &amp; insurance</t>
        </is>
      </c>
      <c r="B26" s="15" t="n">
        <v>12558</v>
      </c>
      <c r="C26" s="15" t="n">
        <v>12792</v>
      </c>
      <c r="D26" s="9" t="n">
        <v>-234</v>
      </c>
      <c r="E26" s="10" t="n">
        <v>-0.01831826354326815</v>
      </c>
    </row>
    <row r="27">
      <c r="A27" s="3" t="inlineStr">
        <is>
          <t>Educational services</t>
        </is>
      </c>
      <c r="B27" s="15" t="n">
        <v>3690</v>
      </c>
      <c r="C27" s="15" t="n">
        <v>3776</v>
      </c>
      <c r="D27" s="9" t="n">
        <v>-86</v>
      </c>
      <c r="E27" s="10" t="n">
        <v>-0.02286370056497178</v>
      </c>
    </row>
    <row r="28">
      <c r="A28" s="2" t="inlineStr">
        <is>
          <t>Read: hard counts show healthcare/construction/hospitality GROWING (CES shows them collapsing) and the true softness in finance/prof-services/manufacturing.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CES vs QCEW Across 10 Metros — the birth-death fingerprint</t>
        </is>
      </c>
    </row>
    <row r="2">
      <c r="A2" s="2" t="inlineStr">
        <is>
          <t>Same test as tab 3 for peer metros. QCEW = MSA totals from BLS API; CES = BLS metro flat file (both pulled 8/13/26). Gap = CES − QCEW, matching windows. Detail: appendix J.</t>
        </is>
      </c>
    </row>
    <row r="4">
      <c r="A4" s="7" t="inlineStr">
        <is>
          <t>Metro</t>
        </is>
      </c>
      <c r="B4" s="7" t="inlineStr">
        <is>
          <t>CES T3M Sep-25</t>
        </is>
      </c>
      <c r="C4" s="7" t="inlineStr">
        <is>
          <t>QCEW Q3-25</t>
        </is>
      </c>
      <c r="D4" s="7" t="inlineStr">
        <is>
          <t>Gap Q3 (pp)</t>
        </is>
      </c>
      <c r="E4" s="7" t="inlineStr">
        <is>
          <t>CES T3M Dec-25</t>
        </is>
      </c>
      <c r="F4" s="7" t="inlineStr">
        <is>
          <t>QCEW Q4-25</t>
        </is>
      </c>
      <c r="G4" s="7" t="inlineStr">
        <is>
          <t>Gap Q4 (pp)</t>
        </is>
      </c>
      <c r="H4" s="7" t="inlineStr">
        <is>
          <t>CES T3M Jun-26</t>
        </is>
      </c>
    </row>
    <row r="5">
      <c r="A5" s="6" t="inlineStr">
        <is>
          <t>Boise</t>
        </is>
      </c>
      <c r="B5" s="10" t="n">
        <v>0.02196361252253731</v>
      </c>
      <c r="C5" s="10" t="n">
        <v>0.02002616672797286</v>
      </c>
      <c r="D5" s="14" t="n">
        <v>0.1937445794564452</v>
      </c>
      <c r="E5" s="10" t="n">
        <v>0.009098294069861845</v>
      </c>
      <c r="F5" s="10" t="n">
        <v>0.02315312649498469</v>
      </c>
      <c r="G5" s="17" t="n">
        <v>-1.405483242512284</v>
      </c>
      <c r="H5" s="10" t="n">
        <v>0.004180064308681786</v>
      </c>
    </row>
    <row r="6">
      <c r="A6" s="3" t="inlineStr">
        <is>
          <t>Austin</t>
        </is>
      </c>
      <c r="B6" s="10" t="n">
        <v>0.01954547661826833</v>
      </c>
      <c r="C6" s="10" t="n">
        <v>0.03018382437369538</v>
      </c>
      <c r="D6" s="14" t="n">
        <v>-1.063834775542705</v>
      </c>
      <c r="E6" s="10" t="n">
        <v>0.01265460102191884</v>
      </c>
      <c r="F6" s="10" t="n">
        <v>0.02477430425636307</v>
      </c>
      <c r="G6" s="14" t="n">
        <v>-1.211970323444422</v>
      </c>
      <c r="H6" s="10" t="n">
        <v>0.01241706161137435</v>
      </c>
    </row>
    <row r="7">
      <c r="A7" s="3" t="inlineStr">
        <is>
          <t>Salt Lake City</t>
        </is>
      </c>
      <c r="B7" s="10" t="n">
        <v>0.01312188053453545</v>
      </c>
      <c r="C7" s="10" t="n">
        <v>0.01328363816905198</v>
      </c>
      <c r="D7" s="14" t="n">
        <v>-0.0161757634516535</v>
      </c>
      <c r="E7" s="10" t="n">
        <v>0.008226364106028505</v>
      </c>
      <c r="F7" s="10" t="n">
        <v>0.0172279181778523</v>
      </c>
      <c r="G7" s="14" t="n">
        <v>-0.9001554071823792</v>
      </c>
      <c r="H7" s="10" t="n">
        <v>0.02091700799300145</v>
      </c>
    </row>
    <row r="8">
      <c r="A8" s="3" t="inlineStr">
        <is>
          <t>Baton Rouge</t>
        </is>
      </c>
      <c r="B8" s="10" t="n">
        <v>-0.01615896087830504</v>
      </c>
      <c r="C8" s="10" t="n">
        <v>-0.006160164271047264</v>
      </c>
      <c r="D8" s="14" t="n">
        <v>-0.9998796607257776</v>
      </c>
      <c r="E8" s="10" t="n">
        <v>-0.007913559579972529</v>
      </c>
      <c r="F8" s="10" t="n">
        <v>0.0006300576087876486</v>
      </c>
      <c r="G8" s="14" t="n">
        <v>-0.8543617188760178</v>
      </c>
      <c r="H8" s="10" t="n">
        <v>0.01849558891812397</v>
      </c>
    </row>
    <row r="9">
      <c r="A9" s="3" t="inlineStr">
        <is>
          <t>Las Vegas</t>
        </is>
      </c>
      <c r="B9" s="10" t="n">
        <v>0.02122186495176881</v>
      </c>
      <c r="C9" s="10" t="n">
        <v>0.01959135923548483</v>
      </c>
      <c r="D9" s="14" t="n">
        <v>0.1630505716283981</v>
      </c>
      <c r="E9" s="10" t="n">
        <v>0.0114076069821436</v>
      </c>
      <c r="F9" s="10" t="n">
        <v>0.019342326898099</v>
      </c>
      <c r="G9" s="14" t="n">
        <v>-0.7934719915955402</v>
      </c>
      <c r="H9" s="10" t="n">
        <v>0.02261946083535804</v>
      </c>
    </row>
    <row r="10">
      <c r="A10" s="3" t="inlineStr">
        <is>
          <t>Reno</t>
        </is>
      </c>
      <c r="B10" s="10" t="n">
        <v>0.01958910654562818</v>
      </c>
      <c r="C10" s="10" t="n">
        <v>0.02088259617926447</v>
      </c>
      <c r="D10" s="14" t="n">
        <v>-0.1293489633636291</v>
      </c>
      <c r="E10" s="10" t="n">
        <v>0.0164454363914015</v>
      </c>
      <c r="F10" s="10" t="n">
        <v>0.02147610332288652</v>
      </c>
      <c r="G10" s="14" t="n">
        <v>-0.5030666931485017</v>
      </c>
      <c r="H10" s="10" t="n">
        <v>0.01628126474752212</v>
      </c>
    </row>
    <row r="11">
      <c r="A11" s="3" t="inlineStr">
        <is>
          <t>Dallas-Fort Worth</t>
        </is>
      </c>
      <c r="B11" s="10" t="n">
        <v>0.01095333098619089</v>
      </c>
      <c r="C11" s="10" t="n">
        <v>0.009987938859745915</v>
      </c>
      <c r="D11" s="14" t="n">
        <v>0.0965392126444975</v>
      </c>
      <c r="E11" s="10" t="n">
        <v>0.005917616288489524</v>
      </c>
      <c r="F11" s="10" t="n">
        <v>0.008049460608407166</v>
      </c>
      <c r="G11" s="14" t="n">
        <v>-0.2131844319917642</v>
      </c>
      <c r="H11" s="10" t="n">
        <v>0.008352327602858756</v>
      </c>
    </row>
    <row r="12">
      <c r="A12" s="3" t="inlineStr">
        <is>
          <t>Houston</t>
        </is>
      </c>
      <c r="B12" s="10" t="n">
        <v>0.008984953613471625</v>
      </c>
      <c r="C12" s="10" t="n">
        <v>0.01159058425434645</v>
      </c>
      <c r="D12" s="14" t="n">
        <v>-0.2605630640874823</v>
      </c>
      <c r="E12" s="10" t="n">
        <v>0.003112251738072835</v>
      </c>
      <c r="F12" s="10" t="n">
        <v>0.004826837923235017</v>
      </c>
      <c r="G12" s="14" t="n">
        <v>-0.1714586185162181</v>
      </c>
      <c r="H12" s="10" t="n">
        <v>0.00660255490167927</v>
      </c>
    </row>
    <row r="13">
      <c r="A13" s="3" t="inlineStr">
        <is>
          <t>Phoenix</t>
        </is>
      </c>
      <c r="B13" s="10" t="n">
        <v>0.0006302837647123027</v>
      </c>
      <c r="C13" s="10" t="n">
        <v>0.00193521569770172</v>
      </c>
      <c r="D13" s="14" t="n">
        <v>-0.1304931932989417</v>
      </c>
      <c r="E13" s="10" t="n">
        <v>-0.0002678344247585285</v>
      </c>
      <c r="F13" s="10" t="n">
        <v>0.0007937337833898717</v>
      </c>
      <c r="G13" s="14" t="n">
        <v>-0.10615682081484</v>
      </c>
      <c r="H13" s="10" t="n">
        <v>0.009303464316317678</v>
      </c>
    </row>
    <row r="14">
      <c r="A14" s="3" t="inlineStr">
        <is>
          <t>Denver</t>
        </is>
      </c>
      <c r="B14" s="10" t="n">
        <v>0.0005260069999393213</v>
      </c>
      <c r="C14" s="10" t="n">
        <v>-0.004258621513930971</v>
      </c>
      <c r="D14" s="14" t="n">
        <v>0.4784628513870293</v>
      </c>
      <c r="E14" s="10" t="n">
        <v>-0.001111695031733806</v>
      </c>
      <c r="F14" s="10" t="n">
        <v>-0.003696785990909612</v>
      </c>
      <c r="G14" s="14" t="n">
        <v>0.2585090959175806</v>
      </c>
      <c r="H14" s="10" t="n">
        <v>-0.0009117617262688338</v>
      </c>
    </row>
    <row r="16">
      <c r="A16" s="2" t="inlineStr">
        <is>
          <t>Read 1: in Q4-25 (shutdown quarter) the survey printed below the tax records in 9 of 10 metros.</t>
        </is>
      </c>
    </row>
    <row r="17">
      <c r="A17" s="2" t="inlineStr">
        <is>
          <t>Read 2: the gap scales with actual growth — fast-formation metros (Boise, Austin, SLC, Vegas) undercounted most; flat metros (Phoenix, Denver) barely at all.</t>
        </is>
      </c>
    </row>
    <row r="18">
      <c r="A18" s="2" t="inlineStr">
        <is>
          <t>Read 3: several peers' CES bounced by mid-2026 while Boise's hasn't — either slow re-anchoring (true Boise ≈ +1.8%) or real 2026 decel. Arbiter: QCEW Q1-26, ~Sept 2026.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18" customWidth="1" min="4" max="4"/>
    <col width="18" customWidth="1" min="5" max="5"/>
    <col width="13" customWidth="1" min="6" max="6"/>
    <col width="16" customWidth="1" min="7" max="7"/>
  </cols>
  <sheetData>
    <row r="1">
      <c r="A1" s="1" t="inlineStr">
        <is>
          <t>Labor Force, Unemployment, Household Employment, Wages &amp; Income</t>
        </is>
      </c>
    </row>
    <row r="2">
      <c r="A2" s="2" t="inlineStr">
        <is>
          <t>LAUS via FRED (BOIS216LFN/BOIS216URN, pulled 8/13/26; Oct-2025 missing at source — shutdown gap). Household employment derived = LF × (1−U). Wage/income: BLS QCEW/OEWS + Census ACS as cited.</t>
        </is>
      </c>
    </row>
    <row r="4">
      <c r="A4" s="6" t="inlineStr">
        <is>
          <t>A. Labor market T3M history</t>
        </is>
      </c>
    </row>
    <row r="5">
      <c r="A5" s="7" t="inlineStr">
        <is>
          <t>T3M ending</t>
        </is>
      </c>
      <c r="B5" s="7" t="inlineStr">
        <is>
          <t>Labor force</t>
        </is>
      </c>
      <c r="C5" s="7" t="inlineStr">
        <is>
          <t>LF YoY %</t>
        </is>
      </c>
      <c r="D5" s="7" t="inlineStr">
        <is>
          <t>Unemp rate (T3M avg)</t>
        </is>
      </c>
      <c r="E5" s="7" t="inlineStr">
        <is>
          <t>Household employment</t>
        </is>
      </c>
      <c r="F5" s="7" t="inlineStr">
        <is>
          <t>HH emp YoY %</t>
        </is>
      </c>
      <c r="G5" s="7" t="inlineStr">
        <is>
          <t>CES payrolls YoY %</t>
        </is>
      </c>
    </row>
    <row r="6">
      <c r="A6" s="3" t="inlineStr">
        <is>
          <t>2024-06</t>
        </is>
      </c>
      <c r="B6" s="15" t="n">
        <v>447524</v>
      </c>
      <c r="C6" s="10" t="n">
        <v>0.03542703162103189</v>
      </c>
      <c r="D6" s="18" t="n">
        <v>0.032</v>
      </c>
      <c r="E6" s="15" t="n">
        <v>433203</v>
      </c>
      <c r="F6" s="10" t="n">
        <v>0.03081229496499271</v>
      </c>
      <c r="G6" s="10" t="n">
        <v>0.02698815566835888</v>
      </c>
    </row>
    <row r="7">
      <c r="A7" s="3" t="inlineStr">
        <is>
          <t>2024-12</t>
        </is>
      </c>
      <c r="B7" s="15" t="n">
        <v>453953</v>
      </c>
      <c r="C7" s="10" t="n">
        <v>0.02418440249680387</v>
      </c>
      <c r="D7" s="18" t="n">
        <v>0.03233333333333333</v>
      </c>
      <c r="E7" s="15" t="n">
        <v>439275</v>
      </c>
      <c r="F7" s="10" t="n">
        <v>0.02172091988806768</v>
      </c>
      <c r="G7" s="10" t="n">
        <v>0.01769179894179884</v>
      </c>
    </row>
    <row r="8">
      <c r="A8" s="3" t="inlineStr">
        <is>
          <t>2025-06</t>
        </is>
      </c>
      <c r="B8" s="15" t="n">
        <v>456339</v>
      </c>
      <c r="C8" s="10" t="n">
        <v>0.01969576328438016</v>
      </c>
      <c r="D8" s="18" t="n">
        <v>0.03299999999999999</v>
      </c>
      <c r="E8" s="15" t="n">
        <v>441279</v>
      </c>
      <c r="F8" s="10" t="n">
        <v>0.01864231227919255</v>
      </c>
      <c r="G8" s="10" t="n">
        <v>0.02479611170607132</v>
      </c>
    </row>
    <row r="9">
      <c r="A9" s="3" t="inlineStr">
        <is>
          <t>2025-09</t>
        </is>
      </c>
      <c r="B9" s="15" t="n">
        <v>456491</v>
      </c>
      <c r="C9" s="10" t="n">
        <v>0.01139923694903677</v>
      </c>
      <c r="D9" s="18" t="n">
        <v>0.03366666666666666</v>
      </c>
      <c r="E9" s="15" t="n">
        <v>441122</v>
      </c>
      <c r="F9" s="10" t="n">
        <v>0.01104558375471787</v>
      </c>
      <c r="G9" s="10" t="n">
        <v>0.02196361252253731</v>
      </c>
    </row>
    <row r="10">
      <c r="A10" s="3" t="inlineStr">
        <is>
          <t>2025-12</t>
        </is>
      </c>
      <c r="B10" s="15" t="n"/>
      <c r="C10" s="10" t="n"/>
      <c r="D10" s="18" t="n"/>
      <c r="E10" s="15" t="n"/>
      <c r="F10" s="10" t="n"/>
      <c r="G10" s="10" t="n">
        <v>0.009098294069861845</v>
      </c>
    </row>
    <row r="11">
      <c r="A11" s="3" t="inlineStr">
        <is>
          <t>2026-03</t>
        </is>
      </c>
      <c r="B11" s="15" t="n">
        <v>455455</v>
      </c>
      <c r="C11" s="10" t="n">
        <v>-0.002608149133865312</v>
      </c>
      <c r="D11" s="18" t="n">
        <v>0.03800000000000001</v>
      </c>
      <c r="E11" s="15" t="n">
        <v>438145</v>
      </c>
      <c r="F11" s="10" t="n">
        <v>-0.002959457572365931</v>
      </c>
      <c r="G11" s="10" t="n">
        <v>0.005112980372752984</v>
      </c>
    </row>
    <row r="12">
      <c r="A12" s="6" t="inlineStr">
        <is>
          <t>2026-06</t>
        </is>
      </c>
      <c r="B12" s="16" t="n">
        <v>452743</v>
      </c>
      <c r="C12" s="13" t="n">
        <v>-0.007879381979465583</v>
      </c>
      <c r="D12" s="19" t="n">
        <v>0.03366666666666666</v>
      </c>
      <c r="E12" s="16" t="n">
        <v>437500</v>
      </c>
      <c r="F12" s="13" t="n">
        <v>-0.008563463934312177</v>
      </c>
      <c r="G12" s="13" t="n">
        <v>0.004180064308681786</v>
      </c>
    </row>
    <row r="13">
      <c r="A13" s="2" t="inlineStr">
        <is>
          <t>Note: 2025-12 window blank where Oct-2025 is missing at source. IDOL flags part of the LF decline as population-model revision (appendix H).</t>
        </is>
      </c>
    </row>
    <row r="15">
      <c r="A15" s="6" t="inlineStr">
        <is>
          <t>B. Wages &amp; income (as-reported figures; each with vintage)</t>
        </is>
      </c>
    </row>
    <row r="16">
      <c r="A16" s="7" t="inlineStr">
        <is>
          <t>Measure</t>
        </is>
      </c>
      <c r="B16" s="7" t="inlineStr">
        <is>
          <t>Value</t>
        </is>
      </c>
      <c r="C16" s="7" t="inlineStr">
        <is>
          <t>Vintage / source</t>
        </is>
      </c>
    </row>
    <row r="17">
      <c r="A17" s="3" t="inlineStr">
        <is>
          <t>Ada County avg weekly wage</t>
        </is>
      </c>
      <c r="B17" s="3" t="inlineStr">
        <is>
          <t>$1,361 (+4.4% YoY)</t>
        </is>
      </c>
      <c r="C17" s="2" t="inlineStr">
        <is>
          <t>QCEW Q3 2025 · BLS County Employment &amp; Wages (rel. 3/18/26)</t>
        </is>
      </c>
    </row>
    <row r="18">
      <c r="A18" s="3" t="inlineStr">
        <is>
          <t>Canyon County avg weekly wage</t>
        </is>
      </c>
      <c r="B18" s="3" t="inlineStr">
        <is>
          <t>$1,038 (+4.7% YoY)</t>
        </is>
      </c>
      <c r="C18" s="2" t="inlineStr">
        <is>
          <t>QCEW Q3 2025 · same release</t>
        </is>
      </c>
    </row>
    <row r="19">
      <c r="A19" s="3" t="inlineStr">
        <is>
          <t>Boise metro avg weekly wage</t>
        </is>
      </c>
      <c r="B19" s="3" t="inlineStr">
        <is>
          <t>$1,476 (94% of US $1,569)</t>
        </is>
      </c>
      <c r="C19" s="2" t="inlineStr">
        <is>
          <t>QCEW Q4 2025 · BLS Boise Area Economic Summary 8/6/26</t>
        </is>
      </c>
    </row>
    <row r="20">
      <c r="A20" s="3" t="inlineStr">
        <is>
          <t>Idaho avg hourly wage</t>
        </is>
      </c>
      <c r="B20" s="3" t="inlineStr">
        <is>
          <t>$29.41 (+4.7% — 3rd-fastest in US)</t>
        </is>
      </c>
      <c r="C20" s="2" t="inlineStr">
        <is>
          <t>OEWS 2025 · IDOL July 2026</t>
        </is>
      </c>
    </row>
    <row r="21">
      <c r="A21" s="3" t="inlineStr">
        <is>
          <t>SW Idaho region avg wage</t>
        </is>
      </c>
      <c r="B21" s="3" t="inlineStr">
        <is>
          <t>$30.76/hr (highest region in state)</t>
        </is>
      </c>
      <c r="C21" s="2" t="inlineStr">
        <is>
          <t>OEWS 2025 · IDOL</t>
        </is>
      </c>
    </row>
    <row r="22">
      <c r="A22" s="3" t="inlineStr">
        <is>
          <t>Boise MSA all-occupations mean</t>
        </is>
      </c>
      <c r="B22" s="3" t="inlineStr">
        <is>
          <t>$31.02/hr (92.5% of US)</t>
        </is>
      </c>
      <c r="C22" s="2" t="inlineStr">
        <is>
          <t>OEWS May 2025 · BLS</t>
        </is>
      </c>
    </row>
    <row r="23">
      <c r="A23" s="3" t="inlineStr">
        <is>
          <t>Ada County median HH income</t>
        </is>
      </c>
      <c r="B23" s="3" t="inlineStr">
        <is>
          <t>$91,502</t>
        </is>
      </c>
      <c r="C23" s="2" t="inlineStr">
        <is>
          <t>ACS 2024 · Census/USAFacts</t>
        </is>
      </c>
    </row>
    <row r="24">
      <c r="A24" s="3" t="inlineStr">
        <is>
          <t>Meridian median HH income</t>
        </is>
      </c>
      <c r="B24" s="3" t="inlineStr">
        <is>
          <t>$100,795 (+2.1% YoY)</t>
        </is>
      </c>
      <c r="C24" s="2" t="inlineStr">
        <is>
          <t>ACS 2024 · DataUSA</t>
        </is>
      </c>
    </row>
    <row r="25">
      <c r="A25" s="3" t="inlineStr">
        <is>
          <t>ZIP 83642 (subject) median HHI</t>
        </is>
      </c>
      <c r="B25" s="3" t="inlineStr">
        <is>
          <t>$99,036</t>
        </is>
      </c>
      <c r="C25" s="2" t="inlineStr">
        <is>
          <t>Placer.ai export (vintage per panel)</t>
        </is>
      </c>
    </row>
    <row r="26">
      <c r="A26" s="3" t="inlineStr">
        <is>
          <t>Idaho LFPR</t>
        </is>
      </c>
      <c r="B26" s="3" t="inlineStr">
        <is>
          <t>62.8% (Jan-26) → 61.8% (Jun-26)</t>
        </is>
      </c>
      <c r="C26" s="2" t="inlineStr">
        <is>
          <t>IDOL monthly releases</t>
        </is>
      </c>
    </row>
    <row r="27">
      <c r="A27" s="3" t="inlineStr">
        <is>
          <t>SW Idaho job postings</t>
        </is>
      </c>
      <c r="B27" s="3" t="inlineStr">
        <is>
          <t>+11% YoY (28,057; hospitals +44%, semis +92%)</t>
        </is>
      </c>
      <c r="C27" s="2" t="inlineStr">
        <is>
          <t>IDOL Around SW Idaho, Apr/May 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4" customWidth="1" min="4" max="4"/>
    <col width="11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Population &amp; Migration — Official + Placer.ai Device Data</t>
        </is>
      </c>
    </row>
    <row r="2">
      <c r="A2" s="2" t="inlineStr">
        <is>
          <t>Placer files in data/placerai/ (client-provided). Census = official vintage estimates (end July 2025). Placer measures device home-location changes; levels are model outputs — trend is the robust signal (see caveats, appendix K).</t>
        </is>
      </c>
    </row>
    <row r="4">
      <c r="A4" s="6" t="inlineStr">
        <is>
          <t>A. Boise MSA growth by year ending June (Placer.ai growth-breakdown file)</t>
        </is>
      </c>
    </row>
    <row r="5">
      <c r="A5" s="7" t="inlineStr">
        <is>
          <t>YE June</t>
        </is>
      </c>
      <c r="B5" s="7" t="inlineStr">
        <is>
          <t>Net domestic migration</t>
        </is>
      </c>
      <c r="C5" s="7" t="inlineStr">
        <is>
          <t>Natural growth</t>
        </is>
      </c>
      <c r="D5" s="7" t="inlineStr">
        <is>
          <t>International</t>
        </is>
      </c>
      <c r="E5" s="7" t="inlineStr">
        <is>
          <t>Total growth</t>
        </is>
      </c>
      <c r="F5" s="7" t="inlineStr">
        <is>
          <t>Gross inbound</t>
        </is>
      </c>
      <c r="G5" s="7" t="inlineStr">
        <is>
          <t>Gross outbound</t>
        </is>
      </c>
    </row>
    <row r="6">
      <c r="A6" s="3" t="inlineStr">
        <is>
          <t>2022</t>
        </is>
      </c>
      <c r="B6" s="9" t="n">
        <v>10347</v>
      </c>
      <c r="C6" s="9" t="n">
        <v>1574</v>
      </c>
      <c r="D6" s="9" t="n">
        <v>3469</v>
      </c>
      <c r="E6" s="9" t="n">
        <v>15390</v>
      </c>
      <c r="F6" s="15" t="n">
        <v>33946</v>
      </c>
      <c r="G6" s="15" t="n">
        <v>23599</v>
      </c>
    </row>
    <row r="7">
      <c r="A7" s="3" t="inlineStr">
        <is>
          <t>2023</t>
        </is>
      </c>
      <c r="B7" s="9" t="n">
        <v>6795</v>
      </c>
      <c r="C7" s="9" t="n">
        <v>2467</v>
      </c>
      <c r="D7" s="9" t="n">
        <v>3320</v>
      </c>
      <c r="E7" s="9" t="n">
        <v>12582</v>
      </c>
      <c r="F7" s="15" t="n">
        <v>32487</v>
      </c>
      <c r="G7" s="15" t="n">
        <v>25692</v>
      </c>
    </row>
    <row r="8">
      <c r="A8" s="3" t="inlineStr">
        <is>
          <t>2024</t>
        </is>
      </c>
      <c r="B8" s="9" t="n">
        <v>5298</v>
      </c>
      <c r="C8" s="9" t="n">
        <v>2820</v>
      </c>
      <c r="D8" s="9" t="n">
        <v>4071</v>
      </c>
      <c r="E8" s="9" t="n">
        <v>12189</v>
      </c>
      <c r="F8" s="15" t="n">
        <v>19710</v>
      </c>
      <c r="G8" s="15" t="n">
        <v>14412</v>
      </c>
    </row>
    <row r="9">
      <c r="A9" s="3" t="inlineStr">
        <is>
          <t>2025</t>
        </is>
      </c>
      <c r="B9" s="9" t="n">
        <v>6051</v>
      </c>
      <c r="C9" s="9" t="n">
        <v>2861</v>
      </c>
      <c r="D9" s="9" t="n">
        <v>4130</v>
      </c>
      <c r="E9" s="9" t="n">
        <v>13042</v>
      </c>
      <c r="F9" s="15" t="n">
        <v>21134</v>
      </c>
      <c r="G9" s="15" t="n">
        <v>15083</v>
      </c>
    </row>
    <row r="10">
      <c r="A10" s="6" t="inlineStr">
        <is>
          <t>2026</t>
        </is>
      </c>
      <c r="B10" s="12" t="n">
        <v>11647</v>
      </c>
      <c r="C10" s="12" t="n">
        <v>2914</v>
      </c>
      <c r="D10" s="12" t="n">
        <v>4208</v>
      </c>
      <c r="E10" s="12" t="n">
        <v>18769</v>
      </c>
      <c r="F10" s="16" t="n">
        <v>27875</v>
      </c>
      <c r="G10" s="16" t="n">
        <v>16228</v>
      </c>
    </row>
    <row r="12">
      <c r="A12" s="6" t="inlineStr">
        <is>
          <t>B. Official benchmarks (for reconciliation)</t>
        </is>
      </c>
    </row>
    <row r="13">
      <c r="A13" s="7" t="inlineStr">
        <is>
          <t>Measure</t>
        </is>
      </c>
      <c r="B13" s="7" t="inlineStr">
        <is>
          <t>Value</t>
        </is>
      </c>
      <c r="C13" s="7" t="inlineStr">
        <is>
          <t>Vintage / source</t>
        </is>
      </c>
    </row>
    <row r="14">
      <c r="A14" s="3" t="inlineStr">
        <is>
          <t>Ada County population gain, YE Jul 2025</t>
        </is>
      </c>
      <c r="B14" s="3" t="inlineStr">
        <is>
          <t>+10,916 (largest in Idaho; faster than 2024)</t>
        </is>
      </c>
      <c r="C14" s="2" t="inlineStr">
        <is>
          <t>Census Vintage 2025 via IDOL 3/31/26</t>
        </is>
      </c>
    </row>
    <row r="15">
      <c r="A15" s="3" t="inlineStr">
        <is>
          <t>Boise MSA population</t>
        </is>
      </c>
      <c r="B15" s="3" t="inlineStr">
        <is>
          <t>845,877 (+2.1%; 13th-fastest US metro)</t>
        </is>
      </c>
      <c r="C15" s="2" t="inlineStr">
        <is>
          <t>Census 2024 estimate</t>
        </is>
      </c>
    </row>
    <row r="16">
      <c r="A16" s="3" t="inlineStr">
        <is>
          <t>Idaho growth YE Jul 2025</t>
        </is>
      </c>
      <c r="B16" s="3" t="inlineStr">
        <is>
          <t>+1.4% (2nd-fastest state); ~75% from net migration</t>
        </is>
      </c>
      <c r="C16" s="2" t="inlineStr">
        <is>
          <t>Census Vintage 2025</t>
        </is>
      </c>
    </row>
    <row r="17">
      <c r="A17" s="3" t="inlineStr">
        <is>
          <t>Meridian population</t>
        </is>
      </c>
      <c r="B17" s="3" t="inlineStr">
        <is>
          <t>~147,300 (+3.1%/yr; Idaho's 2nd city; +24% since 2020)</t>
        </is>
      </c>
      <c r="C17" s="2" t="inlineStr">
        <is>
          <t>COMPASS 2026 estimate</t>
        </is>
      </c>
    </row>
    <row r="18">
      <c r="A18" s="3" t="inlineStr">
        <is>
          <t>COMPASS long-range</t>
        </is>
      </c>
      <c r="B18" s="3" t="inlineStr">
        <is>
          <t>Ada+Canyon ~1.1M by 2050; 1.3M by 2055</t>
        </is>
      </c>
      <c r="C18" s="2" t="inlineStr">
        <is>
          <t>CIM 2050/2055</t>
        </is>
      </c>
    </row>
    <row r="19">
      <c r="A19" s="3" t="inlineStr">
        <is>
          <t>Meridian housing shortage</t>
        </is>
      </c>
      <c r="B19" s="3" t="inlineStr">
        <is>
          <t>~2,500 units (~4.9% of stock)</t>
        </is>
      </c>
      <c r="C19" s="2" t="inlineStr">
        <is>
          <t>AEI Housing Center playbook</t>
        </is>
      </c>
    </row>
    <row r="20">
      <c r="A20" s="3" t="inlineStr">
        <is>
          <t>CA license surrenders in Idaho</t>
        </is>
      </c>
      <c r="B20" s="3" t="inlineStr">
        <is>
          <t>11,797 latest ITD year (Ada = top landing county)</t>
        </is>
      </c>
      <c r="C20" s="2" t="inlineStr">
        <is>
          <t>ITD via press</t>
        </is>
      </c>
    </row>
    <row r="22">
      <c r="A22" s="6" t="inlineStr">
        <is>
          <t>C. Placer.ai national ranks &amp; peer comparison, YE Jun 2026 (all-CBSA / all-county files)</t>
        </is>
      </c>
    </row>
    <row r="23">
      <c r="A23" s="7" t="inlineStr">
        <is>
          <t>Market</t>
        </is>
      </c>
      <c r="B23" s="7" t="inlineStr">
        <is>
          <t>Gross in</t>
        </is>
      </c>
      <c r="C23" s="7" t="inlineStr">
        <is>
          <t>Gross out</t>
        </is>
      </c>
      <c r="D23" s="7" t="inlineStr">
        <is>
          <t>Net migration</t>
        </is>
      </c>
      <c r="E23" s="7" t="inlineStr">
        <is>
          <t>Net rate</t>
        </is>
      </c>
      <c r="F23" s="7" t="inlineStr">
        <is>
          <t>In-migrant HHI</t>
        </is>
      </c>
      <c r="G23" s="7" t="inlineStr">
        <is>
          <t>Incumbent HHI</t>
        </is>
      </c>
      <c r="H23" s="7" t="inlineStr">
        <is>
          <t>Rank by net (of 925 CBSAs)</t>
        </is>
      </c>
    </row>
    <row r="24">
      <c r="A24" s="3" t="inlineStr">
        <is>
          <t>Dallas-Fort Worth-Arlington, TX</t>
        </is>
      </c>
      <c r="B24" s="15" t="n">
        <v>259521</v>
      </c>
      <c r="C24" s="15" t="n">
        <v>234899</v>
      </c>
      <c r="D24" s="9" t="n">
        <v>24622</v>
      </c>
      <c r="E24" s="10" t="n">
        <v>0.002899625856760567</v>
      </c>
      <c r="F24" s="20" t="n">
        <v>80683</v>
      </c>
      <c r="G24" s="20" t="n">
        <v>90883</v>
      </c>
      <c r="H24" s="15" t="n">
        <v>1</v>
      </c>
    </row>
    <row r="25">
      <c r="A25" s="3" t="inlineStr">
        <is>
          <t>Nashville-Davidson--Murfreesboro--Franklin, TN</t>
        </is>
      </c>
      <c r="B25" s="15" t="n">
        <v>67253</v>
      </c>
      <c r="C25" s="15" t="n">
        <v>51195</v>
      </c>
      <c r="D25" s="9" t="n">
        <v>16057</v>
      </c>
      <c r="E25" s="10" t="n">
        <v>0.007544129504640391</v>
      </c>
      <c r="F25" s="20" t="n">
        <v>81640</v>
      </c>
      <c r="G25" s="20" t="n">
        <v>86108</v>
      </c>
      <c r="H25" s="15" t="n">
        <v>2</v>
      </c>
    </row>
    <row r="26">
      <c r="A26" s="3" t="inlineStr">
        <is>
          <t>Austin-Round Rock-San Marcos, TX</t>
        </is>
      </c>
      <c r="B26" s="15" t="n">
        <v>133478</v>
      </c>
      <c r="C26" s="15" t="n">
        <v>119209</v>
      </c>
      <c r="D26" s="9" t="n">
        <v>14269</v>
      </c>
      <c r="E26" s="10" t="n">
        <v>0.005519067313904595</v>
      </c>
      <c r="F26" s="20" t="n">
        <v>81141</v>
      </c>
      <c r="G26" s="20" t="n">
        <v>100502</v>
      </c>
      <c r="H26" s="15" t="n">
        <v>3</v>
      </c>
    </row>
    <row r="27">
      <c r="A27" s="6" t="inlineStr">
        <is>
          <t>Boise City, ID</t>
        </is>
      </c>
      <c r="B27" s="15" t="n">
        <v>30731</v>
      </c>
      <c r="C27" s="15" t="n">
        <v>18333</v>
      </c>
      <c r="D27" s="9" t="n">
        <v>12398</v>
      </c>
      <c r="E27" s="10" t="n">
        <v>0.01452379500882838</v>
      </c>
      <c r="F27" s="20" t="n">
        <v>86568</v>
      </c>
      <c r="G27" s="20" t="n">
        <v>86616</v>
      </c>
      <c r="H27" s="15" t="n">
        <v>5</v>
      </c>
    </row>
    <row r="28">
      <c r="A28" s="3" t="inlineStr">
        <is>
          <t>Reno, NV</t>
        </is>
      </c>
      <c r="B28" s="15" t="n">
        <v>21278</v>
      </c>
      <c r="C28" s="15" t="n">
        <v>18512</v>
      </c>
      <c r="D28" s="9" t="n">
        <v>2766</v>
      </c>
      <c r="E28" s="10" t="n">
        <v>0.004884121998375067</v>
      </c>
      <c r="F28" s="20" t="n">
        <v>87080</v>
      </c>
      <c r="G28" s="20" t="n">
        <v>87734</v>
      </c>
      <c r="H28" s="15" t="n">
        <v>42</v>
      </c>
    </row>
    <row r="29">
      <c r="A29" s="3" t="inlineStr">
        <is>
          <t>Salt Lake City-Murray, UT</t>
        </is>
      </c>
      <c r="B29" s="15" t="n">
        <v>47962</v>
      </c>
      <c r="C29" s="15" t="n">
        <v>46432</v>
      </c>
      <c r="D29" s="9" t="n">
        <v>1530</v>
      </c>
      <c r="E29" s="10" t="n">
        <v>0.001149148735402375</v>
      </c>
      <c r="F29" s="20" t="n">
        <v>93685</v>
      </c>
      <c r="G29" s="20" t="n">
        <v>98225</v>
      </c>
      <c r="H29" s="15" t="n">
        <v>73</v>
      </c>
    </row>
    <row r="30">
      <c r="A30" s="3" t="inlineStr">
        <is>
          <t>Denver-Aurora-Centennial, CO</t>
        </is>
      </c>
      <c r="B30" s="15" t="n">
        <v>61249</v>
      </c>
      <c r="C30" s="15" t="n">
        <v>60203</v>
      </c>
      <c r="D30" s="9" t="n">
        <v>1046</v>
      </c>
      <c r="E30" s="10" t="n">
        <v>0.0003357129087961808</v>
      </c>
      <c r="F30" s="20" t="n">
        <v>89036</v>
      </c>
      <c r="G30" s="20" t="n">
        <v>106104</v>
      </c>
      <c r="H30" s="15" t="n">
        <v>110</v>
      </c>
    </row>
    <row r="31">
      <c r="A31" s="3" t="inlineStr">
        <is>
          <t>Phoenix-Mesa-Chandler, AZ</t>
        </is>
      </c>
      <c r="B31" s="15" t="n">
        <v>194486</v>
      </c>
      <c r="C31" s="15" t="n">
        <v>193741</v>
      </c>
      <c r="D31" s="9" t="n">
        <v>744</v>
      </c>
      <c r="E31" s="10" t="n">
        <v>0.0001357312595494193</v>
      </c>
      <c r="F31" s="20" t="n">
        <v>81154</v>
      </c>
      <c r="G31" s="20" t="n">
        <v>88872</v>
      </c>
      <c r="H31" s="15" t="n">
        <v>142</v>
      </c>
    </row>
    <row r="32">
      <c r="A32" s="3" t="inlineStr">
        <is>
          <t>Houston-Pasadena-The Woodlands, TX</t>
        </is>
      </c>
      <c r="B32" s="15" t="n">
        <v>199251</v>
      </c>
      <c r="C32" s="15" t="n">
        <v>201698</v>
      </c>
      <c r="D32" s="9" t="n">
        <v>-2447</v>
      </c>
      <c r="E32" s="10" t="n">
        <v>-0.0003053989075350654</v>
      </c>
      <c r="F32" s="20" t="n">
        <v>80375</v>
      </c>
      <c r="G32" s="20" t="n">
        <v>83126</v>
      </c>
      <c r="H32" s="15" t="n">
        <v>874</v>
      </c>
    </row>
    <row r="33">
      <c r="A33" s="3" t="inlineStr">
        <is>
          <t>Las Vegas-Henderson-North Las Vegas, NV</t>
        </is>
      </c>
      <c r="B33" s="15" t="n">
        <v>67989</v>
      </c>
      <c r="C33" s="15" t="n">
        <v>71939</v>
      </c>
      <c r="D33" s="9" t="n">
        <v>-3950</v>
      </c>
      <c r="E33" s="10" t="n">
        <v>-0.001579729253362724</v>
      </c>
      <c r="F33" s="20" t="n">
        <v>87347</v>
      </c>
      <c r="G33" s="20" t="n">
        <v>76729</v>
      </c>
      <c r="H33" s="15" t="n">
        <v>895</v>
      </c>
    </row>
    <row r="34">
      <c r="A34" s="3" t="inlineStr">
        <is>
          <t>Baton Rouge, LA</t>
        </is>
      </c>
      <c r="B34" s="15" t="n">
        <v>19664</v>
      </c>
      <c r="C34" s="15" t="n">
        <v>24614</v>
      </c>
      <c r="D34" s="9" t="n">
        <v>-4950</v>
      </c>
      <c r="E34" s="10" t="n">
        <v>-0.005619218781695019</v>
      </c>
      <c r="F34" s="20" t="n">
        <v>67524</v>
      </c>
      <c r="G34" s="20" t="n">
        <v>69873</v>
      </c>
      <c r="H34" s="15" t="n">
        <v>904</v>
      </c>
    </row>
    <row r="35">
      <c r="A35" s="2" t="inlineStr">
        <is>
          <t>Counties file: Ada #8 of 3,126 US counties (+8,552, +1.58%); Canyon #49 (+3,160, +1.17%).</t>
        </is>
      </c>
    </row>
    <row r="36">
      <c r="A36" s="21" t="inlineStr">
        <is>
          <t>LEVEL CAVEAT: same YE Jun-26 year shows +8.5K (O-D table sum), +11.6K (growth file), +12.4K (CBSA file) — see tab 11 &amp; appendix K; trend (~2x prior year) is robust across all three.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3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>
      <c r="A1" s="1" t="inlineStr">
        <is>
          <t>Origin/Destination — Who Is Moving to Boise (YE Jun 2026 vs prior year)</t>
        </is>
      </c>
    </row>
    <row r="2">
      <c r="A2" s="2" t="inlineStr">
        <is>
          <t>Placer.ai O-D exports (1-yr and 2-yr). Prior year = 2-yr net minus 1-yr net. Feeder HHI/age = origin-market medians. NOTE: O-D table truncates small flows (sums to +8,492 vs model total +11.6-12.4K) — use for MIX and TREND, not level.</t>
        </is>
      </c>
    </row>
    <row r="4">
      <c r="A4" s="7" t="inlineStr">
        <is>
          <t>Origin market</t>
        </is>
      </c>
      <c r="B4" s="7" t="inlineStr">
        <is>
          <t>Inbound</t>
        </is>
      </c>
      <c r="C4" s="7" t="inlineStr">
        <is>
          <t>Outbound</t>
        </is>
      </c>
      <c r="D4" s="7" t="inlineStr">
        <is>
          <t>Net YE Jun-26</t>
        </is>
      </c>
      <c r="E4" s="7" t="inlineStr">
        <is>
          <t>Net prior yr</t>
        </is>
      </c>
      <c r="F4" s="7" t="inlineStr">
        <is>
          <t>Trend</t>
        </is>
      </c>
      <c r="G4" s="7" t="inlineStr">
        <is>
          <t>Feeder median HHI</t>
        </is>
      </c>
      <c r="H4" s="7" t="inlineStr">
        <is>
          <t>Feeder median age</t>
        </is>
      </c>
    </row>
    <row r="5">
      <c r="A5" s="3" t="inlineStr">
        <is>
          <t>Los Angeles-Long Beach-Anaheim, CA</t>
        </is>
      </c>
      <c r="B5" s="15" t="n">
        <v>1203</v>
      </c>
      <c r="C5" s="15" t="n">
        <v>533</v>
      </c>
      <c r="D5" s="9" t="n">
        <v>670</v>
      </c>
      <c r="E5" s="9" t="n">
        <v>980</v>
      </c>
      <c r="F5" s="3" t="inlineStr">
        <is>
          <t>slowing</t>
        </is>
      </c>
      <c r="G5" s="20" t="n">
        <v>96110</v>
      </c>
      <c r="H5" s="22" t="n">
        <v>38.5</v>
      </c>
    </row>
    <row r="6">
      <c r="A6" s="3" t="inlineStr">
        <is>
          <t>San Francisco-Oakland-Fremont, CA</t>
        </is>
      </c>
      <c r="B6" s="15" t="n">
        <v>697</v>
      </c>
      <c r="C6" s="15" t="n">
        <v>97</v>
      </c>
      <c r="D6" s="9" t="n">
        <v>600</v>
      </c>
      <c r="E6" s="9" t="n">
        <v>229</v>
      </c>
      <c r="F6" s="3" t="inlineStr">
        <is>
          <t>accelerating</t>
        </is>
      </c>
      <c r="G6" s="20" t="n">
        <v>136453</v>
      </c>
      <c r="H6" s="22" t="n">
        <v>40.3</v>
      </c>
    </row>
    <row r="7">
      <c r="A7" s="3" t="inlineStr">
        <is>
          <t>Riverside-San Bernardino-Ontario, CA</t>
        </is>
      </c>
      <c r="B7" s="15" t="n">
        <v>837</v>
      </c>
      <c r="C7" s="15" t="n">
        <v>314</v>
      </c>
      <c r="D7" s="9" t="n">
        <v>523</v>
      </c>
      <c r="E7" s="9" t="n">
        <v>541</v>
      </c>
      <c r="F7" s="3" t="inlineStr">
        <is>
          <t>steady</t>
        </is>
      </c>
      <c r="G7" s="20" t="n">
        <v>90202</v>
      </c>
      <c r="H7" s="22" t="n">
        <v>35.9</v>
      </c>
    </row>
    <row r="8">
      <c r="A8" s="3" t="inlineStr">
        <is>
          <t>San Diego-Chula Vista-Carlsbad, CA</t>
        </is>
      </c>
      <c r="B8" s="15" t="n">
        <v>580</v>
      </c>
      <c r="C8" s="15" t="n">
        <v>228</v>
      </c>
      <c r="D8" s="9" t="n">
        <v>352</v>
      </c>
      <c r="E8" s="9" t="n">
        <v>294</v>
      </c>
      <c r="F8" s="3" t="inlineStr">
        <is>
          <t>steady</t>
        </is>
      </c>
      <c r="G8" s="20" t="n">
        <v>106579</v>
      </c>
      <c r="H8" s="22" t="n">
        <v>37.3</v>
      </c>
    </row>
    <row r="9">
      <c r="A9" s="3" t="inlineStr">
        <is>
          <t>Washington-Arlington-Alexandria, DC-VA-MD-WV</t>
        </is>
      </c>
      <c r="B9" s="15" t="n">
        <v>408</v>
      </c>
      <c r="C9" s="15" t="n">
        <v>70</v>
      </c>
      <c r="D9" s="9" t="n">
        <v>338</v>
      </c>
      <c r="E9" s="9" t="n">
        <v>166</v>
      </c>
      <c r="F9" s="3" t="inlineStr">
        <is>
          <t>accelerating</t>
        </is>
      </c>
      <c r="G9" s="20" t="n">
        <v>126732</v>
      </c>
      <c r="H9" s="22" t="n">
        <v>38</v>
      </c>
    </row>
    <row r="10">
      <c r="A10" s="3" t="inlineStr">
        <is>
          <t>Sacramento-Roseville-Folsom, CA</t>
        </is>
      </c>
      <c r="B10" s="15" t="n">
        <v>611</v>
      </c>
      <c r="C10" s="15" t="n">
        <v>310</v>
      </c>
      <c r="D10" s="9" t="n">
        <v>301</v>
      </c>
      <c r="E10" s="9" t="n">
        <v>119</v>
      </c>
      <c r="F10" s="3" t="inlineStr">
        <is>
          <t>accelerating</t>
        </is>
      </c>
      <c r="G10" s="20" t="n">
        <v>97101</v>
      </c>
      <c r="H10" s="22" t="n">
        <v>38.5</v>
      </c>
    </row>
    <row r="11">
      <c r="A11" s="3" t="inlineStr">
        <is>
          <t>Chicago-Naperville-Elgin, IL-IN</t>
        </is>
      </c>
      <c r="B11" s="15" t="n">
        <v>508</v>
      </c>
      <c r="C11" s="15" t="n">
        <v>229</v>
      </c>
      <c r="D11" s="9" t="n">
        <v>279</v>
      </c>
      <c r="E11" s="9" t="n">
        <v>258</v>
      </c>
      <c r="F11" s="3" t="inlineStr">
        <is>
          <t>steady</t>
        </is>
      </c>
      <c r="G11" s="20" t="n">
        <v>91339</v>
      </c>
      <c r="H11" s="22" t="n">
        <v>38.6</v>
      </c>
    </row>
    <row r="12">
      <c r="A12" s="3" t="inlineStr">
        <is>
          <t>Columbus, OH</t>
        </is>
      </c>
      <c r="B12" s="15" t="n">
        <v>348</v>
      </c>
      <c r="C12" s="15" t="n">
        <v>70</v>
      </c>
      <c r="D12" s="9" t="n">
        <v>278</v>
      </c>
      <c r="E12" s="9" t="n">
        <v>183</v>
      </c>
      <c r="F12" s="3" t="inlineStr">
        <is>
          <t>accelerating</t>
        </is>
      </c>
      <c r="G12" s="20" t="n">
        <v>82476</v>
      </c>
      <c r="H12" s="22" t="n">
        <v>36.7</v>
      </c>
    </row>
    <row r="13">
      <c r="A13" s="3" t="inlineStr">
        <is>
          <t>Portland-Vancouver-Hillsboro, OR-WA</t>
        </is>
      </c>
      <c r="B13" s="15" t="n">
        <v>453</v>
      </c>
      <c r="C13" s="15" t="n">
        <v>186</v>
      </c>
      <c r="D13" s="9" t="n">
        <v>267</v>
      </c>
      <c r="E13" s="9" t="n">
        <v>121</v>
      </c>
      <c r="F13" s="3" t="inlineStr">
        <is>
          <t>accelerating</t>
        </is>
      </c>
      <c r="G13" s="20" t="n">
        <v>97552</v>
      </c>
      <c r="H13" s="22" t="n">
        <v>39.3</v>
      </c>
    </row>
    <row r="14">
      <c r="A14" s="3" t="inlineStr">
        <is>
          <t>Seattle-Tacoma-Bellevue, WA</t>
        </is>
      </c>
      <c r="B14" s="15" t="n">
        <v>496</v>
      </c>
      <c r="C14" s="15" t="n">
        <v>263</v>
      </c>
      <c r="D14" s="9" t="n">
        <v>233</v>
      </c>
      <c r="E14" s="9" t="n">
        <v>70</v>
      </c>
      <c r="F14" s="3" t="inlineStr">
        <is>
          <t>accelerating</t>
        </is>
      </c>
      <c r="G14" s="20" t="n">
        <v>115282</v>
      </c>
      <c r="H14" s="22" t="n">
        <v>37.5</v>
      </c>
    </row>
    <row r="15">
      <c r="A15" s="3" t="inlineStr">
        <is>
          <t>Memphis, TN-MS-AR</t>
        </is>
      </c>
      <c r="B15" s="15" t="n">
        <v>268</v>
      </c>
      <c r="C15" s="15" t="n">
        <v>40</v>
      </c>
      <c r="D15" s="9" t="n">
        <v>228</v>
      </c>
      <c r="E15" s="9" t="n">
        <v>36</v>
      </c>
      <c r="F15" s="3" t="inlineStr">
        <is>
          <t>accelerating</t>
        </is>
      </c>
      <c r="G15" s="20" t="n">
        <v>66978</v>
      </c>
      <c r="H15" s="22" t="n">
        <v>36.8</v>
      </c>
    </row>
    <row r="16">
      <c r="A16" s="3" t="inlineStr">
        <is>
          <t>Twin Falls, ID</t>
        </is>
      </c>
      <c r="B16" s="15" t="n">
        <v>348</v>
      </c>
      <c r="C16" s="15" t="n">
        <v>129</v>
      </c>
      <c r="D16" s="9" t="n">
        <v>219</v>
      </c>
      <c r="E16" s="9" t="n">
        <v>22</v>
      </c>
      <c r="F16" s="3" t="inlineStr">
        <is>
          <t>accelerating</t>
        </is>
      </c>
      <c r="G16" s="20" t="n">
        <v>68939</v>
      </c>
      <c r="H16" s="22" t="n">
        <v>35.8</v>
      </c>
    </row>
    <row r="17">
      <c r="A17" s="3" t="inlineStr">
        <is>
          <t>Fresno, CA</t>
        </is>
      </c>
      <c r="B17" s="15" t="n">
        <v>190</v>
      </c>
      <c r="C17" s="15" t="n">
        <v>0</v>
      </c>
      <c r="D17" s="9" t="n">
        <v>190</v>
      </c>
      <c r="E17" s="9" t="n">
        <v>49</v>
      </c>
      <c r="F17" s="3" t="inlineStr">
        <is>
          <t>accelerating</t>
        </is>
      </c>
      <c r="G17" s="20" t="n">
        <v>74444</v>
      </c>
      <c r="H17" s="22" t="n">
        <v>33.7</v>
      </c>
    </row>
    <row r="18">
      <c r="A18" s="3" t="inlineStr">
        <is>
          <t>Albuquerque, NM</t>
        </is>
      </c>
      <c r="B18" s="15" t="n">
        <v>231</v>
      </c>
      <c r="C18" s="15" t="n">
        <v>43</v>
      </c>
      <c r="D18" s="9" t="n">
        <v>188</v>
      </c>
      <c r="E18" s="9" t="n">
        <v>293</v>
      </c>
      <c r="F18" s="3" t="inlineStr">
        <is>
          <t>slowing</t>
        </is>
      </c>
      <c r="G18" s="20" t="n">
        <v>70890</v>
      </c>
      <c r="H18" s="22" t="n">
        <v>39.8</v>
      </c>
    </row>
    <row r="19">
      <c r="A19" s="3" t="inlineStr">
        <is>
          <t>Oxnard-Thousand Oaks-Ventura, CA</t>
        </is>
      </c>
      <c r="B19" s="15" t="n">
        <v>219</v>
      </c>
      <c r="C19" s="15" t="n">
        <v>32</v>
      </c>
      <c r="D19" s="9" t="n">
        <v>187</v>
      </c>
      <c r="E19" s="9" t="n">
        <v>144</v>
      </c>
      <c r="F19" s="3" t="inlineStr">
        <is>
          <t>accelerating</t>
        </is>
      </c>
      <c r="G19" s="20" t="n">
        <v>110871</v>
      </c>
      <c r="H19" s="22" t="n">
        <v>39.6</v>
      </c>
    </row>
    <row r="20">
      <c r="A20" s="3" t="inlineStr">
        <is>
          <t>Wichita, KS</t>
        </is>
      </c>
      <c r="B20" s="15" t="n">
        <v>245</v>
      </c>
      <c r="C20" s="15" t="n">
        <v>73</v>
      </c>
      <c r="D20" s="9" t="n">
        <v>172</v>
      </c>
      <c r="E20" s="9" t="n">
        <v>0</v>
      </c>
      <c r="F20" s="3" t="inlineStr">
        <is>
          <t>accelerating</t>
        </is>
      </c>
      <c r="G20" s="20" t="n">
        <v>70562</v>
      </c>
      <c r="H20" s="22" t="n">
        <v>36.7</v>
      </c>
    </row>
    <row r="21">
      <c r="A21" s="3" t="inlineStr">
        <is>
          <t>Santa Rosa-Petaluma, CA</t>
        </is>
      </c>
      <c r="B21" s="15" t="n">
        <v>181</v>
      </c>
      <c r="C21" s="15" t="n">
        <v>16</v>
      </c>
      <c r="D21" s="9" t="n">
        <v>165</v>
      </c>
      <c r="E21" s="9" t="n">
        <v>85</v>
      </c>
      <c r="F21" s="3" t="inlineStr">
        <is>
          <t>accelerating</t>
        </is>
      </c>
      <c r="G21" s="20" t="n">
        <v>105565</v>
      </c>
      <c r="H21" s="22" t="n">
        <v>42.9</v>
      </c>
    </row>
    <row r="22">
      <c r="A22" s="3" t="inlineStr">
        <is>
          <t>Louisville/Jefferson County, KY-IN</t>
        </is>
      </c>
      <c r="B22" s="15" t="n">
        <v>192</v>
      </c>
      <c r="C22" s="15" t="n">
        <v>30</v>
      </c>
      <c r="D22" s="9" t="n">
        <v>162</v>
      </c>
      <c r="E22" s="9" t="n">
        <v>-97</v>
      </c>
      <c r="F22" s="3" t="inlineStr">
        <is>
          <t>accelerating</t>
        </is>
      </c>
      <c r="G22" s="20" t="n">
        <v>73863</v>
      </c>
      <c r="H22" s="22" t="n">
        <v>39.4</v>
      </c>
    </row>
    <row r="23">
      <c r="A23" s="3" t="inlineStr">
        <is>
          <t>Laramie, WY</t>
        </is>
      </c>
      <c r="B23" s="15" t="n">
        <v>186</v>
      </c>
      <c r="C23" s="15" t="n">
        <v>25</v>
      </c>
      <c r="D23" s="9" t="n">
        <v>161</v>
      </c>
      <c r="E23" s="9" t="n">
        <v>-72</v>
      </c>
      <c r="F23" s="3" t="inlineStr">
        <is>
          <t>accelerating</t>
        </is>
      </c>
      <c r="G23" s="20" t="n">
        <v>61953</v>
      </c>
      <c r="H23" s="22" t="n">
        <v>28.6</v>
      </c>
    </row>
    <row r="24">
      <c r="A24" s="3" t="inlineStr">
        <is>
          <t>Cincinnati, OH-KY-IN</t>
        </is>
      </c>
      <c r="B24" s="15" t="n">
        <v>154</v>
      </c>
      <c r="C24" s="15" t="n">
        <v>0</v>
      </c>
      <c r="D24" s="9" t="n">
        <v>154</v>
      </c>
      <c r="E24" s="9" t="n">
        <v>7</v>
      </c>
      <c r="F24" s="3" t="inlineStr">
        <is>
          <t>accelerating</t>
        </is>
      </c>
      <c r="G24" s="20" t="n">
        <v>81611</v>
      </c>
      <c r="H24" s="22" t="n">
        <v>38.2</v>
      </c>
    </row>
    <row r="25">
      <c r="A25" s="3" t="inlineStr">
        <is>
          <t>Virginia Beach-Chesapeake-Norfolk, VA-NC</t>
        </is>
      </c>
      <c r="B25" s="15" t="n">
        <v>197</v>
      </c>
      <c r="C25" s="15" t="n">
        <v>61</v>
      </c>
      <c r="D25" s="9" t="n">
        <v>136</v>
      </c>
      <c r="E25" s="9" t="n">
        <v>64</v>
      </c>
      <c r="F25" s="3" t="inlineStr">
        <is>
          <t>accelerating</t>
        </is>
      </c>
      <c r="G25" s="20" t="n">
        <v>82965</v>
      </c>
      <c r="H25" s="22" t="n">
        <v>37.4</v>
      </c>
    </row>
    <row r="26">
      <c r="A26" s="3" t="inlineStr">
        <is>
          <t>Omaha, NE-IA</t>
        </is>
      </c>
      <c r="B26" s="15" t="n">
        <v>175</v>
      </c>
      <c r="C26" s="15" t="n">
        <v>59</v>
      </c>
      <c r="D26" s="9" t="n">
        <v>116</v>
      </c>
      <c r="E26" s="9" t="n">
        <v>36</v>
      </c>
      <c r="F26" s="3" t="inlineStr">
        <is>
          <t>accelerating</t>
        </is>
      </c>
      <c r="G26" s="20" t="n">
        <v>85407</v>
      </c>
      <c r="H26" s="22" t="n">
        <v>36.6</v>
      </c>
    </row>
    <row r="27">
      <c r="A27" s="3" t="inlineStr">
        <is>
          <t>San Jose-Sunnyvale-Santa Clara, CA</t>
        </is>
      </c>
      <c r="B27" s="15" t="n">
        <v>231</v>
      </c>
      <c r="C27" s="15" t="n">
        <v>115</v>
      </c>
      <c r="D27" s="9" t="n">
        <v>116</v>
      </c>
      <c r="E27" s="9" t="n">
        <v>247</v>
      </c>
      <c r="F27" s="3" t="inlineStr">
        <is>
          <t>slowing</t>
        </is>
      </c>
      <c r="G27" s="20" t="n">
        <v>163631</v>
      </c>
      <c r="H27" s="22" t="n">
        <v>38</v>
      </c>
    </row>
    <row r="28">
      <c r="A28" s="3" t="inlineStr">
        <is>
          <t>Sioux City, IA-NE-SD</t>
        </is>
      </c>
      <c r="B28" s="15" t="n">
        <v>116</v>
      </c>
      <c r="C28" s="15" t="n">
        <v>0</v>
      </c>
      <c r="D28" s="9" t="n">
        <v>116</v>
      </c>
      <c r="E28" s="9" t="n">
        <v>-41</v>
      </c>
      <c r="F28" s="3" t="inlineStr">
        <is>
          <t>accelerating</t>
        </is>
      </c>
      <c r="G28" s="20" t="n">
        <v>75213</v>
      </c>
      <c r="H28" s="22" t="n">
        <v>36.2</v>
      </c>
    </row>
    <row r="29">
      <c r="A29" s="3" t="inlineStr">
        <is>
          <t>Las Vegas-Henderson-North Las Vegas, NV</t>
        </is>
      </c>
      <c r="B29" s="15" t="n">
        <v>220</v>
      </c>
      <c r="C29" s="15" t="n">
        <v>105</v>
      </c>
      <c r="D29" s="9" t="n">
        <v>115</v>
      </c>
      <c r="E29" s="9" t="n">
        <v>42</v>
      </c>
      <c r="F29" s="3" t="inlineStr">
        <is>
          <t>accelerating</t>
        </is>
      </c>
      <c r="G29" s="20" t="n">
        <v>76729</v>
      </c>
      <c r="H29" s="22" t="n">
        <v>38.5</v>
      </c>
    </row>
    <row r="30">
      <c r="A30" s="3" t="inlineStr">
        <is>
          <t>Bloomington, IN</t>
        </is>
      </c>
      <c r="B30" s="15" t="n">
        <v>111</v>
      </c>
      <c r="C30" s="15" t="n">
        <v>0</v>
      </c>
      <c r="D30" s="9" t="n">
        <v>111</v>
      </c>
      <c r="E30" s="9" t="n">
        <v>-55</v>
      </c>
      <c r="F30" s="3" t="inlineStr">
        <is>
          <t>accelerating</t>
        </is>
      </c>
      <c r="G30" s="20" t="n">
        <v>65612</v>
      </c>
      <c r="H30" s="22" t="n">
        <v>33.1</v>
      </c>
    </row>
    <row r="31">
      <c r="A31" s="3" t="inlineStr">
        <is>
          <t>Idaho Falls, ID</t>
        </is>
      </c>
      <c r="B31" s="15" t="n">
        <v>207</v>
      </c>
      <c r="C31" s="15" t="n">
        <v>101</v>
      </c>
      <c r="D31" s="9" t="n">
        <v>106</v>
      </c>
      <c r="E31" s="9" t="n">
        <v>68</v>
      </c>
      <c r="F31" s="3" t="inlineStr">
        <is>
          <t>accelerating</t>
        </is>
      </c>
      <c r="G31" s="20" t="n">
        <v>80973</v>
      </c>
      <c r="H31" s="22" t="n">
        <v>33.5</v>
      </c>
    </row>
    <row r="32">
      <c r="A32" s="3" t="inlineStr">
        <is>
          <t>Philadelphia-Camden-Wilmington, PA-NJ-DE-MD</t>
        </is>
      </c>
      <c r="B32" s="15" t="n">
        <v>117</v>
      </c>
      <c r="C32" s="15" t="n">
        <v>12</v>
      </c>
      <c r="D32" s="9" t="n">
        <v>105</v>
      </c>
      <c r="E32" s="9" t="n">
        <v>47</v>
      </c>
      <c r="F32" s="3" t="inlineStr">
        <is>
          <t>accelerating</t>
        </is>
      </c>
      <c r="G32" s="20" t="n">
        <v>91571</v>
      </c>
      <c r="H32" s="22" t="n">
        <v>39.3</v>
      </c>
    </row>
    <row r="33">
      <c r="A33" s="3" t="inlineStr">
        <is>
          <t>Jackson, WY-ID</t>
        </is>
      </c>
      <c r="B33" s="15" t="n">
        <v>150</v>
      </c>
      <c r="C33" s="15" t="n">
        <v>46</v>
      </c>
      <c r="D33" s="9" t="n">
        <v>104</v>
      </c>
      <c r="E33" s="9" t="n">
        <v>-32</v>
      </c>
      <c r="F33" s="3" t="inlineStr">
        <is>
          <t>accelerating</t>
        </is>
      </c>
      <c r="G33" s="20" t="n">
        <v>117924</v>
      </c>
      <c r="H33" s="22" t="n">
        <v>40</v>
      </c>
    </row>
    <row r="34">
      <c r="A34" s="3" t="inlineStr">
        <is>
          <t>Daphne-Fairhope-Foley, AL</t>
        </is>
      </c>
      <c r="B34" s="15" t="n">
        <v>103</v>
      </c>
      <c r="C34" s="15" t="n">
        <v>0</v>
      </c>
      <c r="D34" s="9" t="n">
        <v>103</v>
      </c>
      <c r="E34" s="9" t="n">
        <v>0</v>
      </c>
      <c r="F34" s="3" t="inlineStr">
        <is>
          <t>accelerating</t>
        </is>
      </c>
      <c r="G34" s="20" t="n">
        <v>78201</v>
      </c>
      <c r="H34" s="22" t="n">
        <v>43.9</v>
      </c>
    </row>
    <row r="35">
      <c r="A35" s="3" t="inlineStr">
        <is>
          <t>Provo-Orem-Lehi, UT</t>
        </is>
      </c>
      <c r="B35" s="15" t="n">
        <v>173</v>
      </c>
      <c r="C35" s="15" t="n">
        <v>72</v>
      </c>
      <c r="D35" s="9" t="n">
        <v>101</v>
      </c>
      <c r="E35" s="9" t="n">
        <v>8</v>
      </c>
      <c r="F35" s="3" t="inlineStr">
        <is>
          <t>accelerating</t>
        </is>
      </c>
      <c r="G35" s="20" t="n">
        <v>100973</v>
      </c>
      <c r="H35" s="22" t="n">
        <v>25.8</v>
      </c>
    </row>
    <row r="36">
      <c r="A36" s="3" t="inlineStr">
        <is>
          <t>Waterloo-Cedar Falls, IA</t>
        </is>
      </c>
      <c r="B36" s="15" t="n">
        <v>100</v>
      </c>
      <c r="C36" s="15" t="n">
        <v>0</v>
      </c>
      <c r="D36" s="9" t="n">
        <v>100</v>
      </c>
      <c r="E36" s="9" t="n">
        <v>-64</v>
      </c>
      <c r="F36" s="3" t="inlineStr">
        <is>
          <t>accelerating</t>
        </is>
      </c>
      <c r="G36" s="20" t="n">
        <v>70398</v>
      </c>
      <c r="H36" s="22" t="n">
        <v>36.8</v>
      </c>
    </row>
    <row r="37">
      <c r="A37" s="3" t="inlineStr">
        <is>
          <t>Richmond, VA</t>
        </is>
      </c>
      <c r="B37" s="15" t="n">
        <v>99</v>
      </c>
      <c r="C37" s="15" t="n">
        <v>0</v>
      </c>
      <c r="D37" s="9" t="n">
        <v>99</v>
      </c>
      <c r="E37" s="9" t="n">
        <v>-186</v>
      </c>
      <c r="F37" s="3" t="inlineStr">
        <is>
          <t>accelerating</t>
        </is>
      </c>
      <c r="G37" s="20" t="n">
        <v>87111</v>
      </c>
      <c r="H37" s="22" t="n">
        <v>38.8</v>
      </c>
    </row>
    <row r="38">
      <c r="A38" s="3" t="inlineStr">
        <is>
          <t>Stockton-Lodi, CA</t>
        </is>
      </c>
      <c r="B38" s="15" t="n">
        <v>177</v>
      </c>
      <c r="C38" s="15" t="n">
        <v>82</v>
      </c>
      <c r="D38" s="9" t="n">
        <v>95</v>
      </c>
      <c r="E38" s="9" t="n">
        <v>-5</v>
      </c>
      <c r="F38" s="3" t="inlineStr">
        <is>
          <t>accelerating</t>
        </is>
      </c>
      <c r="G38" s="20" t="n">
        <v>93026</v>
      </c>
      <c r="H38" s="22" t="n">
        <v>35.4</v>
      </c>
    </row>
    <row r="39">
      <c r="A39" s="3" t="inlineStr">
        <is>
          <t>New York-Newark-Jersey City, NY-NJ</t>
        </is>
      </c>
      <c r="B39" s="15" t="n">
        <v>115</v>
      </c>
      <c r="C39" s="15" t="n">
        <v>25</v>
      </c>
      <c r="D39" s="9" t="n">
        <v>90</v>
      </c>
      <c r="E39" s="9" t="n">
        <v>20</v>
      </c>
      <c r="F39" s="3" t="inlineStr">
        <is>
          <t>accelerating</t>
        </is>
      </c>
      <c r="G39" s="20" t="n">
        <v>99203</v>
      </c>
      <c r="H39" s="22" t="n">
        <v>39.5</v>
      </c>
    </row>
    <row r="40">
      <c r="A40" s="3" t="inlineStr">
        <is>
          <t>Dover, DE</t>
        </is>
      </c>
      <c r="B40" s="15" t="n">
        <v>87</v>
      </c>
      <c r="C40" s="15" t="n">
        <v>0</v>
      </c>
      <c r="D40" s="9" t="n">
        <v>87</v>
      </c>
      <c r="E40" s="9" t="n">
        <v>0</v>
      </c>
      <c r="F40" s="3" t="inlineStr">
        <is>
          <t>accelerating</t>
        </is>
      </c>
      <c r="G40" s="20" t="n">
        <v>74533</v>
      </c>
      <c r="H40" s="22" t="n">
        <v>38.8</v>
      </c>
    </row>
    <row r="41">
      <c r="A41" s="3" t="inlineStr">
        <is>
          <t>Modesto, CA</t>
        </is>
      </c>
      <c r="B41" s="15" t="n">
        <v>171</v>
      </c>
      <c r="C41" s="15" t="n">
        <v>84</v>
      </c>
      <c r="D41" s="9" t="n">
        <v>87</v>
      </c>
      <c r="E41" s="9" t="n">
        <v>54</v>
      </c>
      <c r="F41" s="3" t="inlineStr">
        <is>
          <t>accelerating</t>
        </is>
      </c>
      <c r="G41" s="20" t="n">
        <v>82208</v>
      </c>
      <c r="H41" s="22" t="n">
        <v>34.9</v>
      </c>
    </row>
    <row r="42">
      <c r="A42" s="3" t="inlineStr">
        <is>
          <t>Wisconsin Rapids-Marshfield, WI</t>
        </is>
      </c>
      <c r="B42" s="15" t="n">
        <v>85</v>
      </c>
      <c r="C42" s="15" t="n">
        <v>0</v>
      </c>
      <c r="D42" s="9" t="n">
        <v>85</v>
      </c>
      <c r="E42" s="9" t="n">
        <v>0</v>
      </c>
      <c r="F42" s="3" t="inlineStr">
        <is>
          <t>accelerating</t>
        </is>
      </c>
      <c r="G42" s="20" t="n">
        <v>66855</v>
      </c>
      <c r="H42" s="22" t="n">
        <v>43.8</v>
      </c>
    </row>
    <row r="43">
      <c r="A43" s="3" t="inlineStr">
        <is>
          <t>Peoria, IL</t>
        </is>
      </c>
      <c r="B43" s="15" t="n">
        <v>83</v>
      </c>
      <c r="C43" s="15" t="n">
        <v>0</v>
      </c>
      <c r="D43" s="9" t="n">
        <v>83</v>
      </c>
      <c r="E43" s="9" t="n">
        <v>-43</v>
      </c>
      <c r="F43" s="3" t="inlineStr">
        <is>
          <t>accelerating</t>
        </is>
      </c>
      <c r="G43" s="20" t="n">
        <v>72232</v>
      </c>
      <c r="H43" s="22" t="n">
        <v>40.1</v>
      </c>
    </row>
    <row r="44">
      <c r="A44" s="3" t="inlineStr">
        <is>
          <t>Blacksburg-Christiansburg-Radford, VA</t>
        </is>
      </c>
      <c r="B44" s="15" t="n">
        <v>82</v>
      </c>
      <c r="C44" s="15" t="n">
        <v>0</v>
      </c>
      <c r="D44" s="9" t="n">
        <v>82</v>
      </c>
      <c r="E44" s="9" t="n">
        <v>0</v>
      </c>
      <c r="F44" s="3" t="inlineStr">
        <is>
          <t>accelerating</t>
        </is>
      </c>
      <c r="G44" s="20" t="n">
        <v>66319</v>
      </c>
      <c r="H44" s="22" t="n">
        <v>35.1</v>
      </c>
    </row>
    <row r="46">
      <c r="A46" s="6" t="inlineStr">
        <is>
          <t>California total (net)</t>
        </is>
      </c>
      <c r="D46" s="12" t="n">
        <v>3973</v>
      </c>
      <c r="F46" s="6">
        <f> 47% of table net</f>
        <v/>
      </c>
    </row>
    <row r="47">
      <c r="A47" s="6" t="inlineStr">
        <is>
          <t>All markets in table (net)</t>
        </is>
      </c>
      <c r="D47" s="12" t="n">
        <v>8492</v>
      </c>
    </row>
    <row r="49">
      <c r="A49" s="2" t="inlineStr">
        <is>
          <t>Bottom-6 net outflows: Moscow ID −197 (university) · Nashville −159 · OKC −139 · Cleveland −118 · Knoxville −114 · Norwich CT −99. DC feeder +338 doubled YoY (federal exodus).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3" customWidth="1" min="4" max="4"/>
    <col width="12" customWidth="1" min="5" max="5"/>
    <col width="13" customWidth="1" min="6" max="6"/>
    <col width="13" customWidth="1" min="7" max="7"/>
    <col width="12" customWidth="1" min="8" max="8"/>
  </cols>
  <sheetData>
    <row r="1">
      <c r="A1" s="1" t="inlineStr">
        <is>
          <t>Treasure Valley ZIP-Level Net Migration (Placer.ai)</t>
        </is>
      </c>
    </row>
    <row r="2">
      <c r="A2" s="2" t="inlineStr">
        <is>
          <t>YE Jun 2026 vs prior year (prior = 2-yr net minus 1-yr net). Subject: Seasons at Meridian is in ZIP 83642 (south Meridian).</t>
        </is>
      </c>
    </row>
    <row r="4">
      <c r="A4" s="7" t="inlineStr">
        <is>
          <t>ZIP</t>
        </is>
      </c>
      <c r="B4" s="7" t="inlineStr">
        <is>
          <t>Area</t>
        </is>
      </c>
      <c r="C4" s="7" t="inlineStr">
        <is>
          <t>Population</t>
        </is>
      </c>
      <c r="D4" s="7" t="inlineStr">
        <is>
          <t>Net YE Jun-26</t>
        </is>
      </c>
      <c r="E4" s="7" t="inlineStr">
        <is>
          <t>Net prior yr</t>
        </is>
      </c>
      <c r="F4" s="7" t="inlineStr">
        <is>
          <t>Acceleration</t>
        </is>
      </c>
      <c r="G4" s="7" t="inlineStr">
        <is>
          <t>Rate per 1,000</t>
        </is>
      </c>
      <c r="H4" s="7" t="inlineStr">
        <is>
          <t>Median HHI</t>
        </is>
      </c>
    </row>
    <row r="5">
      <c r="A5" s="23" t="inlineStr">
        <is>
          <t>83642 ◀ SUBJECT</t>
        </is>
      </c>
      <c r="B5" s="23" t="inlineStr">
        <is>
          <t>Meridian</t>
        </is>
      </c>
      <c r="C5" s="24" t="n">
        <v>69751</v>
      </c>
      <c r="D5" s="25" t="n">
        <v>2417</v>
      </c>
      <c r="E5" s="25" t="n">
        <v>1340</v>
      </c>
      <c r="F5" s="25" t="n">
        <v>1077</v>
      </c>
      <c r="G5" s="26" t="n">
        <v>34.65183294863157</v>
      </c>
      <c r="H5" s="27" t="n">
        <v>99036</v>
      </c>
    </row>
    <row r="6">
      <c r="A6" s="3" t="inlineStr">
        <is>
          <t>83687</t>
        </is>
      </c>
      <c r="B6" s="3" t="inlineStr">
        <is>
          <t>Nampa</t>
        </is>
      </c>
      <c r="C6" s="15" t="n">
        <v>47490</v>
      </c>
      <c r="D6" s="9" t="n">
        <v>1604</v>
      </c>
      <c r="E6" s="9" t="n">
        <v>789</v>
      </c>
      <c r="F6" s="9" t="n">
        <v>815</v>
      </c>
      <c r="G6" s="28" t="n">
        <v>33.7755316908823</v>
      </c>
      <c r="H6" s="20" t="n">
        <v>75607</v>
      </c>
    </row>
    <row r="7">
      <c r="A7" s="3" t="inlineStr">
        <is>
          <t>83706</t>
        </is>
      </c>
      <c r="B7" s="3" t="inlineStr">
        <is>
          <t>Boise</t>
        </is>
      </c>
      <c r="C7" s="15" t="n">
        <v>36719</v>
      </c>
      <c r="D7" s="9" t="n">
        <v>1025</v>
      </c>
      <c r="E7" s="9" t="n">
        <v>-70</v>
      </c>
      <c r="F7" s="9" t="n">
        <v>1095</v>
      </c>
      <c r="G7" s="28" t="n">
        <v>27.91470355946512</v>
      </c>
      <c r="H7" s="20" t="n">
        <v>82923</v>
      </c>
    </row>
    <row r="8">
      <c r="A8" s="3" t="inlineStr">
        <is>
          <t>83669</t>
        </is>
      </c>
      <c r="B8" s="3" t="inlineStr">
        <is>
          <t>Star</t>
        </is>
      </c>
      <c r="C8" s="15" t="n">
        <v>22980</v>
      </c>
      <c r="D8" s="9" t="n">
        <v>836</v>
      </c>
      <c r="E8" s="9" t="n">
        <v>1042</v>
      </c>
      <c r="F8" s="9" t="n">
        <v>-206</v>
      </c>
      <c r="G8" s="28" t="n">
        <v>36.37946040034813</v>
      </c>
      <c r="H8" s="20" t="n">
        <v>99630</v>
      </c>
    </row>
    <row r="9">
      <c r="A9" s="3" t="inlineStr">
        <is>
          <t>83709</t>
        </is>
      </c>
      <c r="B9" s="3" t="inlineStr">
        <is>
          <t>Boise</t>
        </is>
      </c>
      <c r="C9" s="15" t="n">
        <v>57862</v>
      </c>
      <c r="D9" s="9" t="n">
        <v>709</v>
      </c>
      <c r="E9" s="9" t="n">
        <v>-126</v>
      </c>
      <c r="F9" s="9" t="n">
        <v>835</v>
      </c>
      <c r="G9" s="28" t="n">
        <v>12.25329231620061</v>
      </c>
      <c r="H9" s="20" t="n">
        <v>94687</v>
      </c>
    </row>
    <row r="10">
      <c r="A10" s="3" t="inlineStr">
        <is>
          <t>83607</t>
        </is>
      </c>
      <c r="B10" s="3" t="inlineStr">
        <is>
          <t>Caldwell</t>
        </is>
      </c>
      <c r="C10" s="15" t="n">
        <v>42097</v>
      </c>
      <c r="D10" s="9" t="n">
        <v>511</v>
      </c>
      <c r="E10" s="9" t="n">
        <v>710</v>
      </c>
      <c r="F10" s="9" t="n">
        <v>-199</v>
      </c>
      <c r="G10" s="28" t="n">
        <v>12.13863220657054</v>
      </c>
      <c r="H10" s="20" t="n">
        <v>85808</v>
      </c>
    </row>
    <row r="11">
      <c r="A11" s="3" t="inlineStr">
        <is>
          <t>83605</t>
        </is>
      </c>
      <c r="B11" s="3" t="inlineStr">
        <is>
          <t>Caldwell</t>
        </is>
      </c>
      <c r="C11" s="15" t="n">
        <v>42373</v>
      </c>
      <c r="D11" s="9" t="n">
        <v>489</v>
      </c>
      <c r="E11" s="9" t="n">
        <v>-118</v>
      </c>
      <c r="F11" s="9" t="n">
        <v>607</v>
      </c>
      <c r="G11" s="28" t="n">
        <v>11.54036768697048</v>
      </c>
      <c r="H11" s="20" t="n">
        <v>67920</v>
      </c>
    </row>
    <row r="12">
      <c r="A12" s="3" t="inlineStr">
        <is>
          <t>83617</t>
        </is>
      </c>
      <c r="B12" s="3" t="inlineStr">
        <is>
          <t>Emmett</t>
        </is>
      </c>
      <c r="C12" s="15" t="n">
        <v>19169</v>
      </c>
      <c r="D12" s="9" t="n">
        <v>381</v>
      </c>
      <c r="E12" s="9" t="n">
        <v>-56</v>
      </c>
      <c r="F12" s="9" t="n">
        <v>437</v>
      </c>
      <c r="G12" s="28" t="n">
        <v>19.87584120194063</v>
      </c>
      <c r="H12" s="20" t="n">
        <v>65763</v>
      </c>
    </row>
    <row r="13">
      <c r="A13" s="3" t="inlineStr">
        <is>
          <t>83616</t>
        </is>
      </c>
      <c r="B13" s="3" t="inlineStr">
        <is>
          <t>Eagle</t>
        </is>
      </c>
      <c r="C13" s="15" t="n">
        <v>42477</v>
      </c>
      <c r="D13" s="9" t="n">
        <v>340</v>
      </c>
      <c r="E13" s="9" t="n">
        <v>23</v>
      </c>
      <c r="F13" s="9" t="n">
        <v>317</v>
      </c>
      <c r="G13" s="28" t="n">
        <v>8.004331756009133</v>
      </c>
      <c r="H13" s="20" t="n">
        <v>123108</v>
      </c>
    </row>
    <row r="14">
      <c r="A14" s="3" t="inlineStr">
        <is>
          <t>83634</t>
        </is>
      </c>
      <c r="B14" s="3" t="inlineStr">
        <is>
          <t>Kuna</t>
        </is>
      </c>
      <c r="C14" s="15" t="n">
        <v>39982</v>
      </c>
      <c r="D14" s="9" t="n">
        <v>316</v>
      </c>
      <c r="E14" s="9" t="n">
        <v>120</v>
      </c>
      <c r="F14" s="9" t="n">
        <v>196</v>
      </c>
      <c r="G14" s="28" t="n">
        <v>7.90355660047021</v>
      </c>
      <c r="H14" s="20" t="n">
        <v>95799</v>
      </c>
    </row>
    <row r="15">
      <c r="A15" s="3" t="inlineStr">
        <is>
          <t>83714</t>
        </is>
      </c>
      <c r="B15" s="3" t="inlineStr">
        <is>
          <t>Garden City</t>
        </is>
      </c>
      <c r="C15" s="15" t="n">
        <v>30537</v>
      </c>
      <c r="D15" s="9" t="n">
        <v>310</v>
      </c>
      <c r="E15" s="9" t="n">
        <v>226</v>
      </c>
      <c r="F15" s="9" t="n">
        <v>84</v>
      </c>
      <c r="G15" s="28" t="n">
        <v>10.15161934702165</v>
      </c>
      <c r="H15" s="20" t="n">
        <v>88576</v>
      </c>
    </row>
    <row r="16">
      <c r="A16" s="3" t="inlineStr">
        <is>
          <t>83646</t>
        </is>
      </c>
      <c r="B16" s="3" t="inlineStr">
        <is>
          <t>Meridian</t>
        </is>
      </c>
      <c r="C16" s="15" t="n">
        <v>81255</v>
      </c>
      <c r="D16" s="9" t="n">
        <v>309</v>
      </c>
      <c r="E16" s="9" t="n">
        <v>820</v>
      </c>
      <c r="F16" s="9" t="n">
        <v>-511</v>
      </c>
      <c r="G16" s="28" t="n">
        <v>3.802842901975263</v>
      </c>
      <c r="H16" s="20" t="n">
        <v>104050</v>
      </c>
    </row>
    <row r="17">
      <c r="A17" s="3" t="inlineStr">
        <is>
          <t>83641</t>
        </is>
      </c>
      <c r="B17" s="3" t="inlineStr">
        <is>
          <t>Melba</t>
        </is>
      </c>
      <c r="C17" s="15" t="n">
        <v>4541</v>
      </c>
      <c r="D17" s="9" t="n">
        <v>227</v>
      </c>
      <c r="E17" s="9" t="n">
        <v>163</v>
      </c>
      <c r="F17" s="9" t="n">
        <v>64</v>
      </c>
      <c r="G17" s="28" t="n">
        <v>49.98898920942524</v>
      </c>
      <c r="H17" s="20" t="n">
        <v>83795</v>
      </c>
    </row>
    <row r="18">
      <c r="A18" s="3" t="inlineStr">
        <is>
          <t>83702</t>
        </is>
      </c>
      <c r="B18" s="3" t="inlineStr">
        <is>
          <t>Boise</t>
        </is>
      </c>
      <c r="C18" s="15" t="n">
        <v>24712</v>
      </c>
      <c r="D18" s="9" t="n">
        <v>203</v>
      </c>
      <c r="E18" s="9" t="n">
        <v>352</v>
      </c>
      <c r="F18" s="9" t="n">
        <v>-149</v>
      </c>
      <c r="G18" s="28" t="n">
        <v>8.214632567173842</v>
      </c>
      <c r="H18" s="20" t="n">
        <v>84121</v>
      </c>
    </row>
    <row r="19">
      <c r="A19" s="3" t="inlineStr">
        <is>
          <t>83712</t>
        </is>
      </c>
      <c r="B19" s="3" t="inlineStr">
        <is>
          <t>Boise</t>
        </is>
      </c>
      <c r="C19" s="15" t="n">
        <v>9065</v>
      </c>
      <c r="D19" s="9" t="n">
        <v>186</v>
      </c>
      <c r="E19" s="9" t="n">
        <v>82</v>
      </c>
      <c r="F19" s="9" t="n">
        <v>104</v>
      </c>
      <c r="G19" s="28" t="n">
        <v>20.5184776613348</v>
      </c>
      <c r="H19" s="20" t="n">
        <v>107072</v>
      </c>
    </row>
    <row r="20">
      <c r="A20" s="3" t="inlineStr">
        <is>
          <t>83660</t>
        </is>
      </c>
      <c r="B20" s="3" t="inlineStr">
        <is>
          <t>Parma</t>
        </is>
      </c>
      <c r="C20" s="15" t="n">
        <v>7564</v>
      </c>
      <c r="D20" s="9" t="n">
        <v>161</v>
      </c>
      <c r="E20" s="9" t="n">
        <v>15</v>
      </c>
      <c r="F20" s="9" t="n">
        <v>146</v>
      </c>
      <c r="G20" s="28" t="n">
        <v>21.28503437334743</v>
      </c>
      <c r="H20" s="20" t="n">
        <v>65592</v>
      </c>
    </row>
    <row r="21">
      <c r="A21" s="3" t="inlineStr">
        <is>
          <t>83686</t>
        </is>
      </c>
      <c r="B21" s="3" t="inlineStr">
        <is>
          <t>Nampa</t>
        </is>
      </c>
      <c r="C21" s="15" t="n">
        <v>62304</v>
      </c>
      <c r="D21" s="9" t="n">
        <v>157</v>
      </c>
      <c r="E21" s="9" t="n">
        <v>273</v>
      </c>
      <c r="F21" s="9" t="n">
        <v>-116</v>
      </c>
      <c r="G21" s="28" t="n">
        <v>2.519902413970211</v>
      </c>
      <c r="H21" s="20" t="n">
        <v>86440</v>
      </c>
    </row>
    <row r="22">
      <c r="A22" s="3" t="inlineStr">
        <is>
          <t>83644</t>
        </is>
      </c>
      <c r="B22" s="3" t="inlineStr">
        <is>
          <t>Middleton</t>
        </is>
      </c>
      <c r="C22" s="15" t="n">
        <v>19526</v>
      </c>
      <c r="D22" s="9" t="n">
        <v>153</v>
      </c>
      <c r="E22" s="9" t="n">
        <v>209</v>
      </c>
      <c r="F22" s="9" t="n">
        <v>-56</v>
      </c>
      <c r="G22" s="28" t="n">
        <v>7.835706237836731</v>
      </c>
      <c r="H22" s="20" t="n">
        <v>98413</v>
      </c>
    </row>
    <row r="23">
      <c r="A23" s="3" t="inlineStr">
        <is>
          <t>83705</t>
        </is>
      </c>
      <c r="B23" s="3" t="inlineStr">
        <is>
          <t>Boise</t>
        </is>
      </c>
      <c r="C23" s="15" t="n">
        <v>27440</v>
      </c>
      <c r="D23" s="9" t="n">
        <v>110</v>
      </c>
      <c r="E23" s="9" t="n">
        <v>159</v>
      </c>
      <c r="F23" s="9" t="n">
        <v>-49</v>
      </c>
      <c r="G23" s="28" t="n">
        <v>4.008746355685131</v>
      </c>
      <c r="H23" s="20" t="n">
        <v>64990</v>
      </c>
    </row>
    <row r="24">
      <c r="A24" s="3" t="inlineStr">
        <is>
          <t>83713</t>
        </is>
      </c>
      <c r="B24" s="3" t="inlineStr">
        <is>
          <t>Boise</t>
        </is>
      </c>
      <c r="C24" s="15" t="n">
        <v>28231</v>
      </c>
      <c r="D24" s="9" t="n">
        <v>100</v>
      </c>
      <c r="E24" s="9" t="n">
        <v>-99</v>
      </c>
      <c r="F24" s="9" t="n">
        <v>199</v>
      </c>
      <c r="G24" s="28" t="n">
        <v>3.542205377067762</v>
      </c>
      <c r="H24" s="20" t="n">
        <v>94582</v>
      </c>
    </row>
    <row r="25">
      <c r="A25" s="3" t="inlineStr">
        <is>
          <t>83676</t>
        </is>
      </c>
      <c r="B25" s="3" t="inlineStr">
        <is>
          <t>Wilder</t>
        </is>
      </c>
      <c r="C25" s="15" t="n">
        <v>5227</v>
      </c>
      <c r="D25" s="9" t="n">
        <v>85</v>
      </c>
      <c r="E25" s="9" t="n">
        <v>56</v>
      </c>
      <c r="F25" s="9" t="n">
        <v>29</v>
      </c>
      <c r="G25" s="28" t="n">
        <v>16.2617180026784</v>
      </c>
      <c r="H25" s="20" t="n">
        <v>69063</v>
      </c>
    </row>
    <row r="26">
      <c r="A26" s="3" t="inlineStr">
        <is>
          <t>83624</t>
        </is>
      </c>
      <c r="B26" s="3" t="inlineStr">
        <is>
          <t>Grand View</t>
        </is>
      </c>
      <c r="C26" s="15" t="n">
        <v>1225</v>
      </c>
      <c r="D26" s="9" t="n">
        <v>75</v>
      </c>
      <c r="E26" s="9" t="n">
        <v>11</v>
      </c>
      <c r="F26" s="9" t="n">
        <v>64</v>
      </c>
      <c r="G26" s="28" t="n">
        <v>61.22448979591837</v>
      </c>
      <c r="H26" s="20" t="n">
        <v>59064</v>
      </c>
    </row>
    <row r="27">
      <c r="A27" s="3" t="inlineStr">
        <is>
          <t>83651</t>
        </is>
      </c>
      <c r="B27" s="3" t="inlineStr">
        <is>
          <t>Nampa</t>
        </is>
      </c>
      <c r="C27" s="15" t="n">
        <v>38692</v>
      </c>
      <c r="D27" s="9" t="n">
        <v>72</v>
      </c>
      <c r="E27" s="9" t="n">
        <v>392</v>
      </c>
      <c r="F27" s="9" t="n">
        <v>-320</v>
      </c>
      <c r="G27" s="28" t="n">
        <v>1.860849788069885</v>
      </c>
      <c r="H27" s="20" t="n">
        <v>68715</v>
      </c>
    </row>
    <row r="28">
      <c r="A28" s="3" t="inlineStr">
        <is>
          <t>83639</t>
        </is>
      </c>
      <c r="B28" s="3" t="inlineStr">
        <is>
          <t>Marsing</t>
        </is>
      </c>
      <c r="C28" s="15" t="n">
        <v>3592</v>
      </c>
      <c r="D28" s="9" t="n">
        <v>57</v>
      </c>
      <c r="E28" s="9" t="n">
        <v>39</v>
      </c>
      <c r="F28" s="9" t="n">
        <v>18</v>
      </c>
      <c r="G28" s="28" t="n">
        <v>15.86859688195991</v>
      </c>
      <c r="H28" s="20" t="n">
        <v>69747</v>
      </c>
    </row>
    <row r="29">
      <c r="A29" s="3" t="inlineStr">
        <is>
          <t>83629</t>
        </is>
      </c>
      <c r="B29" s="3" t="inlineStr">
        <is>
          <t>Horseshoe Bend</t>
        </is>
      </c>
      <c r="C29" s="15" t="n">
        <v>1628</v>
      </c>
      <c r="D29" s="9" t="n">
        <v>47</v>
      </c>
      <c r="E29" s="9" t="n">
        <v>-42</v>
      </c>
      <c r="F29" s="9" t="n">
        <v>89</v>
      </c>
      <c r="G29" s="28" t="n">
        <v>28.86977886977887</v>
      </c>
      <c r="H29" s="20" t="n">
        <v>77022</v>
      </c>
    </row>
    <row r="30">
      <c r="A30" s="3" t="inlineStr">
        <is>
          <t>83631</t>
        </is>
      </c>
      <c r="B30" s="3" t="inlineStr">
        <is>
          <t>Idaho City</t>
        </is>
      </c>
      <c r="C30" s="15" t="n">
        <v>2187</v>
      </c>
      <c r="D30" s="9" t="n">
        <v>46</v>
      </c>
      <c r="E30" s="9" t="n">
        <v>66</v>
      </c>
      <c r="F30" s="9" t="n">
        <v>-20</v>
      </c>
      <c r="G30" s="28" t="n">
        <v>21.03337905807042</v>
      </c>
      <c r="H30" s="20" t="n">
        <v>80389</v>
      </c>
    </row>
    <row r="31">
      <c r="A31" s="3" t="inlineStr">
        <is>
          <t>83611</t>
        </is>
      </c>
      <c r="B31" s="3" t="inlineStr">
        <is>
          <t>Cascade</t>
        </is>
      </c>
      <c r="C31" s="15" t="n">
        <v>2589</v>
      </c>
      <c r="D31" s="9" t="n">
        <v>11</v>
      </c>
      <c r="E31" s="9" t="n">
        <v>-53</v>
      </c>
      <c r="F31" s="9" t="n">
        <v>64</v>
      </c>
      <c r="G31" s="28" t="n">
        <v>4.248744689069139</v>
      </c>
      <c r="H31" s="20" t="n">
        <v>81135</v>
      </c>
    </row>
    <row r="32">
      <c r="A32" s="3" t="inlineStr">
        <is>
          <t>83604</t>
        </is>
      </c>
      <c r="B32" s="3" t="inlineStr">
        <is>
          <t>Bruneau</t>
        </is>
      </c>
      <c r="C32" s="15" t="n">
        <v>579</v>
      </c>
      <c r="D32" s="9" t="n">
        <v>8</v>
      </c>
      <c r="E32" s="9" t="n">
        <v>-1</v>
      </c>
      <c r="F32" s="9" t="n">
        <v>9</v>
      </c>
      <c r="G32" s="28" t="n">
        <v>13.81692573402418</v>
      </c>
      <c r="H32" s="20" t="n">
        <v>47929</v>
      </c>
    </row>
    <row r="33">
      <c r="A33" s="3" t="inlineStr">
        <is>
          <t>83622</t>
        </is>
      </c>
      <c r="B33" s="3" t="inlineStr">
        <is>
          <t>Garden Valley</t>
        </is>
      </c>
      <c r="C33" s="15" t="n">
        <v>2048</v>
      </c>
      <c r="D33" s="9" t="n">
        <v>-31</v>
      </c>
      <c r="E33" s="9" t="n">
        <v>-2</v>
      </c>
      <c r="F33" s="9" t="n">
        <v>-29</v>
      </c>
      <c r="G33" s="28" t="n">
        <v>-15.13671875</v>
      </c>
      <c r="H33" s="20" t="n">
        <v>67538</v>
      </c>
    </row>
    <row r="34">
      <c r="A34" s="3" t="inlineStr">
        <is>
          <t>83704</t>
        </is>
      </c>
      <c r="B34" s="3" t="inlineStr">
        <is>
          <t>Boise</t>
        </is>
      </c>
      <c r="C34" s="15" t="n">
        <v>35858</v>
      </c>
      <c r="D34" s="9" t="n">
        <v>-58</v>
      </c>
      <c r="E34" s="9" t="n">
        <v>-488</v>
      </c>
      <c r="F34" s="9" t="n">
        <v>430</v>
      </c>
      <c r="G34" s="28" t="n">
        <v>-1.617491215349434</v>
      </c>
      <c r="H34" s="20" t="n">
        <v>73056</v>
      </c>
    </row>
    <row r="35">
      <c r="A35" s="3" t="inlineStr">
        <is>
          <t>83626</t>
        </is>
      </c>
      <c r="B35" s="3" t="inlineStr">
        <is>
          <t>Greenleaf</t>
        </is>
      </c>
      <c r="C35" s="15" t="n">
        <v>1719</v>
      </c>
      <c r="D35" s="9" t="n">
        <v>-79</v>
      </c>
      <c r="E35" s="9" t="n">
        <v>-32</v>
      </c>
      <c r="F35" s="9" t="n">
        <v>-47</v>
      </c>
      <c r="G35" s="28" t="n">
        <v>-45.95695171611402</v>
      </c>
      <c r="H35" s="20" t="n">
        <v>68232</v>
      </c>
    </row>
    <row r="36">
      <c r="A36" s="3" t="inlineStr">
        <is>
          <t>83628</t>
        </is>
      </c>
      <c r="B36" s="3" t="inlineStr">
        <is>
          <t>Homedale</t>
        </is>
      </c>
      <c r="C36" s="15" t="n">
        <v>5008</v>
      </c>
      <c r="D36" s="9" t="n">
        <v>-159</v>
      </c>
      <c r="E36" s="9" t="n">
        <v>-25</v>
      </c>
      <c r="F36" s="9" t="n">
        <v>-134</v>
      </c>
      <c r="G36" s="28" t="n">
        <v>-31.74920127795528</v>
      </c>
      <c r="H36" s="20" t="n">
        <v>73462</v>
      </c>
    </row>
    <row r="37">
      <c r="A37" s="3" t="inlineStr">
        <is>
          <t>83703</t>
        </is>
      </c>
      <c r="B37" s="3" t="inlineStr">
        <is>
          <t>Boise</t>
        </is>
      </c>
      <c r="C37" s="15" t="n">
        <v>17214</v>
      </c>
      <c r="D37" s="9" t="n">
        <v>-173</v>
      </c>
      <c r="E37" s="9" t="n">
        <v>270</v>
      </c>
      <c r="F37" s="9" t="n">
        <v>-443</v>
      </c>
      <c r="G37" s="28" t="n">
        <v>-10.04995933542465</v>
      </c>
      <c r="H37" s="20" t="n">
        <v>78859</v>
      </c>
    </row>
    <row r="38">
      <c r="A38" s="6" t="inlineStr">
        <is>
          <t>VALLEY TOTAL</t>
        </is>
      </c>
      <c r="D38" s="12" t="n">
        <v>10445</v>
      </c>
      <c r="E38" s="12" t="n">
        <v>6045</v>
      </c>
      <c r="F38" s="12" t="n">
        <v>4400</v>
      </c>
    </row>
    <row r="40">
      <c r="A40" s="2" t="inlineStr">
        <is>
          <t>Read: 83642 (subject) = metro's #1 ZIP by net inflow AND largest acceleration; north Meridian 83646 decelerated −511 — the flow is rotating into the subject's corridor.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4" customWidth="1" min="3" max="3"/>
    <col width="11" customWidth="1" min="4" max="4"/>
    <col width="20" customWidth="1" min="5" max="5"/>
    <col width="60" customWidth="1" min="6" max="6"/>
  </cols>
  <sheetData>
    <row r="1">
      <c r="A1" s="1" t="inlineStr">
        <is>
          <t>Major Employer Base — Boise MSA</t>
        </is>
      </c>
    </row>
    <row r="2">
      <c r="A2" s="2" t="inlineStr">
        <is>
          <t>Local headcounts are mixed 2023–26 vintages (no current official census; IDOL top-employer list is 2023). Full per-employer notes &amp; sources: appendix C. Trajectory as of Aug 2026.</t>
        </is>
      </c>
    </row>
    <row r="4">
      <c r="A4" s="7" t="inlineStr">
        <is>
          <t>Employer</t>
        </is>
      </c>
      <c r="B4" s="7" t="inlineStr">
        <is>
          <t>Sector</t>
        </is>
      </c>
      <c r="C4" s="7" t="inlineStr">
        <is>
          <t>Approx. local jobs</t>
        </is>
      </c>
      <c r="D4" s="7" t="inlineStr">
        <is>
          <t>Vintage</t>
        </is>
      </c>
      <c r="E4" s="7" t="inlineStr">
        <is>
          <t>Trajectory</t>
        </is>
      </c>
      <c r="F4" s="7" t="inlineStr">
        <is>
          <t>Key note</t>
        </is>
      </c>
    </row>
    <row r="5">
      <c r="A5" s="3" t="inlineStr">
        <is>
          <t>St. Luke's Health System (HQ)</t>
        </is>
      </c>
      <c r="B5" s="3" t="inlineStr">
        <is>
          <t>Healthcare</t>
        </is>
      </c>
      <c r="C5" s="3" t="inlineStr">
        <is>
          <t>16–17k statewide</t>
        </is>
      </c>
      <c r="D5" s="3" t="inlineStr">
        <is>
          <t>2023–26</t>
        </is>
      </c>
      <c r="E5" s="29" t="inlineStr">
        <is>
          <t>Growing</t>
        </is>
      </c>
      <c r="F5" s="4" t="inlineStr">
        <is>
          <t>$1.1B Boise tower to 2029; 330K SF Meridian service center opened 2025; largest employer in Idaho</t>
        </is>
      </c>
    </row>
    <row r="6">
      <c r="A6" s="3" t="inlineStr">
        <is>
          <t>State of Idaho + Boise State</t>
        </is>
      </c>
      <c r="B6" s="3" t="inlineStr">
        <is>
          <t>Government/Ed</t>
        </is>
      </c>
      <c r="C6" s="3" t="inlineStr">
        <is>
          <t>52.7k total gov't (MSA)</t>
        </is>
      </c>
      <c r="D6" s="3" t="inlineStr">
        <is>
          <t>Jun-26 BLS</t>
        </is>
      </c>
      <c r="E6" s="30" t="inlineStr">
        <is>
          <t>Stable/shrinking</t>
        </is>
      </c>
      <c r="F6" s="4" t="inlineStr">
        <is>
          <t>State gov −7.4% YoY on budget cuts; BSU record enrollment but college consolidation</t>
        </is>
      </c>
    </row>
    <row r="7">
      <c r="A7" s="3" t="inlineStr">
        <is>
          <t>Micron Technology (HQ)</t>
        </is>
      </c>
      <c r="B7" s="3" t="inlineStr">
        <is>
          <t>Semiconductors</t>
        </is>
      </c>
      <c r="C7" s="3" t="inlineStr">
        <is>
          <t>6–7k Treasure Valley</t>
        </is>
      </c>
      <c r="D7" s="3" t="inlineStr">
        <is>
          <t>2023–24</t>
        </is>
      </c>
      <c r="E7" s="29" t="inlineStr">
        <is>
          <t>Growing</t>
        </is>
      </c>
      <c r="F7" s="4" t="inlineStr">
        <is>
          <t>~1.5–1.7% of MSA jobs; ID1 first wafers mid-2027; ID2 2028; +~2,000 direct by ~2030</t>
        </is>
      </c>
    </row>
    <row r="8">
      <c r="A8" s="3" t="inlineStr">
        <is>
          <t>Saint Alphonsus (Trinity)</t>
        </is>
      </c>
      <c r="B8" s="3" t="inlineStr">
        <is>
          <t>Healthcare</t>
        </is>
      </c>
      <c r="C8" s="3" t="inlineStr">
        <is>
          <t>6k+ regional</t>
        </is>
      </c>
      <c r="D8" s="3" t="inlineStr">
        <is>
          <t>2025</t>
        </is>
      </c>
      <c r="E8" s="29" t="inlineStr">
        <is>
          <t>Expanding</t>
        </is>
      </c>
      <c r="F8" s="4" t="inlineStr">
        <is>
          <t>$450M program: Nampa doubles + N Meridian plaza (2028)</t>
        </is>
      </c>
    </row>
    <row r="9">
      <c r="A9" s="3" t="inlineStr">
        <is>
          <t>Albertsons (HQ)</t>
        </is>
      </c>
      <c r="B9" s="3" t="inlineStr">
        <is>
          <t>Grocery HQ</t>
        </is>
      </c>
      <c r="C9" s="3" t="inlineStr">
        <is>
          <t>~2–3k corporate</t>
        </is>
      </c>
      <c r="D9" s="3" t="inlineStr">
        <is>
          <t>2023–26</t>
        </is>
      </c>
      <c r="E9" s="30" t="inlineStr">
        <is>
          <t>Shrinking</t>
        </is>
      </c>
      <c r="F9" s="4" t="inlineStr">
        <is>
          <t>Post-merger-failure cuts; Jul-26 division consolidation; HQ watch item</t>
        </is>
      </c>
    </row>
    <row r="10">
      <c r="A10" s="3" t="inlineStr">
        <is>
          <t>West Ada School District</t>
        </is>
      </c>
      <c r="B10" s="3" t="inlineStr">
        <is>
          <t>K-12 (Meridian)</t>
        </is>
      </c>
      <c r="C10" s="3" t="inlineStr">
        <is>
          <t>~4–4.5k staff (est.)</t>
        </is>
      </c>
      <c r="D10" s="3" t="inlineStr">
        <is>
          <t>2023–24</t>
        </is>
      </c>
      <c r="E10" s="31" t="inlineStr">
        <is>
          <t>Stable</t>
        </is>
      </c>
      <c r="F10" s="4" t="inlineStr">
        <is>
          <t>Idaho's largest district; enrollment −1,213 since 2022-23</t>
        </is>
      </c>
    </row>
    <row r="11">
      <c r="A11" s="3" t="inlineStr">
        <is>
          <t>Idaho Nat'l Guard / Gowen</t>
        </is>
      </c>
      <c r="B11" s="3" t="inlineStr">
        <is>
          <t>Military</t>
        </is>
      </c>
      <c r="C11" s="3" t="inlineStr">
        <is>
          <t>~5.3k statewide</t>
        </is>
      </c>
      <c r="D11" s="3" t="inlineStr">
        <is>
          <t>~2024</t>
        </is>
      </c>
      <c r="E11" s="29" t="inlineStr">
        <is>
          <t>Growing</t>
        </is>
      </c>
      <c r="F11" s="4" t="inlineStr">
        <is>
          <t>F-16 mission 2027 secures flying mission</t>
        </is>
      </c>
    </row>
    <row r="12">
      <c r="A12" s="3" t="inlineStr">
        <is>
          <t>WinCo Foods (HQ)</t>
        </is>
      </c>
      <c r="B12" s="3" t="inlineStr">
        <is>
          <t>Grocery ESOP</t>
        </is>
      </c>
      <c r="C12" s="3" t="inlineStr">
        <is>
          <t>~2.5–3.5k Idaho</t>
        </is>
      </c>
      <c r="D12" s="3" t="inlineStr">
        <is>
          <t>2025</t>
        </is>
      </c>
      <c r="E12" s="29" t="inlineStr">
        <is>
          <t>Growing</t>
        </is>
      </c>
      <c r="F12" s="4" t="inlineStr">
        <is>
          <t>Multi-state expansion; new TV stores</t>
        </is>
      </c>
    </row>
    <row r="13">
      <c r="A13" s="3" t="inlineStr">
        <is>
          <t>Amazon (Nampa)</t>
        </is>
      </c>
      <c r="B13" s="3" t="inlineStr">
        <is>
          <t>Logistics</t>
        </is>
      </c>
      <c r="C13" s="3" t="inlineStr">
        <is>
          <t>~2,000+</t>
        </is>
      </c>
      <c r="D13" s="3" t="inlineStr">
        <is>
          <t>2021–25</t>
        </is>
      </c>
      <c r="E13" s="29" t="inlineStr">
        <is>
          <t>Growing</t>
        </is>
      </c>
      <c r="F13" s="4" t="inlineStr">
        <is>
          <t>Doubled announced headcount</t>
        </is>
      </c>
    </row>
    <row r="14">
      <c r="A14" s="3" t="inlineStr">
        <is>
          <t>Citi (Meridian ops)</t>
        </is>
      </c>
      <c r="B14" s="3" t="inlineStr">
        <is>
          <t>Financial</t>
        </is>
      </c>
      <c r="C14" s="3" t="inlineStr">
        <is>
          <t>~1,000+ (unverified)</t>
        </is>
      </c>
      <c r="D14" s="3" t="inlineStr">
        <is>
          <t>n/a</t>
        </is>
      </c>
      <c r="E14" s="31" t="inlineStr">
        <is>
          <t>Stable</t>
        </is>
      </c>
      <c r="F14" s="4" t="inlineStr">
        <is>
          <t>Silverstone campus — subject's corridor</t>
        </is>
      </c>
    </row>
    <row r="15">
      <c r="A15" s="3" t="inlineStr">
        <is>
          <t>T-Mobile CEC (Meridian)</t>
        </is>
      </c>
      <c r="B15" s="3" t="inlineStr">
        <is>
          <t>Call center</t>
        </is>
      </c>
      <c r="C15" s="3" t="inlineStr">
        <is>
          <t>~1,000 announced</t>
        </is>
      </c>
      <c r="D15" s="3" t="inlineStr">
        <is>
          <t>2019</t>
        </is>
      </c>
      <c r="E15" s="31" t="inlineStr">
        <is>
          <t>Stable (unverified)</t>
        </is>
      </c>
      <c r="F15" s="4" t="inlineStr">
        <is>
          <t>Goldstone Way — walking distance from subject</t>
        </is>
      </c>
    </row>
    <row r="16">
      <c r="A16" s="3" t="inlineStr">
        <is>
          <t>Idaho Power / IDACORP (HQ)</t>
        </is>
      </c>
      <c r="B16" s="3" t="inlineStr">
        <is>
          <t>Utility</t>
        </is>
      </c>
      <c r="C16" s="3" t="inlineStr">
        <is>
          <t>1,840</t>
        </is>
      </c>
      <c r="D16" s="3" t="inlineStr">
        <is>
          <t>Dec-25</t>
        </is>
      </c>
      <c r="E16" s="29" t="inlineStr">
        <is>
          <t>Growing +3.3%</t>
        </is>
      </c>
      <c r="F16" s="4" t="inlineStr">
        <is>
          <t>Data-center load growth</t>
        </is>
      </c>
    </row>
    <row r="17">
      <c r="A17" s="3" t="inlineStr">
        <is>
          <t>ICCU (Meridian campus)</t>
        </is>
      </c>
      <c r="B17" s="3" t="inlineStr">
        <is>
          <t>Credit union</t>
        </is>
      </c>
      <c r="C17" s="3" t="inlineStr">
        <is>
          <t>~1.2–2.2k statewide (sources conflict)</t>
        </is>
      </c>
      <c r="D17" s="3" t="inlineStr">
        <is>
          <t>2025–26</t>
        </is>
      </c>
      <c r="E17" s="29" t="inlineStr">
        <is>
          <t>Growing</t>
        </is>
      </c>
      <c r="F17" s="4" t="inlineStr">
        <is>
          <t>Eagle View Landing ops campus at subject's interchange</t>
        </is>
      </c>
    </row>
    <row r="18">
      <c r="A18" s="3" t="inlineStr">
        <is>
          <t>HP Inc.</t>
        </is>
      </c>
      <c r="B18" s="3" t="inlineStr">
        <is>
          <t>Tech (print)</t>
        </is>
      </c>
      <c r="C18" s="3" t="inlineStr">
        <is>
          <t>~1.1–1.7k</t>
        </is>
      </c>
      <c r="D18" s="3" t="inlineStr">
        <is>
          <t>2025–26</t>
        </is>
      </c>
      <c r="E18" s="30" t="inlineStr">
        <is>
          <t>EXITING by end-2027</t>
        </is>
      </c>
      <c r="F18" s="4" t="inlineStr">
        <is>
          <t>Announced 3/5/26; largest single negative</t>
        </is>
      </c>
    </row>
    <row r="19">
      <c r="A19" s="3" t="inlineStr">
        <is>
          <t>Blue Cross of Idaho (Meridian)</t>
        </is>
      </c>
      <c r="B19" s="3" t="inlineStr">
        <is>
          <t>Health insurance</t>
        </is>
      </c>
      <c r="C19" s="3" t="inlineStr">
        <is>
          <t>~1,500 (802 on campus)</t>
        </is>
      </c>
      <c r="D19" s="3" t="inlineStr">
        <is>
          <t>2025</t>
        </is>
      </c>
      <c r="E19" s="30" t="inlineStr">
        <is>
          <t>Selling campus, relocating</t>
        </is>
      </c>
      <c r="F19" s="4" t="inlineStr">
        <is>
          <t>Announced 12/3/25; destination unknown</t>
        </is>
      </c>
    </row>
    <row r="20">
      <c r="A20" s="3" t="inlineStr">
        <is>
          <t>Lamb Weston (Eagle HQ)</t>
        </is>
      </c>
      <c r="B20" s="3" t="inlineStr">
        <is>
          <t>Food processing</t>
        </is>
      </c>
      <c r="C20" s="3" t="inlineStr">
        <is>
          <t>1.5k+ Idaho</t>
        </is>
      </c>
      <c r="D20" s="3" t="inlineStr">
        <is>
          <t>2023</t>
        </is>
      </c>
      <c r="E20" s="30" t="inlineStr">
        <is>
          <t>Shrinking</t>
        </is>
      </c>
      <c r="F20" s="4" t="inlineStr">
        <is>
          <t>Repeated global cuts; activist pressure</t>
        </is>
      </c>
    </row>
    <row r="21">
      <c r="A21" s="3" t="inlineStr">
        <is>
          <t>Scentsy (Meridian HQ)</t>
        </is>
      </c>
      <c r="B21" s="3" t="inlineStr">
        <is>
          <t>Consumer</t>
        </is>
      </c>
      <c r="C21" s="3" t="inlineStr">
        <is>
          <t>~1,000 (−40% from peak)</t>
        </is>
      </c>
      <c r="D21" s="3" t="inlineStr">
        <is>
          <t>2026</t>
        </is>
      </c>
      <c r="E21" s="30" t="inlineStr">
        <is>
          <t>Shrinking</t>
        </is>
      </c>
      <c r="F21" s="4" t="inlineStr">
        <is>
          <t>Two 11% layoff rounds 2025–26</t>
        </is>
      </c>
    </row>
    <row r="22">
      <c r="A22" s="3" t="inlineStr">
        <is>
          <t>Clearwater Analytics (HQ)</t>
        </is>
      </c>
      <c r="B22" s="3" t="inlineStr">
        <is>
          <t>Fintech SaaS</t>
        </is>
      </c>
      <c r="C22" s="3" t="inlineStr">
        <is>
          <t>~480 Boise</t>
        </is>
      </c>
      <c r="D22" s="3" t="inlineStr">
        <is>
          <t>2025</t>
        </is>
      </c>
      <c r="E22" s="31" t="inlineStr">
        <is>
          <t>Flat locally</t>
        </is>
      </c>
      <c r="F22" s="4" t="inlineStr">
        <is>
          <t>$8.4B take-private Dec-25</t>
        </is>
      </c>
    </row>
    <row r="23">
      <c r="A23" s="3" t="inlineStr">
        <is>
          <t>Tractor Supply DC (Nampa)</t>
        </is>
      </c>
      <c r="B23" s="3" t="inlineStr">
        <is>
          <t>Logistics</t>
        </is>
      </c>
      <c r="C23" s="3" t="inlineStr">
        <is>
          <t>500+ (hiring)</t>
        </is>
      </c>
      <c r="D23" s="3" t="inlineStr">
        <is>
          <t>2026</t>
        </is>
      </c>
      <c r="E23" s="29" t="inlineStr">
        <is>
          <t>New/adding</t>
        </is>
      </c>
      <c r="F23" s="4" t="inlineStr">
        <is>
          <t>~865K SF; open late-26/early-27</t>
        </is>
      </c>
    </row>
    <row r="24">
      <c r="A24" s="3" t="inlineStr">
        <is>
          <t>Meta (Kuna)</t>
        </is>
      </c>
      <c r="B24" s="3" t="inlineStr">
        <is>
          <t>Data center</t>
        </is>
      </c>
      <c r="C24" s="3" t="inlineStr">
        <is>
          <t>~100+ permanent</t>
        </is>
      </c>
      <c r="D24" s="3" t="inlineStr">
        <is>
          <t>2026</t>
        </is>
      </c>
      <c r="E24" s="29" t="inlineStr">
        <is>
          <t>New</t>
        </is>
      </c>
      <c r="F24" s="4" t="inlineStr">
        <is>
          <t>~$5.8B est. campus; operational end-2026; 1,400 peak construction</t>
        </is>
      </c>
    </row>
    <row r="26">
      <c r="A26" s="2" t="inlineStr">
        <is>
          <t>Diversification: eds/meds/gov't ≈ 120K jobs (~29% of MSA); no supersector &gt;19%; no private employer &gt;~4% of MSA jobs.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40" customWidth="1" min="3" max="3"/>
  </cols>
  <sheetData>
    <row r="1">
      <c r="A1" s="1" t="inlineStr">
        <is>
          <t>Forecasts, Catalyst Timeline &amp; Risk Ledger</t>
        </is>
      </c>
    </row>
    <row r="2">
      <c r="A2" s="2" t="inlineStr">
        <is>
          <t>IDOL = Idaho Dept of Labor official projections. Catalysts are committed/announced projects with dates; risks from the research paper §7–8 and appendix H.</t>
        </is>
      </c>
    </row>
    <row r="4">
      <c r="A4" s="6" t="inlineStr">
        <is>
          <t>A. Official projections</t>
        </is>
      </c>
    </row>
    <row r="5">
      <c r="A5" s="7" t="inlineStr">
        <is>
          <t>Projection</t>
        </is>
      </c>
      <c r="B5" s="7" t="inlineStr">
        <is>
          <t>Value</t>
        </is>
      </c>
      <c r="C5" s="7" t="inlineStr">
        <is>
          <t>Source</t>
        </is>
      </c>
    </row>
    <row r="6">
      <c r="A6" s="3" t="inlineStr">
        <is>
          <t>Idaho jobs through Q1 2027</t>
        </is>
      </c>
      <c r="B6" s="3" t="inlineStr">
        <is>
          <t>+21,000 (+1.2%/yr); healthcare +7,250, construction +3,980</t>
        </is>
      </c>
      <c r="C6" s="2" t="inlineStr">
        <is>
          <t>IDOL 2026 Economic Outlook (1/14/26)</t>
        </is>
      </c>
    </row>
    <row r="7">
      <c r="A7" s="3" t="inlineStr">
        <is>
          <t>Idaho 2022–2032</t>
        </is>
      </c>
      <c r="B7" s="3" t="inlineStr">
        <is>
          <t>+120,000 jobs (+13.8%); healthcare ~20% of all new jobs</t>
        </is>
      </c>
      <c r="C7" s="2" t="inlineStr">
        <is>
          <t>IDOL long-term projections (2024 vintage)</t>
        </is>
      </c>
    </row>
    <row r="8">
      <c r="A8" s="3" t="inlineStr">
        <is>
          <t>US break-even payroll growth 2026</t>
        </is>
      </c>
      <c r="B8" s="3" t="inlineStr">
        <is>
          <t>~0–90K/month (near zero)</t>
        </is>
      </c>
      <c r="C8" s="2" t="inlineStr">
        <is>
          <t>Dallas/St. Louis/KC Fed (2026)</t>
        </is>
      </c>
    </row>
    <row r="9">
      <c r="A9" s="3" t="inlineStr">
        <is>
          <t>Placer pop-change forecast, Boise MSA</t>
        </is>
      </c>
      <c r="B9" s="3" t="inlineStr">
        <is>
          <t>+17.5% (horizon undocumented — directional only)</t>
        </is>
      </c>
      <c r="C9" s="2" t="inlineStr">
        <is>
          <t>Placer.ai CBSA file</t>
        </is>
      </c>
    </row>
    <row r="10">
      <c r="A10" s="3" t="inlineStr">
        <is>
          <t>Paper's underwriting range</t>
        </is>
      </c>
      <c r="B10" s="3" t="inlineStr">
        <is>
          <t>+1.0–1.5%/yr base; +2.0–2.5% upside if QCEW confirms; ~0% stress</t>
        </is>
      </c>
      <c r="C10" s="2" t="inlineStr">
        <is>
          <t>The Boise Slowdown §8</t>
        </is>
      </c>
    </row>
    <row r="12">
      <c r="A12" s="6" t="inlineStr">
        <is>
          <t>B. Catalyst timeline (committed/announced)</t>
        </is>
      </c>
    </row>
    <row r="13">
      <c r="A13" s="7" t="inlineStr">
        <is>
          <t>When</t>
        </is>
      </c>
      <c r="B13" s="7" t="inlineStr">
        <is>
          <t>Catalyst</t>
        </is>
      </c>
      <c r="C13" s="7" t="inlineStr">
        <is>
          <t>Jobs relevance</t>
        </is>
      </c>
    </row>
    <row r="14">
      <c r="A14" s="6" t="inlineStr">
        <is>
          <t>Late 2026</t>
        </is>
      </c>
      <c r="B14" s="3" t="inlineStr">
        <is>
          <t>Meta Kuna fully operational; Costco #2 Meridian (Lake Hazel) opens; Tractor Supply DC opens</t>
        </is>
      </c>
      <c r="C14" s="32" t="inlineStr">
        <is>
          <t>~100 perm + retail/DC hiring</t>
        </is>
      </c>
    </row>
    <row r="15">
      <c r="A15" s="6" t="inlineStr">
        <is>
          <t>Spring 2027</t>
        </is>
      </c>
      <c r="B15" s="3" t="inlineStr">
        <is>
          <t>District at Ten Mile Ph 1: Target (May), Life Time, hotels, In-N-Out</t>
        </is>
      </c>
      <c r="C15" s="32" t="inlineStr">
        <is>
          <t>Life Time 200+; Target ~150–250 typical; hotels</t>
        </is>
      </c>
    </row>
    <row r="16">
      <c r="A16" s="6" t="inlineStr">
        <is>
          <t>2027</t>
        </is>
      </c>
      <c r="B16" s="3" t="inlineStr">
        <is>
          <t>Micron ID1 first DRAM output; SH-16 freeway complete; Gowen F-16 arrives; BOI rental-car ctr</t>
        </is>
      </c>
      <c r="C16" s="32" t="inlineStr">
        <is>
          <t>Fab ramp begins (semis postings already +92%)</t>
        </is>
      </c>
    </row>
    <row r="17">
      <c r="A17" s="6" t="inlineStr">
        <is>
          <t>2028</t>
        </is>
      </c>
      <c r="B17" s="3" t="inlineStr">
        <is>
          <t>Saint Alphonsus Nampa tower + N Meridian plaza open; Micron ID2 target; District Ph 2/3</t>
        </is>
      </c>
      <c r="C17" s="32" t="inlineStr">
        <is>
          <t>Clinical hiring; construction rolls to ID2</t>
        </is>
      </c>
    </row>
    <row r="18">
      <c r="A18" s="6" t="inlineStr">
        <is>
          <t>2029–30</t>
        </is>
      </c>
      <c r="B18" s="3" t="inlineStr">
        <is>
          <t>St. Luke's $1.1B Boise tower opens; BOI terminal program completes</t>
        </is>
      </c>
      <c r="C18" s="32" t="inlineStr">
        <is>
          <t>Large clinical hiring wave</t>
        </is>
      </c>
    </row>
    <row r="19">
      <c r="A19" s="6" t="inlineStr">
        <is>
          <t>Early 2027</t>
        </is>
      </c>
      <c r="B19" s="3" t="inlineStr">
        <is>
          <t>CES state/area benchmark re-anchors Boise to QCEW</t>
        </is>
      </c>
      <c r="C19" s="32" t="inlineStr">
        <is>
          <t>Expected upward revision of 2025–26 payrolls</t>
        </is>
      </c>
    </row>
    <row r="21">
      <c r="A21" s="6" t="inlineStr">
        <is>
          <t>C. Risk ledger</t>
        </is>
      </c>
    </row>
    <row r="22">
      <c r="A22" s="7" t="inlineStr">
        <is>
          <t>Risk</t>
        </is>
      </c>
      <c r="B22" s="7" t="inlineStr">
        <is>
          <t>Status / note</t>
        </is>
      </c>
    </row>
    <row r="23">
      <c r="A23" s="3" t="inlineStr">
        <is>
          <t>National labor-supply stall persists</t>
        </is>
      </c>
      <c r="B23" s="32" t="inlineStr">
        <is>
          <t>Break-even ~0; immigration policy is the biggest swing factor (±~1.1M workers/yr scenarios)</t>
        </is>
      </c>
    </row>
    <row r="24">
      <c r="A24" s="3" t="inlineStr">
        <is>
          <t>Idaho fiscal squeeze round 2</t>
        </is>
      </c>
      <c r="B24" s="32" t="inlineStr">
        <is>
          <t>FY26 cut 4%; revenues still below forecast — watch 2027 session</t>
        </is>
      </c>
    </row>
    <row r="25">
      <c r="A25" s="3" t="inlineStr">
        <is>
          <t>HP exit completes 2027</t>
        </is>
      </c>
      <c r="B25" s="32" t="inlineStr">
        <is>
          <t>~1.1–1.7K high-income jobs, W Boise/Meridian-skewed</t>
        </is>
      </c>
    </row>
    <row r="26">
      <c r="A26" s="3" t="inlineStr">
        <is>
          <t>Albertsons HQ erosion</t>
        </is>
      </c>
      <c r="B26" s="32" t="inlineStr">
        <is>
          <t>Division consolidation Jul-26; no answers on Boise impact</t>
        </is>
      </c>
    </row>
    <row r="27">
      <c r="A27" s="3" t="inlineStr">
        <is>
          <t>Blue Cross campus exit</t>
        </is>
      </c>
      <c r="B27" s="32" t="inlineStr">
        <is>
          <t>802 jobs; destination unannounced</t>
        </is>
      </c>
    </row>
    <row r="28">
      <c r="A28" s="3" t="inlineStr">
        <is>
          <t>White-collar softness (QCEW-confirmed)</t>
        </is>
      </c>
      <c r="B28" s="32" t="inlineStr">
        <is>
          <t>Finance −1.8%, prof services −1.5%, mfg −1.4% (Ada Q4-25)</t>
        </is>
      </c>
    </row>
    <row r="29">
      <c r="A29" s="3" t="inlineStr">
        <is>
          <t>Medicaid cuts land 2027</t>
        </is>
      </c>
      <c r="B29" s="32" t="inlineStr">
        <is>
          <t>Work requirements 1/1/27; OBBBA cuts; hospital margins</t>
        </is>
      </c>
    </row>
    <row r="30">
      <c r="A30" s="3" t="inlineStr">
        <is>
          <t>Micron memory cycle</t>
        </is>
      </c>
      <c r="B30" s="32" t="inlineStr">
        <is>
          <t>Deeply cyclical; 2022-23 downturn produced Boise layoffs</t>
        </is>
      </c>
    </row>
    <row r="31">
      <c r="A31" s="3" t="inlineStr">
        <is>
          <t>Construction air-pocket post-2028</t>
        </is>
      </c>
      <c r="B31" s="32" t="inlineStr">
        <is>
          <t>Megaprojects deliver simultaneously; construction ~9.5% of jobs (~2x US)</t>
        </is>
      </c>
    </row>
    <row r="32">
      <c r="A32" s="3" t="inlineStr">
        <is>
          <t>Ten Mile supply resumes 2028+</t>
        </is>
      </c>
      <c r="B32" s="32" t="inlineStr">
        <is>
          <t>Vanguard Village 552 entitled (permit tripwire); Southridge 640 u/c nearest subject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32" customWidth="1" min="3" max="3"/>
    <col width="55" customWidth="1" min="4" max="4"/>
  </cols>
  <sheetData>
    <row r="1">
      <c r="A1" s="1" t="inlineStr">
        <is>
          <t>Data Sources, Vintages &amp; Diligence Checkpoints</t>
        </is>
      </c>
    </row>
    <row r="2">
      <c r="A2" s="2" t="inlineStr">
        <is>
          <t>Full per-claim citations (~200) live in employment-drivers/appendix A–K in the repo.</t>
        </is>
      </c>
    </row>
    <row r="4">
      <c r="A4" s="6" t="inlineStr">
        <is>
          <t>A. Primary data series used in this workbook</t>
        </is>
      </c>
    </row>
    <row r="5">
      <c r="A5" s="7" t="inlineStr">
        <is>
          <t>Series</t>
        </is>
      </c>
      <c r="B5" s="7" t="inlineStr">
        <is>
          <t>Source &amp; ID</t>
        </is>
      </c>
      <c r="C5" s="7" t="inlineStr">
        <is>
          <t>Latest vintage</t>
        </is>
      </c>
      <c r="D5" s="7" t="inlineStr">
        <is>
          <t>Verified</t>
        </is>
      </c>
    </row>
    <row r="6">
      <c r="A6" s="3" t="inlineStr">
        <is>
          <t>Boise CES payrolls (total + 10 sectors)</t>
        </is>
      </c>
      <c r="B6" s="3" t="inlineStr">
        <is>
          <t>BLS SM flat file sm.data.13.Idaho; SMU1614260…</t>
        </is>
      </c>
      <c r="C6" s="3" t="inlineStr">
        <is>
          <t>June 2026 (July releases ~early Sept)</t>
        </is>
      </c>
      <c r="D6" s="33" t="inlineStr">
        <is>
          <t>Re-downloaded 8/13/26; md5-identical; T3M +0.42% reproduced</t>
        </is>
      </c>
    </row>
    <row r="7">
      <c r="A7" s="3" t="inlineStr">
        <is>
          <t>Peer-metro CES</t>
        </is>
      </c>
      <c r="B7" s="3" t="inlineStr">
        <is>
          <t>BLS sm.data.54.TotalNonFarm.All</t>
        </is>
      </c>
      <c r="C7" s="3" t="inlineStr">
        <is>
          <t>June 2026</t>
        </is>
      </c>
      <c r="D7" s="33" t="inlineStr">
        <is>
          <t>Pulled 8/13/26</t>
        </is>
      </c>
    </row>
    <row r="8">
      <c r="A8" s="3" t="inlineStr">
        <is>
          <t>QCEW county hard counts</t>
        </is>
      </c>
      <c r="B8" s="3" t="inlineStr">
        <is>
          <t>BLS QCEW open-data API, areas 16001/16027</t>
        </is>
      </c>
      <c r="C8" s="3" t="inlineStr">
        <is>
          <t>Q4 2025 (preliminary); Q1-26 ~Sept 2026</t>
        </is>
      </c>
      <c r="D8" s="33" t="inlineStr">
        <is>
          <t>Fresh re-pull 8/13/26: Ada +2.51%, Canyon +2.09% confirmed; Q1-26 404 confirmed</t>
        </is>
      </c>
    </row>
    <row r="9">
      <c r="A9" s="3" t="inlineStr">
        <is>
          <t>QCEW MSA totals (10 metros)</t>
        </is>
      </c>
      <c r="B9" s="3" t="inlineStr">
        <is>
          <t>QCEW API, C-codes (C1426 etc.)</t>
        </is>
      </c>
      <c r="C9" s="3" t="inlineStr">
        <is>
          <t>Q4 2025</t>
        </is>
      </c>
      <c r="D9" s="33" t="inlineStr">
        <is>
          <t>Pulled 8/13/26 (crossmetro.json)</t>
        </is>
      </c>
    </row>
    <row r="10">
      <c r="A10" s="3" t="inlineStr">
        <is>
          <t>Labor force / unemployment (LAUS)</t>
        </is>
      </c>
      <c r="B10" s="3" t="inlineStr">
        <is>
          <t>FRED BOIS216LFN / BOIS216URN</t>
        </is>
      </c>
      <c r="C10" s="3" t="inlineStr">
        <is>
          <t>June 2026 (Oct-25 missing: shutdown)</t>
        </is>
      </c>
      <c r="D10" s="33" t="inlineStr">
        <is>
          <t>Pulled 8/13/26</t>
        </is>
      </c>
    </row>
    <row r="11">
      <c r="A11" s="3" t="inlineStr">
        <is>
          <t>US payrolls</t>
        </is>
      </c>
      <c r="B11" s="3" t="inlineStr">
        <is>
          <t>FRED PAYNSA + SA supersectors</t>
        </is>
      </c>
      <c r="C11" s="3" t="inlineStr">
        <is>
          <t>July 2026 (US)</t>
        </is>
      </c>
      <c r="D11" s="33" t="inlineStr">
        <is>
          <t>Pulled 8/13/26</t>
        </is>
      </c>
    </row>
    <row r="12">
      <c r="A12" s="3" t="inlineStr">
        <is>
          <t>Placer.ai migration</t>
        </is>
      </c>
      <c r="B12" s="3" t="inlineStr">
        <is>
          <t>8 client exports in data/placerai/</t>
        </is>
      </c>
      <c r="C12" s="3" t="inlineStr">
        <is>
          <t>Through June 2026</t>
        </is>
      </c>
      <c r="D12" s="33" t="inlineStr">
        <is>
          <t>Client-provided 8/13/26; internal level discrepancy flagged (below)</t>
        </is>
      </c>
    </row>
    <row r="13">
      <c r="A13" s="3" t="inlineStr">
        <is>
          <t>Wages/income</t>
        </is>
      </c>
      <c r="B13" s="3" t="inlineStr">
        <is>
          <t>BLS QCEW/OEWS; Census ACS</t>
        </is>
      </c>
      <c r="C13" s="3" t="inlineStr">
        <is>
          <t>Q3-25 / 2025 / 2024 as labeled</t>
        </is>
      </c>
      <c r="D13" s="33" t="inlineStr">
        <is>
          <t>As-published figures</t>
        </is>
      </c>
    </row>
    <row r="15">
      <c r="A15" s="6" t="inlineStr">
        <is>
          <t>B. Known data issues (stated, not hidden)</t>
        </is>
      </c>
    </row>
    <row r="16" ht="26" customHeight="1">
      <c r="A16" s="32" t="inlineStr">
        <is>
          <t>• CES post-Mar-2025 is survey+model pending benchmark; Boise re-benchmarks to QCEW early 2027 (expected UP, per tabs 3–4).</t>
        </is>
      </c>
    </row>
    <row r="17" ht="26" customHeight="1">
      <c r="A17" s="32" t="inlineStr">
        <is>
          <t>• Placer level discrepancy for YE Jun-26 net domestic migration: +8,492 (O-D table; truncates small flows) vs +11,647 (monthly growth file) vs +12,398 (all-CBSA file). Trend (~2x prior yr) robust in all three. Treat level as ~+11–12K pending clarification of Placer methodology.</t>
        </is>
      </c>
    </row>
    <row r="18" ht="26" customHeight="1">
      <c r="A18" s="32" t="inlineStr">
        <is>
          <t>• IDOL flags part of the 2026 labor-force decline as BLS population-model revision, not behavior.</t>
        </is>
      </c>
    </row>
    <row r="19" ht="26" customHeight="1">
      <c r="A19" s="32" t="inlineStr">
        <is>
          <t>• Employer headcounts are mixed vintages (official IDOL list is 2023); ICCU/Clearwater counts conflict across vendors.</t>
        </is>
      </c>
    </row>
    <row r="21">
      <c r="A21" s="6" t="inlineStr">
        <is>
          <t>C. Diligence checkpoints</t>
        </is>
      </c>
    </row>
    <row r="22">
      <c r="A22" s="7" t="inlineStr">
        <is>
          <t>When</t>
        </is>
      </c>
      <c r="B22" s="7" t="inlineStr">
        <is>
          <t>What</t>
        </is>
      </c>
      <c r="C22" s="7" t="inlineStr">
        <is>
          <t>Why it matters</t>
        </is>
      </c>
    </row>
    <row r="23">
      <c r="A23" s="6" t="inlineStr">
        <is>
          <t>~Sept 2026</t>
        </is>
      </c>
      <c r="B23" s="3" t="inlineStr">
        <is>
          <t>Pull QCEW Q1 2026 (Ada 16001, Canyon 16027 — free API)</t>
        </is>
      </c>
      <c r="C23" s="32" t="inlineStr">
        <is>
          <t>Single best test of whether the CES slowdown is artifact or real; sets base-vs-upside underwriting case</t>
        </is>
      </c>
    </row>
    <row r="24">
      <c r="A24" s="6" t="inlineStr">
        <is>
          <t>Dec 2026–Mar 2027</t>
        </is>
      </c>
      <c r="B24" s="3" t="inlineStr">
        <is>
          <t>Census Vintage 2026 state/county estimates</t>
        </is>
      </c>
      <c r="C24" s="32" t="inlineStr">
        <is>
          <t>Official confirmation (or not) of the Placer migration re-acceleration</t>
        </is>
      </c>
    </row>
    <row r="25">
      <c r="A25" s="6" t="inlineStr">
        <is>
          <t>Early 2027</t>
        </is>
      </c>
      <c r="B25" s="3" t="inlineStr">
        <is>
          <t>CES state/area benchmark release</t>
        </is>
      </c>
      <c r="C25" s="32" t="inlineStr">
        <is>
          <t>Boise 2025–26 payroll history re-anchored to tax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2026-08-13T18:38:35Z</dcterms:created>
  <dcterms:modified xsi:type="dcterms:W3CDTF">2026-08-13T18:38:35Z</dcterms:modified>
</cp:coreProperties>
</file>