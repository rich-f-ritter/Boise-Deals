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W Comparison" sheetId="1" state="visible" r:id="rId1"/>
    <sheet name="Link Map" sheetId="2" state="visible" r:id="rId2"/>
  </sheets>
  <definedNames>
    <definedName name="_xlnm.Print_Area" localSheetId="0">'UW Comparison'!$A$1:$F$104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+0.0%;-0.0%;0.0%"/>
    <numFmt numFmtId="165" formatCode="&quot;$&quot;#,##0"/>
    <numFmt numFmtId="166" formatCode="&quot;$&quot;#,##0.00"/>
    <numFmt numFmtId="167" formatCode="0.0%"/>
    <numFmt numFmtId="168" formatCode="+#,##0&quot; bps&quot;;-#,##0&quot; bps&quot;;0&quot; bps&quot;"/>
    <numFmt numFmtId="169" formatCode="+#,##0&quot; mo&quot;;-#,##0&quot; mo&quot;;&quot;–&quot;"/>
    <numFmt numFmtId="170" formatCode="0.00&quot;x&quot;"/>
    <numFmt numFmtId="171" formatCode="+0.00&quot;x&quot;;-0.00&quot;x&quot;;&quot;–&quot;"/>
    <numFmt numFmtId="172" formatCode="#,##0&quot; bps&quot;;-#,##0&quot; bps&quot;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i val="1"/>
      <color rgb="007F7F7F"/>
      <sz val="9"/>
    </font>
    <font>
      <name val="Calibri"/>
      <b val="1"/>
      <color rgb="001F3864"/>
      <sz val="10.5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70C0"/>
      <sz val="10"/>
    </font>
    <font>
      <name val="Calibri"/>
      <color rgb="00595959"/>
      <sz val="10"/>
    </font>
    <font>
      <name val="Calibri"/>
      <i val="1"/>
      <color rgb="007F7F7F"/>
      <sz val="8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A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bottom style="hair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49" fontId="7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right" vertical="center"/>
    </xf>
    <xf numFmtId="0" fontId="9" fillId="0" borderId="2" applyAlignment="1" pivotButton="0" quotePrefix="0" xfId="0">
      <alignment horizontal="left" vertical="center" wrapText="1"/>
    </xf>
    <xf numFmtId="3" fontId="7" fillId="0" borderId="2" applyAlignment="1" pivotButton="0" quotePrefix="0" xfId="0">
      <alignment horizontal="right" vertical="center"/>
    </xf>
    <xf numFmtId="164" fontId="8" fillId="0" borderId="2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165" fontId="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left" vertical="center"/>
    </xf>
    <xf numFmtId="165" fontId="6" fillId="3" borderId="2" applyAlignment="1" pivotButton="0" quotePrefix="0" xfId="0">
      <alignment horizontal="right" vertical="center"/>
    </xf>
    <xf numFmtId="164" fontId="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 wrapText="1"/>
    </xf>
    <xf numFmtId="166" fontId="6" fillId="3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168" fontId="8" fillId="0" borderId="2" applyAlignment="1" pivotButton="0" quotePrefix="0" xfId="0">
      <alignment horizontal="right" vertical="center"/>
    </xf>
    <xf numFmtId="167" fontId="7" fillId="0" borderId="2" applyAlignment="1" pivotButton="0" quotePrefix="0" xfId="0">
      <alignment horizontal="right" vertical="center"/>
    </xf>
    <xf numFmtId="165" fontId="7" fillId="3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0" fontId="6" fillId="3" borderId="2" applyAlignment="1" pivotButton="0" quotePrefix="0" xfId="0">
      <alignment horizontal="right" vertical="center"/>
    </xf>
    <xf numFmtId="168" fontId="8" fillId="3" borderId="2" applyAlignment="1" pivotButton="0" quotePrefix="0" xfId="0">
      <alignment horizontal="right" vertical="center"/>
    </xf>
    <xf numFmtId="10" fontId="7" fillId="0" borderId="2" applyAlignment="1" pivotButton="0" quotePrefix="0" xfId="0">
      <alignment horizontal="right" vertical="center"/>
    </xf>
    <xf numFmtId="169" fontId="8" fillId="0" borderId="2" applyAlignment="1" pivotButton="0" quotePrefix="0" xfId="0">
      <alignment horizontal="right" vertical="center"/>
    </xf>
    <xf numFmtId="170" fontId="7" fillId="0" borderId="2" applyAlignment="1" pivotButton="0" quotePrefix="0" xfId="0">
      <alignment horizontal="right" vertical="center"/>
    </xf>
    <xf numFmtId="171" fontId="8" fillId="0" borderId="2" applyAlignment="1" pivotButton="0" quotePrefix="0" xfId="0">
      <alignment horizontal="right" vertical="center"/>
    </xf>
    <xf numFmtId="10" fontId="6" fillId="0" borderId="2" applyAlignment="1" pivotButton="0" quotePrefix="0" xfId="0">
      <alignment horizontal="right" vertical="center"/>
    </xf>
    <xf numFmtId="172" fontId="6" fillId="0" borderId="2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TMG UW Comparison</author>
  </authors>
  <commentList>
    <comment ref="C9" authorId="0" shapeId="0">
      <text>
        <t>Link to Canyon Ridge model:
Assumptions!C5</t>
      </text>
    </comment>
    <comment ref="D9" authorId="0" shapeId="0">
      <text>
        <t>Link to Seasons model:
Assumptions!C4</t>
      </text>
    </comment>
    <comment ref="C10" authorId="0" shapeId="0">
      <text>
        <t>Link to Canyon Ridge model:
Assumptions!C7</t>
      </text>
    </comment>
    <comment ref="D10" authorId="0" shapeId="0">
      <text>
        <t>Link to Seasons model:
Assumptions!C6</t>
      </text>
    </comment>
    <comment ref="C11" authorId="0" shapeId="0">
      <text>
        <t>Link to Canyon Ridge model:
Assumptions!F100</t>
      </text>
    </comment>
    <comment ref="D11" authorId="0" shapeId="0">
      <text>
        <t>Link to Seasons model:
Assumptions!F100</t>
      </text>
    </comment>
    <comment ref="C12" authorId="0" shapeId="0">
      <text>
        <t>Link to Canyon Ridge model:
Assumptions!H100</t>
      </text>
    </comment>
    <comment ref="D12" authorId="0" shapeId="0">
      <text>
        <t>Link to Seasons model:
Assumptions!H100</t>
      </text>
    </comment>
    <comment ref="C14" authorId="0" shapeId="0">
      <text>
        <t>Link to Canyon Ridge model:
Assumptions!E4</t>
      </text>
    </comment>
    <comment ref="D14" authorId="0" shapeId="0">
      <text>
        <t>Link to Seasons model:
Assumptions!E3</t>
      </text>
    </comment>
    <comment ref="C15" authorId="0" shapeId="0">
      <text>
        <t>Link to Canyon Ridge model:
Assumptions!E7 (blank in model)</t>
      </text>
    </comment>
    <comment ref="D15" authorId="0" shapeId="0">
      <text>
        <t>Link to Seasons model:
Assumptions!E6</t>
      </text>
    </comment>
    <comment ref="C16" authorId="0" shapeId="0">
      <text>
        <t>Link to Canyon Ridge model:
Assumptions!C33</t>
      </text>
    </comment>
    <comment ref="D16" authorId="0" shapeId="0">
      <text>
        <t>Link to Seasons model:
Assumptions!H4</t>
      </text>
    </comment>
    <comment ref="C19" authorId="0" shapeId="0">
      <text>
        <t>Link to Canyon Ridge model:
External — Placer.ai</t>
      </text>
    </comment>
    <comment ref="D19" authorId="0" shapeId="0">
      <text>
        <t>Link to Seasons model:
External — Placer.ai</t>
      </text>
    </comment>
    <comment ref="C20" authorId="0" shapeId="0">
      <text>
        <t>Link to Canyon Ridge model:
External — Placer.ai</t>
      </text>
    </comment>
    <comment ref="D20" authorId="0" shapeId="0">
      <text>
        <t>Link to Seasons model:
External — Placer.ai</t>
      </text>
    </comment>
    <comment ref="C21" authorId="0" shapeId="0">
      <text>
        <t>Link to Canyon Ridge model:
External — CoStar</t>
      </text>
    </comment>
    <comment ref="D21" authorId="0" shapeId="0">
      <text>
        <t>Link to Seasons model:
External — CoStar</t>
      </text>
    </comment>
    <comment ref="C24" authorId="0" shapeId="0">
      <text>
        <t>Link to Canyon Ridge model:
Assumptions!C35</t>
      </text>
    </comment>
    <comment ref="D24" authorId="0" shapeId="0">
      <text>
        <t>Link to Seasons model:
Assumptions!H6</t>
      </text>
    </comment>
    <comment ref="C25" authorId="0" shapeId="0">
      <text>
        <t>Link to Canyon Ridge model:
Assumptions!C34</t>
      </text>
    </comment>
    <comment ref="D25" authorId="0" shapeId="0">
      <text>
        <t>Link to Seasons model:
Assumptions!H5</t>
      </text>
    </comment>
    <comment ref="C29" authorId="0" shapeId="0">
      <text>
        <t>Link to Canyon Ridge model:
Assumptions!G46</t>
      </text>
    </comment>
    <comment ref="D29" authorId="0" shapeId="0">
      <text>
        <t>Link to Seasons model:
Assumptions!G46</t>
      </text>
    </comment>
    <comment ref="C30" authorId="0" shapeId="0">
      <text>
        <t>Link to Canyon Ridge model:
Assumptions!K37</t>
      </text>
    </comment>
    <comment ref="D30" authorId="0" shapeId="0">
      <text>
        <t>Link to Seasons model:
Assumptions!K37</t>
      </text>
    </comment>
    <comment ref="C35" authorId="0" shapeId="0">
      <text>
        <t>Link to Canyon Ridge model:
Assumptions!K100</t>
      </text>
    </comment>
    <comment ref="D35" authorId="0" shapeId="0">
      <text>
        <t>Link to Seasons model:
Assumptions!K100</t>
      </text>
    </comment>
    <comment ref="C37" authorId="0" shapeId="0">
      <text>
        <t>Link to Canyon Ridge model:
'Cash Flow (Annual)'!F4</t>
      </text>
    </comment>
    <comment ref="D37" authorId="0" shapeId="0">
      <text>
        <t>Link to Seasons model:
'Cash Flow (Annual)'!F4</t>
      </text>
    </comment>
    <comment ref="C38" authorId="0" shapeId="0">
      <text>
        <t>Link to Canyon Ridge model:
'Cash Flow (Annual)'!I4</t>
      </text>
    </comment>
    <comment ref="D38" authorId="0" shapeId="0">
      <text>
        <t>Link to Seasons model:
'Cash Flow (Annual)'!I4</t>
      </text>
    </comment>
    <comment ref="C40" authorId="0" shapeId="0">
      <text>
        <t>Link to Canyon Ridge model:
'Cash Flow (Annual)'!K4</t>
      </text>
    </comment>
    <comment ref="D40" authorId="0" shapeId="0">
      <text>
        <t>Link to Seasons model:
'Cash Flow (Annual)'!K4</t>
      </text>
    </comment>
    <comment ref="C42" authorId="0" shapeId="0">
      <text>
        <t>Link to Canyon Ridge model:
'Cash Flow (Annual)'!F14</t>
      </text>
    </comment>
    <comment ref="D42" authorId="0" shapeId="0">
      <text>
        <t>Link to Seasons model:
'Cash Flow (Annual)'!F14</t>
      </text>
    </comment>
    <comment ref="C43" authorId="0" shapeId="0">
      <text>
        <t>Link to Canyon Ridge model:
'Cash Flow (Annual)'!I14</t>
      </text>
    </comment>
    <comment ref="D43" authorId="0" shapeId="0">
      <text>
        <t>Link to Seasons model:
'Cash Flow (Annual)'!I14</t>
      </text>
    </comment>
    <comment ref="C44" authorId="0" shapeId="0">
      <text>
        <t>Link to Canyon Ridge model:
'Cash Flow (Annual)'!I15</t>
      </text>
    </comment>
    <comment ref="D44" authorId="0" shapeId="0">
      <text>
        <t>Link to Seasons model:
'Cash Flow (Annual)'!I15</t>
      </text>
    </comment>
    <comment ref="C45" authorId="0" shapeId="0">
      <text>
        <t>Link to Canyon Ridge model:
'Cash Flow (Annual)'!K15</t>
      </text>
    </comment>
    <comment ref="D45" authorId="0" shapeId="0">
      <text>
        <t>Link to Seasons model:
'Cash Flow (Annual)'!K15</t>
      </text>
    </comment>
    <comment ref="C46" authorId="0" shapeId="0">
      <text>
        <t>Link to Canyon Ridge model:
= -'Cash Flow (Annual)'!I25 / 'Cash Flow (Annual)'!I16</t>
      </text>
    </comment>
    <comment ref="D46" authorId="0" shapeId="0">
      <text>
        <t>Link to Seasons model:
= -'Cash Flow (Annual)'!I25 / 'Cash Flow (Annual)'!I16</t>
      </text>
    </comment>
    <comment ref="C49" authorId="0" shapeId="0">
      <text>
        <t>Link to Canyon Ridge model:
'Cash Flow (Annual)'!I35</t>
      </text>
    </comment>
    <comment ref="D49" authorId="0" shapeId="0">
      <text>
        <t>Link to Seasons model:
'Cash Flow (Annual)'!I35</t>
      </text>
    </comment>
    <comment ref="C50" authorId="0" shapeId="0">
      <text>
        <t>Link to Canyon Ridge model:
'Cash Flow (Annual)'!K35</t>
      </text>
    </comment>
    <comment ref="D50" authorId="0" shapeId="0">
      <text>
        <t>Link to Seasons model:
'Cash Flow (Annual)'!K35</t>
      </text>
    </comment>
    <comment ref="C51" authorId="0" shapeId="0">
      <text>
        <t>Link to Canyon Ridge model:
=SUM('Cash Flow (Annual)'!K29:K32)/Units/12</t>
      </text>
    </comment>
    <comment ref="D51" authorId="0" shapeId="0">
      <text>
        <t>Link to Seasons model:
=SUM('Cash Flow (Annual)'!K29:K32)/Units/12</t>
      </text>
    </comment>
    <comment ref="C52" authorId="0" shapeId="0">
      <text>
        <t>Link to Canyon Ridge model:
=('Cash Flow (Annual)'!K53+'Cash Flow (Annual)'!K63)/Units</t>
      </text>
    </comment>
    <comment ref="D52" authorId="0" shapeId="0">
      <text>
        <t>Link to Seasons model:
=('Cash Flow (Annual)'!K53+'Cash Flow (Annual)'!K63)/Units</t>
      </text>
    </comment>
    <comment ref="C53" authorId="0" shapeId="0">
      <text>
        <t>Link to Canyon Ridge model:
='Cash Flow (Annual)'!K50/Units</t>
      </text>
    </comment>
    <comment ref="D53" authorId="0" shapeId="0">
      <text>
        <t>Link to Seasons model:
='Cash Flow (Annual)'!K50/Units</t>
      </text>
    </comment>
    <comment ref="C54" authorId="0" shapeId="0">
      <text>
        <t>Link to Canyon Ridge model:
='Cash Flow (Annual)'!K49/Units</t>
      </text>
    </comment>
    <comment ref="D54" authorId="0" shapeId="0">
      <text>
        <t>Link to Seasons model:
='Cash Flow (Annual)'!K49/Units</t>
      </text>
    </comment>
    <comment ref="C56" authorId="0" shapeId="0">
      <text>
        <t>Link to Canyon Ridge model:
'Cash Flow (Annual)'!K55</t>
      </text>
    </comment>
    <comment ref="D56" authorId="0" shapeId="0">
      <text>
        <t>Link to Seasons model:
'Cash Flow (Annual)'!K55</t>
      </text>
    </comment>
    <comment ref="C57" authorId="0" shapeId="0">
      <text>
        <t>Link to Canyon Ridge model:
Assumptions!K42</t>
      </text>
    </comment>
    <comment ref="D57" authorId="0" shapeId="0">
      <text>
        <t>Link to Seasons model:
Assumptions!K42</t>
      </text>
    </comment>
    <comment ref="C62" authorId="0" shapeId="0">
      <text>
        <t>Link to Canyon Ridge model:
='Cash Flow (Annual)'!K59-'Cash Flow (Annual)'!K63</t>
      </text>
    </comment>
    <comment ref="D62" authorId="0" shapeId="0">
      <text>
        <t>Link to Seasons model:
='Cash Flow (Annual)'!K59-'Cash Flow (Annual)'!K63</t>
      </text>
    </comment>
    <comment ref="C64" authorId="0" shapeId="0">
      <text>
        <t>Link to Canyon Ridge model:
Assumptions!E41</t>
      </text>
    </comment>
    <comment ref="D64" authorId="0" shapeId="0">
      <text>
        <t>Link to Seasons model:
Assumptions!E35</t>
      </text>
    </comment>
    <comment ref="C65" authorId="0" shapeId="0">
      <text>
        <t>Link to Canyon Ridge model:
Assumptions!K39</t>
      </text>
    </comment>
    <comment ref="D65" authorId="0" shapeId="0">
      <text>
        <t>Link to Seasons model:
Assumptions!K39</t>
      </text>
    </comment>
    <comment ref="C68" authorId="0" shapeId="0">
      <text>
        <t>Link to Canyon Ridge model:
Assumptions!G32</t>
      </text>
    </comment>
    <comment ref="D68" authorId="0" shapeId="0">
      <text>
        <t>Link to Seasons model:
Assumptions!G32</t>
      </text>
    </comment>
    <comment ref="C69" authorId="0" shapeId="0">
      <text>
        <t>Link to Canyon Ridge model:
Assumptions!G35</t>
      </text>
    </comment>
    <comment ref="D69" authorId="0" shapeId="0">
      <text>
        <t>Link to Seasons model:
Assumptions!G35</t>
      </text>
    </comment>
    <comment ref="C70" authorId="0" shapeId="0">
      <text>
        <t>Link to Canyon Ridge model:
Assumptions!G36</t>
      </text>
    </comment>
    <comment ref="D70" authorId="0" shapeId="0">
      <text>
        <t>Link to Seasons model:
Assumptions!G36</t>
      </text>
    </comment>
    <comment ref="C71" authorId="0" shapeId="0">
      <text>
        <t>Link to Canyon Ridge model:
Assumptions!G39</t>
      </text>
    </comment>
    <comment ref="D71" authorId="0" shapeId="0">
      <text>
        <t>Link to Seasons model:
Assumptions!G39</t>
      </text>
    </comment>
    <comment ref="C74" authorId="0" shapeId="0">
      <text>
        <t>Link to Canyon Ridge model:
Assumptions!I33</t>
      </text>
    </comment>
    <comment ref="D74" authorId="0" shapeId="0">
      <text>
        <t>Link to Seasons model:
Assumptions!I33</t>
      </text>
    </comment>
    <comment ref="C76" authorId="0" shapeId="0">
      <text>
        <t>Link to Canyon Ridge model:
Assumptions!I38</t>
      </text>
    </comment>
    <comment ref="D76" authorId="0" shapeId="0">
      <text>
        <t>Link to Seasons model:
Assumptions!I38</t>
      </text>
    </comment>
    <comment ref="C77" authorId="0" shapeId="0">
      <text>
        <t>Link to Canyon Ridge model:
Assumptions!I39</t>
      </text>
    </comment>
    <comment ref="D77" authorId="0" shapeId="0">
      <text>
        <t>Link to Seasons model:
Assumptions!I39</t>
      </text>
    </comment>
    <comment ref="C78" authorId="0" shapeId="0">
      <text>
        <t>Link to Canyon Ridge model:
Assumptions!I37</t>
      </text>
    </comment>
    <comment ref="D78" authorId="0" shapeId="0">
      <text>
        <t>Link to Seasons model:
Assumptions!I37</t>
      </text>
    </comment>
    <comment ref="C79" authorId="0" shapeId="0">
      <text>
        <t>Link to Canyon Ridge model:
Assumptions!I35</t>
      </text>
    </comment>
    <comment ref="D79" authorId="0" shapeId="0">
      <text>
        <t>Link to Seasons model:
Assumptions!I35</t>
      </text>
    </comment>
    <comment ref="C80" authorId="0" shapeId="0">
      <text>
        <t>Link to Canyon Ridge model:
Assumptions!I41</t>
      </text>
    </comment>
    <comment ref="D80" authorId="0" shapeId="0">
      <text>
        <t>Link to Seasons model:
Assumptions!I41</t>
      </text>
    </comment>
    <comment ref="C83" authorId="0" shapeId="0">
      <text>
        <t>Link to Canyon Ridge model:
'Cash Flow (Annual)'!P4</t>
      </text>
    </comment>
    <comment ref="D83" authorId="0" shapeId="0">
      <text>
        <t>Link to Seasons model:
'Cash Flow (Annual)'!P4</t>
      </text>
    </comment>
    <comment ref="C85" authorId="0" shapeId="0">
      <text>
        <t>Link to Canyon Ridge model:
=('Cash Flow (Annual)'!P59/'Cash Flow (Annual)'!K59)^(1/5)-1</t>
      </text>
    </comment>
    <comment ref="D85" authorId="0" shapeId="0">
      <text>
        <t>Link to Seasons model:
=('Cash Flow (Annual)'!P59/'Cash Flow (Annual)'!K59)^(1/5)-1</t>
      </text>
    </comment>
    <comment ref="C86" authorId="0" shapeId="0">
      <text>
        <t>Link to Canyon Ridge model:
Assumptions!M33</t>
      </text>
    </comment>
    <comment ref="D86" authorId="0" shapeId="0">
      <text>
        <t>Link to Seasons model:
Assumptions!M33</t>
      </text>
    </comment>
    <comment ref="C88" authorId="0" shapeId="0">
      <text>
        <t>Link to Canyon Ridge model:
=SUM(Assumptions!M36:M38)</t>
      </text>
    </comment>
    <comment ref="D88" authorId="0" shapeId="0">
      <text>
        <t>Link to Seasons model:
=SUM(Assumptions!M36:M38)</t>
      </text>
    </comment>
    <comment ref="C93" authorId="0" shapeId="0">
      <text>
        <t>Link to Canyon Ridge model:
Assumptions!M43</t>
      </text>
    </comment>
    <comment ref="D93" authorId="0" shapeId="0">
      <text>
        <t>Link to Seasons model:
Assumptions!M43</t>
      </text>
    </comment>
    <comment ref="C94" authorId="0" shapeId="0">
      <text>
        <t>Link to Canyon Ridge model:
Assumptions!M32, Assumptions!M44</t>
      </text>
    </comment>
    <comment ref="D94" authorId="0" shapeId="0">
      <text>
        <t>Link to Seasons model:
Assumptions!M32, Assumptions!M44</t>
      </text>
    </comment>
    <comment ref="C97" authorId="0" shapeId="0">
      <text>
        <t>Link to Canyon Ridge model:
Assumptions!M12</t>
      </text>
    </comment>
    <comment ref="D97" authorId="0" shapeId="0">
      <text>
        <t>Link to Seasons model:
Assumptions!L12</t>
      </text>
    </comment>
    <comment ref="C98" authorId="0" shapeId="0">
      <text>
        <t>Link to Canyon Ridge model:
Assumptions!M15</t>
      </text>
    </comment>
    <comment ref="D98" authorId="0" shapeId="0">
      <text>
        <t>Link to Seasons model:
Assumptions!L15</t>
      </text>
    </comment>
    <comment ref="C99" authorId="0" shapeId="0">
      <text>
        <t>Link to Canyon Ridge model:
Assumptions!M17</t>
      </text>
    </comment>
    <comment ref="D99" authorId="0" shapeId="0">
      <text>
        <t>Link to Seasons model:
Assumptions!L17</t>
      </text>
    </comment>
    <comment ref="C100" authorId="0" shapeId="0">
      <text>
        <t>Link to Canyon Ridge model:
Assumptions!M20</t>
      </text>
    </comment>
    <comment ref="D100" authorId="0" shapeId="0">
      <text>
        <t>Link to Seasons model:
Assumptions!L20</t>
      </text>
    </comment>
    <comment ref="C101" authorId="0" shapeId="0">
      <text>
        <t>Link to Canyon Ridge model:
Assumptions!M21</t>
      </text>
    </comment>
    <comment ref="D101" authorId="0" shapeId="0">
      <text>
        <t>Link to Seasons model:
Assumptions!L21</t>
      </text>
    </comment>
    <comment ref="C102" authorId="0" shapeId="0">
      <text>
        <t>Link to Canyon Ridge model:
Assumptions!M22</t>
      </text>
    </comment>
    <comment ref="D102" authorId="0" shapeId="0">
      <text>
        <t>Link to Seasons model:
Assumptions!L22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B2:F10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.5" customWidth="1" min="1" max="1"/>
    <col width="40" customWidth="1" min="2" max="2"/>
    <col width="16" customWidth="1" min="3" max="3"/>
    <col width="17" customWidth="1" min="4" max="4"/>
    <col width="13" customWidth="1" min="5" max="5"/>
    <col width="56" customWidth="1" min="6" max="6"/>
  </cols>
  <sheetData>
    <row r="2">
      <c r="B2" s="1" t="inlineStr">
        <is>
          <t>TMG UW COMPARISON — BOISE MSA</t>
        </is>
      </c>
    </row>
    <row r="3">
      <c r="B3" s="2" t="inlineStr">
        <is>
          <t>Canyon Ridge (288u, SE Boise · Direct · model 6.2026)  vs.  Seasons at Meridian (360u, Meridian · JV · model 7.26)   ·   5-yr hold · 4.75% exit cap · values as of Jul 2026</t>
        </is>
      </c>
    </row>
    <row r="4">
      <c r="B4" s="3" t="inlineStr">
        <is>
          <t>Blue = hard-coded from model — relink via 'Link Map' tab.   Black = formula (recalcs off this sheet).   Δ = CR vs SaM: dollars/counts as % difference, rates as bps, multiples as Δx.</t>
        </is>
      </c>
    </row>
    <row r="6">
      <c r="B6" s="4" t="inlineStr">
        <is>
          <t>Metric</t>
        </is>
      </c>
      <c r="C6" s="5" t="inlineStr">
        <is>
          <t>Canyon Ridge</t>
        </is>
      </c>
      <c r="D6" s="5" t="inlineStr">
        <is>
          <t>Seasons at Meridian</t>
        </is>
      </c>
      <c r="E6" s="5" t="inlineStr">
        <is>
          <t>Δ CR vs SaM</t>
        </is>
      </c>
      <c r="F6" s="4" t="inlineStr">
        <is>
          <t>Notes</t>
        </is>
      </c>
    </row>
    <row r="8" ht="15" customHeight="1">
      <c r="B8" s="6" t="inlineStr">
        <is>
          <t>PROPERTY SNAPSHOT</t>
        </is>
      </c>
    </row>
    <row r="9">
      <c r="B9" s="7" t="inlineStr">
        <is>
          <t>Location</t>
        </is>
      </c>
      <c r="C9" s="8" t="inlineStr">
        <is>
          <t>Boise · 2552 E Gowen Rd</t>
        </is>
      </c>
      <c r="D9" s="8" t="inlineStr">
        <is>
          <t>Meridian · 2700 E Overland Rd</t>
        </is>
      </c>
      <c r="E9" s="9" t="n"/>
      <c r="F9" s="10" t="inlineStr">
        <is>
          <t>Both Ada County, Boise MSA</t>
        </is>
      </c>
    </row>
    <row r="10">
      <c r="B10" s="7" t="inlineStr">
        <is>
          <t>Year Built</t>
        </is>
      </c>
      <c r="C10" s="11" t="n">
        <v>2024</v>
      </c>
      <c r="D10" s="11" t="n">
        <v>2024</v>
      </c>
      <c r="E10" s="9" t="n"/>
      <c r="F10" s="10" t="inlineStr">
        <is>
          <t>Both 2024 deliveries — new-vintage, in/near lease-up</t>
        </is>
      </c>
    </row>
    <row r="11">
      <c r="B11" s="7" t="inlineStr">
        <is>
          <t>Units</t>
        </is>
      </c>
      <c r="C11" s="11" t="n">
        <v>288</v>
      </c>
      <c r="D11" s="11" t="n">
        <v>360</v>
      </c>
      <c r="E11" s="12">
        <f>IFERROR(C11/D11-1,"")</f>
        <v/>
      </c>
      <c r="F11" s="10" t="n"/>
    </row>
    <row r="12">
      <c r="B12" s="7" t="inlineStr">
        <is>
          <t>Avg Unit SF</t>
        </is>
      </c>
      <c r="C12" s="11" t="n">
        <v>888.9375</v>
      </c>
      <c r="D12" s="11" t="n">
        <v>932.4583333333334</v>
      </c>
      <c r="E12" s="12">
        <f>IFERROR(C12/D12-1,"")</f>
        <v/>
      </c>
      <c r="F12" s="10" t="n"/>
    </row>
    <row r="13">
      <c r="B13" s="7" t="inlineStr">
        <is>
          <t>Total NRSF</t>
        </is>
      </c>
      <c r="C13" s="13">
        <f>C11*C12</f>
        <v/>
      </c>
      <c r="D13" s="13">
        <f>D11*D12</f>
        <v/>
      </c>
      <c r="E13" s="12">
        <f>IFERROR(C13/D13-1,"")</f>
        <v/>
      </c>
      <c r="F13" s="10" t="n"/>
    </row>
    <row r="14">
      <c r="B14" s="7" t="inlineStr">
        <is>
          <t>Deal Structure</t>
        </is>
      </c>
      <c r="C14" s="8" t="inlineStr">
        <is>
          <t>Direct</t>
        </is>
      </c>
      <c r="D14" s="8" t="inlineStr">
        <is>
          <t>JV</t>
        </is>
      </c>
      <c r="E14" s="9" t="n"/>
      <c r="F14" s="10" t="inlineStr">
        <is>
          <t>Drives investor-level return comparability (see Returns)</t>
        </is>
      </c>
    </row>
    <row r="15">
      <c r="B15" s="7" t="inlineStr">
        <is>
          <t>Seller</t>
        </is>
      </c>
      <c r="C15" s="8" t="inlineStr">
        <is>
          <t>—</t>
        </is>
      </c>
      <c r="D15" s="8" t="inlineStr">
        <is>
          <t>Carlyle Group</t>
        </is>
      </c>
      <c r="E15" s="9" t="n"/>
      <c r="F15" s="10" t="n"/>
    </row>
    <row r="16">
      <c r="B16" s="7" t="inlineStr">
        <is>
          <t>Target Close</t>
        </is>
      </c>
      <c r="C16" s="8" t="inlineStr">
        <is>
          <t>Aug 31, 2026</t>
        </is>
      </c>
      <c r="D16" s="8" t="inlineStr">
        <is>
          <t>Oct 31, 2026</t>
        </is>
      </c>
      <c r="E16" s="9" t="n"/>
      <c r="F16" s="10" t="n"/>
    </row>
    <row r="18" ht="15" customHeight="1">
      <c r="B18" s="6" t="inlineStr">
        <is>
          <t>MARKET — 3-MILE DEMOGRAPHICS</t>
        </is>
      </c>
    </row>
    <row r="19">
      <c r="B19" s="7" t="inlineStr">
        <is>
          <t>Avg Household Income</t>
        </is>
      </c>
      <c r="C19" s="14" t="n">
        <v>142348</v>
      </c>
      <c r="D19" s="14" t="n">
        <v>108532.27</v>
      </c>
      <c r="E19" s="12">
        <f>IFERROR(C19/D19-1,"")</f>
        <v/>
      </c>
      <c r="F19" s="10" t="inlineStr">
        <is>
          <t>Placer.ai</t>
        </is>
      </c>
    </row>
    <row r="20">
      <c r="B20" s="7" t="inlineStr">
        <is>
          <t>Median Home Value</t>
        </is>
      </c>
      <c r="C20" s="14" t="n">
        <v>671987</v>
      </c>
      <c r="D20" s="14" t="n">
        <v>570090.8100000001</v>
      </c>
      <c r="E20" s="12">
        <f>IFERROR(C20/D20-1,"")</f>
        <v/>
      </c>
      <c r="F20" s="10" t="inlineStr">
        <is>
          <t>Placer.ai</t>
        </is>
      </c>
    </row>
    <row r="21">
      <c r="B21" s="7" t="inlineStr">
        <is>
          <t>Avg Market Rent</t>
        </is>
      </c>
      <c r="C21" s="14" t="n"/>
      <c r="D21" s="14" t="n"/>
      <c r="E21" s="12">
        <f>IFERROR(C21/D21-1,"")</f>
        <v/>
      </c>
      <c r="F21" s="10" t="inlineStr">
        <is>
          <t>CoStar — to be added</t>
        </is>
      </c>
    </row>
    <row r="23" ht="15" customHeight="1">
      <c r="B23" s="6" t="inlineStr">
        <is>
          <t>PRICING &amp; BASIS</t>
        </is>
      </c>
    </row>
    <row r="24">
      <c r="B24" s="7" t="inlineStr">
        <is>
          <t>Whisper / Guidance Price</t>
        </is>
      </c>
      <c r="C24" s="14" t="n">
        <v>110000000</v>
      </c>
      <c r="D24" s="14" t="n">
        <v>125000000</v>
      </c>
      <c r="E24" s="12">
        <f>IFERROR(C24/D24-1,"")</f>
        <v/>
      </c>
      <c r="F24" s="10" t="n"/>
    </row>
    <row r="25">
      <c r="B25" s="7" t="inlineStr">
        <is>
          <t>TMG Purchase Price</t>
        </is>
      </c>
      <c r="C25" s="14" t="n">
        <v>95000000</v>
      </c>
      <c r="D25" s="14" t="n">
        <v>110000000</v>
      </c>
      <c r="E25" s="12">
        <f>IFERROR(C25/D25-1,"")</f>
        <v/>
      </c>
      <c r="F25" s="10" t="n"/>
    </row>
    <row r="26">
      <c r="B26" s="15" t="inlineStr">
        <is>
          <t xml:space="preserve">      per Unit</t>
        </is>
      </c>
      <c r="C26" s="16">
        <f>C25/C11</f>
        <v/>
      </c>
      <c r="D26" s="16">
        <f>D25/D11</f>
        <v/>
      </c>
      <c r="E26" s="17">
        <f>IFERROR(C26/D26-1,"")</f>
        <v/>
      </c>
      <c r="F26" s="18" t="n"/>
    </row>
    <row r="27">
      <c r="B27" s="15" t="inlineStr">
        <is>
          <t xml:space="preserve">      per SF</t>
        </is>
      </c>
      <c r="C27" s="19">
        <f>C25/C13</f>
        <v/>
      </c>
      <c r="D27" s="19">
        <f>D25/D13</f>
        <v/>
      </c>
      <c r="E27" s="17">
        <f>IFERROR(C27/D27-1,"")</f>
        <v/>
      </c>
      <c r="F27" s="18" t="n"/>
    </row>
    <row r="28">
      <c r="B28" s="7" t="inlineStr">
        <is>
          <t>Discount to Whisper</t>
        </is>
      </c>
      <c r="C28" s="20">
        <f>C25/C24-1</f>
        <v/>
      </c>
      <c r="D28" s="20">
        <f>D25/D24-1</f>
        <v/>
      </c>
      <c r="E28" s="21">
        <f>IF(OR(C28="",D28=""),"",(C28-D28)*10000)</f>
        <v/>
      </c>
      <c r="F28" s="10" t="n"/>
    </row>
    <row r="29" ht="24" customHeight="1">
      <c r="B29" s="7" t="inlineStr">
        <is>
          <t>Budgeted CapEx per Unit</t>
        </is>
      </c>
      <c r="C29" s="14" t="n">
        <v>6885.416666666667</v>
      </c>
      <c r="D29" s="14" t="n">
        <v>7138.888888888889</v>
      </c>
      <c r="E29" s="12">
        <f>IFERROR(C29/D29-1,"")</f>
        <v/>
      </c>
      <c r="F29" s="10" t="inlineStr">
        <is>
          <t>5-yr program incl. $250/U/yr reserves; $0 value-add capex in either base UW</t>
        </is>
      </c>
    </row>
    <row r="30">
      <c r="B30" s="7" t="inlineStr">
        <is>
          <t>TMG Total Basis</t>
        </is>
      </c>
      <c r="C30" s="14" t="n">
        <v>97345480.7428475</v>
      </c>
      <c r="D30" s="14" t="n">
        <v>113006027.22534</v>
      </c>
      <c r="E30" s="12">
        <f>IFERROR(C30/D30-1,"")</f>
        <v/>
      </c>
      <c r="F30" s="10" t="inlineStr">
        <is>
          <t>Price + closing + financing fees + capex</t>
        </is>
      </c>
    </row>
    <row r="31">
      <c r="B31" s="15" t="inlineStr">
        <is>
          <t xml:space="preserve">      per Unit</t>
        </is>
      </c>
      <c r="C31" s="16">
        <f>C30/C11</f>
        <v/>
      </c>
      <c r="D31" s="16">
        <f>D30/D11</f>
        <v/>
      </c>
      <c r="E31" s="17">
        <f>IFERROR(C31/D31-1,"")</f>
        <v/>
      </c>
      <c r="F31" s="18" t="n"/>
    </row>
    <row r="32">
      <c r="B32" s="15" t="inlineStr">
        <is>
          <t xml:space="preserve">      per SF</t>
        </is>
      </c>
      <c r="C32" s="19">
        <f>C30/C13</f>
        <v/>
      </c>
      <c r="D32" s="19">
        <f>D30/D13</f>
        <v/>
      </c>
      <c r="E32" s="17">
        <f>IFERROR(C32/D32-1,"")</f>
        <v/>
      </c>
      <c r="F32" s="18" t="n"/>
    </row>
    <row r="34" ht="15" customHeight="1">
      <c r="B34" s="6" t="inlineStr">
        <is>
          <t>RENTS &amp; OCCUPANCY</t>
        </is>
      </c>
    </row>
    <row r="35">
      <c r="B35" s="7" t="inlineStr">
        <is>
          <t>In-Place Contract Rent ($/mo)</t>
        </is>
      </c>
      <c r="C35" s="14" t="n">
        <v>1994.824448627845</v>
      </c>
      <c r="D35" s="14" t="n">
        <v>1735.151343454026</v>
      </c>
      <c r="E35" s="12">
        <f>IFERROR(C35/D35-1,"")</f>
        <v/>
      </c>
      <c r="F35" s="10" t="n"/>
    </row>
    <row r="36">
      <c r="B36" s="15" t="inlineStr">
        <is>
          <t xml:space="preserve">      per SF</t>
        </is>
      </c>
      <c r="C36" s="19">
        <f>C35/C12</f>
        <v/>
      </c>
      <c r="D36" s="19">
        <f>D35/D12</f>
        <v/>
      </c>
      <c r="E36" s="17">
        <f>IFERROR(C36/D36-1,"")</f>
        <v/>
      </c>
      <c r="F36" s="18" t="n"/>
    </row>
    <row r="37">
      <c r="B37" s="7" t="inlineStr">
        <is>
          <t>T12 Market Rent ($/mo)</t>
        </is>
      </c>
      <c r="C37" s="14" t="n">
        <v>2008.672424682081</v>
      </c>
      <c r="D37" s="14" t="n">
        <v>1743.263198204548</v>
      </c>
      <c r="E37" s="12">
        <f>IFERROR(C37/D37-1,"")</f>
        <v/>
      </c>
      <c r="F37" s="10" t="inlineStr">
        <is>
          <t>Hellodata</t>
        </is>
      </c>
    </row>
    <row r="38">
      <c r="B38" s="7" t="inlineStr">
        <is>
          <t>T3 Market Rent ($/mo)</t>
        </is>
      </c>
      <c r="C38" s="14" t="n">
        <v>2201.168887536075</v>
      </c>
      <c r="D38" s="14" t="n">
        <v>1837.689138176638</v>
      </c>
      <c r="E38" s="12">
        <f>IFERROR(C38/D38-1,"")</f>
        <v/>
      </c>
      <c r="F38" s="10" t="inlineStr">
        <is>
          <t>Hellodata</t>
        </is>
      </c>
    </row>
    <row r="39">
      <c r="B39" s="15" t="inlineStr">
        <is>
          <t xml:space="preserve">      per SF</t>
        </is>
      </c>
      <c r="C39" s="19">
        <f>C38/C12</f>
        <v/>
      </c>
      <c r="D39" s="19">
        <f>D38/D12</f>
        <v/>
      </c>
      <c r="E39" s="17">
        <f>IFERROR(C39/D39-1,"")</f>
        <v/>
      </c>
      <c r="F39" s="18" t="n"/>
    </row>
    <row r="40">
      <c r="B40" s="7" t="inlineStr">
        <is>
          <t>TMG Y1 Market Rent ($/mo)</t>
        </is>
      </c>
      <c r="C40" s="14" t="n">
        <v>2052.028124999999</v>
      </c>
      <c r="D40" s="14" t="n">
        <v>1761.178613605837</v>
      </c>
      <c r="E40" s="12">
        <f>IFERROR(C40/D40-1,"")</f>
        <v/>
      </c>
      <c r="F40" s="10" t="n"/>
    </row>
    <row r="41">
      <c r="B41" s="7" t="inlineStr">
        <is>
          <t>In-Place vs T3 Market (LTL)</t>
        </is>
      </c>
      <c r="C41" s="20">
        <f>C35/C38-1</f>
        <v/>
      </c>
      <c r="D41" s="20">
        <f>D35/D38-1</f>
        <v/>
      </c>
      <c r="E41" s="21">
        <f>IF(OR(C41="",D41=""),"",(C41-D41)*10000)</f>
        <v/>
      </c>
      <c r="F41" s="10" t="inlineStr">
        <is>
          <t>Loss-to-lease = mark-to-market upside embedded in T3 rents</t>
        </is>
      </c>
    </row>
    <row r="42">
      <c r="B42" s="7" t="inlineStr">
        <is>
          <t>T12 Physical Occupancy</t>
        </is>
      </c>
      <c r="C42" s="22" t="n">
        <v>0.7709329619038843</v>
      </c>
      <c r="D42" s="22" t="n">
        <v>0.8031846318012393</v>
      </c>
      <c r="E42" s="21">
        <f>IF(OR(C42="",D42=""),"",(C42-D42)*10000)</f>
        <v/>
      </c>
      <c r="F42" s="10" t="inlineStr">
        <is>
          <t>Both in lease-up during T12 — T3 is the cleaner read</t>
        </is>
      </c>
    </row>
    <row r="43">
      <c r="B43" s="7" t="inlineStr">
        <is>
          <t>T3 Physical Occupancy</t>
        </is>
      </c>
      <c r="C43" s="22" t="n">
        <v>0.9786347416900646</v>
      </c>
      <c r="D43" s="22" t="n">
        <v>0.9494682167514993</v>
      </c>
      <c r="E43" s="21">
        <f>IF(OR(C43="",D43=""),"",(C43-D43)*10000)</f>
        <v/>
      </c>
      <c r="F43" s="10" t="n"/>
    </row>
    <row r="44">
      <c r="B44" s="7" t="inlineStr">
        <is>
          <t>T3 Economic Occupancy</t>
        </is>
      </c>
      <c r="C44" s="22" t="n">
        <v>0.9263251308850944</v>
      </c>
      <c r="D44" s="22" t="n">
        <v>0.9192615126276121</v>
      </c>
      <c r="E44" s="21">
        <f>IF(OR(C44="",D44=""),"",(C44-D44)*10000)</f>
        <v/>
      </c>
      <c r="F44" s="10" t="n"/>
    </row>
    <row r="45">
      <c r="B45" s="7" t="inlineStr">
        <is>
          <t>TMG Y1 Economic Occupancy</t>
        </is>
      </c>
      <c r="C45" s="22" t="n">
        <v>0.9365277777777777</v>
      </c>
      <c r="D45" s="22" t="n">
        <v>0.9197222222222221</v>
      </c>
      <c r="E45" s="21">
        <f>IF(OR(C45="",D45=""),"",(C45-D45)*10000)</f>
        <v/>
      </c>
      <c r="F45" s="10" t="inlineStr">
        <is>
          <t>Y1 physical UW'd at 94.5% for both</t>
        </is>
      </c>
    </row>
    <row r="46">
      <c r="B46" s="7" t="inlineStr">
        <is>
          <t>T3 Concessions (% of GPR)</t>
        </is>
      </c>
      <c r="C46" s="22" t="n">
        <v>0.04201497700101828</v>
      </c>
      <c r="D46" s="22" t="n">
        <v>0.01917439317785593</v>
      </c>
      <c r="E46" s="21">
        <f>IF(OR(C46="",D46=""),"",(C46-D46)*10000)</f>
        <v/>
      </c>
      <c r="F46" s="10" t="inlineStr">
        <is>
          <t>Burn-off tailwind as lease-up concessions roll off</t>
        </is>
      </c>
    </row>
    <row r="48" ht="15" customHeight="1">
      <c r="B48" s="6" t="inlineStr">
        <is>
          <t>REVENUE &amp; EXPENSES (TMG YEAR 1)</t>
        </is>
      </c>
    </row>
    <row r="49">
      <c r="B49" s="7" t="inlineStr">
        <is>
          <t>T3 Revenue (annualized)</t>
        </is>
      </c>
      <c r="C49" s="14" t="n">
        <v>7283176.92</v>
      </c>
      <c r="D49" s="14" t="n">
        <v>7840420</v>
      </c>
      <c r="E49" s="12">
        <f>IFERROR(C49/D49-1,"")</f>
        <v/>
      </c>
      <c r="F49" s="10" t="n"/>
    </row>
    <row r="50">
      <c r="B50" s="7" t="inlineStr">
        <is>
          <t>TMG Y1 Revenue</t>
        </is>
      </c>
      <c r="C50" s="14" t="n">
        <v>7619346.039978658</v>
      </c>
      <c r="D50" s="14" t="n">
        <v>7882781.774481134</v>
      </c>
      <c r="E50" s="12">
        <f>IFERROR(C50/D50-1,"")</f>
        <v/>
      </c>
      <c r="F50" s="10" t="n"/>
    </row>
    <row r="51">
      <c r="B51" s="7" t="inlineStr">
        <is>
          <t>Y1 Other Income ($/U/mo)</t>
        </is>
      </c>
      <c r="C51" s="14" t="n">
        <v>276.6238529708073</v>
      </c>
      <c r="D51" s="14" t="n">
        <v>212.9867526157407</v>
      </c>
      <c r="E51" s="12">
        <f>IFERROR(C51/D51-1,"")</f>
        <v/>
      </c>
      <c r="F51" s="10" t="inlineStr">
        <is>
          <t>Other income + RUBS + parking + revenue share</t>
        </is>
      </c>
    </row>
    <row r="52">
      <c r="B52" s="7" t="inlineStr">
        <is>
          <t>Y1 OpEx per Unit (incl. reserves)</t>
        </is>
      </c>
      <c r="C52" s="14" t="n">
        <v>9181.518964941009</v>
      </c>
      <c r="D52" s="14" t="n">
        <v>6876.752185255978</v>
      </c>
      <c r="E52" s="12">
        <f>IFERROR(C52/D52-1,"")</f>
        <v/>
      </c>
      <c r="F52" s="10" t="n"/>
    </row>
    <row r="53" ht="24" customHeight="1">
      <c r="B53" s="15" t="inlineStr">
        <is>
          <t xml:space="preserve">      RE Taxes per Unit</t>
        </is>
      </c>
      <c r="C53" s="23" t="n">
        <v>2926.623153493207</v>
      </c>
      <c r="D53" s="23" t="n">
        <v>1295.000927583675</v>
      </c>
      <c r="E53" s="17">
        <f>IFERROR(C53/D53-1,"")</f>
        <v/>
      </c>
      <c r="F53" s="18" t="inlineStr">
        <is>
          <t>CR taxable value is 46% of price → UW reassesses taxes ~2.1x; SaM already assessed at 85%</t>
        </is>
      </c>
    </row>
    <row r="54">
      <c r="B54" s="15" t="inlineStr">
        <is>
          <t xml:space="preserve">      Insurance per Unit</t>
        </is>
      </c>
      <c r="C54" s="23" t="n">
        <v>550</v>
      </c>
      <c r="D54" s="23" t="n">
        <v>620</v>
      </c>
      <c r="E54" s="17">
        <f>IFERROR(C54/D54-1,"")</f>
        <v/>
      </c>
      <c r="F54" s="18" t="n"/>
    </row>
    <row r="55">
      <c r="B55" s="15" t="inlineStr">
        <is>
          <t xml:space="preserve">      All Other OpEx per Unit</t>
        </is>
      </c>
      <c r="C55" s="16">
        <f>C52-C53-C54</f>
        <v/>
      </c>
      <c r="D55" s="16">
        <f>D52-D53-D54</f>
        <v/>
      </c>
      <c r="E55" s="17">
        <f>IFERROR(C55/D55-1,"")</f>
        <v/>
      </c>
      <c r="F55" s="18" t="n"/>
    </row>
    <row r="56">
      <c r="B56" s="7" t="inlineStr">
        <is>
          <t>Y1 Expense Ratio</t>
        </is>
      </c>
      <c r="C56" s="22" t="n">
        <v>0.3375981939140562</v>
      </c>
      <c r="D56" s="22" t="n">
        <v>0.3026381872469355</v>
      </c>
      <c r="E56" s="21">
        <f>IF(OR(C56="",D56=""),"",(C56-D56)*10000)</f>
        <v/>
      </c>
      <c r="F56" s="10" t="n"/>
    </row>
    <row r="57">
      <c r="B57" s="7" t="inlineStr">
        <is>
          <t>Current Taxable Value</t>
        </is>
      </c>
      <c r="C57" s="14" t="n">
        <v>43839100</v>
      </c>
      <c r="D57" s="14" t="n">
        <v>92993300</v>
      </c>
      <c r="E57" s="12">
        <f>IFERROR(C57/D57-1,"")</f>
        <v/>
      </c>
      <c r="F57" s="10" t="inlineStr">
        <is>
          <t>Reassessment risk sits with CR — already fully underwritten above</t>
        </is>
      </c>
    </row>
    <row r="59" ht="15" customHeight="1">
      <c r="B59" s="6" t="inlineStr">
        <is>
          <t>NOI &amp; YIELD (UNLEVERED)</t>
        </is>
      </c>
    </row>
    <row r="60" ht="24" customHeight="1">
      <c r="B60" s="7" t="inlineStr">
        <is>
          <t>Stabilized NOI (T3 Rev @ TMG Y1 Exp)</t>
        </is>
      </c>
      <c r="C60" s="24">
        <f>C49-C52*C11</f>
        <v/>
      </c>
      <c r="D60" s="24">
        <f>D49-D52*D11</f>
        <v/>
      </c>
      <c r="E60" s="12">
        <f>IFERROR(C60/D60-1,"")</f>
        <v/>
      </c>
      <c r="F60" s="10" t="inlineStr">
        <is>
          <t>Cleanest apples-to-apples: actual T3 revenue against TMG's Y1 expense load</t>
        </is>
      </c>
    </row>
    <row r="61">
      <c r="B61" s="15" t="inlineStr">
        <is>
          <t xml:space="preserve">      Cap Rate on Price</t>
        </is>
      </c>
      <c r="C61" s="25">
        <f>C60/C25</f>
        <v/>
      </c>
      <c r="D61" s="25">
        <f>D60/D25</f>
        <v/>
      </c>
      <c r="E61" s="26">
        <f>IF(OR(C61="",D61=""),"",(C61-D61)*10000)</f>
        <v/>
      </c>
      <c r="F61" s="18" t="n"/>
    </row>
    <row r="62">
      <c r="B62" s="7" t="inlineStr">
        <is>
          <t>TMG Y1 NOI (net of reserves)</t>
        </is>
      </c>
      <c r="C62" s="14" t="n">
        <v>4975068.578075647</v>
      </c>
      <c r="D62" s="14" t="n">
        <v>5407150.987788983</v>
      </c>
      <c r="E62" s="12">
        <f>IFERROR(C62/D62-1,"")</f>
        <v/>
      </c>
      <c r="F62" s="10" t="n"/>
    </row>
    <row r="63">
      <c r="B63" s="15" t="inlineStr">
        <is>
          <t xml:space="preserve">      Cap Rate on Price</t>
        </is>
      </c>
      <c r="C63" s="25">
        <f>C62/C25</f>
        <v/>
      </c>
      <c r="D63" s="25">
        <f>D62/D25</f>
        <v/>
      </c>
      <c r="E63" s="26">
        <f>IF(OR(C63="",D63=""),"",(C63-D63)*10000)</f>
        <v/>
      </c>
      <c r="F63" s="18" t="n"/>
    </row>
    <row r="64">
      <c r="B64" s="7" t="inlineStr">
        <is>
          <t>Y1 Economic Cap (w/ CapEx Adj)</t>
        </is>
      </c>
      <c r="C64" s="27" t="n">
        <v>0.05194592037583945</v>
      </c>
      <c r="D64" s="27" t="n">
        <v>0.04884552694955674</v>
      </c>
      <c r="E64" s="21">
        <f>IF(OR(C64="",D64=""),"",(C64-D64)*10000)</f>
        <v/>
      </c>
      <c r="F64" s="10" t="inlineStr">
        <is>
          <t>Y1 yield net of full budgeted capex load</t>
        </is>
      </c>
    </row>
    <row r="65">
      <c r="B65" s="7" t="inlineStr">
        <is>
          <t>Unlevered Return on Cost</t>
        </is>
      </c>
      <c r="C65" s="27" t="n">
        <v>0.05754761399386565</v>
      </c>
      <c r="D65" s="27" t="n">
        <v>0.05729045008209261</v>
      </c>
      <c r="E65" s="21">
        <f>IF(OR(C65="",D65=""),"",(C65-D65)*10000)</f>
        <v/>
      </c>
      <c r="F65" s="10" t="inlineStr">
        <is>
          <t>Stabilized ANOI / total basis</t>
        </is>
      </c>
    </row>
    <row r="67" ht="15" customHeight="1">
      <c r="B67" s="6" t="inlineStr">
        <is>
          <t>VALUE-ADD PROGRAM   —   Inputs staged in both models — $0 VA capex in base UW; upside lever only</t>
        </is>
      </c>
    </row>
    <row r="68">
      <c r="B68" s="7" t="inlineStr">
        <is>
          <t>Units Upgraded (%)</t>
        </is>
      </c>
      <c r="C68" s="22" t="n">
        <v>0.5</v>
      </c>
      <c r="D68" s="22" t="n">
        <v>0.17</v>
      </c>
      <c r="E68" s="21">
        <f>IF(OR(C68="",D68=""),"",(C68-D68)*10000)</f>
        <v/>
      </c>
      <c r="F68" s="10" t="n"/>
    </row>
    <row r="69">
      <c r="B69" s="7" t="inlineStr">
        <is>
          <t>Cost per Unit</t>
        </is>
      </c>
      <c r="C69" s="14" t="n">
        <v>15000</v>
      </c>
      <c r="D69" s="14" t="n">
        <v>15000</v>
      </c>
      <c r="E69" s="12">
        <f>IFERROR(C69/D69-1,"")</f>
        <v/>
      </c>
      <c r="F69" s="10" t="n"/>
    </row>
    <row r="70">
      <c r="B70" s="7" t="inlineStr">
        <is>
          <t>Rent Premium ($/U/mo)</t>
        </is>
      </c>
      <c r="C70" s="14" t="n">
        <v>200</v>
      </c>
      <c r="D70" s="14" t="n">
        <v>250</v>
      </c>
      <c r="E70" s="12">
        <f>IFERROR(C70/D70-1,"")</f>
        <v/>
      </c>
      <c r="F70" s="10" t="n"/>
    </row>
    <row r="71">
      <c r="B71" s="7" t="inlineStr">
        <is>
          <t>Target Return on Cost</t>
        </is>
      </c>
      <c r="C71" s="22" t="n">
        <v>0.16</v>
      </c>
      <c r="D71" s="22" t="n">
        <v>0.2</v>
      </c>
      <c r="E71" s="21">
        <f>IF(OR(C71="",D71=""),"",(C71-D71)*10000)</f>
        <v/>
      </c>
      <c r="F71" s="10" t="n"/>
    </row>
    <row r="73" ht="15" customHeight="1">
      <c r="B73" s="6" t="inlineStr">
        <is>
          <t>FINANCING (NEW DEBT)</t>
        </is>
      </c>
    </row>
    <row r="74">
      <c r="B74" s="7" t="inlineStr">
        <is>
          <t>Loan Proceeds</t>
        </is>
      </c>
      <c r="C74" s="14" t="n">
        <v>63164483.78458047</v>
      </c>
      <c r="D74" s="14" t="n">
        <v>71500000</v>
      </c>
      <c r="E74" s="12">
        <f>IFERROR(C74/D74-1,"")</f>
        <v/>
      </c>
      <c r="F74" s="10" t="n"/>
    </row>
    <row r="75">
      <c r="B75" s="15" t="inlineStr">
        <is>
          <t xml:space="preserve">      per Unit</t>
        </is>
      </c>
      <c r="C75" s="16">
        <f>C74/C11</f>
        <v/>
      </c>
      <c r="D75" s="16">
        <f>D74/D11</f>
        <v/>
      </c>
      <c r="E75" s="17">
        <f>IFERROR(C75/D75-1,"")</f>
        <v/>
      </c>
      <c r="F75" s="18" t="n"/>
    </row>
    <row r="76">
      <c r="B76" s="7" t="inlineStr">
        <is>
          <t>LTV</t>
        </is>
      </c>
      <c r="C76" s="22" t="n">
        <v>0.6648893029955839</v>
      </c>
      <c r="D76" s="22" t="n">
        <v>0.65</v>
      </c>
      <c r="E76" s="21">
        <f>IF(OR(C76="",D76=""),"",(C76-D76)*10000)</f>
        <v/>
      </c>
      <c r="F76" s="10" t="n"/>
    </row>
    <row r="77">
      <c r="B77" s="7" t="inlineStr">
        <is>
          <t>LTC</t>
        </is>
      </c>
      <c r="C77" s="22" t="n">
        <v>0.6501278202697939</v>
      </c>
      <c r="D77" s="22" t="n">
        <v>0.6358310823579106</v>
      </c>
      <c r="E77" s="21">
        <f>IF(OR(C77="",D77=""),"",(C77-D77)*10000)</f>
        <v/>
      </c>
      <c r="F77" s="10" t="n"/>
    </row>
    <row r="78">
      <c r="B78" s="7" t="inlineStr">
        <is>
          <t>All-In Rate</t>
        </is>
      </c>
      <c r="C78" s="27" t="n">
        <v>0.05322916666666667</v>
      </c>
      <c r="D78" s="27" t="n">
        <v>0.0537361111111111</v>
      </c>
      <c r="E78" s="21">
        <f>IF(OR(C78="",D78=""),"",(C78-D78)*10000)</f>
        <v/>
      </c>
      <c r="F78" s="10" t="n"/>
    </row>
    <row r="79">
      <c r="B79" s="7" t="inlineStr">
        <is>
          <t>I/O Period (months)</t>
        </is>
      </c>
      <c r="C79" s="11" t="n">
        <v>36</v>
      </c>
      <c r="D79" s="11" t="n">
        <v>60</v>
      </c>
      <c r="E79" s="28">
        <f>C79-D79</f>
        <v/>
      </c>
      <c r="F79" s="10" t="inlineStr">
        <is>
          <t>SaM I/O covers the full 5-yr hold; CR amortizes from Y4</t>
        </is>
      </c>
    </row>
    <row r="80">
      <c r="B80" s="7" t="inlineStr">
        <is>
          <t>Y1 DSCR</t>
        </is>
      </c>
      <c r="C80" s="29" t="n">
        <v>1.23878786606487</v>
      </c>
      <c r="D80" s="29" t="n">
        <v>1.114619034716237</v>
      </c>
      <c r="E80" s="30">
        <f>C80-D80</f>
        <v/>
      </c>
      <c r="F80" s="10" t="n"/>
    </row>
    <row r="82" ht="15" customHeight="1">
      <c r="B82" s="6" t="inlineStr">
        <is>
          <t>GROWTH &amp; EXIT (5-YR HOLD)</t>
        </is>
      </c>
    </row>
    <row r="83">
      <c r="B83" s="7" t="inlineStr">
        <is>
          <t>TMG Y6 Market Rent ($/mo)</t>
        </is>
      </c>
      <c r="C83" s="14" t="n">
        <v>2437.165702864734</v>
      </c>
      <c r="D83" s="14" t="n">
        <v>2101.78363393184</v>
      </c>
      <c r="E83" s="12">
        <f>IFERROR(C83/D83-1,"")</f>
        <v/>
      </c>
      <c r="F83" s="10" t="n"/>
    </row>
    <row r="84">
      <c r="B84" s="7" t="inlineStr">
        <is>
          <t>T12 → Y6 Market Rent CAGR</t>
        </is>
      </c>
      <c r="C84" s="31">
        <f>(C83/C37)^(1/6)-1</f>
        <v/>
      </c>
      <c r="D84" s="31">
        <f>(D83/D37)^(1/6)-1</f>
        <v/>
      </c>
      <c r="E84" s="21">
        <f>IF(OR(C84="",D84=""),"",(C84-D84)*10000)</f>
        <v/>
      </c>
      <c r="F84" s="10" t="n"/>
    </row>
    <row r="85">
      <c r="B85" s="7" t="inlineStr">
        <is>
          <t>Y1 → Y6 NOI CAGR</t>
        </is>
      </c>
      <c r="C85" s="27" t="n">
        <v>0.0278376297396139</v>
      </c>
      <c r="D85" s="27" t="n">
        <v>0.03736428240090284</v>
      </c>
      <c r="E85" s="21">
        <f>IF(OR(C85="",D85=""),"",(C85-D85)*10000)</f>
        <v/>
      </c>
      <c r="F85" s="10" t="inlineStr">
        <is>
          <t>Gross of reserves</t>
        </is>
      </c>
    </row>
    <row r="86">
      <c r="B86" s="7" t="inlineStr">
        <is>
          <t>Exit Cap Rate</t>
        </is>
      </c>
      <c r="C86" s="27" t="n">
        <v>0.0475</v>
      </c>
      <c r="D86" s="27" t="n">
        <v>0.0475</v>
      </c>
      <c r="E86" s="21">
        <f>IF(OR(C86="",D86=""),"",(C86-D86)*10000)</f>
        <v/>
      </c>
      <c r="F86" s="10" t="n"/>
    </row>
    <row r="87">
      <c r="B87" s="7" t="inlineStr">
        <is>
          <t>Y1 Cap → Exit Cap Spread</t>
        </is>
      </c>
      <c r="C87" s="32">
        <f>(C63-C86)*10000</f>
        <v/>
      </c>
      <c r="D87" s="32">
        <f>(D63-D86)*10000</f>
        <v/>
      </c>
      <c r="E87" s="21">
        <f>C87-D87</f>
        <v/>
      </c>
      <c r="F87" s="10" t="inlineStr">
        <is>
          <t>Entry-yield cushion over exit cap</t>
        </is>
      </c>
    </row>
    <row r="88" ht="24" customHeight="1">
      <c r="B88" s="7" t="inlineStr">
        <is>
          <t>TMG Exit NOI (F12, adj.)</t>
        </is>
      </c>
      <c r="C88" s="14" t="n">
        <v>5602000.14983667</v>
      </c>
      <c r="D88" s="14" t="n">
        <v>6474166.161728939</v>
      </c>
      <c r="E88" s="12">
        <f>IFERROR(C88/D88-1,"")</f>
        <v/>
      </c>
      <c r="F88" s="10" t="inlineStr">
        <is>
          <t>Fwd-12 NOI at exit incl. mgmt-fee &amp; buyer tax-reassessment adjustments</t>
        </is>
      </c>
    </row>
    <row r="89">
      <c r="B89" s="7" t="inlineStr">
        <is>
          <t>Stab. NOI → Exit NOI CAGR</t>
        </is>
      </c>
      <c r="C89" s="31">
        <f>(C88/C60)^(1/6)-1</f>
        <v/>
      </c>
      <c r="D89" s="31">
        <f>(D88/D60)^(1/6)-1</f>
        <v/>
      </c>
      <c r="E89" s="21">
        <f>IF(OR(C89="",D89=""),"",(C89-D89)*10000)</f>
        <v/>
      </c>
      <c r="F89" s="10" t="n"/>
    </row>
    <row r="90">
      <c r="B90" s="7" t="inlineStr">
        <is>
          <t>Gross Exit Value</t>
        </is>
      </c>
      <c r="C90" s="24">
        <f>C88/C86</f>
        <v/>
      </c>
      <c r="D90" s="24">
        <f>D88/D86</f>
        <v/>
      </c>
      <c r="E90" s="12">
        <f>IFERROR(C90/D90-1,"")</f>
        <v/>
      </c>
      <c r="F90" s="10" t="n"/>
    </row>
    <row r="91">
      <c r="B91" s="15" t="inlineStr">
        <is>
          <t xml:space="preserve">      per Unit</t>
        </is>
      </c>
      <c r="C91" s="16">
        <f>C90/C11</f>
        <v/>
      </c>
      <c r="D91" s="16">
        <f>D90/D11</f>
        <v/>
      </c>
      <c r="E91" s="17">
        <f>IFERROR(C91/D91-1,"")</f>
        <v/>
      </c>
      <c r="F91" s="18" t="n"/>
    </row>
    <row r="92">
      <c r="B92" s="15" t="inlineStr">
        <is>
          <t xml:space="preserve">      per SF</t>
        </is>
      </c>
      <c r="C92" s="19">
        <f>C90/C13</f>
        <v/>
      </c>
      <c r="D92" s="19">
        <f>D90/D13</f>
        <v/>
      </c>
      <c r="E92" s="17">
        <f>IFERROR(C92/D92-1,"")</f>
        <v/>
      </c>
      <c r="F92" s="18" t="n"/>
    </row>
    <row r="93">
      <c r="B93" s="7" t="inlineStr">
        <is>
          <t>Implied Appreciation CAGR</t>
        </is>
      </c>
      <c r="C93" s="27" t="n">
        <v>0.04420358577942074</v>
      </c>
      <c r="D93" s="27" t="n">
        <v>0.0438053280270001</v>
      </c>
      <c r="E93" s="21">
        <f>IF(OR(C93="",D93=""),"",(C93-D93)*10000)</f>
        <v/>
      </c>
      <c r="F93" s="10" t="inlineStr">
        <is>
          <t>Purchase price → gross exit value</t>
        </is>
      </c>
    </row>
    <row r="94">
      <c r="B94" s="7" t="inlineStr">
        <is>
          <t>Hold / Exit</t>
        </is>
      </c>
      <c r="C94" s="8" t="inlineStr">
        <is>
          <t>5 yrs · Aug 2031</t>
        </is>
      </c>
      <c r="D94" s="8" t="inlineStr">
        <is>
          <t>5 yrs · Oct 2031</t>
        </is>
      </c>
      <c r="E94" s="9" t="n"/>
      <c r="F94" s="10" t="n"/>
    </row>
    <row r="96" ht="15" customHeight="1">
      <c r="B96" s="6" t="inlineStr">
        <is>
          <t>5-YEAR RETURNS (PROPERTY LEVEL)</t>
        </is>
      </c>
    </row>
    <row r="97">
      <c r="B97" s="7" t="inlineStr">
        <is>
          <t>Unlevered IRR</t>
        </is>
      </c>
      <c r="C97" s="22" t="n">
        <v>0.08871019207250197</v>
      </c>
      <c r="D97" s="22" t="n">
        <v>0.08626218202086444</v>
      </c>
      <c r="E97" s="21">
        <f>IF(OR(C97="",D97=""),"",(C97-D97)*10000)</f>
        <v/>
      </c>
      <c r="F97" s="10" t="n"/>
    </row>
    <row r="98">
      <c r="B98" s="7" t="inlineStr">
        <is>
          <t>Unlevered Equity Multiple</t>
        </is>
      </c>
      <c r="C98" s="29" t="n">
        <v>1.472494565175339</v>
      </c>
      <c r="D98" s="29" t="n">
        <v>1.457923526490113</v>
      </c>
      <c r="E98" s="30">
        <f>C98-D98</f>
        <v/>
      </c>
      <c r="F98" s="10" t="n"/>
    </row>
    <row r="99">
      <c r="B99" s="7" t="inlineStr">
        <is>
          <t>Levered IRR</t>
        </is>
      </c>
      <c r="C99" s="22" t="n">
        <v>0.1327545600888733</v>
      </c>
      <c r="D99" s="22" t="n">
        <v>0.1236973438313418</v>
      </c>
      <c r="E99" s="21">
        <f>IF(OR(C99="",D99=""),"",(C99-D99)*10000)</f>
        <v/>
      </c>
      <c r="F99" s="10" t="n"/>
    </row>
    <row r="100">
      <c r="B100" s="7" t="inlineStr">
        <is>
          <t>Levered Equity Multiple</t>
        </is>
      </c>
      <c r="C100" s="29" t="n">
        <v>1.765756967939968</v>
      </c>
      <c r="D100" s="29" t="n">
        <v>1.702992443486269</v>
      </c>
      <c r="E100" s="30">
        <f>C100-D100</f>
        <v/>
      </c>
      <c r="F100" s="10" t="n"/>
    </row>
    <row r="101">
      <c r="B101" s="7" t="inlineStr">
        <is>
          <t>Avg Levered Cash Yield</t>
        </is>
      </c>
      <c r="C101" s="22" t="n">
        <v>0.04758213930221321</v>
      </c>
      <c r="D101" s="22" t="n">
        <v>0.04982431983946541</v>
      </c>
      <c r="E101" s="21">
        <f>IF(OR(C101="",D101=""),"",(C101-D101)*10000)</f>
        <v/>
      </c>
      <c r="F101" s="10" t="inlineStr">
        <is>
          <t>SaM higher despite lower IRR — full-hold I/O</t>
        </is>
      </c>
    </row>
    <row r="102" ht="24" customHeight="1">
      <c r="B102" s="7" t="inlineStr">
        <is>
          <t>Investor / TMG IRR</t>
        </is>
      </c>
      <c r="C102" s="22" t="n">
        <v>0.09982367195643449</v>
      </c>
      <c r="D102" s="22" t="n">
        <v>0.1236973438341566</v>
      </c>
      <c r="E102" s="9" t="n"/>
      <c r="F102" s="10" t="inlineStr">
        <is>
          <t>NOT comparable: CR = investor net-of-promote (Direct); SaM = TMG position in JV</t>
        </is>
      </c>
    </row>
    <row r="104">
      <c r="B104" s="3" t="inlineStr">
        <is>
          <t>Sources: TMG acquisition models (Canyon Ridge UWv2 6.2026 · Seasons at Meridian v02 7.26), Hellodata market rents, Placer.ai demographics. All growth/exit/return figures are TMG UW, not actuals.</t>
        </is>
      </c>
    </row>
  </sheetData>
  <mergeCells count="14">
    <mergeCell ref="B4:F4"/>
    <mergeCell ref="B82:F82"/>
    <mergeCell ref="B96:F96"/>
    <mergeCell ref="B73:F73"/>
    <mergeCell ref="B2:F2"/>
    <mergeCell ref="B34:F34"/>
    <mergeCell ref="B48:F48"/>
    <mergeCell ref="B104:F104"/>
    <mergeCell ref="B3:F3"/>
    <mergeCell ref="B59:F59"/>
    <mergeCell ref="B67:F67"/>
    <mergeCell ref="B23:F23"/>
    <mergeCell ref="B8:F8"/>
    <mergeCell ref="B18:F18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808080"/>
    <outlinePr summaryBelow="1" summaryRight="1"/>
    <pageSetUpPr/>
  </sheetPr>
  <dimension ref="B2:F8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.5" customWidth="1" min="1" max="1"/>
    <col width="38" customWidth="1" min="2" max="2"/>
    <col width="12" customWidth="1" min="3" max="3"/>
    <col width="38" customWidth="1" min="4" max="4"/>
    <col width="38" customWidth="1" min="5" max="5"/>
    <col width="30" customWidth="1" min="6" max="6"/>
  </cols>
  <sheetData>
    <row r="2">
      <c r="B2" s="1" t="inlineStr">
        <is>
          <t>LINK MAP — WHERE EVERY HARD-CODED VALUE COMES FROM</t>
        </is>
      </c>
    </row>
    <row r="3" ht="40" customHeight="1">
      <c r="B3" s="33" t="inlineStr">
        <is>
          <t>Replace each blue value on 'UW Comparison' with an external link to the cell below. CAUTION: the two models are different template versions — Assumptions-sheet addresses differ between them (returns block is column M on Canyon Ridge but column L on Seasons; pricing cells also differ). 'Cash Flow (Annual)' addresses are identical in both.</t>
        </is>
      </c>
    </row>
    <row r="4">
      <c r="B4" s="3" t="inlineStr">
        <is>
          <t>[CR] = Canyon_Ridge_UWv2 (TMG Acquisition Model 6.2026).xlsm     [SaM] = TMG_Acquisitions_model_7.26 Seasons_at_Meridian_v02.xlsm</t>
        </is>
      </c>
    </row>
    <row r="6">
      <c r="B6" s="4" t="inlineStr">
        <is>
          <t>Metric</t>
        </is>
      </c>
      <c r="C6" s="4" t="inlineStr">
        <is>
          <t>Cells</t>
        </is>
      </c>
      <c r="D6" s="4" t="inlineStr">
        <is>
          <t>Canyon Ridge source [CR]</t>
        </is>
      </c>
      <c r="E6" s="4" t="inlineStr">
        <is>
          <t>Seasons source [SaM]</t>
        </is>
      </c>
      <c r="F6" s="4" t="inlineStr">
        <is>
          <t>Definition</t>
        </is>
      </c>
    </row>
    <row r="7">
      <c r="B7" s="7" t="inlineStr">
        <is>
          <t>Location</t>
        </is>
      </c>
      <c r="C7" s="34" t="inlineStr">
        <is>
          <t>C9 / D9</t>
        </is>
      </c>
      <c r="D7" s="35" t="inlineStr">
        <is>
          <t>Assumptions!C5</t>
        </is>
      </c>
      <c r="E7" s="35" t="inlineStr">
        <is>
          <t>Assumptions!C4</t>
        </is>
      </c>
      <c r="F7" s="36" t="inlineStr"/>
    </row>
    <row r="8">
      <c r="B8" s="7" t="inlineStr">
        <is>
          <t>Year Built</t>
        </is>
      </c>
      <c r="C8" s="34" t="inlineStr">
        <is>
          <t>C10 / D10</t>
        </is>
      </c>
      <c r="D8" s="35" t="inlineStr">
        <is>
          <t>Assumptions!C7</t>
        </is>
      </c>
      <c r="E8" s="35" t="inlineStr">
        <is>
          <t>Assumptions!C6</t>
        </is>
      </c>
      <c r="F8" s="36" t="inlineStr"/>
    </row>
    <row r="9">
      <c r="B9" s="7" t="inlineStr">
        <is>
          <t>Units</t>
        </is>
      </c>
      <c r="C9" s="34" t="inlineStr">
        <is>
          <t>C11 / D11</t>
        </is>
      </c>
      <c r="D9" s="35" t="inlineStr">
        <is>
          <t>Assumptions!F100</t>
        </is>
      </c>
      <c r="E9" s="35" t="inlineStr">
        <is>
          <t>Assumptions!F100</t>
        </is>
      </c>
      <c r="F9" s="36" t="inlineStr"/>
    </row>
    <row r="10">
      <c r="B10" s="7" t="inlineStr">
        <is>
          <t>Avg Unit SF</t>
        </is>
      </c>
      <c r="C10" s="34" t="inlineStr">
        <is>
          <t>C12 / D12</t>
        </is>
      </c>
      <c r="D10" s="35" t="inlineStr">
        <is>
          <t>Assumptions!H100</t>
        </is>
      </c>
      <c r="E10" s="35" t="inlineStr">
        <is>
          <t>Assumptions!H100</t>
        </is>
      </c>
      <c r="F10" s="36" t="inlineStr"/>
    </row>
    <row r="11">
      <c r="B11" s="7" t="inlineStr">
        <is>
          <t>Total NRSF</t>
        </is>
      </c>
      <c r="C11" s="34" t="inlineStr">
        <is>
          <t>C13 / D13</t>
        </is>
      </c>
      <c r="D11" s="36" t="inlineStr">
        <is>
          <t>formula — do not link</t>
        </is>
      </c>
      <c r="E11" s="36" t="inlineStr">
        <is>
          <t>formula — do not link</t>
        </is>
      </c>
      <c r="F11" s="36">
        <f> Units × Avg SF</f>
        <v/>
      </c>
    </row>
    <row r="12">
      <c r="B12" s="7" t="inlineStr">
        <is>
          <t>Deal Structure</t>
        </is>
      </c>
      <c r="C12" s="34" t="inlineStr">
        <is>
          <t>C14 / D14</t>
        </is>
      </c>
      <c r="D12" s="35" t="inlineStr">
        <is>
          <t>Assumptions!E4</t>
        </is>
      </c>
      <c r="E12" s="35" t="inlineStr">
        <is>
          <t>Assumptions!E3</t>
        </is>
      </c>
      <c r="F12" s="36" t="inlineStr"/>
    </row>
    <row r="13">
      <c r="B13" s="7" t="inlineStr">
        <is>
          <t>Seller</t>
        </is>
      </c>
      <c r="C13" s="34" t="inlineStr">
        <is>
          <t>C15 / D15</t>
        </is>
      </c>
      <c r="D13" s="35" t="inlineStr">
        <is>
          <t>Assumptions!E7 (blank in model)</t>
        </is>
      </c>
      <c r="E13" s="35" t="inlineStr">
        <is>
          <t>Assumptions!E6</t>
        </is>
      </c>
      <c r="F13" s="36" t="inlineStr"/>
    </row>
    <row r="14">
      <c r="B14" s="7" t="inlineStr">
        <is>
          <t>Target Close</t>
        </is>
      </c>
      <c r="C14" s="34" t="inlineStr">
        <is>
          <t>C16 / D16</t>
        </is>
      </c>
      <c r="D14" s="35" t="inlineStr">
        <is>
          <t>Assumptions!C33</t>
        </is>
      </c>
      <c r="E14" s="35" t="inlineStr">
        <is>
          <t>Assumptions!H4</t>
        </is>
      </c>
      <c r="F14" s="36" t="inlineStr"/>
    </row>
    <row r="15">
      <c r="B15" s="7" t="inlineStr">
        <is>
          <t>Avg Household Income</t>
        </is>
      </c>
      <c r="C15" s="34" t="inlineStr">
        <is>
          <t>C19 / D19</t>
        </is>
      </c>
      <c r="D15" s="35" t="inlineStr">
        <is>
          <t>External — Placer.ai</t>
        </is>
      </c>
      <c r="E15" s="35" t="inlineStr">
        <is>
          <t>External — Placer.ai</t>
        </is>
      </c>
      <c r="F15" s="36" t="inlineStr"/>
    </row>
    <row r="16">
      <c r="B16" s="7" t="inlineStr">
        <is>
          <t>Median Home Value</t>
        </is>
      </c>
      <c r="C16" s="34" t="inlineStr">
        <is>
          <t>C20 / D20</t>
        </is>
      </c>
      <c r="D16" s="35" t="inlineStr">
        <is>
          <t>External — Placer.ai</t>
        </is>
      </c>
      <c r="E16" s="35" t="inlineStr">
        <is>
          <t>External — Placer.ai</t>
        </is>
      </c>
      <c r="F16" s="36" t="inlineStr"/>
    </row>
    <row r="17">
      <c r="B17" s="7" t="inlineStr">
        <is>
          <t>Avg Market Rent</t>
        </is>
      </c>
      <c r="C17" s="34" t="inlineStr">
        <is>
          <t>C21 / D21</t>
        </is>
      </c>
      <c r="D17" s="35" t="inlineStr">
        <is>
          <t>External — CoStar</t>
        </is>
      </c>
      <c r="E17" s="35" t="inlineStr">
        <is>
          <t>External — CoStar</t>
        </is>
      </c>
      <c r="F17" s="36" t="inlineStr"/>
    </row>
    <row r="18">
      <c r="B18" s="7" t="inlineStr">
        <is>
          <t>Whisper / Guidance Price</t>
        </is>
      </c>
      <c r="C18" s="34" t="inlineStr">
        <is>
          <t>C24 / D24</t>
        </is>
      </c>
      <c r="D18" s="35" t="inlineStr">
        <is>
          <t>Assumptions!C35</t>
        </is>
      </c>
      <c r="E18" s="35" t="inlineStr">
        <is>
          <t>Assumptions!H6</t>
        </is>
      </c>
      <c r="F18" s="36" t="inlineStr"/>
    </row>
    <row r="19">
      <c r="B19" s="7" t="inlineStr">
        <is>
          <t>TMG Purchase Price</t>
        </is>
      </c>
      <c r="C19" s="34" t="inlineStr">
        <is>
          <t>C25 / D25</t>
        </is>
      </c>
      <c r="D19" s="35" t="inlineStr">
        <is>
          <t>Assumptions!C34</t>
        </is>
      </c>
      <c r="E19" s="35" t="inlineStr">
        <is>
          <t>Assumptions!H5</t>
        </is>
      </c>
      <c r="F19" s="36" t="inlineStr"/>
    </row>
    <row r="20">
      <c r="B20" s="7" t="inlineStr">
        <is>
          <t>per Unit</t>
        </is>
      </c>
      <c r="C20" s="34" t="inlineStr">
        <is>
          <t>C26 / D26</t>
        </is>
      </c>
      <c r="D20" s="36" t="inlineStr">
        <is>
          <t>formula — do not link</t>
        </is>
      </c>
      <c r="E20" s="36" t="inlineStr">
        <is>
          <t>formula — do not link</t>
        </is>
      </c>
      <c r="F20" s="36" t="inlineStr"/>
    </row>
    <row r="21">
      <c r="B21" s="7" t="inlineStr">
        <is>
          <t>per SF</t>
        </is>
      </c>
      <c r="C21" s="34" t="inlineStr">
        <is>
          <t>C27 / D27</t>
        </is>
      </c>
      <c r="D21" s="36" t="inlineStr">
        <is>
          <t>formula — do not link</t>
        </is>
      </c>
      <c r="E21" s="36" t="inlineStr">
        <is>
          <t>formula — do not link</t>
        </is>
      </c>
      <c r="F21" s="36" t="inlineStr"/>
    </row>
    <row r="22">
      <c r="B22" s="7" t="inlineStr">
        <is>
          <t>Discount to Whisper</t>
        </is>
      </c>
      <c r="C22" s="34" t="inlineStr">
        <is>
          <t>C28 / D28</t>
        </is>
      </c>
      <c r="D22" s="36" t="inlineStr">
        <is>
          <t>formula — do not link</t>
        </is>
      </c>
      <c r="E22" s="36" t="inlineStr">
        <is>
          <t>formula — do not link</t>
        </is>
      </c>
      <c r="F22" s="36" t="inlineStr"/>
    </row>
    <row r="23">
      <c r="B23" s="7" t="inlineStr">
        <is>
          <t>Budgeted CapEx per Unit</t>
        </is>
      </c>
      <c r="C23" s="34" t="inlineStr">
        <is>
          <t>C29 / D29</t>
        </is>
      </c>
      <c r="D23" s="35" t="inlineStr">
        <is>
          <t>Assumptions!G46</t>
        </is>
      </c>
      <c r="E23" s="35" t="inlineStr">
        <is>
          <t>Assumptions!G46</t>
        </is>
      </c>
      <c r="F23" s="36" t="inlineStr"/>
    </row>
    <row r="24">
      <c r="B24" s="7" t="inlineStr">
        <is>
          <t>TMG Total Basis</t>
        </is>
      </c>
      <c r="C24" s="34" t="inlineStr">
        <is>
          <t>C30 / D30</t>
        </is>
      </c>
      <c r="D24" s="35" t="inlineStr">
        <is>
          <t>Assumptions!K37</t>
        </is>
      </c>
      <c r="E24" s="35" t="inlineStr">
        <is>
          <t>Assumptions!K37</t>
        </is>
      </c>
      <c r="F24" s="36" t="inlineStr"/>
    </row>
    <row r="25">
      <c r="B25" s="7" t="inlineStr">
        <is>
          <t>per Unit</t>
        </is>
      </c>
      <c r="C25" s="34" t="inlineStr">
        <is>
          <t>C31 / D31</t>
        </is>
      </c>
      <c r="D25" s="36" t="inlineStr">
        <is>
          <t>formula — do not link</t>
        </is>
      </c>
      <c r="E25" s="36" t="inlineStr">
        <is>
          <t>formula — do not link</t>
        </is>
      </c>
      <c r="F25" s="36" t="inlineStr"/>
    </row>
    <row r="26">
      <c r="B26" s="7" t="inlineStr">
        <is>
          <t>per SF</t>
        </is>
      </c>
      <c r="C26" s="34" t="inlineStr">
        <is>
          <t>C32 / D32</t>
        </is>
      </c>
      <c r="D26" s="36" t="inlineStr">
        <is>
          <t>formula — do not link</t>
        </is>
      </c>
      <c r="E26" s="36" t="inlineStr">
        <is>
          <t>formula — do not link</t>
        </is>
      </c>
      <c r="F26" s="36" t="inlineStr"/>
    </row>
    <row r="27">
      <c r="B27" s="7" t="inlineStr">
        <is>
          <t>In-Place Contract Rent ($/mo)</t>
        </is>
      </c>
      <c r="C27" s="34" t="inlineStr">
        <is>
          <t>C35 / D35</t>
        </is>
      </c>
      <c r="D27" s="35" t="inlineStr">
        <is>
          <t>Assumptions!K100</t>
        </is>
      </c>
      <c r="E27" s="35" t="inlineStr">
        <is>
          <t>Assumptions!K100</t>
        </is>
      </c>
      <c r="F27" s="36" t="inlineStr"/>
    </row>
    <row r="28">
      <c r="B28" s="7" t="inlineStr">
        <is>
          <t>per SF</t>
        </is>
      </c>
      <c r="C28" s="34" t="inlineStr">
        <is>
          <t>C36 / D36</t>
        </is>
      </c>
      <c r="D28" s="36" t="inlineStr">
        <is>
          <t>formula — do not link</t>
        </is>
      </c>
      <c r="E28" s="36" t="inlineStr">
        <is>
          <t>formula — do not link</t>
        </is>
      </c>
      <c r="F28" s="36" t="inlineStr"/>
    </row>
    <row r="29">
      <c r="B29" s="7" t="inlineStr">
        <is>
          <t>T12 Market Rent ($/mo)</t>
        </is>
      </c>
      <c r="C29" s="34" t="inlineStr">
        <is>
          <t>C37 / D37</t>
        </is>
      </c>
      <c r="D29" s="35" t="inlineStr">
        <is>
          <t>'Cash Flow (Annual)'!F4</t>
        </is>
      </c>
      <c r="E29" s="35" t="inlineStr">
        <is>
          <t>'Cash Flow (Annual)'!F4</t>
        </is>
      </c>
      <c r="F29" s="36" t="inlineStr"/>
    </row>
    <row r="30">
      <c r="B30" s="7" t="inlineStr">
        <is>
          <t>T3 Market Rent ($/mo)</t>
        </is>
      </c>
      <c r="C30" s="34" t="inlineStr">
        <is>
          <t>C38 / D38</t>
        </is>
      </c>
      <c r="D30" s="35" t="inlineStr">
        <is>
          <t>'Cash Flow (Annual)'!I4</t>
        </is>
      </c>
      <c r="E30" s="35" t="inlineStr">
        <is>
          <t>'Cash Flow (Annual)'!I4</t>
        </is>
      </c>
      <c r="F30" s="36" t="inlineStr"/>
    </row>
    <row r="31">
      <c r="B31" s="7" t="inlineStr">
        <is>
          <t>per SF</t>
        </is>
      </c>
      <c r="C31" s="34" t="inlineStr">
        <is>
          <t>C39 / D39</t>
        </is>
      </c>
      <c r="D31" s="36" t="inlineStr">
        <is>
          <t>formula — do not link</t>
        </is>
      </c>
      <c r="E31" s="36" t="inlineStr">
        <is>
          <t>formula — do not link</t>
        </is>
      </c>
      <c r="F31" s="36" t="inlineStr"/>
    </row>
    <row r="32">
      <c r="B32" s="7" t="inlineStr">
        <is>
          <t>TMG Y1 Market Rent ($/mo)</t>
        </is>
      </c>
      <c r="C32" s="34" t="inlineStr">
        <is>
          <t>C40 / D40</t>
        </is>
      </c>
      <c r="D32" s="35" t="inlineStr">
        <is>
          <t>'Cash Flow (Annual)'!K4</t>
        </is>
      </c>
      <c r="E32" s="35" t="inlineStr">
        <is>
          <t>'Cash Flow (Annual)'!K4</t>
        </is>
      </c>
      <c r="F32" s="36" t="inlineStr"/>
    </row>
    <row r="33">
      <c r="B33" s="7" t="inlineStr">
        <is>
          <t>In-Place vs T3 Market (LTL)</t>
        </is>
      </c>
      <c r="C33" s="34" t="inlineStr">
        <is>
          <t>C41 / D41</t>
        </is>
      </c>
      <c r="D33" s="36" t="inlineStr">
        <is>
          <t>formula — do not link</t>
        </is>
      </c>
      <c r="E33" s="36" t="inlineStr">
        <is>
          <t>formula — do not link</t>
        </is>
      </c>
      <c r="F33" s="36" t="inlineStr"/>
    </row>
    <row r="34">
      <c r="B34" s="7" t="inlineStr">
        <is>
          <t>T12 Physical Occupancy</t>
        </is>
      </c>
      <c r="C34" s="34" t="inlineStr">
        <is>
          <t>C42 / D42</t>
        </is>
      </c>
      <c r="D34" s="35" t="inlineStr">
        <is>
          <t>'Cash Flow (Annual)'!F14</t>
        </is>
      </c>
      <c r="E34" s="35" t="inlineStr">
        <is>
          <t>'Cash Flow (Annual)'!F14</t>
        </is>
      </c>
      <c r="F34" s="36" t="inlineStr"/>
    </row>
    <row r="35">
      <c r="B35" s="7" t="inlineStr">
        <is>
          <t>T3 Physical Occupancy</t>
        </is>
      </c>
      <c r="C35" s="34" t="inlineStr">
        <is>
          <t>C43 / D43</t>
        </is>
      </c>
      <c r="D35" s="35" t="inlineStr">
        <is>
          <t>'Cash Flow (Annual)'!I14</t>
        </is>
      </c>
      <c r="E35" s="35" t="inlineStr">
        <is>
          <t>'Cash Flow (Annual)'!I14</t>
        </is>
      </c>
      <c r="F35" s="36" t="inlineStr"/>
    </row>
    <row r="36">
      <c r="B36" s="7" t="inlineStr">
        <is>
          <t>T3 Economic Occupancy</t>
        </is>
      </c>
      <c r="C36" s="34" t="inlineStr">
        <is>
          <t>C44 / D44</t>
        </is>
      </c>
      <c r="D36" s="35" t="inlineStr">
        <is>
          <t>'Cash Flow (Annual)'!I15</t>
        </is>
      </c>
      <c r="E36" s="35" t="inlineStr">
        <is>
          <t>'Cash Flow (Annual)'!I15</t>
        </is>
      </c>
      <c r="F36" s="36" t="inlineStr"/>
    </row>
    <row r="37">
      <c r="B37" s="7" t="inlineStr">
        <is>
          <t>TMG Y1 Economic Occupancy</t>
        </is>
      </c>
      <c r="C37" s="34" t="inlineStr">
        <is>
          <t>C45 / D45</t>
        </is>
      </c>
      <c r="D37" s="35" t="inlineStr">
        <is>
          <t>'Cash Flow (Annual)'!K15</t>
        </is>
      </c>
      <c r="E37" s="35" t="inlineStr">
        <is>
          <t>'Cash Flow (Annual)'!K15</t>
        </is>
      </c>
      <c r="F37" s="36" t="inlineStr"/>
    </row>
    <row r="38">
      <c r="B38" s="7" t="inlineStr">
        <is>
          <t>T3 Concessions (% of GPR)</t>
        </is>
      </c>
      <c r="C38" s="34" t="inlineStr">
        <is>
          <t>C46 / D46</t>
        </is>
      </c>
      <c r="D38" s="35">
        <f> -'Cash Flow (Annual)'!I25 / 'Cash Flow (Annual)'!I16</f>
        <v/>
      </c>
      <c r="E38" s="35">
        <f> -'Cash Flow (Annual)'!I25 / 'Cash Flow (Annual)'!I16</f>
        <v/>
      </c>
      <c r="F38" s="36" t="inlineStr"/>
    </row>
    <row r="39">
      <c r="B39" s="7" t="inlineStr">
        <is>
          <t>T3 Revenue (annualized)</t>
        </is>
      </c>
      <c r="C39" s="34" t="inlineStr">
        <is>
          <t>C49 / D49</t>
        </is>
      </c>
      <c r="D39" s="35" t="inlineStr">
        <is>
          <t>'Cash Flow (Annual)'!I35</t>
        </is>
      </c>
      <c r="E39" s="35" t="inlineStr">
        <is>
          <t>'Cash Flow (Annual)'!I35</t>
        </is>
      </c>
      <c r="F39" s="36" t="inlineStr"/>
    </row>
    <row r="40">
      <c r="B40" s="7" t="inlineStr">
        <is>
          <t>TMG Y1 Revenue</t>
        </is>
      </c>
      <c r="C40" s="34" t="inlineStr">
        <is>
          <t>C50 / D50</t>
        </is>
      </c>
      <c r="D40" s="35" t="inlineStr">
        <is>
          <t>'Cash Flow (Annual)'!K35</t>
        </is>
      </c>
      <c r="E40" s="35" t="inlineStr">
        <is>
          <t>'Cash Flow (Annual)'!K35</t>
        </is>
      </c>
      <c r="F40" s="36" t="inlineStr"/>
    </row>
    <row r="41">
      <c r="B41" s="7" t="inlineStr">
        <is>
          <t>Y1 Other Income ($/U/mo)</t>
        </is>
      </c>
      <c r="C41" s="34" t="inlineStr">
        <is>
          <t>C51 / D51</t>
        </is>
      </c>
      <c r="D41" s="35">
        <f>SUM('Cash Flow (Annual)'!K29:K32)/Units/12</f>
        <v/>
      </c>
      <c r="E41" s="35">
        <f>SUM('Cash Flow (Annual)'!K29:K32)/Units/12</f>
        <v/>
      </c>
      <c r="F41" s="36" t="inlineStr"/>
    </row>
    <row r="42">
      <c r="B42" s="7" t="inlineStr">
        <is>
          <t>Y1 OpEx per Unit (incl. reserves)</t>
        </is>
      </c>
      <c r="C42" s="34" t="inlineStr">
        <is>
          <t>C52 / D52</t>
        </is>
      </c>
      <c r="D42" s="35">
        <f>('Cash Flow (Annual)'!K53+'Cash Flow (Annual)'!K63)/Units</f>
        <v/>
      </c>
      <c r="E42" s="35">
        <f>('Cash Flow (Annual)'!K53+'Cash Flow (Annual)'!K63)/Units</f>
        <v/>
      </c>
      <c r="F42" s="36" t="inlineStr"/>
    </row>
    <row r="43">
      <c r="B43" s="7" t="inlineStr">
        <is>
          <t>RE Taxes per Unit</t>
        </is>
      </c>
      <c r="C43" s="34" t="inlineStr">
        <is>
          <t>C53 / D53</t>
        </is>
      </c>
      <c r="D43" s="35">
        <f>'Cash Flow (Annual)'!K50/Units</f>
        <v/>
      </c>
      <c r="E43" s="35">
        <f>'Cash Flow (Annual)'!K50/Units</f>
        <v/>
      </c>
      <c r="F43" s="36" t="inlineStr"/>
    </row>
    <row r="44">
      <c r="B44" s="7" t="inlineStr">
        <is>
          <t>Insurance per Unit</t>
        </is>
      </c>
      <c r="C44" s="34" t="inlineStr">
        <is>
          <t>C54 / D54</t>
        </is>
      </c>
      <c r="D44" s="35">
        <f>'Cash Flow (Annual)'!K49/Units</f>
        <v/>
      </c>
      <c r="E44" s="35">
        <f>'Cash Flow (Annual)'!K49/Units</f>
        <v/>
      </c>
      <c r="F44" s="36" t="inlineStr"/>
    </row>
    <row r="45">
      <c r="B45" s="7" t="inlineStr">
        <is>
          <t>All Other OpEx per Unit</t>
        </is>
      </c>
      <c r="C45" s="34" t="inlineStr">
        <is>
          <t>C55 / D55</t>
        </is>
      </c>
      <c r="D45" s="36" t="inlineStr">
        <is>
          <t>formula — do not link</t>
        </is>
      </c>
      <c r="E45" s="36" t="inlineStr">
        <is>
          <t>formula — do not link</t>
        </is>
      </c>
      <c r="F45" s="36" t="inlineStr"/>
    </row>
    <row r="46">
      <c r="B46" s="7" t="inlineStr">
        <is>
          <t>Y1 Expense Ratio</t>
        </is>
      </c>
      <c r="C46" s="34" t="inlineStr">
        <is>
          <t>C56 / D56</t>
        </is>
      </c>
      <c r="D46" s="35" t="inlineStr">
        <is>
          <t>'Cash Flow (Annual)'!K55</t>
        </is>
      </c>
      <c r="E46" s="35" t="inlineStr">
        <is>
          <t>'Cash Flow (Annual)'!K55</t>
        </is>
      </c>
      <c r="F46" s="36" t="inlineStr"/>
    </row>
    <row r="47">
      <c r="B47" s="7" t="inlineStr">
        <is>
          <t>Current Taxable Value</t>
        </is>
      </c>
      <c r="C47" s="34" t="inlineStr">
        <is>
          <t>C57 / D57</t>
        </is>
      </c>
      <c r="D47" s="35" t="inlineStr">
        <is>
          <t>Assumptions!K42</t>
        </is>
      </c>
      <c r="E47" s="35" t="inlineStr">
        <is>
          <t>Assumptions!K42</t>
        </is>
      </c>
      <c r="F47" s="36" t="inlineStr"/>
    </row>
    <row r="48">
      <c r="B48" s="7" t="inlineStr">
        <is>
          <t>Stabilized NOI (T3 Rev @ TMG Y1 Exp)</t>
        </is>
      </c>
      <c r="C48" s="34" t="inlineStr">
        <is>
          <t>C60 / D60</t>
        </is>
      </c>
      <c r="D48" s="36" t="inlineStr">
        <is>
          <t>formula — do not link</t>
        </is>
      </c>
      <c r="E48" s="36" t="inlineStr">
        <is>
          <t>formula — do not link</t>
        </is>
      </c>
      <c r="F48" s="36" t="inlineStr"/>
    </row>
    <row r="49">
      <c r="B49" s="7" t="inlineStr">
        <is>
          <t>Cap Rate on Price</t>
        </is>
      </c>
      <c r="C49" s="34" t="inlineStr">
        <is>
          <t>C61 / D61</t>
        </is>
      </c>
      <c r="D49" s="36" t="inlineStr">
        <is>
          <t>formula — do not link</t>
        </is>
      </c>
      <c r="E49" s="36" t="inlineStr">
        <is>
          <t>formula — do not link</t>
        </is>
      </c>
      <c r="F49" s="36" t="inlineStr"/>
    </row>
    <row r="50">
      <c r="B50" s="7" t="inlineStr">
        <is>
          <t>TMG Y1 NOI (net of reserves)</t>
        </is>
      </c>
      <c r="C50" s="34" t="inlineStr">
        <is>
          <t>C62 / D62</t>
        </is>
      </c>
      <c r="D50" s="35">
        <f>'Cash Flow (Annual)'!K59-'Cash Flow (Annual)'!K63</f>
        <v/>
      </c>
      <c r="E50" s="35">
        <f>'Cash Flow (Annual)'!K59-'Cash Flow (Annual)'!K63</f>
        <v/>
      </c>
      <c r="F50" s="36" t="inlineStr"/>
    </row>
    <row r="51">
      <c r="B51" s="7" t="inlineStr">
        <is>
          <t>Cap Rate on Price</t>
        </is>
      </c>
      <c r="C51" s="34" t="inlineStr">
        <is>
          <t>C63 / D63</t>
        </is>
      </c>
      <c r="D51" s="36" t="inlineStr">
        <is>
          <t>formula — do not link</t>
        </is>
      </c>
      <c r="E51" s="36" t="inlineStr">
        <is>
          <t>formula — do not link</t>
        </is>
      </c>
      <c r="F51" s="36" t="inlineStr"/>
    </row>
    <row r="52">
      <c r="B52" s="7" t="inlineStr">
        <is>
          <t>Y1 Economic Cap (w/ CapEx Adj)</t>
        </is>
      </c>
      <c r="C52" s="34" t="inlineStr">
        <is>
          <t>C64 / D64</t>
        </is>
      </c>
      <c r="D52" s="35" t="inlineStr">
        <is>
          <t>Assumptions!E41</t>
        </is>
      </c>
      <c r="E52" s="35" t="inlineStr">
        <is>
          <t>Assumptions!E35</t>
        </is>
      </c>
      <c r="F52" s="36" t="inlineStr"/>
    </row>
    <row r="53">
      <c r="B53" s="7" t="inlineStr">
        <is>
          <t>Unlevered Return on Cost</t>
        </is>
      </c>
      <c r="C53" s="34" t="inlineStr">
        <is>
          <t>C65 / D65</t>
        </is>
      </c>
      <c r="D53" s="35" t="inlineStr">
        <is>
          <t>Assumptions!K39</t>
        </is>
      </c>
      <c r="E53" s="35" t="inlineStr">
        <is>
          <t>Assumptions!K39</t>
        </is>
      </c>
      <c r="F53" s="36" t="inlineStr"/>
    </row>
    <row r="54">
      <c r="B54" s="7" t="inlineStr">
        <is>
          <t>Units Upgraded (%)</t>
        </is>
      </c>
      <c r="C54" s="34" t="inlineStr">
        <is>
          <t>C68 / D68</t>
        </is>
      </c>
      <c r="D54" s="35" t="inlineStr">
        <is>
          <t>Assumptions!G32</t>
        </is>
      </c>
      <c r="E54" s="35" t="inlineStr">
        <is>
          <t>Assumptions!G32</t>
        </is>
      </c>
      <c r="F54" s="36" t="inlineStr"/>
    </row>
    <row r="55">
      <c r="B55" s="7" t="inlineStr">
        <is>
          <t>Cost per Unit</t>
        </is>
      </c>
      <c r="C55" s="34" t="inlineStr">
        <is>
          <t>C69 / D69</t>
        </is>
      </c>
      <c r="D55" s="35" t="inlineStr">
        <is>
          <t>Assumptions!G35</t>
        </is>
      </c>
      <c r="E55" s="35" t="inlineStr">
        <is>
          <t>Assumptions!G35</t>
        </is>
      </c>
      <c r="F55" s="36" t="inlineStr"/>
    </row>
    <row r="56">
      <c r="B56" s="7" t="inlineStr">
        <is>
          <t>Rent Premium ($/U/mo)</t>
        </is>
      </c>
      <c r="C56" s="34" t="inlineStr">
        <is>
          <t>C70 / D70</t>
        </is>
      </c>
      <c r="D56" s="35" t="inlineStr">
        <is>
          <t>Assumptions!G36</t>
        </is>
      </c>
      <c r="E56" s="35" t="inlineStr">
        <is>
          <t>Assumptions!G36</t>
        </is>
      </c>
      <c r="F56" s="36" t="inlineStr"/>
    </row>
    <row r="57">
      <c r="B57" s="7" t="inlineStr">
        <is>
          <t>Target Return on Cost</t>
        </is>
      </c>
      <c r="C57" s="34" t="inlineStr">
        <is>
          <t>C71 / D71</t>
        </is>
      </c>
      <c r="D57" s="35" t="inlineStr">
        <is>
          <t>Assumptions!G39</t>
        </is>
      </c>
      <c r="E57" s="35" t="inlineStr">
        <is>
          <t>Assumptions!G39</t>
        </is>
      </c>
      <c r="F57" s="36" t="inlineStr"/>
    </row>
    <row r="58">
      <c r="B58" s="7" t="inlineStr">
        <is>
          <t>Loan Proceeds</t>
        </is>
      </c>
      <c r="C58" s="34" t="inlineStr">
        <is>
          <t>C74 / D74</t>
        </is>
      </c>
      <c r="D58" s="35" t="inlineStr">
        <is>
          <t>Assumptions!I33</t>
        </is>
      </c>
      <c r="E58" s="35" t="inlineStr">
        <is>
          <t>Assumptions!I33</t>
        </is>
      </c>
      <c r="F58" s="36" t="inlineStr"/>
    </row>
    <row r="59">
      <c r="B59" s="7" t="inlineStr">
        <is>
          <t>per Unit</t>
        </is>
      </c>
      <c r="C59" s="34" t="inlineStr">
        <is>
          <t>C75 / D75</t>
        </is>
      </c>
      <c r="D59" s="36" t="inlineStr">
        <is>
          <t>formula — do not link</t>
        </is>
      </c>
      <c r="E59" s="36" t="inlineStr">
        <is>
          <t>formula — do not link</t>
        </is>
      </c>
      <c r="F59" s="36" t="inlineStr"/>
    </row>
    <row r="60">
      <c r="B60" s="7" t="inlineStr">
        <is>
          <t>LTV</t>
        </is>
      </c>
      <c r="C60" s="34" t="inlineStr">
        <is>
          <t>C76 / D76</t>
        </is>
      </c>
      <c r="D60" s="35" t="inlineStr">
        <is>
          <t>Assumptions!I38</t>
        </is>
      </c>
      <c r="E60" s="35" t="inlineStr">
        <is>
          <t>Assumptions!I38</t>
        </is>
      </c>
      <c r="F60" s="36" t="inlineStr"/>
    </row>
    <row r="61">
      <c r="B61" s="7" t="inlineStr">
        <is>
          <t>LTC</t>
        </is>
      </c>
      <c r="C61" s="34" t="inlineStr">
        <is>
          <t>C77 / D77</t>
        </is>
      </c>
      <c r="D61" s="35" t="inlineStr">
        <is>
          <t>Assumptions!I39</t>
        </is>
      </c>
      <c r="E61" s="35" t="inlineStr">
        <is>
          <t>Assumptions!I39</t>
        </is>
      </c>
      <c r="F61" s="36" t="inlineStr"/>
    </row>
    <row r="62">
      <c r="B62" s="7" t="inlineStr">
        <is>
          <t>All-In Rate</t>
        </is>
      </c>
      <c r="C62" s="34" t="inlineStr">
        <is>
          <t>C78 / D78</t>
        </is>
      </c>
      <c r="D62" s="35" t="inlineStr">
        <is>
          <t>Assumptions!I37</t>
        </is>
      </c>
      <c r="E62" s="35" t="inlineStr">
        <is>
          <t>Assumptions!I37</t>
        </is>
      </c>
      <c r="F62" s="36" t="inlineStr"/>
    </row>
    <row r="63">
      <c r="B63" s="7" t="inlineStr">
        <is>
          <t>I/O Period (months)</t>
        </is>
      </c>
      <c r="C63" s="34" t="inlineStr">
        <is>
          <t>C79 / D79</t>
        </is>
      </c>
      <c r="D63" s="35" t="inlineStr">
        <is>
          <t>Assumptions!I35</t>
        </is>
      </c>
      <c r="E63" s="35" t="inlineStr">
        <is>
          <t>Assumptions!I35</t>
        </is>
      </c>
      <c r="F63" s="36" t="inlineStr"/>
    </row>
    <row r="64">
      <c r="B64" s="7" t="inlineStr">
        <is>
          <t>Y1 DSCR</t>
        </is>
      </c>
      <c r="C64" s="34" t="inlineStr">
        <is>
          <t>C80 / D80</t>
        </is>
      </c>
      <c r="D64" s="35" t="inlineStr">
        <is>
          <t>Assumptions!I41</t>
        </is>
      </c>
      <c r="E64" s="35" t="inlineStr">
        <is>
          <t>Assumptions!I41</t>
        </is>
      </c>
      <c r="F64" s="36" t="inlineStr"/>
    </row>
    <row r="65">
      <c r="B65" s="7" t="inlineStr">
        <is>
          <t>TMG Y6 Market Rent ($/mo)</t>
        </is>
      </c>
      <c r="C65" s="34" t="inlineStr">
        <is>
          <t>C83 / D83</t>
        </is>
      </c>
      <c r="D65" s="35" t="inlineStr">
        <is>
          <t>'Cash Flow (Annual)'!P4</t>
        </is>
      </c>
      <c r="E65" s="35" t="inlineStr">
        <is>
          <t>'Cash Flow (Annual)'!P4</t>
        </is>
      </c>
      <c r="F65" s="36" t="inlineStr"/>
    </row>
    <row r="66">
      <c r="B66" s="7" t="inlineStr">
        <is>
          <t>T12 → Y6 Market Rent CAGR</t>
        </is>
      </c>
      <c r="C66" s="34" t="inlineStr">
        <is>
          <t>C84 / D84</t>
        </is>
      </c>
      <c r="D66" s="36" t="inlineStr">
        <is>
          <t>formula — do not link</t>
        </is>
      </c>
      <c r="E66" s="36" t="inlineStr">
        <is>
          <t>formula — do not link</t>
        </is>
      </c>
      <c r="F66" s="36" t="inlineStr"/>
    </row>
    <row r="67">
      <c r="B67" s="7" t="inlineStr">
        <is>
          <t>Y1 → Y6 NOI CAGR</t>
        </is>
      </c>
      <c r="C67" s="34" t="inlineStr">
        <is>
          <t>C85 / D85</t>
        </is>
      </c>
      <c r="D67" s="35">
        <f>('Cash Flow (Annual)'!P59/'Cash Flow (Annual)'!K59)^(1/5)-1</f>
        <v/>
      </c>
      <c r="E67" s="35">
        <f>('Cash Flow (Annual)'!P59/'Cash Flow (Annual)'!K59)^(1/5)-1</f>
        <v/>
      </c>
      <c r="F67" s="36" t="inlineStr"/>
    </row>
    <row r="68">
      <c r="B68" s="7" t="inlineStr">
        <is>
          <t>Exit Cap Rate</t>
        </is>
      </c>
      <c r="C68" s="34" t="inlineStr">
        <is>
          <t>C86 / D86</t>
        </is>
      </c>
      <c r="D68" s="35" t="inlineStr">
        <is>
          <t>Assumptions!M33</t>
        </is>
      </c>
      <c r="E68" s="35" t="inlineStr">
        <is>
          <t>Assumptions!M33</t>
        </is>
      </c>
      <c r="F68" s="36" t="inlineStr"/>
    </row>
    <row r="69">
      <c r="B69" s="7" t="inlineStr">
        <is>
          <t>Y1 Cap → Exit Cap Spread</t>
        </is>
      </c>
      <c r="C69" s="34" t="inlineStr">
        <is>
          <t>C87 / D87</t>
        </is>
      </c>
      <c r="D69" s="36" t="inlineStr">
        <is>
          <t>formula — do not link</t>
        </is>
      </c>
      <c r="E69" s="36" t="inlineStr">
        <is>
          <t>formula — do not link</t>
        </is>
      </c>
      <c r="F69" s="36" t="inlineStr"/>
    </row>
    <row r="70">
      <c r="B70" s="7" t="inlineStr">
        <is>
          <t>TMG Exit NOI (F12, adj.)</t>
        </is>
      </c>
      <c r="C70" s="34" t="inlineStr">
        <is>
          <t>C88 / D88</t>
        </is>
      </c>
      <c r="D70" s="35">
        <f>SUM(Assumptions!M36:M38)</f>
        <v/>
      </c>
      <c r="E70" s="35">
        <f>SUM(Assumptions!M36:M38)</f>
        <v/>
      </c>
      <c r="F70" s="36" t="inlineStr"/>
    </row>
    <row r="71">
      <c r="B71" s="7" t="inlineStr">
        <is>
          <t>Stab. NOI → Exit NOI CAGR</t>
        </is>
      </c>
      <c r="C71" s="34" t="inlineStr">
        <is>
          <t>C89 / D89</t>
        </is>
      </c>
      <c r="D71" s="36" t="inlineStr">
        <is>
          <t>formula — do not link</t>
        </is>
      </c>
      <c r="E71" s="36" t="inlineStr">
        <is>
          <t>formula — do not link</t>
        </is>
      </c>
      <c r="F71" s="36" t="inlineStr"/>
    </row>
    <row r="72">
      <c r="B72" s="7" t="inlineStr">
        <is>
          <t>Gross Exit Value</t>
        </is>
      </c>
      <c r="C72" s="34" t="inlineStr">
        <is>
          <t>C90 / D90</t>
        </is>
      </c>
      <c r="D72" s="36" t="inlineStr">
        <is>
          <t>formula — do not link</t>
        </is>
      </c>
      <c r="E72" s="36" t="inlineStr">
        <is>
          <t>formula — do not link</t>
        </is>
      </c>
      <c r="F72" s="36" t="inlineStr"/>
    </row>
    <row r="73">
      <c r="B73" s="7" t="inlineStr">
        <is>
          <t>per Unit</t>
        </is>
      </c>
      <c r="C73" s="34" t="inlineStr">
        <is>
          <t>C91 / D91</t>
        </is>
      </c>
      <c r="D73" s="36" t="inlineStr">
        <is>
          <t>formula — do not link</t>
        </is>
      </c>
      <c r="E73" s="36" t="inlineStr">
        <is>
          <t>formula — do not link</t>
        </is>
      </c>
      <c r="F73" s="36" t="inlineStr"/>
    </row>
    <row r="74">
      <c r="B74" s="7" t="inlineStr">
        <is>
          <t>per SF</t>
        </is>
      </c>
      <c r="C74" s="34" t="inlineStr">
        <is>
          <t>C92 / D92</t>
        </is>
      </c>
      <c r="D74" s="36" t="inlineStr">
        <is>
          <t>formula — do not link</t>
        </is>
      </c>
      <c r="E74" s="36" t="inlineStr">
        <is>
          <t>formula — do not link</t>
        </is>
      </c>
      <c r="F74" s="36" t="inlineStr"/>
    </row>
    <row r="75">
      <c r="B75" s="7" t="inlineStr">
        <is>
          <t>Implied Appreciation CAGR</t>
        </is>
      </c>
      <c r="C75" s="34" t="inlineStr">
        <is>
          <t>C93 / D93</t>
        </is>
      </c>
      <c r="D75" s="35" t="inlineStr">
        <is>
          <t>Assumptions!M43</t>
        </is>
      </c>
      <c r="E75" s="35" t="inlineStr">
        <is>
          <t>Assumptions!M43</t>
        </is>
      </c>
      <c r="F75" s="36" t="inlineStr"/>
    </row>
    <row r="76">
      <c r="B76" s="7" t="inlineStr">
        <is>
          <t>Hold / Exit</t>
        </is>
      </c>
      <c r="C76" s="34" t="inlineStr">
        <is>
          <t>C94 / D94</t>
        </is>
      </c>
      <c r="D76" s="35" t="inlineStr">
        <is>
          <t>Assumptions!M32, Assumptions!M44</t>
        </is>
      </c>
      <c r="E76" s="35" t="inlineStr">
        <is>
          <t>Assumptions!M32, Assumptions!M44</t>
        </is>
      </c>
      <c r="F76" s="36" t="inlineStr"/>
    </row>
    <row r="77">
      <c r="B77" s="7" t="inlineStr">
        <is>
          <t>Unlevered IRR</t>
        </is>
      </c>
      <c r="C77" s="34" t="inlineStr">
        <is>
          <t>C97 / D97</t>
        </is>
      </c>
      <c r="D77" s="35" t="inlineStr">
        <is>
          <t>Assumptions!M12</t>
        </is>
      </c>
      <c r="E77" s="35" t="inlineStr">
        <is>
          <t>Assumptions!L12</t>
        </is>
      </c>
      <c r="F77" s="36" t="inlineStr"/>
    </row>
    <row r="78">
      <c r="B78" s="7" t="inlineStr">
        <is>
          <t>Unlevered Equity Multiple</t>
        </is>
      </c>
      <c r="C78" s="34" t="inlineStr">
        <is>
          <t>C98 / D98</t>
        </is>
      </c>
      <c r="D78" s="35" t="inlineStr">
        <is>
          <t>Assumptions!M15</t>
        </is>
      </c>
      <c r="E78" s="35" t="inlineStr">
        <is>
          <t>Assumptions!L15</t>
        </is>
      </c>
      <c r="F78" s="36" t="inlineStr"/>
    </row>
    <row r="79">
      <c r="B79" s="7" t="inlineStr">
        <is>
          <t>Levered IRR</t>
        </is>
      </c>
      <c r="C79" s="34" t="inlineStr">
        <is>
          <t>C99 / D99</t>
        </is>
      </c>
      <c r="D79" s="35" t="inlineStr">
        <is>
          <t>Assumptions!M17</t>
        </is>
      </c>
      <c r="E79" s="35" t="inlineStr">
        <is>
          <t>Assumptions!L17</t>
        </is>
      </c>
      <c r="F79" s="36" t="inlineStr"/>
    </row>
    <row r="80">
      <c r="B80" s="7" t="inlineStr">
        <is>
          <t>Levered Equity Multiple</t>
        </is>
      </c>
      <c r="C80" s="34" t="inlineStr">
        <is>
          <t>C100 / D100</t>
        </is>
      </c>
      <c r="D80" s="35" t="inlineStr">
        <is>
          <t>Assumptions!M20</t>
        </is>
      </c>
      <c r="E80" s="35" t="inlineStr">
        <is>
          <t>Assumptions!L20</t>
        </is>
      </c>
      <c r="F80" s="36" t="inlineStr"/>
    </row>
    <row r="81">
      <c r="B81" s="7" t="inlineStr">
        <is>
          <t>Avg Levered Cash Yield</t>
        </is>
      </c>
      <c r="C81" s="34" t="inlineStr">
        <is>
          <t>C101 / D101</t>
        </is>
      </c>
      <c r="D81" s="35" t="inlineStr">
        <is>
          <t>Assumptions!M21</t>
        </is>
      </c>
      <c r="E81" s="35" t="inlineStr">
        <is>
          <t>Assumptions!L21</t>
        </is>
      </c>
      <c r="F81" s="36" t="inlineStr"/>
    </row>
    <row r="82">
      <c r="B82" s="7" t="inlineStr">
        <is>
          <t>Investor / TMG IRR</t>
        </is>
      </c>
      <c r="C82" s="34" t="inlineStr">
        <is>
          <t>C102 / D102</t>
        </is>
      </c>
      <c r="D82" s="35" t="inlineStr">
        <is>
          <t>Assumptions!M22</t>
        </is>
      </c>
      <c r="E82" s="35" t="inlineStr">
        <is>
          <t>Assumptions!L22</t>
        </is>
      </c>
      <c r="F82" s="36" t="inlineStr"/>
    </row>
  </sheetData>
  <mergeCells count="3">
    <mergeCell ref="B2:F2"/>
    <mergeCell ref="B4:F4"/>
    <mergeCell ref="B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2026-07-15T16:19:25Z</dcterms:created>
  <dcterms:modified xsi:type="dcterms:W3CDTF">2026-07-15T16:19:25Z</dcterms:modified>
</cp:coreProperties>
</file>