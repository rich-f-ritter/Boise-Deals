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W Comparison" sheetId="1" state="visible" r:id="rId1"/>
    <sheet name="Link Map" sheetId="2" state="visible" r:id="rId2"/>
  </sheets>
  <definedNames>
    <definedName name="_xlnm.Print_Area" localSheetId="0">'UW Comparison'!$A$1:$O$50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&quot; SF&quot;"/>
    <numFmt numFmtId="165" formatCode="+0.0%;-0.0%;0.0%"/>
    <numFmt numFmtId="166" formatCode="&quot;$&quot;#,##0"/>
    <numFmt numFmtId="167" formatCode="0.0%"/>
    <numFmt numFmtId="168" formatCode="+#,##0&quot; bps&quot;;-#,##0&quot; bps&quot;;0&quot; bps&quot;"/>
    <numFmt numFmtId="169" formatCode="&quot;$&quot;#,##0.00"/>
    <numFmt numFmtId="170" formatCode="#,##0&quot; mo&quot;"/>
    <numFmt numFmtId="171" formatCode="0.00&quot;x&quot;"/>
    <numFmt numFmtId="172" formatCode="+0.00&quot;x&quot;;-0.00&quot;x&quot;;&quot;–&quot;"/>
    <numFmt numFmtId="173" formatCode="#,##0,"/>
    <numFmt numFmtId="174" formatCode="#,##0&quot; bps&quot;;-#,##0&quot; bps&quot;"/>
  </numFmts>
  <fonts count="13">
    <font>
      <name val="Calibri"/>
      <family val="2"/>
      <color theme="1"/>
      <sz val="11"/>
      <scheme val="minor"/>
    </font>
    <font>
      <name val="Calibri"/>
      <b val="1"/>
      <color rgb="001F3864"/>
      <sz val="13"/>
    </font>
    <font>
      <name val="Calibri"/>
      <i val="1"/>
      <color rgb="007F7F7F"/>
      <sz val="8"/>
    </font>
    <font>
      <name val="Calibri"/>
      <b val="1"/>
      <color rgb="00FFFFFF"/>
      <sz val="10.5"/>
    </font>
    <font>
      <name val="Calibri"/>
      <b val="1"/>
      <color rgb="00595959"/>
      <sz val="8.5"/>
    </font>
    <font>
      <name val="Calibri"/>
      <i val="1"/>
      <color rgb="00595959"/>
      <sz val="8"/>
    </font>
    <font>
      <name val="Calibri"/>
      <b val="1"/>
      <color rgb="00FFFFFF"/>
      <sz val="9"/>
    </font>
    <font>
      <name val="Calibri"/>
      <color rgb="00000000"/>
      <sz val="9.5"/>
    </font>
    <font>
      <name val="Calibri"/>
      <color rgb="000070C0"/>
      <sz val="9.5"/>
    </font>
    <font>
      <name val="Calibri"/>
      <i val="1"/>
      <color rgb="000070C0"/>
      <sz val="9.5"/>
    </font>
    <font>
      <name val="Calibri"/>
      <color rgb="00595959"/>
      <sz val="9.5"/>
    </font>
    <font>
      <name val="Calibri"/>
      <b val="1"/>
      <color rgb="001F3864"/>
      <sz val="9.5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4">
    <border>
      <left/>
      <right/>
      <top/>
      <bottom/>
      <diagonal/>
    </border>
    <border>
      <bottom style="thin">
        <color rgb="001F3864"/>
      </bottom>
    </border>
    <border>
      <bottom style="hair">
        <color rgb="00BFBFBF"/>
      </bottom>
    </border>
    <border>
      <left style="hair">
        <color rgb="00BFBFBF"/>
      </lef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3" fontId="8" fillId="0" borderId="2" applyAlignment="1" pivotButton="0" quotePrefix="0" xfId="0">
      <alignment horizontal="right" vertical="center"/>
    </xf>
    <xf numFmtId="0" fontId="0" fillId="0" borderId="2" pivotButton="0" quotePrefix="0" xfId="0"/>
    <xf numFmtId="164" fontId="9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 wrapText="1"/>
    </xf>
    <xf numFmtId="166" fontId="8" fillId="0" borderId="2" applyAlignment="1" pivotButton="0" quotePrefix="0" xfId="0">
      <alignment horizontal="right" vertical="center"/>
    </xf>
    <xf numFmtId="166" fontId="9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right" vertical="center"/>
    </xf>
    <xf numFmtId="166" fontId="10" fillId="0" borderId="2" applyAlignment="1" pivotButton="0" quotePrefix="0" xfId="0">
      <alignment horizontal="right" vertical="center"/>
    </xf>
    <xf numFmtId="167" fontId="7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169" fontId="10" fillId="0" borderId="2" applyAlignment="1" pivotButton="0" quotePrefix="0" xfId="0">
      <alignment horizontal="right" vertical="center"/>
    </xf>
    <xf numFmtId="10" fontId="10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10" fontId="9" fillId="0" borderId="2" applyAlignment="1" pivotButton="0" quotePrefix="0" xfId="0">
      <alignment horizontal="right" vertical="center"/>
    </xf>
    <xf numFmtId="167" fontId="8" fillId="0" borderId="2" applyAlignment="1" pivotButton="0" quotePrefix="0" xfId="0">
      <alignment horizontal="right" vertical="center"/>
    </xf>
    <xf numFmtId="167" fontId="9" fillId="0" borderId="2" applyAlignment="1" pivotButton="0" quotePrefix="0" xfId="0">
      <alignment horizontal="right" vertical="center"/>
    </xf>
    <xf numFmtId="170" fontId="9" fillId="0" borderId="2" applyAlignment="1" pivotButton="0" quotePrefix="0" xfId="0">
      <alignment horizontal="right" vertical="center"/>
    </xf>
    <xf numFmtId="171" fontId="8" fillId="0" borderId="2" applyAlignment="1" pivotButton="0" quotePrefix="0" xfId="0">
      <alignment horizontal="right" vertical="center"/>
    </xf>
    <xf numFmtId="172" fontId="10" fillId="0" borderId="2" applyAlignment="1" pivotButton="0" quotePrefix="0" xfId="0">
      <alignment horizontal="right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165" fontId="11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 vertical="center"/>
    </xf>
    <xf numFmtId="173" fontId="8" fillId="0" borderId="2" applyAlignment="1" pivotButton="0" quotePrefix="0" xfId="0">
      <alignment horizontal="right" vertical="center"/>
    </xf>
    <xf numFmtId="10" fontId="7" fillId="0" borderId="2" applyAlignment="1" pivotButton="0" quotePrefix="0" xfId="0">
      <alignment horizontal="right" vertical="center"/>
    </xf>
    <xf numFmtId="168" fontId="11" fillId="0" borderId="2" applyAlignment="1" pivotButton="0" quotePrefix="0" xfId="0">
      <alignment horizontal="right" vertical="center"/>
    </xf>
    <xf numFmtId="174" fontId="10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right" vertical="center"/>
    </xf>
    <xf numFmtId="171" fontId="9" fillId="0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TMG</author>
  </authors>
  <commentList>
    <comment ref="C6" authorId="0" shapeId="0">
      <text>
        <t>Link to Canyon Ridge:
Assumptions!F100</t>
      </text>
    </comment>
    <comment ref="F6" authorId="0" shapeId="0">
      <text>
        <t>Link to Canyon Ridge:
Assumptions!H100</t>
      </text>
    </comment>
    <comment ref="I6" authorId="0" shapeId="0">
      <text>
        <t>Link to Seasons:
Assumptions!F100</t>
      </text>
    </comment>
    <comment ref="L6" authorId="0" shapeId="0">
      <text>
        <t>Link to Seasons:
Assumptions!H100</t>
      </text>
    </comment>
    <comment ref="C7" authorId="0" shapeId="0">
      <text>
        <t>Link to Canyon Ridge:
External — Placer.ai</t>
      </text>
    </comment>
    <comment ref="F7" authorId="0" shapeId="0">
      <text>
        <t>Link to Canyon Ridge:
External — Placer.ai</t>
      </text>
    </comment>
    <comment ref="I7" authorId="0" shapeId="0">
      <text>
        <t>Link to Seasons:
External — Placer.ai</t>
      </text>
    </comment>
    <comment ref="L7" authorId="0" shapeId="0">
      <text>
        <t>Link to Seasons:
External — Placer.ai</t>
      </text>
    </comment>
    <comment ref="C8" authorId="0" shapeId="0">
      <text>
        <t>Link to Canyon Ridge:
External — CoStar</t>
      </text>
    </comment>
    <comment ref="I8" authorId="0" shapeId="0">
      <text>
        <t>Link to Seasons:
External — CoStar</t>
      </text>
    </comment>
    <comment ref="C10" authorId="0" shapeId="0">
      <text>
        <t>Link to Canyon Ridge:
Assumptions!C34</t>
      </text>
    </comment>
    <comment ref="I10" authorId="0" shapeId="0">
      <text>
        <t>Link to Seasons:
Assumptions!H5</t>
      </text>
    </comment>
    <comment ref="F11" authorId="0" shapeId="0">
      <text>
        <t>Link to Canyon Ridge:
Assumptions!C35</t>
      </text>
    </comment>
    <comment ref="L11" authorId="0" shapeId="0">
      <text>
        <t>Link to Seasons:
Assumptions!H6</t>
      </text>
    </comment>
    <comment ref="C12" authorId="0" shapeId="0">
      <text>
        <t>Link to Canyon Ridge:
Assumptions!K37</t>
      </text>
    </comment>
    <comment ref="I12" authorId="0" shapeId="0">
      <text>
        <t>Link to Seasons:
Assumptions!K37</t>
      </text>
    </comment>
    <comment ref="C13" authorId="0" shapeId="0">
      <text>
        <t>Link to Canyon Ridge:
Assumptions!G46</t>
      </text>
    </comment>
    <comment ref="I13" authorId="0" shapeId="0">
      <text>
        <t>Link to Seasons:
Assumptions!G46</t>
      </text>
    </comment>
    <comment ref="C14" authorId="0" shapeId="0">
      <text>
        <t>Link to Canyon Ridge:
Assumptions!K100</t>
      </text>
    </comment>
    <comment ref="I14" authorId="0" shapeId="0">
      <text>
        <t>Link to Seasons:
Assumptions!K100</t>
      </text>
    </comment>
    <comment ref="C16" authorId="0" shapeId="0">
      <text>
        <t>Link to Canyon Ridge:
='Cash Flow (Annual)'!K50/Units</t>
      </text>
    </comment>
    <comment ref="F16" authorId="0" shapeId="0">
      <text>
        <t>Link to Canyon Ridge:
Assumptions!K42</t>
      </text>
    </comment>
    <comment ref="I16" authorId="0" shapeId="0">
      <text>
        <t>Link to Seasons:
='Cash Flow (Annual)'!K50/Units</t>
      </text>
    </comment>
    <comment ref="L16" authorId="0" shapeId="0">
      <text>
        <t>Link to Seasons:
Assumptions!K42</t>
      </text>
    </comment>
    <comment ref="C17" authorId="0" shapeId="0">
      <text>
        <t>Link to Canyon Ridge:
='Cash Flow (Annual)'!I35-('Cash Flow (Annual)'!K53+'Cash Flow (Annual)'!K63)</t>
      </text>
    </comment>
    <comment ref="I17" authorId="0" shapeId="0">
      <text>
        <t>Link to Seasons:
='Cash Flow (Annual)'!I35-('Cash Flow (Annual)'!K53+'Cash Flow (Annual)'!K63)</t>
      </text>
    </comment>
    <comment ref="C18" authorId="0" shapeId="0">
      <text>
        <t>Link to Canyon Ridge:
='Cash Flow (Annual)'!K59-'Cash Flow (Annual)'!K63</t>
      </text>
    </comment>
    <comment ref="I18" authorId="0" shapeId="0">
      <text>
        <t>Link to Seasons:
='Cash Flow (Annual)'!K59-'Cash Flow (Annual)'!K63</t>
      </text>
    </comment>
    <comment ref="C19" authorId="0" shapeId="0">
      <text>
        <t>Link to Canyon Ridge:
Assumptions!E41</t>
      </text>
    </comment>
    <comment ref="F19" authorId="0" shapeId="0">
      <text>
        <t>Link to Canyon Ridge:
Assumptions!K39</t>
      </text>
    </comment>
    <comment ref="I19" authorId="0" shapeId="0">
      <text>
        <t>Link to Seasons:
Assumptions!E35</t>
      </text>
    </comment>
    <comment ref="L19" authorId="0" shapeId="0">
      <text>
        <t>Link to Seasons:
Assumptions!K39</t>
      </text>
    </comment>
    <comment ref="C21" authorId="0" shapeId="0">
      <text>
        <t>Link to Canyon Ridge:
Assumptions!I33</t>
      </text>
    </comment>
    <comment ref="I21" authorId="0" shapeId="0">
      <text>
        <t>Link to Seasons:
Assumptions!I33</t>
      </text>
    </comment>
    <comment ref="C22" authorId="0" shapeId="0">
      <text>
        <t>Link to Canyon Ridge:
Assumptions!I38</t>
      </text>
    </comment>
    <comment ref="F22" authorId="0" shapeId="0">
      <text>
        <t>Link to Canyon Ridge:
Assumptions!I39</t>
      </text>
    </comment>
    <comment ref="I22" authorId="0" shapeId="0">
      <text>
        <t>Link to Seasons:
Assumptions!I38</t>
      </text>
    </comment>
    <comment ref="L22" authorId="0" shapeId="0">
      <text>
        <t>Link to Seasons:
Assumptions!I39</t>
      </text>
    </comment>
    <comment ref="C23" authorId="0" shapeId="0">
      <text>
        <t>Link to Canyon Ridge:
Assumptions!I37</t>
      </text>
    </comment>
    <comment ref="F23" authorId="0" shapeId="0">
      <text>
        <t>Link to Canyon Ridge:
Assumptions!I35</t>
      </text>
    </comment>
    <comment ref="I23" authorId="0" shapeId="0">
      <text>
        <t>Link to Seasons:
Assumptions!I37</t>
      </text>
    </comment>
    <comment ref="L23" authorId="0" shapeId="0">
      <text>
        <t>Link to Seasons:
Assumptions!I35</t>
      </text>
    </comment>
    <comment ref="C24" authorId="0" shapeId="0">
      <text>
        <t>Link to Canyon Ridge:
Assumptions!I41</t>
      </text>
    </comment>
    <comment ref="I24" authorId="0" shapeId="0">
      <text>
        <t>Link to Seasons:
Assumptions!I41</t>
      </text>
    </comment>
    <comment ref="C27" authorId="0" shapeId="0">
      <text>
        <t>Link T12/T3/Y1/Y6 to Canyon Ridge:
'Cash Flow (Annual)'!F4, I4, K4, P4</t>
      </text>
    </comment>
    <comment ref="I27" authorId="0" shapeId="0">
      <text>
        <t>Link T12/T3/Y1/Y6 to Seasons:
'Cash Flow (Annual)'!F4, I4, K4, P4</t>
      </text>
    </comment>
    <comment ref="C28" authorId="0" shapeId="0">
      <text>
        <t>Link T12/T3/Y1/Y6 to Canyon Ridge:
'Cash Flow (Annual)'!F14, I14, K14, P14</t>
      </text>
    </comment>
    <comment ref="I28" authorId="0" shapeId="0">
      <text>
        <t>Link T12/T3/Y1/Y6 to Seasons:
'Cash Flow (Annual)'!F14, I14, K14, P14</t>
      </text>
    </comment>
    <comment ref="C29" authorId="0" shapeId="0">
      <text>
        <t>Link T12/T3/Y1/Y6 to Canyon Ridge:
'Cash Flow (Annual)'!F15, I15, K15, P15</t>
      </text>
    </comment>
    <comment ref="I29" authorId="0" shapeId="0">
      <text>
        <t>Link T12/T3/Y1/Y6 to Seasons:
'Cash Flow (Annual)'!F15, I15, K15, P15</t>
      </text>
    </comment>
    <comment ref="C30" authorId="0" shapeId="0">
      <text>
        <t>Link T12/T3/Y1/Y6 to Canyon Ridge:
= -'Cash Flow (Annual)'!F25/'Cash Flow (Annual)'!F16 (each col)</t>
      </text>
    </comment>
    <comment ref="I30" authorId="0" shapeId="0">
      <text>
        <t>Link T12/T3/Y1/Y6 to Seasons:
= -'Cash Flow (Annual)'!F25/'Cash Flow (Annual)'!F16 (each col)</t>
      </text>
    </comment>
    <comment ref="C31" authorId="0" shapeId="0">
      <text>
        <t>Link T12/T3/Y1/Y6 to Canyon Ridge:
='Cash Flow (Annual)'!F33/Units/12 (each col)</t>
      </text>
    </comment>
    <comment ref="I31" authorId="0" shapeId="0">
      <text>
        <t>Link T12/T3/Y1/Y6 to Seasons:
='Cash Flow (Annual)'!F33/Units/12 (each col)</t>
      </text>
    </comment>
    <comment ref="C32" authorId="0" shapeId="0">
      <text>
        <t>Link T12/T3/Y1/Y6 to Canyon Ridge:
'Cash Flow (Annual)'!F35, I35, K35, P35</t>
      </text>
    </comment>
    <comment ref="I32" authorId="0" shapeId="0">
      <text>
        <t>Link T12/T3/Y1/Y6 to Seasons:
'Cash Flow (Annual)'!F35, I35, K35, P35</t>
      </text>
    </comment>
    <comment ref="C33" authorId="0" shapeId="0">
      <text>
        <t>Link T12/T3/Y1/Y6 to Canyon Ridge:
='Cash Flow (Annual)'!F53/Units (each col)</t>
      </text>
    </comment>
    <comment ref="I33" authorId="0" shapeId="0">
      <text>
        <t>Link T12/T3/Y1/Y6 to Seasons:
='Cash Flow (Annual)'!F53/Units (each col)</t>
      </text>
    </comment>
    <comment ref="C34" authorId="0" shapeId="0">
      <text>
        <t>Link T12/T3/Y1/Y6 to Canyon Ridge:
'Cash Flow (Annual)'!F55, I55, K55, P55</t>
      </text>
    </comment>
    <comment ref="I34" authorId="0" shapeId="0">
      <text>
        <t>Link T12/T3/Y1/Y6 to Seasons:
'Cash Flow (Annual)'!F55, I55, K55, P55</t>
      </text>
    </comment>
    <comment ref="C35" authorId="0" shapeId="0">
      <text>
        <t>Link T12/T3/Y1/Y6 to Canyon Ridge:
'Cash Flow (Annual)'!F59, I59, K59, P59</t>
      </text>
    </comment>
    <comment ref="I35" authorId="0" shapeId="0">
      <text>
        <t>Link T12/T3/Y1/Y6 to Seasons:
'Cash Flow (Annual)'!F59, I59, K59, P59</t>
      </text>
    </comment>
    <comment ref="C40" authorId="0" shapeId="0">
      <text>
        <t>Link to Canyon Ridge:
Assumptions!M33</t>
      </text>
    </comment>
    <comment ref="I40" authorId="0" shapeId="0">
      <text>
        <t>Link to Seasons:
Assumptions!M33</t>
      </text>
    </comment>
    <comment ref="C41" authorId="0" shapeId="0">
      <text>
        <t>Link to Canyon Ridge:
=SUM(Assumptions!M36:M38)</t>
      </text>
    </comment>
    <comment ref="I41" authorId="0" shapeId="0">
      <text>
        <t>Link to Seasons:
=SUM(Assumptions!M36:M38)</t>
      </text>
    </comment>
    <comment ref="C43" authorId="0" shapeId="0">
      <text>
        <t>Link to Canyon Ridge:
Assumptions!M43</t>
      </text>
    </comment>
    <comment ref="I43" authorId="0" shapeId="0">
      <text>
        <t>Link to Seasons:
Assumptions!M43</t>
      </text>
    </comment>
    <comment ref="C45" authorId="0" shapeId="0">
      <text>
        <t>Link to Canyon Ridge:
Assumptions!M12</t>
      </text>
    </comment>
    <comment ref="F45" authorId="0" shapeId="0">
      <text>
        <t>Link to Canyon Ridge:
Assumptions!M15</t>
      </text>
    </comment>
    <comment ref="I45" authorId="0" shapeId="0">
      <text>
        <t>Link to Seasons:
Assumptions!L12</t>
      </text>
    </comment>
    <comment ref="L45" authorId="0" shapeId="0">
      <text>
        <t>Link to Seasons:
Assumptions!L15</t>
      </text>
    </comment>
    <comment ref="C46" authorId="0" shapeId="0">
      <text>
        <t>Link to Canyon Ridge:
Assumptions!M17</t>
      </text>
    </comment>
    <comment ref="F46" authorId="0" shapeId="0">
      <text>
        <t>Link to Canyon Ridge:
Assumptions!M20</t>
      </text>
    </comment>
    <comment ref="I46" authorId="0" shapeId="0">
      <text>
        <t>Link to Seasons:
Assumptions!L17</t>
      </text>
    </comment>
    <comment ref="L46" authorId="0" shapeId="0">
      <text>
        <t>Link to Seasons:
Assumptions!L20</t>
      </text>
    </comment>
    <comment ref="C47" authorId="0" shapeId="0">
      <text>
        <t>Link to Canyon Ridge:
Assumptions!M21</t>
      </text>
    </comment>
    <comment ref="I47" authorId="0" shapeId="0">
      <text>
        <t>Link to Seasons:
Assumptions!L21</t>
      </text>
    </comment>
    <comment ref="C48" authorId="0" shapeId="0">
      <text>
        <t>Link to Canyon Ridge:
Assumptions!M22</t>
      </text>
    </comment>
    <comment ref="I48" authorId="0" shapeId="0">
      <text>
        <t>Link to Seasons:
Assumptions!L22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O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.2" customWidth="1" min="1" max="1"/>
    <col width="33" customWidth="1" min="2" max="2"/>
    <col width="9.4" customWidth="1" min="3" max="3"/>
    <col width="9.4" customWidth="1" min="4" max="4"/>
    <col width="9.4" customWidth="1" min="5" max="5"/>
    <col width="9.4" customWidth="1" min="6" max="6"/>
    <col width="9.4" customWidth="1" min="7" max="7"/>
    <col width="0.8" customWidth="1" min="8" max="8"/>
    <col width="9.4" customWidth="1" min="9" max="9"/>
    <col width="9.4" customWidth="1" min="10" max="10"/>
    <col width="9.4" customWidth="1" min="11" max="11"/>
    <col width="9.4" customWidth="1" min="12" max="12"/>
    <col width="9.4" customWidth="1" min="13" max="13"/>
    <col width="9.5" customWidth="1" min="14" max="14"/>
    <col width="34" customWidth="1" min="15" max="15"/>
  </cols>
  <sheetData>
    <row r="1">
      <c r="B1" s="1" t="inlineStr">
        <is>
          <t>TMG UW COMPARISON — BOISE MSA</t>
        </is>
      </c>
      <c r="K1" s="2" t="inlineStr">
        <is>
          <t>5-yr hold · 4.75% exit cap · values as of Jul 2026</t>
        </is>
      </c>
    </row>
    <row r="2">
      <c r="B2" s="3" t="inlineStr">
        <is>
          <t>Blue = hard-coded from model (relink via Link Map tab) · Black = formula · Δ = CR vs SaM ($ as %, rates in bps; grid Δ compares Y1) · Grid: T12/T3 actuals → TMG UW Y1/Y6</t>
        </is>
      </c>
    </row>
    <row r="3">
      <c r="C3" s="4" t="inlineStr">
        <is>
          <t>CANYON RIDGE</t>
        </is>
      </c>
      <c r="H3" s="5" t="n"/>
      <c r="I3" s="4" t="inlineStr">
        <is>
          <t>SEASONS AT MERIDIAN</t>
        </is>
      </c>
      <c r="N3" s="6" t="inlineStr">
        <is>
          <t>Δ CR/SaM</t>
        </is>
      </c>
      <c r="O3" s="7" t="inlineStr">
        <is>
          <t>Notes</t>
        </is>
      </c>
    </row>
    <row r="4">
      <c r="C4" s="8" t="inlineStr">
        <is>
          <t>Direct · SE Boise (Gowen Rd) · 288u · 2024</t>
        </is>
      </c>
      <c r="H4" s="5" t="n"/>
      <c r="I4" s="8" t="inlineStr">
        <is>
          <t>JV (ex-Carlyle) · Meridian (Overland Rd) · 360u · 2024</t>
        </is>
      </c>
    </row>
    <row r="5" ht="13" customHeight="1">
      <c r="B5" s="9" t="inlineStr">
        <is>
          <t>SNAPSHOT &amp; MARKET (3-MI)</t>
        </is>
      </c>
      <c r="H5" s="5" t="n"/>
    </row>
    <row r="6">
      <c r="B6" s="10" t="inlineStr">
        <is>
          <t>Units · Avg SF</t>
        </is>
      </c>
      <c r="C6" s="11" t="n">
        <v>288</v>
      </c>
      <c r="D6" s="12" t="n"/>
      <c r="E6" s="12" t="n"/>
      <c r="F6" s="13" t="n">
        <v>888.9375</v>
      </c>
      <c r="G6" s="12" t="n"/>
      <c r="H6" s="5" t="n"/>
      <c r="I6" s="11" t="n">
        <v>360</v>
      </c>
      <c r="J6" s="12" t="n"/>
      <c r="K6" s="12" t="n"/>
      <c r="L6" s="13" t="n">
        <v>932.4583333333334</v>
      </c>
      <c r="M6" s="12" t="n"/>
      <c r="N6" s="14">
        <f>IFERROR(C6/I6-1,"")</f>
        <v/>
      </c>
      <c r="O6" s="15" t="n"/>
    </row>
    <row r="7">
      <c r="B7" s="10" t="inlineStr">
        <is>
          <t>Avg HHI · Med Home Value (Placer)</t>
        </is>
      </c>
      <c r="C7" s="16" t="n">
        <v>142348</v>
      </c>
      <c r="D7" s="12" t="n"/>
      <c r="E7" s="12" t="n"/>
      <c r="F7" s="17" t="n">
        <v>671987</v>
      </c>
      <c r="G7" s="12" t="n"/>
      <c r="H7" s="5" t="n"/>
      <c r="I7" s="16" t="n">
        <v>108532.27</v>
      </c>
      <c r="J7" s="12" t="n"/>
      <c r="K7" s="12" t="n"/>
      <c r="L7" s="17" t="n">
        <v>570090.8100000001</v>
      </c>
      <c r="M7" s="12" t="n"/>
      <c r="N7" s="14">
        <f>IFERROR(C7/I7-1,"")</f>
        <v/>
      </c>
      <c r="O7" s="15" t="n"/>
    </row>
    <row r="8">
      <c r="B8" s="10" t="inlineStr">
        <is>
          <t>3mi Avg Market Rent (CoStar)</t>
        </is>
      </c>
      <c r="C8" s="16" t="n"/>
      <c r="D8" s="12" t="n"/>
      <c r="E8" s="12" t="n"/>
      <c r="F8" s="18" t="n"/>
      <c r="G8" s="12" t="n"/>
      <c r="H8" s="5" t="n"/>
      <c r="I8" s="16" t="n"/>
      <c r="J8" s="12" t="n"/>
      <c r="K8" s="12" t="n"/>
      <c r="L8" s="18" t="n"/>
      <c r="M8" s="12" t="n"/>
      <c r="N8" s="14">
        <f>IFERROR(C8/I8-1,"")</f>
        <v/>
      </c>
      <c r="O8" s="15" t="inlineStr">
        <is>
          <t>to fill</t>
        </is>
      </c>
    </row>
    <row r="9" ht="13" customHeight="1">
      <c r="B9" s="9" t="inlineStr">
        <is>
          <t>ENTRY — PRICING &amp; DAY-1 ECONOMICS</t>
        </is>
      </c>
      <c r="H9" s="5" t="n"/>
    </row>
    <row r="10">
      <c r="B10" s="10" t="inlineStr">
        <is>
          <t>TMG Purchase Price · /U</t>
        </is>
      </c>
      <c r="C10" s="16" t="n">
        <v>95000000</v>
      </c>
      <c r="D10" s="12" t="n"/>
      <c r="E10" s="12" t="n"/>
      <c r="F10" s="19">
        <f>C10/C6</f>
        <v/>
      </c>
      <c r="G10" s="12" t="n"/>
      <c r="H10" s="5" t="n"/>
      <c r="I10" s="16" t="n">
        <v>110000000</v>
      </c>
      <c r="J10" s="12" t="n"/>
      <c r="K10" s="12" t="n"/>
      <c r="L10" s="19">
        <f>I10/I6</f>
        <v/>
      </c>
      <c r="M10" s="12" t="n"/>
      <c r="N10" s="14">
        <f>IFERROR(F10/L10-1,"")</f>
        <v/>
      </c>
      <c r="O10" s="15" t="n"/>
    </row>
    <row r="11">
      <c r="B11" s="10" t="inlineStr">
        <is>
          <t>Discount to Whisper · Whisper $</t>
        </is>
      </c>
      <c r="C11" s="20">
        <f>C10/F11-1</f>
        <v/>
      </c>
      <c r="D11" s="12" t="n"/>
      <c r="E11" s="12" t="n"/>
      <c r="F11" s="17" t="n">
        <v>110000000</v>
      </c>
      <c r="G11" s="12" t="n"/>
      <c r="H11" s="5" t="n"/>
      <c r="I11" s="20">
        <f>I10/L11-1</f>
        <v/>
      </c>
      <c r="J11" s="12" t="n"/>
      <c r="K11" s="12" t="n"/>
      <c r="L11" s="17" t="n">
        <v>125000000</v>
      </c>
      <c r="M11" s="12" t="n"/>
      <c r="N11" s="21">
        <f>IF(OR(C11="",I11=""),"",(C11-I11)*10000)</f>
        <v/>
      </c>
      <c r="O11" s="15" t="n"/>
    </row>
    <row r="12">
      <c r="B12" s="10" t="inlineStr">
        <is>
          <t>TMG Total Basis · /U</t>
        </is>
      </c>
      <c r="C12" s="16" t="n">
        <v>97345480.7428475</v>
      </c>
      <c r="D12" s="12" t="n"/>
      <c r="E12" s="12" t="n"/>
      <c r="F12" s="19">
        <f>C12/C6</f>
        <v/>
      </c>
      <c r="G12" s="12" t="n"/>
      <c r="H12" s="5" t="n"/>
      <c r="I12" s="16" t="n">
        <v>113006027.22534</v>
      </c>
      <c r="J12" s="12" t="n"/>
      <c r="K12" s="12" t="n"/>
      <c r="L12" s="19">
        <f>I12/I6</f>
        <v/>
      </c>
      <c r="M12" s="12" t="n"/>
      <c r="N12" s="14">
        <f>IFERROR(F12/L12-1,"")</f>
        <v/>
      </c>
      <c r="O12" s="15" t="inlineStr">
        <is>
          <t>price + closing + fin. fees + capex</t>
        </is>
      </c>
    </row>
    <row r="13">
      <c r="B13" s="10" t="inlineStr">
        <is>
          <t>Budgeted CapEx /U (5-yr)</t>
        </is>
      </c>
      <c r="C13" s="16" t="n">
        <v>6885.416666666667</v>
      </c>
      <c r="D13" s="12" t="n"/>
      <c r="E13" s="12" t="n"/>
      <c r="F13" s="18" t="n"/>
      <c r="G13" s="12" t="n"/>
      <c r="H13" s="5" t="n"/>
      <c r="I13" s="16" t="n">
        <v>7138.888888888889</v>
      </c>
      <c r="J13" s="12" t="n"/>
      <c r="K13" s="12" t="n"/>
      <c r="L13" s="18" t="n"/>
      <c r="M13" s="12" t="n"/>
      <c r="N13" s="14">
        <f>IFERROR(C13/I13-1,"")</f>
        <v/>
      </c>
      <c r="O13" s="15" t="inlineStr">
        <is>
          <t>$0 value-add capex in either base UW</t>
        </is>
      </c>
    </row>
    <row r="14">
      <c r="B14" s="10" t="inlineStr">
        <is>
          <t>In-Place Contract Rent · /SF</t>
        </is>
      </c>
      <c r="C14" s="16" t="n">
        <v>1994.824448627845</v>
      </c>
      <c r="D14" s="12" t="n"/>
      <c r="E14" s="12" t="n"/>
      <c r="F14" s="22">
        <f>C14/F6</f>
        <v/>
      </c>
      <c r="G14" s="12" t="n"/>
      <c r="H14" s="5" t="n"/>
      <c r="I14" s="16" t="n">
        <v>1735.151343454026</v>
      </c>
      <c r="J14" s="12" t="n"/>
      <c r="K14" s="12" t="n"/>
      <c r="L14" s="22">
        <f>I14/L6</f>
        <v/>
      </c>
      <c r="M14" s="12" t="n"/>
      <c r="N14" s="14">
        <f>IFERROR(C14/I14-1,"")</f>
        <v/>
      </c>
      <c r="O14" s="15" t="n"/>
    </row>
    <row r="15">
      <c r="B15" s="10" t="inlineStr">
        <is>
          <t>In-Place vs T3 Market (LTL)</t>
        </is>
      </c>
      <c r="C15" s="20">
        <f>C14/D27-1</f>
        <v/>
      </c>
      <c r="D15" s="12" t="n"/>
      <c r="E15" s="12" t="n"/>
      <c r="F15" s="18" t="n"/>
      <c r="G15" s="12" t="n"/>
      <c r="H15" s="5" t="n"/>
      <c r="I15" s="20">
        <f>I14/J27-1</f>
        <v/>
      </c>
      <c r="J15" s="12" t="n"/>
      <c r="K15" s="12" t="n"/>
      <c r="L15" s="18" t="n"/>
      <c r="M15" s="12" t="n"/>
      <c r="N15" s="21">
        <f>IF(OR(C15="",I15=""),"",(C15-I15)*10000)</f>
        <v/>
      </c>
      <c r="O15" s="15" t="inlineStr">
        <is>
          <t>mark-to-market upside</t>
        </is>
      </c>
    </row>
    <row r="16">
      <c r="B16" s="10" t="inlineStr">
        <is>
          <t>Y1 RE Taxes /U · Taxable Value</t>
        </is>
      </c>
      <c r="C16" s="16" t="n">
        <v>2926.623153493207</v>
      </c>
      <c r="D16" s="12" t="n"/>
      <c r="E16" s="12" t="n"/>
      <c r="F16" s="17" t="n">
        <v>43839100</v>
      </c>
      <c r="G16" s="12" t="n"/>
      <c r="H16" s="5" t="n"/>
      <c r="I16" s="16" t="n">
        <v>1295.000927583675</v>
      </c>
      <c r="J16" s="12" t="n"/>
      <c r="K16" s="12" t="n"/>
      <c r="L16" s="17" t="n">
        <v>92993300</v>
      </c>
      <c r="M16" s="12" t="n"/>
      <c r="N16" s="14">
        <f>IFERROR(C16/I16-1,"")</f>
        <v/>
      </c>
      <c r="O16" s="15" t="inlineStr">
        <is>
          <t>CR reassessed ~2.1x (taxable = 46% of price); SaM already at 85%</t>
        </is>
      </c>
    </row>
    <row r="17">
      <c r="B17" s="10" t="inlineStr">
        <is>
          <t>Stabilized NOI (T3 Rev @ Y1 Exp) · Cap</t>
        </is>
      </c>
      <c r="C17" s="16" t="n">
        <v>4638899.458096989</v>
      </c>
      <c r="D17" s="12" t="n"/>
      <c r="E17" s="12" t="n"/>
      <c r="F17" s="23">
        <f>C17/C10</f>
        <v/>
      </c>
      <c r="G17" s="12" t="n"/>
      <c r="H17" s="5" t="n"/>
      <c r="I17" s="16" t="n">
        <v>5364789.213307848</v>
      </c>
      <c r="J17" s="12" t="n"/>
      <c r="K17" s="12" t="n"/>
      <c r="L17" s="23">
        <f>I17/I10</f>
        <v/>
      </c>
      <c r="M17" s="12" t="n"/>
      <c r="N17" s="21">
        <f>IF(OR(F17="",L17=""),"",(F17-L17)*10000)</f>
        <v/>
      </c>
      <c r="O17" s="15" t="inlineStr">
        <is>
          <t>cleanest apples-to-apples entry yield</t>
        </is>
      </c>
    </row>
    <row r="18">
      <c r="B18" s="10" t="inlineStr">
        <is>
          <t>TMG Y1 NOI (net res.) · Cap</t>
        </is>
      </c>
      <c r="C18" s="16" t="n">
        <v>4975068.578075647</v>
      </c>
      <c r="D18" s="12" t="n"/>
      <c r="E18" s="12" t="n"/>
      <c r="F18" s="23">
        <f>C18/C10</f>
        <v/>
      </c>
      <c r="G18" s="12" t="n"/>
      <c r="H18" s="5" t="n"/>
      <c r="I18" s="16" t="n">
        <v>5407150.987788983</v>
      </c>
      <c r="J18" s="12" t="n"/>
      <c r="K18" s="12" t="n"/>
      <c r="L18" s="23">
        <f>I18/I10</f>
        <v/>
      </c>
      <c r="M18" s="12" t="n"/>
      <c r="N18" s="21">
        <f>IF(OR(F18="",L18=""),"",(F18-L18)*10000)</f>
        <v/>
      </c>
      <c r="O18" s="15" t="n"/>
    </row>
    <row r="19">
      <c r="B19" s="10" t="inlineStr">
        <is>
          <t>Y1 Econ Cap (w/ CapEx) · ULROC</t>
        </is>
      </c>
      <c r="C19" s="24" t="n">
        <v>0.05194592037583945</v>
      </c>
      <c r="D19" s="12" t="n"/>
      <c r="E19" s="12" t="n"/>
      <c r="F19" s="25" t="n">
        <v>0.05754761399386565</v>
      </c>
      <c r="G19" s="12" t="n"/>
      <c r="H19" s="5" t="n"/>
      <c r="I19" s="24" t="n">
        <v>0.04884552694955674</v>
      </c>
      <c r="J19" s="12" t="n"/>
      <c r="K19" s="12" t="n"/>
      <c r="L19" s="25" t="n">
        <v>0.05729045008209261</v>
      </c>
      <c r="M19" s="12" t="n"/>
      <c r="N19" s="21">
        <f>IF(OR(C19="",I19=""),"",(C19-I19)*10000)</f>
        <v/>
      </c>
      <c r="O19" s="15" t="n"/>
    </row>
    <row r="20" ht="13" customHeight="1">
      <c r="B20" s="9" t="inlineStr">
        <is>
          <t>ENTRY — FINANCING (NEW DEBT)</t>
        </is>
      </c>
      <c r="H20" s="5" t="n"/>
    </row>
    <row r="21">
      <c r="B21" s="10" t="inlineStr">
        <is>
          <t>Loan Proceeds · /U</t>
        </is>
      </c>
      <c r="C21" s="16" t="n">
        <v>63164483.78458047</v>
      </c>
      <c r="D21" s="12" t="n"/>
      <c r="E21" s="12" t="n"/>
      <c r="F21" s="19">
        <f>C21/C6</f>
        <v/>
      </c>
      <c r="G21" s="12" t="n"/>
      <c r="H21" s="5" t="n"/>
      <c r="I21" s="16" t="n">
        <v>71500000</v>
      </c>
      <c r="J21" s="12" t="n"/>
      <c r="K21" s="12" t="n"/>
      <c r="L21" s="19">
        <f>I21/I6</f>
        <v/>
      </c>
      <c r="M21" s="12" t="n"/>
      <c r="N21" s="14">
        <f>IFERROR(C21/I21-1,"")</f>
        <v/>
      </c>
      <c r="O21" s="15" t="n"/>
    </row>
    <row r="22">
      <c r="B22" s="10" t="inlineStr">
        <is>
          <t>LTV · LTC</t>
        </is>
      </c>
      <c r="C22" s="26" t="n">
        <v>0.6648893029955839</v>
      </c>
      <c r="D22" s="12" t="n"/>
      <c r="E22" s="12" t="n"/>
      <c r="F22" s="27" t="n">
        <v>0.6501278202697939</v>
      </c>
      <c r="G22" s="12" t="n"/>
      <c r="H22" s="5" t="n"/>
      <c r="I22" s="26" t="n">
        <v>0.65</v>
      </c>
      <c r="J22" s="12" t="n"/>
      <c r="K22" s="12" t="n"/>
      <c r="L22" s="27" t="n">
        <v>0.6358310823579106</v>
      </c>
      <c r="M22" s="12" t="n"/>
      <c r="N22" s="21">
        <f>IF(OR(C22="",I22=""),"",(C22-I22)*10000)</f>
        <v/>
      </c>
      <c r="O22" s="15" t="n"/>
    </row>
    <row r="23">
      <c r="B23" s="10" t="inlineStr">
        <is>
          <t>All-In Rate · I/O (months)</t>
        </is>
      </c>
      <c r="C23" s="24" t="n">
        <v>0.05322916666666667</v>
      </c>
      <c r="D23" s="12" t="n"/>
      <c r="E23" s="12" t="n"/>
      <c r="F23" s="28" t="n">
        <v>36</v>
      </c>
      <c r="G23" s="12" t="n"/>
      <c r="H23" s="5" t="n"/>
      <c r="I23" s="24" t="n">
        <v>0.0537361111111111</v>
      </c>
      <c r="J23" s="12" t="n"/>
      <c r="K23" s="12" t="n"/>
      <c r="L23" s="28" t="n">
        <v>60</v>
      </c>
      <c r="M23" s="12" t="n"/>
      <c r="N23" s="21">
        <f>IF(OR(C23="",I23=""),"",(C23-I23)*10000)</f>
        <v/>
      </c>
      <c r="O23" s="15" t="inlineStr">
        <is>
          <t>SaM I/O covers full 5-yr hold; CR amortizes from Y4</t>
        </is>
      </c>
    </row>
    <row r="24">
      <c r="B24" s="10" t="inlineStr">
        <is>
          <t>Y1 DSCR</t>
        </is>
      </c>
      <c r="C24" s="29" t="n">
        <v>1.23878786606487</v>
      </c>
      <c r="D24" s="12" t="n"/>
      <c r="E24" s="12" t="n"/>
      <c r="F24" s="18" t="n"/>
      <c r="G24" s="12" t="n"/>
      <c r="H24" s="5" t="n"/>
      <c r="I24" s="29" t="n">
        <v>1.114619034716237</v>
      </c>
      <c r="J24" s="12" t="n"/>
      <c r="K24" s="12" t="n"/>
      <c r="L24" s="18" t="n"/>
      <c r="M24" s="12" t="n"/>
      <c r="N24" s="30">
        <f>C24-I24</f>
        <v/>
      </c>
      <c r="O24" s="15" t="n"/>
    </row>
    <row r="25" ht="13" customHeight="1">
      <c r="B25" s="9" t="inlineStr">
        <is>
          <t>OPERATING FLOW — T12 ACTUALS → T3 → TMG Y1 → TMG Y6</t>
        </is>
      </c>
      <c r="H25" s="5" t="n"/>
    </row>
    <row r="26" ht="12" customHeight="1">
      <c r="B26" s="31" t="n"/>
      <c r="C26" s="32" t="inlineStr">
        <is>
          <t>T12</t>
        </is>
      </c>
      <c r="D26" s="32" t="inlineStr">
        <is>
          <t>T3</t>
        </is>
      </c>
      <c r="E26" s="32" t="inlineStr">
        <is>
          <t>Y1</t>
        </is>
      </c>
      <c r="F26" s="32" t="inlineStr">
        <is>
          <t>Y6</t>
        </is>
      </c>
      <c r="G26" s="32" t="inlineStr">
        <is>
          <t>Y1→Y6</t>
        </is>
      </c>
      <c r="H26" s="5" t="n"/>
      <c r="I26" s="32" t="inlineStr">
        <is>
          <t>T12</t>
        </is>
      </c>
      <c r="J26" s="32" t="inlineStr">
        <is>
          <t>T3</t>
        </is>
      </c>
      <c r="K26" s="32" t="inlineStr">
        <is>
          <t>Y1</t>
        </is>
      </c>
      <c r="L26" s="32" t="inlineStr">
        <is>
          <t>Y6</t>
        </is>
      </c>
      <c r="M26" s="32" t="inlineStr">
        <is>
          <t>Y1→Y6</t>
        </is>
      </c>
      <c r="N26" s="6" t="inlineStr">
        <is>
          <t>Δ on Y1</t>
        </is>
      </c>
      <c r="O26" s="31" t="n"/>
    </row>
    <row r="27">
      <c r="B27" s="10" t="inlineStr">
        <is>
          <t>Market Rent ($/mo, Hellodata)</t>
        </is>
      </c>
      <c r="C27" s="16" t="n">
        <v>2008.672424682081</v>
      </c>
      <c r="D27" s="16" t="n">
        <v>2201.168887536075</v>
      </c>
      <c r="E27" s="16" t="n">
        <v>2052.028124999999</v>
      </c>
      <c r="F27" s="16" t="n">
        <v>2437.165702864734</v>
      </c>
      <c r="G27" s="33">
        <f>(F27/E27)^(1/5)-1</f>
        <v/>
      </c>
      <c r="H27" s="5" t="n"/>
      <c r="I27" s="16" t="n">
        <v>1743.263198204548</v>
      </c>
      <c r="J27" s="16" t="n">
        <v>1837.689138176638</v>
      </c>
      <c r="K27" s="16" t="n">
        <v>1761.178613605837</v>
      </c>
      <c r="L27" s="16" t="n">
        <v>2101.78363393184</v>
      </c>
      <c r="M27" s="33">
        <f>(L27/K27)^(1/5)-1</f>
        <v/>
      </c>
      <c r="N27" s="14">
        <f>IFERROR(E27/K27-1,"")</f>
        <v/>
      </c>
      <c r="O27" s="15" t="n"/>
    </row>
    <row r="28">
      <c r="B28" s="10" t="inlineStr">
        <is>
          <t>Physical Occupancy</t>
        </is>
      </c>
      <c r="C28" s="26" t="n">
        <v>0.7709329619038843</v>
      </c>
      <c r="D28" s="26" t="n">
        <v>0.9786347416900646</v>
      </c>
      <c r="E28" s="26" t="n">
        <v>0.945</v>
      </c>
      <c r="F28" s="26" t="n">
        <v>0.945</v>
      </c>
      <c r="G28" s="34" t="n"/>
      <c r="H28" s="5" t="n"/>
      <c r="I28" s="26" t="n">
        <v>0.8031846318012393</v>
      </c>
      <c r="J28" s="26" t="n">
        <v>0.9494682167514993</v>
      </c>
      <c r="K28" s="26" t="n">
        <v>0.945</v>
      </c>
      <c r="L28" s="26" t="n">
        <v>0.945</v>
      </c>
      <c r="M28" s="34" t="n"/>
      <c r="N28" s="21">
        <f>IF(OR(E28="",K28=""),"",(E28-K28)*10000)</f>
        <v/>
      </c>
      <c r="O28" s="15" t="inlineStr">
        <is>
          <t>both 2024 lease-ups in T12 — read T3</t>
        </is>
      </c>
    </row>
    <row r="29">
      <c r="B29" s="10" t="inlineStr">
        <is>
          <t>Economic Occupancy</t>
        </is>
      </c>
      <c r="C29" s="26" t="n">
        <v>0.6906134045358244</v>
      </c>
      <c r="D29" s="26" t="n">
        <v>0.9263251308850944</v>
      </c>
      <c r="E29" s="26" t="n">
        <v>0.9365277777777777</v>
      </c>
      <c r="F29" s="26" t="n">
        <v>0.9365277777777777</v>
      </c>
      <c r="G29" s="34" t="n"/>
      <c r="H29" s="5" t="n"/>
      <c r="I29" s="26" t="n">
        <v>0.7408667309533186</v>
      </c>
      <c r="J29" s="26" t="n">
        <v>0.9192615126276121</v>
      </c>
      <c r="K29" s="26" t="n">
        <v>0.9197222222222221</v>
      </c>
      <c r="L29" s="26" t="n">
        <v>0.9397222222222222</v>
      </c>
      <c r="M29" s="34" t="n"/>
      <c r="N29" s="21">
        <f>IF(OR(E29="",K29=""),"",(E29-K29)*10000)</f>
        <v/>
      </c>
      <c r="O29" s="15" t="n"/>
    </row>
    <row r="30">
      <c r="B30" s="10" t="inlineStr">
        <is>
          <t>Concessions (% of GPR)</t>
        </is>
      </c>
      <c r="C30" s="26" t="n">
        <v>0.07109498383611118</v>
      </c>
      <c r="D30" s="26" t="n">
        <v>0.04201497700101828</v>
      </c>
      <c r="E30" s="26" t="n">
        <v>0.002508152194039219</v>
      </c>
      <c r="F30" s="26" t="n">
        <v>0.002432663115253626</v>
      </c>
      <c r="G30" s="34" t="n"/>
      <c r="H30" s="5" t="n"/>
      <c r="I30" s="26" t="n">
        <v>0.05273464756501076</v>
      </c>
      <c r="J30" s="26" t="n">
        <v>0.01917439317785593</v>
      </c>
      <c r="K30" s="26" t="n">
        <v>0.01990043361091241</v>
      </c>
      <c r="L30" s="26" t="n">
        <v>0</v>
      </c>
      <c r="M30" s="34" t="n"/>
      <c r="N30" s="21">
        <f>IF(OR(E30="",K30=""),"",(E30-K30)*10000)</f>
        <v/>
      </c>
      <c r="O30" s="15" t="inlineStr">
        <is>
          <t>burn-off tailwind</t>
        </is>
      </c>
    </row>
    <row r="31">
      <c r="B31" s="10" t="inlineStr">
        <is>
          <t>Other Income ($/U/mo)</t>
        </is>
      </c>
      <c r="C31" s="16" t="n">
        <v>220.7706597222222</v>
      </c>
      <c r="D31" s="16" t="n">
        <v>283.4629976851852</v>
      </c>
      <c r="E31" s="16" t="n">
        <v>276.6238529708073</v>
      </c>
      <c r="F31" s="16" t="n">
        <v>297.121822212185</v>
      </c>
      <c r="G31" s="33">
        <f>(F31/E31)^(1/5)-1</f>
        <v/>
      </c>
      <c r="H31" s="5" t="n"/>
      <c r="I31" s="16" t="n">
        <v>180.1016412037037</v>
      </c>
      <c r="J31" s="16" t="n">
        <v>210.7146018518519</v>
      </c>
      <c r="K31" s="16" t="n">
        <v>212.9867526157407</v>
      </c>
      <c r="L31" s="16" t="n">
        <v>229.0670617339373</v>
      </c>
      <c r="M31" s="33">
        <f>(L31/K31)^(1/5)-1</f>
        <v/>
      </c>
      <c r="N31" s="14">
        <f>IFERROR(E31/K31-1,"")</f>
        <v/>
      </c>
      <c r="O31" s="15" t="inlineStr">
        <is>
          <t>OI + RUBS + parking + rev share</t>
        </is>
      </c>
    </row>
    <row r="32">
      <c r="B32" s="10" t="inlineStr">
        <is>
          <t>Total Revenue ($000)</t>
        </is>
      </c>
      <c r="C32" s="35" t="n">
        <v>5439643.41</v>
      </c>
      <c r="D32" s="35" t="n">
        <v>7283176.92</v>
      </c>
      <c r="E32" s="35" t="n">
        <v>7619346.039978658</v>
      </c>
      <c r="F32" s="35" t="n">
        <v>8702613.538195767</v>
      </c>
      <c r="G32" s="33">
        <f>(F32/E32)^(1/5)-1</f>
        <v/>
      </c>
      <c r="H32" s="5" t="n"/>
      <c r="I32" s="35" t="n">
        <v>6390649.44</v>
      </c>
      <c r="J32" s="35" t="n">
        <v>7840420</v>
      </c>
      <c r="K32" s="35" t="n">
        <v>7882781.774481134</v>
      </c>
      <c r="L32" s="35" t="n">
        <v>9393427.390896711</v>
      </c>
      <c r="M32" s="33">
        <f>(L32/K32)^(1/5)-1</f>
        <v/>
      </c>
      <c r="N32" s="14">
        <f>IFERROR(E32/K32-1,"")</f>
        <v/>
      </c>
      <c r="O32" s="15" t="n"/>
    </row>
    <row r="33">
      <c r="B33" s="10" t="inlineStr">
        <is>
          <t>Total OpEx ($/U, excl. res.)</t>
        </is>
      </c>
      <c r="C33" s="16" t="n">
        <v>6202.158541666667</v>
      </c>
      <c r="D33" s="16" t="n">
        <v>7560.406805555556</v>
      </c>
      <c r="E33" s="16" t="n">
        <v>8931.518964941009</v>
      </c>
      <c r="F33" s="16" t="n">
        <v>10114.01870958384</v>
      </c>
      <c r="G33" s="33">
        <f>(F33/E33)^(1/5)-1</f>
        <v/>
      </c>
      <c r="H33" s="5" t="n"/>
      <c r="I33" s="16" t="n">
        <v>5592.649472222222</v>
      </c>
      <c r="J33" s="16" t="n">
        <v>6156.779444444444</v>
      </c>
      <c r="K33" s="16" t="n">
        <v>6626.752185255978</v>
      </c>
      <c r="L33" s="16" t="n">
        <v>7748.9562247279</v>
      </c>
      <c r="M33" s="33">
        <f>(L33/K33)^(1/5)-1</f>
        <v/>
      </c>
      <c r="N33" s="14">
        <f>IFERROR(E33/K33-1,"")</f>
        <v/>
      </c>
      <c r="O33" s="15" t="inlineStr">
        <is>
          <t>Y1 jump at CR = tax reassessment</t>
        </is>
      </c>
    </row>
    <row r="34">
      <c r="B34" s="10" t="inlineStr">
        <is>
          <t>Expense Ratio</t>
        </is>
      </c>
      <c r="C34" s="26" t="n">
        <v>0.3283710944574582</v>
      </c>
      <c r="D34" s="26" t="n">
        <v>0.2989625521825165</v>
      </c>
      <c r="E34" s="26" t="n">
        <v>0.3375981939140562</v>
      </c>
      <c r="F34" s="26" t="n">
        <v>0.3347083465875744</v>
      </c>
      <c r="G34" s="34" t="n"/>
      <c r="H34" s="5" t="n"/>
      <c r="I34" s="26" t="n">
        <v>0.3150468240986787</v>
      </c>
      <c r="J34" s="26" t="n">
        <v>0.2826941158764454</v>
      </c>
      <c r="K34" s="26" t="n">
        <v>0.3026381872469355</v>
      </c>
      <c r="L34" s="26" t="n">
        <v>0.2969761860942794</v>
      </c>
      <c r="M34" s="34" t="n"/>
      <c r="N34" s="21">
        <f>IF(OR(E34="",K34=""),"",(E34-K34)*10000)</f>
        <v/>
      </c>
      <c r="O34" s="15" t="n"/>
    </row>
    <row r="35">
      <c r="B35" s="10" t="inlineStr">
        <is>
          <t>NOI ($000, before res.)</t>
        </is>
      </c>
      <c r="C35" s="35" t="n">
        <v>3653421.75</v>
      </c>
      <c r="D35" s="35" t="n">
        <v>5105779.76</v>
      </c>
      <c r="E35" s="35" t="n">
        <v>5047068.578075647</v>
      </c>
      <c r="F35" s="35" t="n">
        <v>5789776.149835621</v>
      </c>
      <c r="G35" s="33">
        <f>(F35/E35)^(1/5)-1</f>
        <v/>
      </c>
      <c r="H35" s="5" t="n"/>
      <c r="I35" s="35" t="n">
        <v>4377295.630000001</v>
      </c>
      <c r="J35" s="35" t="n">
        <v>5623979.4</v>
      </c>
      <c r="K35" s="35" t="n">
        <v>5497150.987788983</v>
      </c>
      <c r="L35" s="35" t="n">
        <v>6603803.149994668</v>
      </c>
      <c r="M35" s="33">
        <f>(L35/K35)^(1/5)-1</f>
        <v/>
      </c>
      <c r="N35" s="14">
        <f>IFERROR(E35/K35-1,"")</f>
        <v/>
      </c>
      <c r="O35" s="15" t="n"/>
    </row>
    <row r="36">
      <c r="B36" s="10" t="inlineStr">
        <is>
          <t>NOI Yield on Purchase Price</t>
        </is>
      </c>
      <c r="C36" s="36">
        <f>C35/C10</f>
        <v/>
      </c>
      <c r="D36" s="36">
        <f>D35/C10</f>
        <v/>
      </c>
      <c r="E36" s="36">
        <f>E35/C10</f>
        <v/>
      </c>
      <c r="F36" s="36">
        <f>F35/C10</f>
        <v/>
      </c>
      <c r="G36" s="37">
        <f>(F36-E36)*10000</f>
        <v/>
      </c>
      <c r="H36" s="5" t="n"/>
      <c r="I36" s="36">
        <f>I35/I10</f>
        <v/>
      </c>
      <c r="J36" s="36">
        <f>J35/I10</f>
        <v/>
      </c>
      <c r="K36" s="36">
        <f>K35/I10</f>
        <v/>
      </c>
      <c r="L36" s="36">
        <f>L35/I10</f>
        <v/>
      </c>
      <c r="M36" s="37">
        <f>(L36-K36)*10000</f>
        <v/>
      </c>
      <c r="N36" s="21">
        <f>IF(OR(E36="",K36=""),"",(E36-K36)*10000)</f>
        <v/>
      </c>
      <c r="O36" s="15" t="inlineStr">
        <is>
          <t>T3 flatters CR (pre-reassessment taxes)</t>
        </is>
      </c>
    </row>
    <row r="37" ht="13" customHeight="1">
      <c r="B37" s="9" t="inlineStr">
        <is>
          <t>GROWTH &amp; EXIT (5-YR HOLD · EXIT AUG/OCT 2031)</t>
        </is>
      </c>
      <c r="H37" s="5" t="n"/>
    </row>
    <row r="38">
      <c r="B38" s="10" t="inlineStr">
        <is>
          <t>T12 → Y6 Market Rent CAGR</t>
        </is>
      </c>
      <c r="C38" s="36">
        <f>(F27/C27)^(1/6)-1</f>
        <v/>
      </c>
      <c r="D38" s="12" t="n"/>
      <c r="E38" s="12" t="n"/>
      <c r="F38" s="18" t="n"/>
      <c r="G38" s="12" t="n"/>
      <c r="H38" s="5" t="n"/>
      <c r="I38" s="36">
        <f>(L27/I27)^(1/6)-1</f>
        <v/>
      </c>
      <c r="J38" s="12" t="n"/>
      <c r="K38" s="12" t="n"/>
      <c r="L38" s="18" t="n"/>
      <c r="M38" s="12" t="n"/>
      <c r="N38" s="21">
        <f>IF(OR(C38="",I38=""),"",(C38-I38)*10000)</f>
        <v/>
      </c>
      <c r="O38" s="15" t="n"/>
    </row>
    <row r="39">
      <c r="B39" s="10" t="inlineStr">
        <is>
          <t>Stab. NOI → Exit NOI CAGR</t>
        </is>
      </c>
      <c r="C39" s="36">
        <f>(C41/C17)^(1/6)-1</f>
        <v/>
      </c>
      <c r="D39" s="12" t="n"/>
      <c r="E39" s="12" t="n"/>
      <c r="F39" s="18" t="n"/>
      <c r="G39" s="12" t="n"/>
      <c r="H39" s="5" t="n"/>
      <c r="I39" s="36">
        <f>(I41/I17)^(1/6)-1</f>
        <v/>
      </c>
      <c r="J39" s="12" t="n"/>
      <c r="K39" s="12" t="n"/>
      <c r="L39" s="18" t="n"/>
      <c r="M39" s="12" t="n"/>
      <c r="N39" s="21">
        <f>IF(OR(C39="",I39=""),"",(C39-I39)*10000)</f>
        <v/>
      </c>
      <c r="O39" s="15" t="n"/>
    </row>
    <row r="40">
      <c r="B40" s="10" t="inlineStr">
        <is>
          <t>Exit Cap · Spread vs Y1 Cap</t>
        </is>
      </c>
      <c r="C40" s="24" t="n">
        <v>0.0475</v>
      </c>
      <c r="D40" s="12" t="n"/>
      <c r="E40" s="12" t="n"/>
      <c r="F40" s="38">
        <f>(F18-C40)*10000</f>
        <v/>
      </c>
      <c r="G40" s="12" t="n"/>
      <c r="H40" s="5" t="n"/>
      <c r="I40" s="24" t="n">
        <v>0.0475</v>
      </c>
      <c r="J40" s="12" t="n"/>
      <c r="K40" s="12" t="n"/>
      <c r="L40" s="38">
        <f>(L18-I40)*10000</f>
        <v/>
      </c>
      <c r="M40" s="12" t="n"/>
      <c r="N40" s="21">
        <f>F40-L40</f>
        <v/>
      </c>
      <c r="O40" s="15" t="inlineStr">
        <is>
          <t>entry-yield cushion</t>
        </is>
      </c>
    </row>
    <row r="41">
      <c r="B41" s="10" t="inlineStr">
        <is>
          <t>TMG Exit NOI (F12, adj.)</t>
        </is>
      </c>
      <c r="C41" s="16" t="n">
        <v>5602000.14983667</v>
      </c>
      <c r="D41" s="12" t="n"/>
      <c r="E41" s="12" t="n"/>
      <c r="F41" s="18" t="n"/>
      <c r="G41" s="12" t="n"/>
      <c r="H41" s="5" t="n"/>
      <c r="I41" s="16" t="n">
        <v>6474166.161728939</v>
      </c>
      <c r="J41" s="12" t="n"/>
      <c r="K41" s="12" t="n"/>
      <c r="L41" s="18" t="n"/>
      <c r="M41" s="12" t="n"/>
      <c r="N41" s="14">
        <f>IFERROR(C41/I41-1,"")</f>
        <v/>
      </c>
      <c r="O41" s="15" t="inlineStr">
        <is>
          <t>incl. mgmt-fee &amp; buyer tax-reassess adj.</t>
        </is>
      </c>
    </row>
    <row r="42">
      <c r="B42" s="10" t="inlineStr">
        <is>
          <t>Exit Value · /U</t>
        </is>
      </c>
      <c r="C42" s="39">
        <f>C41/C40</f>
        <v/>
      </c>
      <c r="D42" s="12" t="n"/>
      <c r="E42" s="12" t="n"/>
      <c r="F42" s="19">
        <f>C42/C6</f>
        <v/>
      </c>
      <c r="G42" s="12" t="n"/>
      <c r="H42" s="5" t="n"/>
      <c r="I42" s="39">
        <f>I41/I40</f>
        <v/>
      </c>
      <c r="J42" s="12" t="n"/>
      <c r="K42" s="12" t="n"/>
      <c r="L42" s="19">
        <f>I42/I6</f>
        <v/>
      </c>
      <c r="M42" s="12" t="n"/>
      <c r="N42" s="14">
        <f>IFERROR(F42/L42-1,"")</f>
        <v/>
      </c>
      <c r="O42" s="15" t="n"/>
    </row>
    <row r="43">
      <c r="B43" s="10" t="inlineStr">
        <is>
          <t>Appreciation CAGR · Exit $/SF</t>
        </is>
      </c>
      <c r="C43" s="24" t="n">
        <v>0.04420358577942074</v>
      </c>
      <c r="D43" s="12" t="n"/>
      <c r="E43" s="12" t="n"/>
      <c r="F43" s="22">
        <f>C42/(C6*F6)</f>
        <v/>
      </c>
      <c r="G43" s="12" t="n"/>
      <c r="H43" s="5" t="n"/>
      <c r="I43" s="24" t="n">
        <v>0.0438053280270001</v>
      </c>
      <c r="J43" s="12" t="n"/>
      <c r="K43" s="12" t="n"/>
      <c r="L43" s="22">
        <f>I42/(I6*L6)</f>
        <v/>
      </c>
      <c r="M43" s="12" t="n"/>
      <c r="N43" s="21">
        <f>IF(OR(C43="",I43=""),"",(C43-I43)*10000)</f>
        <v/>
      </c>
      <c r="O43" s="15" t="inlineStr">
        <is>
          <t>price → gross exit value</t>
        </is>
      </c>
    </row>
    <row r="44" ht="13" customHeight="1">
      <c r="B44" s="9" t="inlineStr">
        <is>
          <t>5-YEAR RETURNS (PROPERTY LEVEL)</t>
        </is>
      </c>
      <c r="H44" s="5" t="n"/>
    </row>
    <row r="45">
      <c r="B45" s="10" t="inlineStr">
        <is>
          <t>Unlevered IRR · Multiple</t>
        </is>
      </c>
      <c r="C45" s="26" t="n">
        <v>0.08871019207250197</v>
      </c>
      <c r="D45" s="12" t="n"/>
      <c r="E45" s="12" t="n"/>
      <c r="F45" s="40" t="n">
        <v>1.472494565175339</v>
      </c>
      <c r="G45" s="12" t="n"/>
      <c r="H45" s="5" t="n"/>
      <c r="I45" s="26" t="n">
        <v>0.08626218202086444</v>
      </c>
      <c r="J45" s="12" t="n"/>
      <c r="K45" s="12" t="n"/>
      <c r="L45" s="40" t="n">
        <v>1.457923526490113</v>
      </c>
      <c r="M45" s="12" t="n"/>
      <c r="N45" s="21">
        <f>IF(OR(C45="",I45=""),"",(C45-I45)*10000)</f>
        <v/>
      </c>
      <c r="O45" s="15" t="n"/>
    </row>
    <row r="46">
      <c r="B46" s="10" t="inlineStr">
        <is>
          <t>Levered IRR · Multiple</t>
        </is>
      </c>
      <c r="C46" s="26" t="n">
        <v>0.1327545600888733</v>
      </c>
      <c r="D46" s="12" t="n"/>
      <c r="E46" s="12" t="n"/>
      <c r="F46" s="40" t="n">
        <v>1.765756967939968</v>
      </c>
      <c r="G46" s="12" t="n"/>
      <c r="H46" s="5" t="n"/>
      <c r="I46" s="26" t="n">
        <v>0.1236973438313418</v>
      </c>
      <c r="J46" s="12" t="n"/>
      <c r="K46" s="12" t="n"/>
      <c r="L46" s="40" t="n">
        <v>1.702992443486269</v>
      </c>
      <c r="M46" s="12" t="n"/>
      <c r="N46" s="21">
        <f>IF(OR(C46="",I46=""),"",(C46-I46)*10000)</f>
        <v/>
      </c>
      <c r="O46" s="15" t="n"/>
    </row>
    <row r="47">
      <c r="B47" s="10" t="inlineStr">
        <is>
          <t>Avg Levered Cash Yield</t>
        </is>
      </c>
      <c r="C47" s="26" t="n">
        <v>0.04758213930221321</v>
      </c>
      <c r="D47" s="12" t="n"/>
      <c r="E47" s="12" t="n"/>
      <c r="F47" s="18" t="n"/>
      <c r="G47" s="12" t="n"/>
      <c r="H47" s="5" t="n"/>
      <c r="I47" s="26" t="n">
        <v>0.04982431983946541</v>
      </c>
      <c r="J47" s="12" t="n"/>
      <c r="K47" s="12" t="n"/>
      <c r="L47" s="18" t="n"/>
      <c r="M47" s="12" t="n"/>
      <c r="N47" s="21">
        <f>IF(OR(C47="",I47=""),"",(C47-I47)*10000)</f>
        <v/>
      </c>
      <c r="O47" s="15" t="inlineStr">
        <is>
          <t>SaM higher on full-hold I/O</t>
        </is>
      </c>
    </row>
    <row r="48">
      <c r="B48" s="10" t="inlineStr">
        <is>
          <t>Investor / TMG IRR</t>
        </is>
      </c>
      <c r="C48" s="26" t="n">
        <v>0.09982367195643449</v>
      </c>
      <c r="D48" s="12" t="n"/>
      <c r="E48" s="12" t="n"/>
      <c r="F48" s="18" t="n"/>
      <c r="G48" s="12" t="n"/>
      <c r="H48" s="5" t="n"/>
      <c r="I48" s="26" t="n">
        <v>0.1236973438341566</v>
      </c>
      <c r="J48" s="12" t="n"/>
      <c r="K48" s="12" t="n"/>
      <c r="L48" s="18" t="n"/>
      <c r="M48" s="12" t="n"/>
      <c r="N48" s="12" t="n"/>
      <c r="O48" s="15" t="inlineStr">
        <is>
          <t>NOT comparable — CR investor net (Direct) vs SaM TMG JV position</t>
        </is>
      </c>
    </row>
    <row r="50">
      <c r="B50" s="3" t="inlineStr">
        <is>
          <t>Sources: TMG models (Canyon Ridge UWv2 6.2026 · Seasons at Meridian v02 7.26) · Hellodata rents · Placer.ai demos. T12/T3 = actuals; Y1/Y6 = TMG UW. Stab NOI = T3 revenue less TMG Y1 expenses incl. reserves.</t>
        </is>
      </c>
    </row>
  </sheetData>
  <mergeCells count="121">
    <mergeCell ref="L17:M17"/>
    <mergeCell ref="F16:G16"/>
    <mergeCell ref="C40:E40"/>
    <mergeCell ref="B25:O25"/>
    <mergeCell ref="L19:M19"/>
    <mergeCell ref="C21:E21"/>
    <mergeCell ref="C4:G4"/>
    <mergeCell ref="I24:K24"/>
    <mergeCell ref="L12:M12"/>
    <mergeCell ref="F15:G15"/>
    <mergeCell ref="C23:E23"/>
    <mergeCell ref="B2:O2"/>
    <mergeCell ref="I8:K8"/>
    <mergeCell ref="I17:K17"/>
    <mergeCell ref="C7:E7"/>
    <mergeCell ref="L14:M14"/>
    <mergeCell ref="L39:M39"/>
    <mergeCell ref="L45:M45"/>
    <mergeCell ref="I10:K10"/>
    <mergeCell ref="B44:O44"/>
    <mergeCell ref="L38:M38"/>
    <mergeCell ref="F23:G23"/>
    <mergeCell ref="C18:E18"/>
    <mergeCell ref="B37:O37"/>
    <mergeCell ref="F13:G13"/>
    <mergeCell ref="L40:M40"/>
    <mergeCell ref="C42:E42"/>
    <mergeCell ref="F43:G43"/>
    <mergeCell ref="L21:M21"/>
    <mergeCell ref="I45:K45"/>
    <mergeCell ref="I47:K47"/>
    <mergeCell ref="L7:M7"/>
    <mergeCell ref="I22:K22"/>
    <mergeCell ref="F10:G10"/>
    <mergeCell ref="L16:M16"/>
    <mergeCell ref="F19:G19"/>
    <mergeCell ref="C22:E22"/>
    <mergeCell ref="F6:G6"/>
    <mergeCell ref="I12:K12"/>
    <mergeCell ref="I21:K21"/>
    <mergeCell ref="C12:E12"/>
    <mergeCell ref="C46:E46"/>
    <mergeCell ref="I14:K14"/>
    <mergeCell ref="I23:K23"/>
    <mergeCell ref="C39:E39"/>
    <mergeCell ref="F18:G18"/>
    <mergeCell ref="L42:M42"/>
    <mergeCell ref="F45:G45"/>
    <mergeCell ref="C48:E48"/>
    <mergeCell ref="F42:G42"/>
    <mergeCell ref="F17:G17"/>
    <mergeCell ref="C38:E38"/>
    <mergeCell ref="F47:G47"/>
    <mergeCell ref="C13:E13"/>
    <mergeCell ref="F46:G46"/>
    <mergeCell ref="C15:E15"/>
    <mergeCell ref="L22:M22"/>
    <mergeCell ref="C24:E24"/>
    <mergeCell ref="I4:M4"/>
    <mergeCell ref="B9:O9"/>
    <mergeCell ref="F39:G39"/>
    <mergeCell ref="F48:G48"/>
    <mergeCell ref="L6:M6"/>
    <mergeCell ref="L46:M46"/>
    <mergeCell ref="B5:O5"/>
    <mergeCell ref="B20:O20"/>
    <mergeCell ref="C10:E10"/>
    <mergeCell ref="C16:E16"/>
    <mergeCell ref="L48:M48"/>
    <mergeCell ref="L47:M47"/>
    <mergeCell ref="F7:G7"/>
    <mergeCell ref="F21:G21"/>
    <mergeCell ref="C11:E11"/>
    <mergeCell ref="L43:M43"/>
    <mergeCell ref="L24:M24"/>
    <mergeCell ref="I39:K39"/>
    <mergeCell ref="L18:M18"/>
    <mergeCell ref="I48:K48"/>
    <mergeCell ref="L8:M8"/>
    <mergeCell ref="F8:G8"/>
    <mergeCell ref="I38:K38"/>
    <mergeCell ref="I3:M3"/>
    <mergeCell ref="I13:K13"/>
    <mergeCell ref="L10:M10"/>
    <mergeCell ref="F22:G22"/>
    <mergeCell ref="I40:K40"/>
    <mergeCell ref="I15:K15"/>
    <mergeCell ref="C6:E6"/>
    <mergeCell ref="C14:E14"/>
    <mergeCell ref="L11:M11"/>
    <mergeCell ref="F14:G14"/>
    <mergeCell ref="I7:K7"/>
    <mergeCell ref="B50:O50"/>
    <mergeCell ref="I41:K41"/>
    <mergeCell ref="I16:K16"/>
    <mergeCell ref="F11:G11"/>
    <mergeCell ref="C41:E41"/>
    <mergeCell ref="I43:K43"/>
    <mergeCell ref="I18:K18"/>
    <mergeCell ref="F40:G40"/>
    <mergeCell ref="C43:E43"/>
    <mergeCell ref="L13:M13"/>
    <mergeCell ref="F12:G12"/>
    <mergeCell ref="F24:G24"/>
    <mergeCell ref="I42:K42"/>
    <mergeCell ref="K1:O1"/>
    <mergeCell ref="C8:E8"/>
    <mergeCell ref="L15:M15"/>
    <mergeCell ref="C17:E17"/>
    <mergeCell ref="L23:M23"/>
    <mergeCell ref="F41:G41"/>
    <mergeCell ref="I19:K19"/>
    <mergeCell ref="C19:E19"/>
    <mergeCell ref="F38:G38"/>
    <mergeCell ref="L41:M41"/>
    <mergeCell ref="I6:K6"/>
    <mergeCell ref="I11:K11"/>
    <mergeCell ref="I46:K46"/>
    <mergeCell ref="C45:E45"/>
    <mergeCell ref="C3:G3"/>
    <mergeCell ref="C47:E47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B1:E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.5" customWidth="1" min="1" max="1"/>
    <col width="36" customWidth="1" min="2" max="2"/>
    <col width="13" customWidth="1" min="3" max="3"/>
    <col width="40" customWidth="1" min="4" max="4"/>
    <col width="40" customWidth="1" min="5" max="5"/>
  </cols>
  <sheetData>
    <row r="1">
      <c r="B1" s="1" t="inlineStr">
        <is>
          <t>LINK MAP — SOURCE CELL FOR EVERY HARD-CODED (BLUE) VALUE</t>
        </is>
      </c>
    </row>
    <row r="2" ht="38" customHeight="1">
      <c r="B2" s="41" t="inlineStr">
        <is>
          <t>CAUTION: the models are different template versions — Assumptions addresses differ (returns block: col M on CR vs col L on SaM; price: C34 vs H5). 'Cash Flow (Annual)' is identical in both. Grid rows link 4 cells: T12/T3/Y1/Y6 = columns F/I/K/P of the model's Cash Flow (Annual).</t>
        </is>
      </c>
    </row>
    <row r="3">
      <c r="B3" s="3" t="inlineStr">
        <is>
          <t>[CR] Canyon_Ridge_UWv2 (6.2026).xlsm      [SaM] TMG_Acquisitions_model_7.26 Seasons_v02.xlsm      'Units' in formulas = C6 / I6 on comparison sheet</t>
        </is>
      </c>
    </row>
    <row r="5">
      <c r="B5" s="7" t="inlineStr">
        <is>
          <t>Metric</t>
        </is>
      </c>
      <c r="C5" s="7" t="inlineStr">
        <is>
          <t>Cells</t>
        </is>
      </c>
      <c r="D5" s="7" t="inlineStr">
        <is>
          <t>Canyon Ridge source</t>
        </is>
      </c>
      <c r="E5" s="7" t="inlineStr">
        <is>
          <t>Seasons source</t>
        </is>
      </c>
    </row>
    <row r="6">
      <c r="B6" s="10" t="inlineStr">
        <is>
          <t>Units · Avg SF</t>
        </is>
      </c>
      <c r="C6" s="42" t="inlineStr">
        <is>
          <t>C6 / I6</t>
        </is>
      </c>
      <c r="D6" s="43" t="inlineStr">
        <is>
          <t>Assumptions!F100</t>
        </is>
      </c>
      <c r="E6" s="43" t="inlineStr">
        <is>
          <t>Assumptions!F100</t>
        </is>
      </c>
    </row>
    <row r="7">
      <c r="B7" s="10" t="inlineStr">
        <is>
          <t>Units · Avg SF  [aux]</t>
        </is>
      </c>
      <c r="C7" s="42" t="inlineStr">
        <is>
          <t>F6 / L6</t>
        </is>
      </c>
      <c r="D7" s="43" t="inlineStr">
        <is>
          <t>Assumptions!H100</t>
        </is>
      </c>
      <c r="E7" s="43" t="inlineStr">
        <is>
          <t>Assumptions!H100</t>
        </is>
      </c>
    </row>
    <row r="8">
      <c r="B8" s="10" t="inlineStr">
        <is>
          <t>Avg HHI · Med Home Value (Placer)</t>
        </is>
      </c>
      <c r="C8" s="42" t="inlineStr">
        <is>
          <t>C7 / I7</t>
        </is>
      </c>
      <c r="D8" s="43" t="inlineStr">
        <is>
          <t>External — Placer.ai</t>
        </is>
      </c>
      <c r="E8" s="43" t="inlineStr">
        <is>
          <t>External — Placer.ai</t>
        </is>
      </c>
    </row>
    <row r="9">
      <c r="B9" s="10" t="inlineStr">
        <is>
          <t>Avg HHI · Med Home Value (Placer)  [aux]</t>
        </is>
      </c>
      <c r="C9" s="42" t="inlineStr">
        <is>
          <t>F7 / L7</t>
        </is>
      </c>
      <c r="D9" s="43" t="inlineStr">
        <is>
          <t>External — Placer.ai</t>
        </is>
      </c>
      <c r="E9" s="43" t="inlineStr">
        <is>
          <t>External — Placer.ai</t>
        </is>
      </c>
    </row>
    <row r="10">
      <c r="B10" s="10" t="inlineStr">
        <is>
          <t>3mi Avg Market Rent (CoStar)</t>
        </is>
      </c>
      <c r="C10" s="42" t="inlineStr">
        <is>
          <t>C8 / I8</t>
        </is>
      </c>
      <c r="D10" s="43" t="inlineStr">
        <is>
          <t>External — CoStar</t>
        </is>
      </c>
      <c r="E10" s="43" t="inlineStr">
        <is>
          <t>External — CoStar</t>
        </is>
      </c>
    </row>
    <row r="11">
      <c r="B11" s="10" t="inlineStr">
        <is>
          <t>TMG Purchase Price · /U</t>
        </is>
      </c>
      <c r="C11" s="42" t="inlineStr">
        <is>
          <t>C10 / I10</t>
        </is>
      </c>
      <c r="D11" s="43" t="inlineStr">
        <is>
          <t>Assumptions!C34</t>
        </is>
      </c>
      <c r="E11" s="43" t="inlineStr">
        <is>
          <t>Assumptions!H5</t>
        </is>
      </c>
    </row>
    <row r="12">
      <c r="B12" s="10" t="inlineStr">
        <is>
          <t>TMG Purchase Price · /U</t>
        </is>
      </c>
      <c r="C12" s="42" t="inlineStr">
        <is>
          <t>F10/L10</t>
        </is>
      </c>
      <c r="D12" s="44" t="inlineStr">
        <is>
          <t>formula — do not link</t>
        </is>
      </c>
      <c r="E12" s="44" t="inlineStr">
        <is>
          <t>formula — do not link</t>
        </is>
      </c>
    </row>
    <row r="13">
      <c r="B13" s="10" t="inlineStr">
        <is>
          <t>Discount to Whisper · Whisper $  [aux]</t>
        </is>
      </c>
      <c r="C13" s="42" t="inlineStr">
        <is>
          <t>F11 / L11</t>
        </is>
      </c>
      <c r="D13" s="43" t="inlineStr">
        <is>
          <t>Assumptions!C35</t>
        </is>
      </c>
      <c r="E13" s="43" t="inlineStr">
        <is>
          <t>Assumptions!H6</t>
        </is>
      </c>
    </row>
    <row r="14">
      <c r="B14" s="10" t="inlineStr">
        <is>
          <t>Discount to Whisper · Whisper $</t>
        </is>
      </c>
      <c r="C14" s="42" t="inlineStr">
        <is>
          <t>C11/I11</t>
        </is>
      </c>
      <c r="D14" s="44" t="inlineStr">
        <is>
          <t>formula — do not link</t>
        </is>
      </c>
      <c r="E14" s="44" t="inlineStr">
        <is>
          <t>formula — do not link</t>
        </is>
      </c>
    </row>
    <row r="15">
      <c r="B15" s="10" t="inlineStr">
        <is>
          <t>TMG Total Basis · /U</t>
        </is>
      </c>
      <c r="C15" s="42" t="inlineStr">
        <is>
          <t>C12 / I12</t>
        </is>
      </c>
      <c r="D15" s="43" t="inlineStr">
        <is>
          <t>Assumptions!K37</t>
        </is>
      </c>
      <c r="E15" s="43" t="inlineStr">
        <is>
          <t>Assumptions!K37</t>
        </is>
      </c>
    </row>
    <row r="16">
      <c r="B16" s="10" t="inlineStr">
        <is>
          <t>TMG Total Basis · /U</t>
        </is>
      </c>
      <c r="C16" s="42" t="inlineStr">
        <is>
          <t>F12/L12</t>
        </is>
      </c>
      <c r="D16" s="44" t="inlineStr">
        <is>
          <t>formula — do not link</t>
        </is>
      </c>
      <c r="E16" s="44" t="inlineStr">
        <is>
          <t>formula — do not link</t>
        </is>
      </c>
    </row>
    <row r="17">
      <c r="B17" s="10" t="inlineStr">
        <is>
          <t>Budgeted CapEx /U (5-yr)</t>
        </is>
      </c>
      <c r="C17" s="42" t="inlineStr">
        <is>
          <t>C13 / I13</t>
        </is>
      </c>
      <c r="D17" s="43" t="inlineStr">
        <is>
          <t>Assumptions!G46</t>
        </is>
      </c>
      <c r="E17" s="43" t="inlineStr">
        <is>
          <t>Assumptions!G46</t>
        </is>
      </c>
    </row>
    <row r="18">
      <c r="B18" s="10" t="inlineStr">
        <is>
          <t>In-Place Contract Rent · /SF</t>
        </is>
      </c>
      <c r="C18" s="42" t="inlineStr">
        <is>
          <t>C14 / I14</t>
        </is>
      </c>
      <c r="D18" s="43" t="inlineStr">
        <is>
          <t>Assumptions!K100</t>
        </is>
      </c>
      <c r="E18" s="43" t="inlineStr">
        <is>
          <t>Assumptions!K100</t>
        </is>
      </c>
    </row>
    <row r="19">
      <c r="B19" s="10" t="inlineStr">
        <is>
          <t>In-Place Contract Rent · /SF</t>
        </is>
      </c>
      <c r="C19" s="42" t="inlineStr">
        <is>
          <t>F14/L14</t>
        </is>
      </c>
      <c r="D19" s="44" t="inlineStr">
        <is>
          <t>formula — do not link</t>
        </is>
      </c>
      <c r="E19" s="44" t="inlineStr">
        <is>
          <t>formula — do not link</t>
        </is>
      </c>
    </row>
    <row r="20">
      <c r="B20" s="10" t="inlineStr">
        <is>
          <t>In-Place vs T3 Market (LTL)</t>
        </is>
      </c>
      <c r="C20" s="42" t="inlineStr">
        <is>
          <t>C15/I15</t>
        </is>
      </c>
      <c r="D20" s="44" t="inlineStr">
        <is>
          <t>formula — do not link</t>
        </is>
      </c>
      <c r="E20" s="44" t="inlineStr">
        <is>
          <t>formula — do not link</t>
        </is>
      </c>
    </row>
    <row r="21">
      <c r="B21" s="10" t="inlineStr">
        <is>
          <t>Y1 RE Taxes /U · Taxable Value</t>
        </is>
      </c>
      <c r="C21" s="42" t="inlineStr">
        <is>
          <t>C16 / I16</t>
        </is>
      </c>
      <c r="D21" s="43">
        <f>'Cash Flow (Annual)'!K50/Units</f>
        <v/>
      </c>
      <c r="E21" s="43">
        <f>'Cash Flow (Annual)'!K50/Units</f>
        <v/>
      </c>
    </row>
    <row r="22">
      <c r="B22" s="10" t="inlineStr">
        <is>
          <t>Y1 RE Taxes /U · Taxable Value  [aux]</t>
        </is>
      </c>
      <c r="C22" s="42" t="inlineStr">
        <is>
          <t>F16 / L16</t>
        </is>
      </c>
      <c r="D22" s="43" t="inlineStr">
        <is>
          <t>Assumptions!K42</t>
        </is>
      </c>
      <c r="E22" s="43" t="inlineStr">
        <is>
          <t>Assumptions!K42</t>
        </is>
      </c>
    </row>
    <row r="23">
      <c r="B23" s="10" t="inlineStr">
        <is>
          <t>Stabilized NOI (T3 Rev @ Y1 Exp) · Cap</t>
        </is>
      </c>
      <c r="C23" s="42" t="inlineStr">
        <is>
          <t>C17 / I17</t>
        </is>
      </c>
      <c r="D23" s="43">
        <f>'Cash Flow (Annual)'!I35-('Cash Flow (Annual)'!K53+'Cash Flow (Annual)'!K63)</f>
        <v/>
      </c>
      <c r="E23" s="43">
        <f>'Cash Flow (Annual)'!I35-('Cash Flow (Annual)'!K53+'Cash Flow (Annual)'!K63)</f>
        <v/>
      </c>
    </row>
    <row r="24">
      <c r="B24" s="10" t="inlineStr">
        <is>
          <t>Stabilized NOI (T3 Rev @ Y1 Exp) · Cap</t>
        </is>
      </c>
      <c r="C24" s="42" t="inlineStr">
        <is>
          <t>F17/L17</t>
        </is>
      </c>
      <c r="D24" s="44" t="inlineStr">
        <is>
          <t>formula — do not link</t>
        </is>
      </c>
      <c r="E24" s="44" t="inlineStr">
        <is>
          <t>formula — do not link</t>
        </is>
      </c>
    </row>
    <row r="25">
      <c r="B25" s="10" t="inlineStr">
        <is>
          <t>TMG Y1 NOI (net res.) · Cap</t>
        </is>
      </c>
      <c r="C25" s="42" t="inlineStr">
        <is>
          <t>C18 / I18</t>
        </is>
      </c>
      <c r="D25" s="43">
        <f>'Cash Flow (Annual)'!K59-'Cash Flow (Annual)'!K63</f>
        <v/>
      </c>
      <c r="E25" s="43">
        <f>'Cash Flow (Annual)'!K59-'Cash Flow (Annual)'!K63</f>
        <v/>
      </c>
    </row>
    <row r="26">
      <c r="B26" s="10" t="inlineStr">
        <is>
          <t>TMG Y1 NOI (net res.) · Cap</t>
        </is>
      </c>
      <c r="C26" s="42" t="inlineStr">
        <is>
          <t>F18/L18</t>
        </is>
      </c>
      <c r="D26" s="44" t="inlineStr">
        <is>
          <t>formula — do not link</t>
        </is>
      </c>
      <c r="E26" s="44" t="inlineStr">
        <is>
          <t>formula — do not link</t>
        </is>
      </c>
    </row>
    <row r="27">
      <c r="B27" s="10" t="inlineStr">
        <is>
          <t>Y1 Econ Cap (w/ CapEx) · ULROC</t>
        </is>
      </c>
      <c r="C27" s="42" t="inlineStr">
        <is>
          <t>C19 / I19</t>
        </is>
      </c>
      <c r="D27" s="43" t="inlineStr">
        <is>
          <t>Assumptions!E41</t>
        </is>
      </c>
      <c r="E27" s="43" t="inlineStr">
        <is>
          <t>Assumptions!E35</t>
        </is>
      </c>
    </row>
    <row r="28">
      <c r="B28" s="10" t="inlineStr">
        <is>
          <t>Y1 Econ Cap (w/ CapEx) · ULROC  [aux]</t>
        </is>
      </c>
      <c r="C28" s="42" t="inlineStr">
        <is>
          <t>F19 / L19</t>
        </is>
      </c>
      <c r="D28" s="43" t="inlineStr">
        <is>
          <t>Assumptions!K39</t>
        </is>
      </c>
      <c r="E28" s="43" t="inlineStr">
        <is>
          <t>Assumptions!K39</t>
        </is>
      </c>
    </row>
    <row r="29">
      <c r="B29" s="10" t="inlineStr">
        <is>
          <t>Loan Proceeds · /U</t>
        </is>
      </c>
      <c r="C29" s="42" t="inlineStr">
        <is>
          <t>C21 / I21</t>
        </is>
      </c>
      <c r="D29" s="43" t="inlineStr">
        <is>
          <t>Assumptions!I33</t>
        </is>
      </c>
      <c r="E29" s="43" t="inlineStr">
        <is>
          <t>Assumptions!I33</t>
        </is>
      </c>
    </row>
    <row r="30">
      <c r="B30" s="10" t="inlineStr">
        <is>
          <t>Loan Proceeds · /U</t>
        </is>
      </c>
      <c r="C30" s="42" t="inlineStr">
        <is>
          <t>F21/L21</t>
        </is>
      </c>
      <c r="D30" s="44" t="inlineStr">
        <is>
          <t>formula — do not link</t>
        </is>
      </c>
      <c r="E30" s="44" t="inlineStr">
        <is>
          <t>formula — do not link</t>
        </is>
      </c>
    </row>
    <row r="31">
      <c r="B31" s="10" t="inlineStr">
        <is>
          <t>LTV · LTC</t>
        </is>
      </c>
      <c r="C31" s="42" t="inlineStr">
        <is>
          <t>C22 / I22</t>
        </is>
      </c>
      <c r="D31" s="43" t="inlineStr">
        <is>
          <t>Assumptions!I38</t>
        </is>
      </c>
      <c r="E31" s="43" t="inlineStr">
        <is>
          <t>Assumptions!I38</t>
        </is>
      </c>
    </row>
    <row r="32">
      <c r="B32" s="10" t="inlineStr">
        <is>
          <t>LTV · LTC  [aux]</t>
        </is>
      </c>
      <c r="C32" s="42" t="inlineStr">
        <is>
          <t>F22 / L22</t>
        </is>
      </c>
      <c r="D32" s="43" t="inlineStr">
        <is>
          <t>Assumptions!I39</t>
        </is>
      </c>
      <c r="E32" s="43" t="inlineStr">
        <is>
          <t>Assumptions!I39</t>
        </is>
      </c>
    </row>
    <row r="33">
      <c r="B33" s="10" t="inlineStr">
        <is>
          <t>All-In Rate · I/O (months)</t>
        </is>
      </c>
      <c r="C33" s="42" t="inlineStr">
        <is>
          <t>C23 / I23</t>
        </is>
      </c>
      <c r="D33" s="43" t="inlineStr">
        <is>
          <t>Assumptions!I37</t>
        </is>
      </c>
      <c r="E33" s="43" t="inlineStr">
        <is>
          <t>Assumptions!I37</t>
        </is>
      </c>
    </row>
    <row r="34">
      <c r="B34" s="10" t="inlineStr">
        <is>
          <t>All-In Rate · I/O (months)  [aux]</t>
        </is>
      </c>
      <c r="C34" s="42" t="inlineStr">
        <is>
          <t>F23 / L23</t>
        </is>
      </c>
      <c r="D34" s="43" t="inlineStr">
        <is>
          <t>Assumptions!I35</t>
        </is>
      </c>
      <c r="E34" s="43" t="inlineStr">
        <is>
          <t>Assumptions!I35</t>
        </is>
      </c>
    </row>
    <row r="35">
      <c r="B35" s="10" t="inlineStr">
        <is>
          <t>Y1 DSCR</t>
        </is>
      </c>
      <c r="C35" s="42" t="inlineStr">
        <is>
          <t>C24 / I24</t>
        </is>
      </c>
      <c r="D35" s="43" t="inlineStr">
        <is>
          <t>Assumptions!I41</t>
        </is>
      </c>
      <c r="E35" s="43" t="inlineStr">
        <is>
          <t>Assumptions!I41</t>
        </is>
      </c>
    </row>
    <row r="36">
      <c r="B36" s="10" t="inlineStr">
        <is>
          <t>Market Rent ($/mo, Hellodata)</t>
        </is>
      </c>
      <c r="C36" s="42" t="inlineStr">
        <is>
          <t>C:F27 / I:L27</t>
        </is>
      </c>
      <c r="D36" s="43" t="inlineStr">
        <is>
          <t>'Cash Flow (Annual)'!F4, I4, K4, P4</t>
        </is>
      </c>
      <c r="E36" s="43" t="inlineStr">
        <is>
          <t>'Cash Flow (Annual)'!F4, I4, K4, P4</t>
        </is>
      </c>
    </row>
    <row r="37">
      <c r="B37" s="10" t="inlineStr">
        <is>
          <t>Physical Occupancy</t>
        </is>
      </c>
      <c r="C37" s="42" t="inlineStr">
        <is>
          <t>C:F28 / I:L28</t>
        </is>
      </c>
      <c r="D37" s="43" t="inlineStr">
        <is>
          <t>'Cash Flow (Annual)'!F14, I14, K14, P14</t>
        </is>
      </c>
      <c r="E37" s="43" t="inlineStr">
        <is>
          <t>'Cash Flow (Annual)'!F14, I14, K14, P14</t>
        </is>
      </c>
    </row>
    <row r="38">
      <c r="B38" s="10" t="inlineStr">
        <is>
          <t>Economic Occupancy</t>
        </is>
      </c>
      <c r="C38" s="42" t="inlineStr">
        <is>
          <t>C:F29 / I:L29</t>
        </is>
      </c>
      <c r="D38" s="43" t="inlineStr">
        <is>
          <t>'Cash Flow (Annual)'!F15, I15, K15, P15</t>
        </is>
      </c>
      <c r="E38" s="43" t="inlineStr">
        <is>
          <t>'Cash Flow (Annual)'!F15, I15, K15, P15</t>
        </is>
      </c>
    </row>
    <row r="39">
      <c r="B39" s="10" t="inlineStr">
        <is>
          <t>Concessions (% of GPR)</t>
        </is>
      </c>
      <c r="C39" s="42" t="inlineStr">
        <is>
          <t>C:F30 / I:L30</t>
        </is>
      </c>
      <c r="D39" s="43">
        <f> -'Cash Flow (Annual)'!F25/'Cash Flow (Annual)'!F16 (each col)</f>
        <v/>
      </c>
      <c r="E39" s="43">
        <f> -'Cash Flow (Annual)'!F25/'Cash Flow (Annual)'!F16 (each col)</f>
        <v/>
      </c>
    </row>
    <row r="40">
      <c r="B40" s="10" t="inlineStr">
        <is>
          <t>Other Income ($/U/mo)</t>
        </is>
      </c>
      <c r="C40" s="42" t="inlineStr">
        <is>
          <t>C:F31 / I:L31</t>
        </is>
      </c>
      <c r="D40" s="43">
        <f>'Cash Flow (Annual)'!F33/Units/12 (each col)</f>
        <v/>
      </c>
      <c r="E40" s="43">
        <f>'Cash Flow (Annual)'!F33/Units/12 (each col)</f>
        <v/>
      </c>
    </row>
    <row r="41">
      <c r="B41" s="10" t="inlineStr">
        <is>
          <t>Total Revenue ($000)</t>
        </is>
      </c>
      <c r="C41" s="42" t="inlineStr">
        <is>
          <t>C:F32 / I:L32</t>
        </is>
      </c>
      <c r="D41" s="43" t="inlineStr">
        <is>
          <t>'Cash Flow (Annual)'!F35, I35, K35, P35</t>
        </is>
      </c>
      <c r="E41" s="43" t="inlineStr">
        <is>
          <t>'Cash Flow (Annual)'!F35, I35, K35, P35</t>
        </is>
      </c>
    </row>
    <row r="42">
      <c r="B42" s="10" t="inlineStr">
        <is>
          <t>Total OpEx ($/U, excl. res.)</t>
        </is>
      </c>
      <c r="C42" s="42" t="inlineStr">
        <is>
          <t>C:F33 / I:L33</t>
        </is>
      </c>
      <c r="D42" s="43">
        <f>'Cash Flow (Annual)'!F53/Units (each col)</f>
        <v/>
      </c>
      <c r="E42" s="43">
        <f>'Cash Flow (Annual)'!F53/Units (each col)</f>
        <v/>
      </c>
    </row>
    <row r="43">
      <c r="B43" s="10" t="inlineStr">
        <is>
          <t>Expense Ratio</t>
        </is>
      </c>
      <c r="C43" s="42" t="inlineStr">
        <is>
          <t>C:F34 / I:L34</t>
        </is>
      </c>
      <c r="D43" s="43" t="inlineStr">
        <is>
          <t>'Cash Flow (Annual)'!F55, I55, K55, P55</t>
        </is>
      </c>
      <c r="E43" s="43" t="inlineStr">
        <is>
          <t>'Cash Flow (Annual)'!F55, I55, K55, P55</t>
        </is>
      </c>
    </row>
    <row r="44">
      <c r="B44" s="10" t="inlineStr">
        <is>
          <t>NOI ($000, before res.)</t>
        </is>
      </c>
      <c r="C44" s="42" t="inlineStr">
        <is>
          <t>C:F35 / I:L35</t>
        </is>
      </c>
      <c r="D44" s="43" t="inlineStr">
        <is>
          <t>'Cash Flow (Annual)'!F59, I59, K59, P59</t>
        </is>
      </c>
      <c r="E44" s="43" t="inlineStr">
        <is>
          <t>'Cash Flow (Annual)'!F59, I59, K59, P59</t>
        </is>
      </c>
    </row>
    <row r="45">
      <c r="B45" s="10" t="inlineStr">
        <is>
          <t>NOI Yield on Purchase Price</t>
        </is>
      </c>
      <c r="C45" s="42" t="inlineStr">
        <is>
          <t>C:F36 / I:L36</t>
        </is>
      </c>
      <c r="D45" s="44" t="inlineStr">
        <is>
          <t>formula — do not link</t>
        </is>
      </c>
      <c r="E45" s="44" t="inlineStr">
        <is>
          <t>formula — do not link</t>
        </is>
      </c>
    </row>
    <row r="46">
      <c r="B46" s="10" t="inlineStr">
        <is>
          <t>T12 → Y6 Market Rent CAGR</t>
        </is>
      </c>
      <c r="C46" s="42" t="inlineStr">
        <is>
          <t>C38/I38</t>
        </is>
      </c>
      <c r="D46" s="44" t="inlineStr">
        <is>
          <t>formula — do not link</t>
        </is>
      </c>
      <c r="E46" s="44" t="inlineStr">
        <is>
          <t>formula — do not link</t>
        </is>
      </c>
    </row>
    <row r="47">
      <c r="B47" s="10" t="inlineStr">
        <is>
          <t>Stab. NOI → Exit NOI CAGR</t>
        </is>
      </c>
      <c r="C47" s="42" t="inlineStr">
        <is>
          <t>C39/I39</t>
        </is>
      </c>
      <c r="D47" s="44" t="inlineStr">
        <is>
          <t>formula — do not link</t>
        </is>
      </c>
      <c r="E47" s="44" t="inlineStr">
        <is>
          <t>formula — do not link</t>
        </is>
      </c>
    </row>
    <row r="48">
      <c r="B48" s="10" t="inlineStr">
        <is>
          <t>Exit Cap · Spread vs Y1 Cap</t>
        </is>
      </c>
      <c r="C48" s="42" t="inlineStr">
        <is>
          <t>C40 / I40</t>
        </is>
      </c>
      <c r="D48" s="43" t="inlineStr">
        <is>
          <t>Assumptions!M33</t>
        </is>
      </c>
      <c r="E48" s="43" t="inlineStr">
        <is>
          <t>Assumptions!M33</t>
        </is>
      </c>
    </row>
    <row r="49">
      <c r="B49" s="10" t="inlineStr">
        <is>
          <t>Exit Cap · Spread vs Y1 Cap</t>
        </is>
      </c>
      <c r="C49" s="42" t="inlineStr">
        <is>
          <t>F40/L40</t>
        </is>
      </c>
      <c r="D49" s="44" t="inlineStr">
        <is>
          <t>formula — do not link</t>
        </is>
      </c>
      <c r="E49" s="44" t="inlineStr">
        <is>
          <t>formula — do not link</t>
        </is>
      </c>
    </row>
    <row r="50">
      <c r="B50" s="10" t="inlineStr">
        <is>
          <t>TMG Exit NOI (F12, adj.)</t>
        </is>
      </c>
      <c r="C50" s="42" t="inlineStr">
        <is>
          <t>C41 / I41</t>
        </is>
      </c>
      <c r="D50" s="43">
        <f>SUM(Assumptions!M36:M38)</f>
        <v/>
      </c>
      <c r="E50" s="43">
        <f>SUM(Assumptions!M36:M38)</f>
        <v/>
      </c>
    </row>
    <row r="51">
      <c r="B51" s="10" t="inlineStr">
        <is>
          <t>Exit Value · /U</t>
        </is>
      </c>
      <c r="C51" s="42" t="inlineStr">
        <is>
          <t>C42/I42 · F42/L42</t>
        </is>
      </c>
      <c r="D51" s="44" t="inlineStr">
        <is>
          <t>formula — do not link</t>
        </is>
      </c>
      <c r="E51" s="44" t="inlineStr">
        <is>
          <t>formula — do not link</t>
        </is>
      </c>
    </row>
    <row r="52">
      <c r="B52" s="10" t="inlineStr">
        <is>
          <t>Appreciation CAGR · Exit $/SF</t>
        </is>
      </c>
      <c r="C52" s="42" t="inlineStr">
        <is>
          <t>C43 / I43</t>
        </is>
      </c>
      <c r="D52" s="43" t="inlineStr">
        <is>
          <t>Assumptions!M43</t>
        </is>
      </c>
      <c r="E52" s="43" t="inlineStr">
        <is>
          <t>Assumptions!M43</t>
        </is>
      </c>
    </row>
    <row r="53">
      <c r="B53" s="10" t="inlineStr">
        <is>
          <t>Appreciation CAGR · Exit $/SF</t>
        </is>
      </c>
      <c r="C53" s="42" t="inlineStr">
        <is>
          <t>F43/L43</t>
        </is>
      </c>
      <c r="D53" s="44" t="inlineStr">
        <is>
          <t>formula — do not link</t>
        </is>
      </c>
      <c r="E53" s="44" t="inlineStr">
        <is>
          <t>formula — do not link</t>
        </is>
      </c>
    </row>
    <row r="54">
      <c r="B54" s="10" t="inlineStr">
        <is>
          <t>Unlevered IRR · Multiple</t>
        </is>
      </c>
      <c r="C54" s="42" t="inlineStr">
        <is>
          <t>C45 / I45</t>
        </is>
      </c>
      <c r="D54" s="43" t="inlineStr">
        <is>
          <t>Assumptions!M12</t>
        </is>
      </c>
      <c r="E54" s="43" t="inlineStr">
        <is>
          <t>Assumptions!L12</t>
        </is>
      </c>
    </row>
    <row r="55">
      <c r="B55" s="10" t="inlineStr">
        <is>
          <t>Unlevered IRR · Multiple  [aux]</t>
        </is>
      </c>
      <c r="C55" s="42" t="inlineStr">
        <is>
          <t>F45 / L45</t>
        </is>
      </c>
      <c r="D55" s="43" t="inlineStr">
        <is>
          <t>Assumptions!M15</t>
        </is>
      </c>
      <c r="E55" s="43" t="inlineStr">
        <is>
          <t>Assumptions!L15</t>
        </is>
      </c>
    </row>
    <row r="56">
      <c r="B56" s="10" t="inlineStr">
        <is>
          <t>Levered IRR · Multiple</t>
        </is>
      </c>
      <c r="C56" s="42" t="inlineStr">
        <is>
          <t>C46 / I46</t>
        </is>
      </c>
      <c r="D56" s="43" t="inlineStr">
        <is>
          <t>Assumptions!M17</t>
        </is>
      </c>
      <c r="E56" s="43" t="inlineStr">
        <is>
          <t>Assumptions!L17</t>
        </is>
      </c>
    </row>
    <row r="57">
      <c r="B57" s="10" t="inlineStr">
        <is>
          <t>Levered IRR · Multiple  [aux]</t>
        </is>
      </c>
      <c r="C57" s="42" t="inlineStr">
        <is>
          <t>F46 / L46</t>
        </is>
      </c>
      <c r="D57" s="43" t="inlineStr">
        <is>
          <t>Assumptions!M20</t>
        </is>
      </c>
      <c r="E57" s="43" t="inlineStr">
        <is>
          <t>Assumptions!L20</t>
        </is>
      </c>
    </row>
    <row r="58">
      <c r="B58" s="10" t="inlineStr">
        <is>
          <t>Avg Levered Cash Yield</t>
        </is>
      </c>
      <c r="C58" s="42" t="inlineStr">
        <is>
          <t>C47 / I47</t>
        </is>
      </c>
      <c r="D58" s="43" t="inlineStr">
        <is>
          <t>Assumptions!M21</t>
        </is>
      </c>
      <c r="E58" s="43" t="inlineStr">
        <is>
          <t>Assumptions!L21</t>
        </is>
      </c>
    </row>
    <row r="59">
      <c r="B59" s="10" t="inlineStr">
        <is>
          <t>Investor / TMG IRR</t>
        </is>
      </c>
      <c r="C59" s="42" t="inlineStr">
        <is>
          <t>C48 / I48</t>
        </is>
      </c>
      <c r="D59" s="43" t="inlineStr">
        <is>
          <t>Assumptions!M22</t>
        </is>
      </c>
      <c r="E59" s="43" t="inlineStr">
        <is>
          <t>Assumptions!L22</t>
        </is>
      </c>
    </row>
  </sheetData>
  <mergeCells count="3">
    <mergeCell ref="B1:E1"/>
    <mergeCell ref="B3:E3"/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2026-07-15T16:36:20Z</dcterms:created>
  <dcterms:modified xsi:type="dcterms:W3CDTF">2026-07-15T16:36:20Z</dcterms:modified>
</cp:coreProperties>
</file>