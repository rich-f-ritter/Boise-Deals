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ison" sheetId="1" state="visible" r:id="rId3"/>
    <sheet name="Prelude Actuals Detail" sheetId="2" state="visible" r:id="rId4"/>
    <sheet name="Sources &amp; Metho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<sst xmlns="http://schemas.openxmlformats.org/spreadsheetml/2006/main" count="507" uniqueCount="392">
  <si>
    <t xml:space="preserve">SEASONS AT MERIDIAN Y1 UW  vs  PRELUDE AT PARAMOUNT Y1 UW  vs  PRELUDE ACTUALS</t>
  </si>
  <si>
    <t xml:space="preserve">Blue = hard-coded from source (Seasons v3 model CF(Annual) col K · Prelude Final Model Rev&amp;Exp col H · Yardi accrual statement) · Black = formula · Green = link to Detail tab. "Actual" = 7 true post-close months (Jan–Jul 2026) annualized ×12/7; T3 = May–Jul 2026 ×4. Prepared 2026-08-14.</t>
  </si>
  <si>
    <t xml:space="preserve">Seasons at Meridian
Y1 UW ($/U/yr)</t>
  </si>
  <si>
    <t xml:space="preserve">Prelude
Y1 UW ($/U/yr)</t>
  </si>
  <si>
    <t xml:space="preserve">Prelude Actual
7-mo ann. ($/U/yr)</t>
  </si>
  <si>
    <t xml:space="preserve">Prelude Actual
T3 ann. ($/U/yr)</t>
  </si>
  <si>
    <t xml:space="preserve">Prelude
Act vs UW ($/U)</t>
  </si>
  <si>
    <t xml:space="preserve">Prelude
Act vs UW (%)</t>
  </si>
  <si>
    <t xml:space="preserve">Seasons UW vs
Prelude Act ($/U)</t>
  </si>
  <si>
    <t xml:space="preserve">Seasons Y1 UW
Total ($)</t>
  </si>
  <si>
    <t xml:space="preserve">Prelude Y1 UW
Total ($)</t>
  </si>
  <si>
    <t xml:space="preserve">Prelude Actual
Ann. Total ($)</t>
  </si>
  <si>
    <t xml:space="preserve">Notes</t>
  </si>
  <si>
    <t xml:space="preserve">PROPERTY SNAPSHOT</t>
  </si>
  <si>
    <t xml:space="preserve">Seasons at Meridian</t>
  </si>
  <si>
    <t xml:space="preserve">Prelude UW</t>
  </si>
  <si>
    <t xml:space="preserve">Prelude Actual</t>
  </si>
  <si>
    <t xml:space="preserve">Units</t>
  </si>
  <si>
    <t xml:space="preserve">Average unit SF</t>
  </si>
  <si>
    <t xml:space="preserve">Seasons: model unit mix wtd avg. Prelude: Rev&amp;Exp tab.</t>
  </si>
  <si>
    <t xml:space="preserve">Year built</t>
  </si>
  <si>
    <t xml:space="preserve">Location</t>
  </si>
  <si>
    <t xml:space="preserve">Meridian (Overland Rd)</t>
  </si>
  <si>
    <t xml:space="preserve">Meridian (Paramount)</t>
  </si>
  <si>
    <t xml:space="preserve">Status / period</t>
  </si>
  <si>
    <t xml:space="preserve">UW Y1 (Dec-26 – Nov-27)</t>
  </si>
  <si>
    <t xml:space="preserve">UW Y1 (CY 2026)</t>
  </si>
  <si>
    <t xml:space="preserve">Owned; Jan–Jul-26 ann.</t>
  </si>
  <si>
    <t xml:space="preserve">Seasons: acquisition target, close 10/31/26, $118.5M ($329K/U). Prelude: closed 12/31/25, $79.75M ($285K/U).</t>
  </si>
  <si>
    <t xml:space="preserve">Basis: purchase price ($)</t>
  </si>
  <si>
    <t xml:space="preserve">Price per unit ($)</t>
  </si>
  <si>
    <t xml:space="preserve">Market rent ($/U/mo)</t>
  </si>
  <si>
    <t xml:space="preserve">Seasons = Y1 UW avg (CF K4). Prelude UW = Y1 avg. Actual = PM market rent, held flat $1,723.50 since close (RR 8/13/26).</t>
  </si>
  <si>
    <t xml:space="preserve">Market rent ($/SF/mo)</t>
  </si>
  <si>
    <t xml:space="preserve">In-place rent ($/U/mo, occupied)</t>
  </si>
  <si>
    <t xml:space="preserve">Prelude UW Y1 rent/occupied unit; Actual = RR 8/13/26 (271 of 280 units paying = 96.8%). L5 new leases (May–Aug 26, n=56): $1,731 face; latest L5 $1,811.</t>
  </si>
  <si>
    <t xml:space="preserve">REVENUE ($/yr)</t>
  </si>
  <si>
    <t xml:space="preserve">Market Rent (GPR)</t>
  </si>
  <si>
    <t xml:space="preserve">Prelude PM market-rent line flat at $1,723.50/U all 7 months — no pushes taken yet in Yardi.</t>
  </si>
  <si>
    <t xml:space="preserve">Value-Add Revenue</t>
  </si>
  <si>
    <t xml:space="preserve">No VA program in either UW (Prelude token $4K).</t>
  </si>
  <si>
    <t xml:space="preserve">Gain / (Loss) to Lease</t>
  </si>
  <si>
    <t xml:space="preserve">Prelude actual LTL running ~2.8x UW but shrinking monthly (-3.2% of GPR Jan → -2.3% Jul).</t>
  </si>
  <si>
    <t xml:space="preserve">Adjusted GPR</t>
  </si>
  <si>
    <t xml:space="preserve">Vacancy</t>
  </si>
  <si>
    <t xml:space="preserve">Prelude vacancy burned from ~11% econ (Jan–Apr) to 6.1% T3 — absorption thesis tracking.</t>
  </si>
  <si>
    <t xml:space="preserve">Bad Debt / Uncollectables</t>
  </si>
  <si>
    <t xml:space="preserve">Prelude actual net recovery (+$1.1K) — far better than 0.5% UW allowance.</t>
  </si>
  <si>
    <t xml:space="preserve">Model / Employee Units</t>
  </si>
  <si>
    <t xml:space="preserve">Concessions</t>
  </si>
  <si>
    <t xml:space="preserve">RED FLAG: Prelude actual ~1.7x UW and accelerating — T3 pace ~$1,154/U (5.6% of GPR) vs $514/U UW. One-time (upfront) concessions on new signings; winter-cohort burn-off underway. Seasons UW assumes only 1.0% of AGPR in Y1.</t>
  </si>
  <si>
    <t xml:space="preserve">Net Rental Income</t>
  </si>
  <si>
    <t xml:space="preserve">Other Income (misc &amp; fees)</t>
  </si>
  <si>
    <t xml:space="preserve">Prelude actual incl. smart-home $250/U ann. UW also carried bulk-wifi at $100.8K income offset by $100.8K expense (net $0) — excluded both sides here.</t>
  </si>
  <si>
    <t xml:space="preserve">RUBS / Utility Billbacks</t>
  </si>
  <si>
    <t xml:space="preserve">Prelude billbacks ramped from ~$0 (Jan) as TMG RUBS program took over billing.</t>
  </si>
  <si>
    <t xml:space="preserve">Parking, Garages &amp; Carports</t>
  </si>
  <si>
    <t xml:space="preserve">Prelude UW pushed detached garages $75→$100/mo; actual garage income $609/U ann. vs $759/U UW.</t>
  </si>
  <si>
    <t xml:space="preserve">Revenue Share (internet/cable)</t>
  </si>
  <si>
    <t xml:space="preserve">KEY DELTA: Seasons UW carries $1,077/U bulk-internet revenue share — supported by in-place contract ($834/U in Seasons T12). Prelude has no program (actual $15/U).</t>
  </si>
  <si>
    <t xml:space="preserve">Total Other Income</t>
  </si>
  <si>
    <t xml:space="preserve">EFFECTIVE GROSS INCOME</t>
  </si>
  <si>
    <t xml:space="preserve">OPERATING EXPENSES ($/yr)</t>
  </si>
  <si>
    <t xml:space="preserve">Payroll &amp; Benefits</t>
  </si>
  <si>
    <t xml:space="preserve">Prelude running ~$300/U favorable to UW.</t>
  </si>
  <si>
    <t xml:space="preserve">Advertising &amp; Promotion</t>
  </si>
  <si>
    <t xml:space="preserve">Prelude T3 elevated (~$481/U ann.) — leasing push.</t>
  </si>
  <si>
    <t xml:space="preserve">General &amp; Administrative</t>
  </si>
  <si>
    <t xml:space="preserve">Turnover (make-ready &amp; amenities)</t>
  </si>
  <si>
    <t xml:space="preserve">Actual favorable; 2018 vintage still young.</t>
  </si>
  <si>
    <t xml:space="preserve">Repairs &amp; Maintenance</t>
  </si>
  <si>
    <t xml:space="preserve">Contracts</t>
  </si>
  <si>
    <t xml:space="preserve">Utilities</t>
  </si>
  <si>
    <t xml:space="preserve">Seasons UW $760/U vs Prelude $553-600/U — Seasons is a larger-common-area 2024 asset.</t>
  </si>
  <si>
    <t xml:space="preserve">Management Fee</t>
  </si>
  <si>
    <t xml:space="preserve">Both ~2.5% of EGI underwritten; Prelude actual ~2.4%.</t>
  </si>
  <si>
    <t xml:space="preserve">Total Controllable</t>
  </si>
  <si>
    <t xml:space="preserve">Insurance</t>
  </si>
  <si>
    <t xml:space="preserve">Prelude actual ~$551/U ann. vs $620/U UW — favorable; premium stepped down in Apr-26.</t>
  </si>
  <si>
    <t xml:space="preserve">Real Estate Taxes</t>
  </si>
  <si>
    <t xml:space="preserve">Prelude accruing exactly at the UW 2026 bill ($333.5K) — 95% reassessment step confirmed. Seasons UW = full reassessment on $118.5M.</t>
  </si>
  <si>
    <t xml:space="preserve">Total Non-Controllable</t>
  </si>
  <si>
    <t xml:space="preserve">TOTAL EXPENSES</t>
  </si>
  <si>
    <t xml:space="preserve">NET OPERATING INCOME</t>
  </si>
  <si>
    <t xml:space="preserve">Prelude actual ~3.9% behind UW Y1 pace, converging: gaps are concessions (~$640/U drag) and unimplemented bulk internet; opex ~$500/U favorable.</t>
  </si>
  <si>
    <t xml:space="preserve">RATIOS &amp; MEMO</t>
  </si>
  <si>
    <t xml:space="preserve">Economic occupancy (net rental / adj. GPR)</t>
  </si>
  <si>
    <t xml:space="preserve">Prelude improving intra-2026; RR 8/13/26 physical: 271/280 paying (96.8%).</t>
  </si>
  <si>
    <t xml:space="preserve">Expense ratio (% of EGI)</t>
  </si>
  <si>
    <t xml:space="preserve">NOI margin</t>
  </si>
  <si>
    <t xml:space="preserve">Capital reserves ($/U/yr)</t>
  </si>
  <si>
    <t xml:space="preserve">Both UWs reserve $250/U/yr below NOI.</t>
  </si>
  <si>
    <t xml:space="preserve">NOI after reserves ($)</t>
  </si>
  <si>
    <t xml:space="preserve">Cap rate on basis (NOI after reserves)</t>
  </si>
  <si>
    <t xml:space="preserve">Seasons Y1 cap 5.00% at $118.5M. Prelude UW 4.94% at $79.75M; actual pace 4.73% (reserves deducted at $250/U).</t>
  </si>
  <si>
    <t xml:space="preserve">READ: Prelude — the first live test of the Meridian recovery thesis — is ~4% behind its UW Y1 NOI pace but converging: vacancy burned 11%→6% economic in six months, new leases sign at the UW market rent to the dollar, in-place rent is ahead of UW, and opex runs ~$500/U favorable. The two identified gaps are concessions (~2x UW, still 5-6% on new leases at 2018-vintage product in mid-2026) and the unimplemented bulk-internet program. For Seasons this supports the occupancy-recovery and rent-level assumptions, prices the achievable opex, and flags the two UW lines to pressure-test: Y1 concessions (Seasons assumes burn-off to ~1% of AGPR) and the $1,077/U revenue-share line (Seasons has an in-place contract; Prelude shows what happens when the program is not implemented).</t>
  </si>
  <si>
    <t xml:space="preserve">Prelude at Paramount — Post-Close Actuals Detail (TMG ownership: Jan–Jul 2026)</t>
  </si>
  <si>
    <t xml:space="preserve">Source: Yardi 12-month accrual statement (idprepar), period Aug 2025–Jul 2026. Aug–Nov 2025 columns are zero (pre-acquisition); Dec 2025 contains takeover/proration entries only and is excluded. Category = TMG standardized bucket. Blue = statement values; black = formulas.</t>
  </si>
  <si>
    <t xml:space="preserve">Acct</t>
  </si>
  <si>
    <t xml:space="preserve">Line Item</t>
  </si>
  <si>
    <t xml:space="preserve">Category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</si>
  <si>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</si>
  <si>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</si>
  <si>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</si>
  <si>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</si>
  <si>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</si>
  <si>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</si>
  <si>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Jul-26</t>
  </si>
  <si>
    <t xml:space="preserve">7-Mo Total</t>
  </si>
  <si>
    <t xml:space="preserve">Annualized (x12/7)</t>
  </si>
  <si>
    <t xml:space="preserve">T3 Ann. (May-Jul x4)</t>
  </si>
  <si>
    <t xml:space="preserve">41000-000</t>
  </si>
  <si>
    <t xml:space="preserve">Market Rent</t>
  </si>
  <si>
    <t xml:space="preserve">GPR</t>
  </si>
  <si>
    <t xml:space="preserve">41010-000</t>
  </si>
  <si>
    <t xml:space="preserve">Gain / Loss To Lease</t>
  </si>
  <si>
    <t xml:space="preserve">LTL</t>
  </si>
  <si>
    <t xml:space="preserve">41091-000</t>
  </si>
  <si>
    <t xml:space="preserve">One-Time Concessions</t>
  </si>
  <si>
    <t xml:space="preserve">41092-000</t>
  </si>
  <si>
    <t xml:space="preserve">Renewal Concessions</t>
  </si>
  <si>
    <t xml:space="preserve">41100-000</t>
  </si>
  <si>
    <t xml:space="preserve">Vacancy Loss</t>
  </si>
  <si>
    <t xml:space="preserve">41110-000</t>
  </si>
  <si>
    <t xml:space="preserve">Employee Units</t>
  </si>
  <si>
    <t xml:space="preserve">ModelEmp</t>
  </si>
  <si>
    <t xml:space="preserve">41150-000</t>
  </si>
  <si>
    <t xml:space="preserve">Bad Debt - Rent</t>
  </si>
  <si>
    <t xml:space="preserve">BadDebt</t>
  </si>
  <si>
    <t xml:space="preserve">41155-000</t>
  </si>
  <si>
    <t xml:space="preserve">Bad Debt Recovery - Rent</t>
  </si>
  <si>
    <t xml:space="preserve">43010-000</t>
  </si>
  <si>
    <t xml:space="preserve">Administrative Fees</t>
  </si>
  <si>
    <t xml:space="preserve">OIMisc</t>
  </si>
  <si>
    <t xml:space="preserve">43018-600</t>
  </si>
  <si>
    <t xml:space="preserve">Smart Home Income</t>
  </si>
  <si>
    <t xml:space="preserve">43020-000</t>
  </si>
  <si>
    <t xml:space="preserve">Application Fees</t>
  </si>
  <si>
    <t xml:space="preserve">43055-000</t>
  </si>
  <si>
    <t xml:space="preserve">Cable TV Commissions</t>
  </si>
  <si>
    <t xml:space="preserve">RevShare</t>
  </si>
  <si>
    <t xml:space="preserve">43060-000</t>
  </si>
  <si>
    <t xml:space="preserve">Club Room Rental Fees</t>
  </si>
  <si>
    <t xml:space="preserve">43080-000</t>
  </si>
  <si>
    <t xml:space="preserve">Damages</t>
  </si>
  <si>
    <t xml:space="preserve">43090-000</t>
  </si>
  <si>
    <t xml:space="preserve">Deposit Forfeitures</t>
  </si>
  <si>
    <t xml:space="preserve">43097-000</t>
  </si>
  <si>
    <t xml:space="preserve">Eviction Fees</t>
  </si>
  <si>
    <t xml:space="preserve">43105-000</t>
  </si>
  <si>
    <t xml:space="preserve">Garage Income</t>
  </si>
  <si>
    <t xml:space="preserve">Parking</t>
  </si>
  <si>
    <t xml:space="preserve">43125-000</t>
  </si>
  <si>
    <t xml:space="preserve">Interest Income</t>
  </si>
  <si>
    <t xml:space="preserve">43135-000</t>
  </si>
  <si>
    <t xml:space="preserve">Late Charge Fees</t>
  </si>
  <si>
    <t xml:space="preserve">43145-000</t>
  </si>
  <si>
    <t xml:space="preserve">Lease Cancellation Fee</t>
  </si>
  <si>
    <t xml:space="preserve">43160-000</t>
  </si>
  <si>
    <t xml:space="preserve">Locks / Key Income</t>
  </si>
  <si>
    <t xml:space="preserve">43170-000</t>
  </si>
  <si>
    <t xml:space="preserve">Month-to-Month Premiums</t>
  </si>
  <si>
    <t xml:space="preserve">43180-000</t>
  </si>
  <si>
    <t xml:space="preserve">NSF Fees</t>
  </si>
  <si>
    <t xml:space="preserve">43190-000</t>
  </si>
  <si>
    <t xml:space="preserve">Parking / Carport Income</t>
  </si>
  <si>
    <t xml:space="preserve">43200-000</t>
  </si>
  <si>
    <t xml:space="preserve">Pet Fees - Non-Refundable</t>
  </si>
  <si>
    <t xml:space="preserve">43201-000</t>
  </si>
  <si>
    <t xml:space="preserve">Pet Rent</t>
  </si>
  <si>
    <t xml:space="preserve">43215-000</t>
  </si>
  <si>
    <t xml:space="preserve">Renter's Insurance Fees</t>
  </si>
  <si>
    <t xml:space="preserve">43225-000</t>
  </si>
  <si>
    <t xml:space="preserve">Satellite / Internet</t>
  </si>
  <si>
    <t xml:space="preserve">43235-000</t>
  </si>
  <si>
    <t xml:space="preserve">Storage Rent</t>
  </si>
  <si>
    <t xml:space="preserve">43258-000</t>
  </si>
  <si>
    <t xml:space="preserve">Electric Rebill</t>
  </si>
  <si>
    <t xml:space="preserve">RUBS</t>
  </si>
  <si>
    <t xml:space="preserve">43259-000</t>
  </si>
  <si>
    <t xml:space="preserve">Gas Rebill</t>
  </si>
  <si>
    <t xml:space="preserve">43260-000</t>
  </si>
  <si>
    <t xml:space="preserve">Utility Reimbursement</t>
  </si>
  <si>
    <t xml:space="preserve">43261-000</t>
  </si>
  <si>
    <t xml:space="preserve">Pest Control Rebill</t>
  </si>
  <si>
    <t xml:space="preserve">43262-000</t>
  </si>
  <si>
    <t xml:space="preserve">Trash Rebill</t>
  </si>
  <si>
    <t xml:space="preserve">43264-001</t>
  </si>
  <si>
    <t xml:space="preserve">Water/Sewer Rebill</t>
  </si>
  <si>
    <t xml:space="preserve">43264-010</t>
  </si>
  <si>
    <t xml:space="preserve">Sewer Rebill</t>
  </si>
  <si>
    <t xml:space="preserve">43277-000</t>
  </si>
  <si>
    <t xml:space="preserve">Utility Set Up / Admin Fee</t>
  </si>
  <si>
    <t xml:space="preserve">43290-000</t>
  </si>
  <si>
    <t xml:space="preserve">Miscellaneous Income</t>
  </si>
  <si>
    <t xml:space="preserve">51010-000</t>
  </si>
  <si>
    <t xml:space="preserve">Management - Salaries</t>
  </si>
  <si>
    <t xml:space="preserve">Payroll</t>
  </si>
  <si>
    <t xml:space="preserve">51015-000</t>
  </si>
  <si>
    <t xml:space="preserve">Assistant Management - Salaries</t>
  </si>
  <si>
    <t xml:space="preserve">51020-000</t>
  </si>
  <si>
    <t xml:space="preserve">Leasing - Salaries</t>
  </si>
  <si>
    <t xml:space="preserve">51030-000</t>
  </si>
  <si>
    <t xml:space="preserve">Bonuses</t>
  </si>
  <si>
    <t xml:space="preserve">51030-001</t>
  </si>
  <si>
    <t xml:space="preserve">Quarterly Bonuses</t>
  </si>
  <si>
    <t xml:space="preserve">51040-000</t>
  </si>
  <si>
    <t xml:space="preserve">Maintenance - Salaries</t>
  </si>
  <si>
    <t xml:space="preserve">51070-000</t>
  </si>
  <si>
    <t xml:space="preserve">Payroll Taxes</t>
  </si>
  <si>
    <t xml:space="preserve">51090-000</t>
  </si>
  <si>
    <t xml:space="preserve">401k Contributions</t>
  </si>
  <si>
    <t xml:space="preserve">51100-000</t>
  </si>
  <si>
    <t xml:space="preserve">Workers Compensation</t>
  </si>
  <si>
    <t xml:space="preserve">51110-000</t>
  </si>
  <si>
    <t xml:space="preserve">Employee Burden</t>
  </si>
  <si>
    <t xml:space="preserve">51120-000</t>
  </si>
  <si>
    <t xml:space="preserve">Group Insurance</t>
  </si>
  <si>
    <t xml:space="preserve">52020-000</t>
  </si>
  <si>
    <t xml:space="preserve">Appliance Repairs</t>
  </si>
  <si>
    <t xml:space="preserve">RM</t>
  </si>
  <si>
    <t xml:space="preserve">52057-000</t>
  </si>
  <si>
    <t xml:space="preserve">Cleaning &amp; Supplies</t>
  </si>
  <si>
    <t xml:space="preserve">52063-000</t>
  </si>
  <si>
    <t xml:space="preserve">Dog Park/Washing Station</t>
  </si>
  <si>
    <t xml:space="preserve">52070-000</t>
  </si>
  <si>
    <t xml:space="preserve">Electrical Supplies / Repairs</t>
  </si>
  <si>
    <t xml:space="preserve">52100-000</t>
  </si>
  <si>
    <t xml:space="preserve">Golf Cart Repairs</t>
  </si>
  <si>
    <t xml:space="preserve">52112-000</t>
  </si>
  <si>
    <t xml:space="preserve">HVAC Maintenance / Repairs</t>
  </si>
  <si>
    <t xml:space="preserve">52125-000</t>
  </si>
  <si>
    <t xml:space="preserve">Landscape Supplies &amp; Maintenance</t>
  </si>
  <si>
    <t xml:space="preserve">52130-000</t>
  </si>
  <si>
    <t xml:space="preserve">Lighting Supplies / Repairs</t>
  </si>
  <si>
    <t xml:space="preserve">52140-000</t>
  </si>
  <si>
    <t xml:space="preserve">Locks &amp; Keys</t>
  </si>
  <si>
    <t xml:space="preserve">52150-000</t>
  </si>
  <si>
    <t xml:space="preserve">Maintenance Supplies</t>
  </si>
  <si>
    <t xml:space="preserve">52190-000</t>
  </si>
  <si>
    <t xml:space="preserve">Plumbing Supplies / Repairs</t>
  </si>
  <si>
    <t xml:space="preserve">52195-000</t>
  </si>
  <si>
    <t xml:space="preserve">Preventative Maintenance</t>
  </si>
  <si>
    <t xml:space="preserve">52230-000</t>
  </si>
  <si>
    <t xml:space="preserve">Small Tools &amp; Equipment</t>
  </si>
  <si>
    <t xml:space="preserve">52231-600</t>
  </si>
  <si>
    <t xml:space="preserve">Snow and Ice Removal</t>
  </si>
  <si>
    <t xml:space="preserve">52240-000</t>
  </si>
  <si>
    <t xml:space="preserve">Sprinkler / Irrigation Supplies / Repairs</t>
  </si>
  <si>
    <t xml:space="preserve">52260-000</t>
  </si>
  <si>
    <t xml:space="preserve">Miscellaneous Supplies / Repairs</t>
  </si>
  <si>
    <t xml:space="preserve">52620-000</t>
  </si>
  <si>
    <t xml:space="preserve">Carpet Cleaning</t>
  </si>
  <si>
    <t xml:space="preserve">Turnover</t>
  </si>
  <si>
    <t xml:space="preserve">52650-000</t>
  </si>
  <si>
    <t xml:space="preserve">Housekeeper / Cleaning Service</t>
  </si>
  <si>
    <t xml:space="preserve">52700-000</t>
  </si>
  <si>
    <t xml:space="preserve">Other Make-Ready Expenses</t>
  </si>
  <si>
    <t xml:space="preserve">52830-000</t>
  </si>
  <si>
    <t xml:space="preserve">Exercise / Weight Room</t>
  </si>
  <si>
    <t xml:space="preserve">52860-000</t>
  </si>
  <si>
    <t xml:space="preserve">Pool Supplies / Maint</t>
  </si>
  <si>
    <t xml:space="preserve">52880-000</t>
  </si>
  <si>
    <t xml:space="preserve">Other Recreational Amenities</t>
  </si>
  <si>
    <t xml:space="preserve">53060-000</t>
  </si>
  <si>
    <t xml:space="preserve">Fire Alarm Contract</t>
  </si>
  <si>
    <t xml:space="preserve">53070-000</t>
  </si>
  <si>
    <t xml:space="preserve">Fire Protection / Life Safety Contract</t>
  </si>
  <si>
    <t xml:space="preserve">53090-000</t>
  </si>
  <si>
    <t xml:space="preserve">Janitorial Contract</t>
  </si>
  <si>
    <t xml:space="preserve">53105-000</t>
  </si>
  <si>
    <t xml:space="preserve">Landscape Maintenance Contract</t>
  </si>
  <si>
    <t xml:space="preserve">53130-000</t>
  </si>
  <si>
    <t xml:space="preserve">Patrol / Courtesy Officer Contract</t>
  </si>
  <si>
    <t xml:space="preserve">53140-000</t>
  </si>
  <si>
    <t xml:space="preserve">Pest Control Contract</t>
  </si>
  <si>
    <t xml:space="preserve">53161-000</t>
  </si>
  <si>
    <t xml:space="preserve">Smart Home Contract</t>
  </si>
  <si>
    <t xml:space="preserve">53180-000</t>
  </si>
  <si>
    <t xml:space="preserve">Trash Removal Contract</t>
  </si>
  <si>
    <t xml:space="preserve">53182-000</t>
  </si>
  <si>
    <t xml:space="preserve">Trash Removal - Door to Door Pickup</t>
  </si>
  <si>
    <t xml:space="preserve">53230-000</t>
  </si>
  <si>
    <t xml:space="preserve">Other Contract Services</t>
  </si>
  <si>
    <t xml:space="preserve">54007-000</t>
  </si>
  <si>
    <t xml:space="preserve">Visual and Creative Services</t>
  </si>
  <si>
    <t xml:space="preserve">Advertising</t>
  </si>
  <si>
    <t xml:space="preserve">54010-000</t>
  </si>
  <si>
    <t xml:space="preserve">Search Engine Marketing Campaigns</t>
  </si>
  <si>
    <t xml:space="preserve">54012-000</t>
  </si>
  <si>
    <t xml:space="preserve">Internet Listing Services (ILS)</t>
  </si>
  <si>
    <t xml:space="preserve">54025-000</t>
  </si>
  <si>
    <t xml:space="preserve">Property Website</t>
  </si>
  <si>
    <t xml:space="preserve">54035-000</t>
  </si>
  <si>
    <t xml:space="preserve">Social Media</t>
  </si>
  <si>
    <t xml:space="preserve">54038-000</t>
  </si>
  <si>
    <t xml:space="preserve">Reputation Management</t>
  </si>
  <si>
    <t xml:space="preserve">54040-000</t>
  </si>
  <si>
    <t xml:space="preserve">Traditional - Printing Costs</t>
  </si>
  <si>
    <t xml:space="preserve">54046-000</t>
  </si>
  <si>
    <t xml:space="preserve">Traditional - Promotional Signage</t>
  </si>
  <si>
    <t xml:space="preserve">54055-000</t>
  </si>
  <si>
    <t xml:space="preserve">Referral Fees</t>
  </si>
  <si>
    <t xml:space="preserve">54090-000</t>
  </si>
  <si>
    <t xml:space="preserve">Strategic Marketing Services Fee</t>
  </si>
  <si>
    <t xml:space="preserve">54105-000</t>
  </si>
  <si>
    <t xml:space="preserve">Prospect Refreshments</t>
  </si>
  <si>
    <t xml:space="preserve">54110-000</t>
  </si>
  <si>
    <t xml:space="preserve">Resident Activities</t>
  </si>
  <si>
    <t xml:space="preserve">54122-000</t>
  </si>
  <si>
    <t xml:space="preserve">Resident Retention</t>
  </si>
  <si>
    <t xml:space="preserve">58025-000</t>
  </si>
  <si>
    <t xml:space="preserve">Business and Leasing Automation</t>
  </si>
  <si>
    <t xml:space="preserve">GA</t>
  </si>
  <si>
    <t xml:space="preserve">58026-000</t>
  </si>
  <si>
    <t xml:space="preserve">Revenue Management Expense</t>
  </si>
  <si>
    <t xml:space="preserve">58028-000</t>
  </si>
  <si>
    <t xml:space="preserve">Leasing Automation Tools</t>
  </si>
  <si>
    <t xml:space="preserve">58070-600</t>
  </si>
  <si>
    <t xml:space="preserve">Parcel Locker Maintenance</t>
  </si>
  <si>
    <t xml:space="preserve">58080-000</t>
  </si>
  <si>
    <t xml:space="preserve">Office Supplies</t>
  </si>
  <si>
    <t xml:space="preserve">58090-000</t>
  </si>
  <si>
    <t xml:space="preserve">Cellular Phones / Pagers / Radios</t>
  </si>
  <si>
    <t xml:space="preserve">58100-000</t>
  </si>
  <si>
    <t xml:space="preserve">Postage &amp; Delivery</t>
  </si>
  <si>
    <t xml:space="preserve">58107-000</t>
  </si>
  <si>
    <t xml:space="preserve">Resident Screening</t>
  </si>
  <si>
    <t xml:space="preserve">58110-000</t>
  </si>
  <si>
    <t xml:space="preserve">Telephone Expense</t>
  </si>
  <si>
    <t xml:space="preserve">58115-000</t>
  </si>
  <si>
    <t xml:space="preserve">Software Licenses / Maintenance Fees</t>
  </si>
  <si>
    <t xml:space="preserve">58205-000</t>
  </si>
  <si>
    <t xml:space="preserve">Administrative / Accounting Fees</t>
  </si>
  <si>
    <t xml:space="preserve">58210-000</t>
  </si>
  <si>
    <t xml:space="preserve">Assoc. Fees / Membership Dues</t>
  </si>
  <si>
    <t xml:space="preserve">58225-000</t>
  </si>
  <si>
    <t xml:space="preserve">Bank Charges</t>
  </si>
  <si>
    <t xml:space="preserve">58240-000</t>
  </si>
  <si>
    <t xml:space="preserve">Computer Expense</t>
  </si>
  <si>
    <t xml:space="preserve">58247-000</t>
  </si>
  <si>
    <t xml:space="preserve">Employee Meetings</t>
  </si>
  <si>
    <t xml:space="preserve">58250-000</t>
  </si>
  <si>
    <t xml:space="preserve">Employee Recruitment</t>
  </si>
  <si>
    <t xml:space="preserve">58253-000</t>
  </si>
  <si>
    <t xml:space="preserve">Employee Recognition</t>
  </si>
  <si>
    <t xml:space="preserve">58260-000</t>
  </si>
  <si>
    <t xml:space="preserve">58268-600</t>
  </si>
  <si>
    <t xml:space="preserve">Smart Home - WiFi</t>
  </si>
  <si>
    <t xml:space="preserve">58275-000</t>
  </si>
  <si>
    <t xml:space="preserve">Legal Fees</t>
  </si>
  <si>
    <t xml:space="preserve">58278-000</t>
  </si>
  <si>
    <t xml:space="preserve">Music/TV/Video Licensing</t>
  </si>
  <si>
    <t xml:space="preserve">58280-000</t>
  </si>
  <si>
    <t xml:space="preserve">Licenses / Fees / Permits</t>
  </si>
  <si>
    <t xml:space="preserve">58281-000</t>
  </si>
  <si>
    <t xml:space="preserve">Mileage Expense</t>
  </si>
  <si>
    <t xml:space="preserve">58284-000</t>
  </si>
  <si>
    <t xml:space="preserve">Ops Technology Fee</t>
  </si>
  <si>
    <t xml:space="preserve">58290-000</t>
  </si>
  <si>
    <t xml:space="preserve">Training / Seminars</t>
  </si>
  <si>
    <t xml:space="preserve">58305-000</t>
  </si>
  <si>
    <t xml:space="preserve">Uniform Rental / Purchase</t>
  </si>
  <si>
    <t xml:space="preserve">59020-000</t>
  </si>
  <si>
    <t xml:space="preserve">Electric - Common Areas</t>
  </si>
  <si>
    <t xml:space="preserve">59040-000</t>
  </si>
  <si>
    <t xml:space="preserve">Electric - Vacant Units</t>
  </si>
  <si>
    <t xml:space="preserve">59070-000</t>
  </si>
  <si>
    <t xml:space="preserve">Gas - Common Areas</t>
  </si>
  <si>
    <t xml:space="preserve">59080-000</t>
  </si>
  <si>
    <t xml:space="preserve">Gas - Vacant Units</t>
  </si>
  <si>
    <t xml:space="preserve">59100-000</t>
  </si>
  <si>
    <t xml:space="preserve">Utility Rebill Service Fees</t>
  </si>
  <si>
    <t xml:space="preserve">59110-000</t>
  </si>
  <si>
    <t xml:space="preserve">Water / Sewer</t>
  </si>
  <si>
    <t xml:space="preserve">61030-000</t>
  </si>
  <si>
    <t xml:space="preserve">Management Fees</t>
  </si>
  <si>
    <t xml:space="preserve">MgmtFee</t>
  </si>
  <si>
    <t xml:space="preserve">62010-000</t>
  </si>
  <si>
    <t xml:space="preserve">Ad Valorem Property Taxes</t>
  </si>
  <si>
    <t xml:space="preserve">RETaxes</t>
  </si>
  <si>
    <t xml:space="preserve">63010-000</t>
  </si>
  <si>
    <t xml:space="preserve">Property Insurance</t>
  </si>
  <si>
    <t xml:space="preserve">TOTAL (NOI basis: all mapped lines)</t>
  </si>
  <si>
    <t xml:space="preserve">Sources &amp; Method</t>
  </si>
  <si>
    <t xml:space="preserve">SEASONS AT MERIDIAN Y1 UW — TMG_Acquisitions_model_7.26___Seasons_at_Meridian_v3.xlsm, Cash Flow (Annual) column K (Year 1 = Dec-2026–Nov-2027, 8/14/26 model refresh: Y1 market-rent basis $1,915/U/mo). NOI before $250/U capital reserves. Purchase price $118.5M per Assumptions H5.</t>
  </si>
  <si>
    <t xml:space="preserve">PRELUDE AT PARAMOUNT Y1 UW — Prelude_at_Paramount_Final_Model.xlsm (Dec-2025 acquisition model), Revenue &amp; Expense tab column H (Y1 = CY 2026). Bulk-wifi program was modeled at $100,800 income offset by $100,800 expense (net $0 Y1, I&amp;E AA35:AD37); both sides excluded here. The knowledge-base exhibit (Boise_Deals_Normalized_Underwriting_v2, tab 2b) shows OI at $2,803/U because it moves that gross-up into Other Income — NOI is identical.</t>
  </si>
  <si>
    <t xml:space="preserve">PRELUDE ACTUALS — Yardi 12-month accrual statement (idprepar), Aug-2025–Jul-2026, tree ysi_cf. TMG closed 12/31/2025: Aug–Nov-25 columns are zero and Dec-25 contains only takeover/proration entries (excluded: takeover rents $41.5K, damages $17.2K, tax/insurance stubs). "Actual" = Jan–Jul-2026 (7 months) x 12/7; "T3" = May–Jul-2026 x 4. Below-NOI routine-replacement lines (-$84 net) excluded. Rent roll w/ lease charges as of 8/13/2026 for occupancy and in-place rent.</t>
  </si>
  <si>
    <t xml:space="preserve">CATEGORY MAPPING (statement → TMG buckets) — see Prelude Actuals Detail tab, column D. Notable choices: smart-home income → Other Income; cable TV commissions + satellite/internet → Revenue Share; utility set-up/admin fees → RUBS; make-ready + recreational-amenities → Turnover; smart-home WiFi expense stays in G&amp;A; storage rent → Other Income (misc).</t>
  </si>
  <si>
    <t xml:space="preserve">ANNUALIZATION CAVEATS — (1) Concessions are one-time credits taken at signing: the 7-mo annualization embeds the heavy winter cohort; T3 shows the current (worse) pace. (2) RUBS billbacks ramped from ~$0 in January as TMG took over billing — 7-mo annualized understates the run rate; T3 is the better read. (3) Taxes and insurance accrue at level monthly amounts — annualization is exact.</t>
  </si>
  <si>
    <t xml:space="preserve">COMPARABILITY — Assets differ: Seasons is 2024-built, 360 units, 932 SF avg, in lease-up stabilization; Prelude is 2018-built, 280 units, 1,016 SF avg, stabilized-recovering. Both Meridian (Ada County, ~0.45% levy). Compare $/unit and ratios, not totals. Cap rates are comparable; $/unit price is not (larger avg SF at Prelude).</t>
  </si>
  <si>
    <t xml:space="preserve">Related repo exhibits: knowledge/exhibits/Boise_Deals_Normalized_Underwriting_v2.xlsx (tabs 2_ProFormas, 2b_Prelude_Actuals), knowledge/deal_metrics.json (branch seasons-meridian-underwriting-woep67). Prepared 2026-08-14 from user-supplied source files.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</si>
</sst>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"/>
    <numFmt numFmtId="167" formatCode="\$#,##0;&quot;($&quot;#,##0\)"/>
    <numFmt numFmtId="168" formatCode="\$#,##0"/>
    <numFmt numFmtId="169" formatCode="\$0.00"/>
    <numFmt numFmtId="170" formatCode="#,##0;\(#,##0\)"/>
    <numFmt numFmtId="171" formatCode="0.0%;\(0.0%\)"/>
    <numFmt numFmtId="172" formatCode="0.0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8.5"/>
      <color rgb="FF555555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sz val="9.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D9E2F3"/>
        <bgColor rgb="FFEDF1F9"/>
      </patternFill>
    </fill>
    <fill>
      <patternFill patternType="solid">
        <fgColor rgb="FFEDF1F9"/>
        <bgColor rgb="FFFFFFFF"/>
      </patternFill>
    </fill>
    <fill>
      <patternFill patternType="solid">
        <fgColor rgb="FFC6E0B4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F1F9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6" min="3" style="0" width="13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12" min="9" style="0" width="13"/>
    <col collapsed="false" customWidth="true" hidden="false" outlineLevel="0" max="13" min="13" style="0" width="52"/>
  </cols>
  <sheetData>
    <row r="1" customFormat="false" ht="21.7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42" hidden="false" customHeight="true" outlineLevel="0" collapsed="false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</row>
    <row r="5" customFormat="false" ht="15" hidden="false" customHeight="false" outlineLevel="0" collapsed="false">
      <c r="B5" s="4" t="s">
        <v>13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customFormat="false" ht="15" hidden="false" customHeight="false" outlineLevel="0" collapsed="false">
      <c r="B6" s="6"/>
      <c r="C6" s="7" t="s">
        <v>14</v>
      </c>
      <c r="D6" s="7" t="s">
        <v>15</v>
      </c>
      <c r="E6" s="7" t="s">
        <v>16</v>
      </c>
    </row>
    <row r="7" customFormat="false" ht="15" hidden="false" customHeight="false" outlineLevel="0" collapsed="false">
      <c r="B7" s="6" t="s">
        <v>17</v>
      </c>
      <c r="C7" s="8" t="n">
        <v>360</v>
      </c>
      <c r="D7" s="8" t="n">
        <v>280</v>
      </c>
      <c r="E7" s="8" t="n">
        <v>280</v>
      </c>
    </row>
    <row r="8" customFormat="false" ht="15" hidden="false" customHeight="false" outlineLevel="0" collapsed="false">
      <c r="B8" s="6" t="s">
        <v>18</v>
      </c>
      <c r="C8" s="8" t="n">
        <v>932.46</v>
      </c>
      <c r="D8" s="8" t="n">
        <v>1016.38</v>
      </c>
      <c r="E8" s="8" t="n">
        <v>1016.38</v>
      </c>
      <c r="M8" s="9" t="s">
        <v>19</v>
      </c>
    </row>
    <row r="9" customFormat="false" ht="15" hidden="false" customHeight="false" outlineLevel="0" collapsed="false">
      <c r="B9" s="6" t="s">
        <v>20</v>
      </c>
      <c r="C9" s="10" t="n">
        <v>2024</v>
      </c>
      <c r="D9" s="10" t="n">
        <v>2018</v>
      </c>
      <c r="E9" s="10" t="n">
        <v>2018</v>
      </c>
    </row>
    <row r="10" customFormat="false" ht="15" hidden="false" customHeight="false" outlineLevel="0" collapsed="false">
      <c r="B10" s="6" t="s">
        <v>21</v>
      </c>
      <c r="C10" s="11" t="s">
        <v>22</v>
      </c>
      <c r="D10" s="11" t="s">
        <v>23</v>
      </c>
    </row>
    <row r="11" customFormat="false" ht="19.4" hidden="false" customHeight="false" outlineLevel="0" collapsed="false">
      <c r="B11" s="6" t="s">
        <v>24</v>
      </c>
      <c r="C11" s="11" t="s">
        <v>25</v>
      </c>
      <c r="D11" s="11" t="s">
        <v>26</v>
      </c>
      <c r="E11" s="11" t="s">
        <v>27</v>
      </c>
      <c r="M11" s="9" t="s">
        <v>28</v>
      </c>
    </row>
    <row r="12" customFormat="false" ht="15" hidden="false" customHeight="false" outlineLevel="0" collapsed="false">
      <c r="B12" s="6" t="s">
        <v>29</v>
      </c>
      <c r="C12" s="12" t="n">
        <v>118500000</v>
      </c>
      <c r="D12" s="12" t="n">
        <v>79750000</v>
      </c>
      <c r="E12" s="12" t="n">
        <v>79750000</v>
      </c>
    </row>
    <row r="13" customFormat="false" ht="15" hidden="false" customHeight="false" outlineLevel="0" collapsed="false">
      <c r="B13" s="6" t="s">
        <v>30</v>
      </c>
      <c r="C13" s="13" t="n">
        <f aca="false">C12/C7</f>
        <v>329166.666666667</v>
      </c>
      <c r="D13" s="13" t="n">
        <f aca="false">D12/D7</f>
        <v>284821.428571429</v>
      </c>
      <c r="E13" s="13" t="n">
        <f aca="false">E12/E7</f>
        <v>284821.428571429</v>
      </c>
    </row>
    <row r="14" customFormat="false" ht="19.4" hidden="false" customHeight="false" outlineLevel="0" collapsed="false">
      <c r="B14" s="6" t="s">
        <v>31</v>
      </c>
      <c r="C14" s="14" t="n">
        <v>1915</v>
      </c>
      <c r="D14" s="14" t="n">
        <v>1729.64</v>
      </c>
      <c r="E14" s="14" t="n">
        <v>1723.5</v>
      </c>
      <c r="M14" s="9" t="s">
        <v>32</v>
      </c>
    </row>
    <row r="15" customFormat="false" ht="15" hidden="false" customHeight="false" outlineLevel="0" collapsed="false">
      <c r="B15" s="6" t="s">
        <v>33</v>
      </c>
      <c r="C15" s="15" t="n">
        <f aca="false">C14/C8</f>
        <v>2.05370739763636</v>
      </c>
      <c r="D15" s="15" t="n">
        <f aca="false">D14/D8</f>
        <v>1.70176508786084</v>
      </c>
      <c r="E15" s="15" t="n">
        <f aca="false">E14/E8</f>
        <v>1.69572404022118</v>
      </c>
    </row>
    <row r="16" customFormat="false" ht="19.4" hidden="false" customHeight="false" outlineLevel="0" collapsed="false">
      <c r="B16" s="6" t="s">
        <v>34</v>
      </c>
      <c r="D16" s="14" t="n">
        <v>1668</v>
      </c>
      <c r="E16" s="14" t="n">
        <v>1680.44</v>
      </c>
      <c r="M16" s="9" t="s">
        <v>35</v>
      </c>
    </row>
    <row r="17" customFormat="false" ht="15" hidden="false" customHeight="false" outlineLevel="0" collapsed="false">
      <c r="B17" s="4" t="s">
        <v>36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customFormat="false" ht="15" hidden="false" customHeight="false" outlineLevel="0" collapsed="false">
      <c r="B18" s="6" t="s">
        <v>37</v>
      </c>
      <c r="C18" s="16" t="n">
        <f aca="false">J18/$C$7</f>
        <v>22980</v>
      </c>
      <c r="D18" s="16" t="n">
        <f aca="false">K18/$D$7</f>
        <v>20755.6865</v>
      </c>
      <c r="E18" s="16" t="n">
        <f aca="false">L18/$E$7</f>
        <v>20682</v>
      </c>
      <c r="F18" s="17" t="n">
        <f aca="false">SUMIF('Prelude Actuals Detail'!$D$5:$D$133,"GPR",'Prelude Actuals Detail'!$N$5:$N$133)/$E$7</f>
        <v>20682</v>
      </c>
      <c r="G18" s="16" t="n">
        <f aca="false">E18-D18</f>
        <v>-73.6864999999998</v>
      </c>
      <c r="H18" s="18" t="n">
        <f aca="false">IF(D18=0,"n/a",(E18-D18)/ABS(D18))</f>
        <v>-0.00355018370507763</v>
      </c>
      <c r="I18" s="16" t="n">
        <f aca="false">C18-E18</f>
        <v>2298</v>
      </c>
      <c r="J18" s="19" t="n">
        <v>8272800</v>
      </c>
      <c r="K18" s="19" t="n">
        <v>5811592.22</v>
      </c>
      <c r="L18" s="17" t="n">
        <f aca="false">SUMIF('Prelude Actuals Detail'!$D$5:$D$133,"GPR",'Prelude Actuals Detail'!$M$5:$M$133)</f>
        <v>5790960</v>
      </c>
      <c r="M18" s="9" t="s">
        <v>38</v>
      </c>
    </row>
    <row r="19" customFormat="false" ht="15" hidden="false" customHeight="false" outlineLevel="0" collapsed="false">
      <c r="B19" s="6" t="s">
        <v>39</v>
      </c>
      <c r="C19" s="16" t="n">
        <f aca="false">J19/$C$7</f>
        <v>0</v>
      </c>
      <c r="D19" s="16" t="n">
        <f aca="false">K19/$D$7</f>
        <v>14.4642857142857</v>
      </c>
      <c r="E19" s="16" t="n">
        <f aca="false">L19/$E$7</f>
        <v>0</v>
      </c>
      <c r="F19" s="16" t="n">
        <v>0</v>
      </c>
      <c r="G19" s="16" t="n">
        <f aca="false">E19-D19</f>
        <v>-14.4642857142857</v>
      </c>
      <c r="H19" s="18" t="n">
        <f aca="false">IF(D19=0,"n/a",(E19-D19)/ABS(D19))</f>
        <v>-1</v>
      </c>
      <c r="I19" s="16" t="n">
        <f aca="false">C19-E19</f>
        <v>0</v>
      </c>
      <c r="J19" s="19" t="n">
        <v>0</v>
      </c>
      <c r="K19" s="19" t="n">
        <v>4050</v>
      </c>
      <c r="L19" s="16" t="n">
        <v>0</v>
      </c>
      <c r="M19" s="9" t="s">
        <v>40</v>
      </c>
    </row>
    <row r="20" customFormat="false" ht="15" hidden="false" customHeight="false" outlineLevel="0" collapsed="false">
      <c r="B20" s="6" t="s">
        <v>41</v>
      </c>
      <c r="C20" s="16" t="n">
        <f aca="false">J20/$C$7</f>
        <v>-911.260361111111</v>
      </c>
      <c r="D20" s="16" t="n">
        <f aca="false">K20/$D$7</f>
        <v>-205.153357142857</v>
      </c>
      <c r="E20" s="16" t="n">
        <f aca="false">L20/$E$7</f>
        <v>-580.934693877551</v>
      </c>
      <c r="F20" s="17" t="n">
        <f aca="false">SUMIF('Prelude Actuals Detail'!$D$5:$D$133,"LTL",'Prelude Actuals Detail'!$N$5:$N$133)/$E$7</f>
        <v>-519.157142857143</v>
      </c>
      <c r="G20" s="16" t="n">
        <f aca="false">E20-D20</f>
        <v>-375.781336734694</v>
      </c>
      <c r="H20" s="18" t="n">
        <f aca="false">IF(D20=0,"n/a",(E20-D20)/ABS(D20))</f>
        <v>-1.83170941956861</v>
      </c>
      <c r="I20" s="16" t="n">
        <f aca="false">C20-E20</f>
        <v>-330.32566723356</v>
      </c>
      <c r="J20" s="19" t="n">
        <v>-328053.73</v>
      </c>
      <c r="K20" s="19" t="n">
        <v>-57442.94</v>
      </c>
      <c r="L20" s="17" t="n">
        <f aca="false">SUMIF('Prelude Actuals Detail'!$D$5:$D$133,"LTL",'Prelude Actuals Detail'!$M$5:$M$133)</f>
        <v>-162661.714285714</v>
      </c>
      <c r="M20" s="9" t="s">
        <v>42</v>
      </c>
    </row>
    <row r="21" customFormat="false" ht="15" hidden="false" customHeight="false" outlineLevel="0" collapsed="false">
      <c r="B21" s="20" t="s">
        <v>43</v>
      </c>
      <c r="C21" s="21" t="n">
        <f aca="false">J21/$C$7</f>
        <v>22068.7396388889</v>
      </c>
      <c r="D21" s="21" t="n">
        <f aca="false">K21/$D$7</f>
        <v>20564.9974285714</v>
      </c>
      <c r="E21" s="21" t="n">
        <f aca="false">L21/$E$7</f>
        <v>20101.0653061224</v>
      </c>
      <c r="F21" s="21" t="n">
        <f aca="false">SUM(F18:F20)</f>
        <v>20162.8428571429</v>
      </c>
      <c r="G21" s="21" t="n">
        <f aca="false">E21-D21</f>
        <v>-463.93212244898</v>
      </c>
      <c r="H21" s="22" t="n">
        <f aca="false">IF(D21=0,"n/a",(E21-D21)/ABS(D21))</f>
        <v>-0.0225593085562183</v>
      </c>
      <c r="I21" s="21" t="n">
        <f aca="false">C21-E21</f>
        <v>1967.67433276644</v>
      </c>
      <c r="J21" s="21" t="n">
        <f aca="false">SUM(J18:J20)</f>
        <v>7944746.27</v>
      </c>
      <c r="K21" s="21" t="n">
        <f aca="false">SUM(K18:K20)</f>
        <v>5758199.28</v>
      </c>
      <c r="L21" s="21" t="n">
        <f aca="false">SUM(L18:L20)</f>
        <v>5628298.28571429</v>
      </c>
    </row>
    <row r="22" customFormat="false" ht="15" hidden="false" customHeight="false" outlineLevel="0" collapsed="false">
      <c r="B22" s="6" t="s">
        <v>44</v>
      </c>
      <c r="C22" s="16" t="n">
        <f aca="false">J22/$C$7</f>
        <v>-1213.78066666667</v>
      </c>
      <c r="D22" s="16" t="n">
        <f aca="false">K22/$D$7</f>
        <v>-1439.54982142857</v>
      </c>
      <c r="E22" s="16" t="n">
        <f aca="false">L22/$E$7</f>
        <v>-1822.80146938775</v>
      </c>
      <c r="F22" s="17" t="n">
        <f aca="false">SUMIF('Prelude Actuals Detail'!$D$5:$D$133,"Vacancy",'Prelude Actuals Detail'!$N$5:$N$133)/$E$7</f>
        <v>-1230.22357142857</v>
      </c>
      <c r="G22" s="16" t="n">
        <f aca="false">E22-D22</f>
        <v>-383.251647959183</v>
      </c>
      <c r="H22" s="18" t="n">
        <f aca="false">IF(D22=0,"n/a",(E22-D22)/ABS(D22))</f>
        <v>-0.266230207703999</v>
      </c>
      <c r="I22" s="16" t="n">
        <f aca="false">C22-E22</f>
        <v>609.020802721088</v>
      </c>
      <c r="J22" s="19" t="n">
        <v>-436961.04</v>
      </c>
      <c r="K22" s="19" t="n">
        <v>-403073.95</v>
      </c>
      <c r="L22" s="17" t="n">
        <f aca="false">SUMIF('Prelude Actuals Detail'!$D$5:$D$133,"Vacancy",'Prelude Actuals Detail'!$M$5:$M$133)</f>
        <v>-510384.411428571</v>
      </c>
      <c r="M22" s="9" t="s">
        <v>45</v>
      </c>
    </row>
    <row r="23" customFormat="false" ht="15" hidden="false" customHeight="false" outlineLevel="0" collapsed="false">
      <c r="B23" s="6" t="s">
        <v>46</v>
      </c>
      <c r="C23" s="16" t="n">
        <f aca="false">J23/$C$7</f>
        <v>-55.1718611111111</v>
      </c>
      <c r="D23" s="16" t="n">
        <f aca="false">K23/$D$7</f>
        <v>-102.825</v>
      </c>
      <c r="E23" s="16" t="n">
        <f aca="false">L23/$E$7</f>
        <v>6.57391836734694</v>
      </c>
      <c r="F23" s="17" t="n">
        <f aca="false">SUMIF('Prelude Actuals Detail'!$D$5:$D$133,"BadDebt",'Prelude Actuals Detail'!$N$5:$N$133)/$E$7</f>
        <v>11.3788571428571</v>
      </c>
      <c r="G23" s="16" t="n">
        <f aca="false">E23-D23</f>
        <v>109.398918367347</v>
      </c>
      <c r="H23" s="18" t="n">
        <f aca="false">IF(D23=0,"n/a",(E23-D23)/ABS(D23))</f>
        <v>1.06393307432382</v>
      </c>
      <c r="I23" s="16" t="n">
        <f aca="false">C23-E23</f>
        <v>-61.7457794784581</v>
      </c>
      <c r="J23" s="19" t="n">
        <v>-19861.87</v>
      </c>
      <c r="K23" s="19" t="n">
        <v>-28791</v>
      </c>
      <c r="L23" s="17" t="n">
        <f aca="false">SUMIF('Prelude Actuals Detail'!$D$5:$D$133,"BadDebt",'Prelude Actuals Detail'!$M$5:$M$133)</f>
        <v>1840.69714285714</v>
      </c>
      <c r="M23" s="9" t="s">
        <v>47</v>
      </c>
    </row>
    <row r="24" customFormat="false" ht="15" hidden="false" customHeight="false" outlineLevel="0" collapsed="false">
      <c r="B24" s="6" t="s">
        <v>48</v>
      </c>
      <c r="C24" s="16" t="n">
        <f aca="false">J24/$C$7</f>
        <v>-61.3020555555556</v>
      </c>
      <c r="D24" s="16" t="n">
        <f aca="false">K24/$D$7</f>
        <v>-88.9529285714286</v>
      </c>
      <c r="E24" s="16" t="n">
        <f aca="false">L24/$E$7</f>
        <v>-30.7714285714286</v>
      </c>
      <c r="F24" s="17" t="n">
        <f aca="false">SUMIF('Prelude Actuals Detail'!$D$5:$D$133,"ModelEmp",'Prelude Actuals Detail'!$N$5:$N$133)/$E$7</f>
        <v>-30.7714285714286</v>
      </c>
      <c r="G24" s="16" t="n">
        <f aca="false">E24-D24</f>
        <v>58.1815</v>
      </c>
      <c r="H24" s="18" t="n">
        <f aca="false">IF(D24=0,"n/a",(E24-D24)/ABS(D24))</f>
        <v>0.654070652134636</v>
      </c>
      <c r="I24" s="16" t="n">
        <f aca="false">C24-E24</f>
        <v>-30.530626984127</v>
      </c>
      <c r="J24" s="19" t="n">
        <v>-22068.74</v>
      </c>
      <c r="K24" s="19" t="n">
        <v>-24906.82</v>
      </c>
      <c r="L24" s="17" t="n">
        <f aca="false">SUMIF('Prelude Actuals Detail'!$D$5:$D$133,"ModelEmp",'Prelude Actuals Detail'!$M$5:$M$133)</f>
        <v>-8616</v>
      </c>
    </row>
    <row r="25" customFormat="false" ht="28.35" hidden="false" customHeight="false" outlineLevel="0" collapsed="false">
      <c r="B25" s="6" t="s">
        <v>49</v>
      </c>
      <c r="C25" s="16" t="n">
        <f aca="false">J25/$C$7</f>
        <v>-220.687388888889</v>
      </c>
      <c r="D25" s="16" t="n">
        <f aca="false">K25/$D$7</f>
        <v>-514.124928571429</v>
      </c>
      <c r="E25" s="16" t="n">
        <f aca="false">L25/$E$7</f>
        <v>-855.973775510204</v>
      </c>
      <c r="F25" s="17" t="n">
        <f aca="false">SUMIF('Prelude Actuals Detail'!$D$5:$D$133,"Concessions",'Prelude Actuals Detail'!$N$5:$N$133)/$E$7</f>
        <v>-1153.77285714286</v>
      </c>
      <c r="G25" s="16" t="n">
        <f aca="false">E25-D25</f>
        <v>-341.848846938775</v>
      </c>
      <c r="H25" s="18" t="n">
        <f aca="false">IF(D25=0,"n/a",(E25-D25)/ABS(D25))</f>
        <v>-0.664913969234389</v>
      </c>
      <c r="I25" s="16" t="n">
        <f aca="false">C25-E25</f>
        <v>635.286386621315</v>
      </c>
      <c r="J25" s="19" t="n">
        <v>-79447.46</v>
      </c>
      <c r="K25" s="19" t="n">
        <v>-143954.98</v>
      </c>
      <c r="L25" s="17" t="n">
        <f aca="false">SUMIF('Prelude Actuals Detail'!$D$5:$D$133,"Concessions",'Prelude Actuals Detail'!$M$5:$M$133)</f>
        <v>-239672.657142857</v>
      </c>
      <c r="M25" s="9" t="s">
        <v>50</v>
      </c>
    </row>
    <row r="26" customFormat="false" ht="15" hidden="false" customHeight="false" outlineLevel="0" collapsed="false">
      <c r="B26" s="20" t="s">
        <v>51</v>
      </c>
      <c r="C26" s="21" t="n">
        <f aca="false">J26/$C$7</f>
        <v>20517.7976666667</v>
      </c>
      <c r="D26" s="21" t="n">
        <f aca="false">K26/$D$7</f>
        <v>18419.54475</v>
      </c>
      <c r="E26" s="21" t="n">
        <f aca="false">L26/$E$7</f>
        <v>17398.0925510204</v>
      </c>
      <c r="F26" s="21" t="n">
        <f aca="false">F21+SUM(F22:F25)</f>
        <v>17759.4538571429</v>
      </c>
      <c r="G26" s="21" t="n">
        <f aca="false">E26-D26</f>
        <v>-1021.45219897959</v>
      </c>
      <c r="H26" s="22" t="n">
        <f aca="false">IF(D26=0,"n/a",(E26-D26)/ABS(D26))</f>
        <v>-0.0554548015623237</v>
      </c>
      <c r="I26" s="21" t="n">
        <f aca="false">C26-E26</f>
        <v>3119.70511564626</v>
      </c>
      <c r="J26" s="21" t="n">
        <f aca="false">J21+SUM(J22:J25)</f>
        <v>7386407.16</v>
      </c>
      <c r="K26" s="21" t="n">
        <f aca="false">K21+SUM(K22:K25)</f>
        <v>5157472.53</v>
      </c>
      <c r="L26" s="21" t="n">
        <f aca="false">L21+SUM(L22:L25)</f>
        <v>4871465.91428571</v>
      </c>
    </row>
    <row r="27" customFormat="false" ht="19.4" hidden="false" customHeight="false" outlineLevel="0" collapsed="false">
      <c r="B27" s="6" t="s">
        <v>52</v>
      </c>
      <c r="C27" s="16" t="n">
        <f aca="false">J27/$C$7</f>
        <v>623.716388888889</v>
      </c>
      <c r="D27" s="16" t="n">
        <f aca="false">K27/$D$7</f>
        <v>920.612821428572</v>
      </c>
      <c r="E27" s="16" t="n">
        <f aca="false">L27/$E$7</f>
        <v>744.315428571429</v>
      </c>
      <c r="F27" s="17" t="n">
        <f aca="false">SUMIF('Prelude Actuals Detail'!$D$5:$D$133,"OIMisc",'Prelude Actuals Detail'!$N$5:$N$133)/$E$7</f>
        <v>890.627285714286</v>
      </c>
      <c r="G27" s="16" t="n">
        <f aca="false">E27-D27</f>
        <v>-176.297392857143</v>
      </c>
      <c r="H27" s="18" t="n">
        <f aca="false">IF(D27=0,"n/a",(E27-D27)/ABS(D27))</f>
        <v>-0.191500040791927</v>
      </c>
      <c r="I27" s="16" t="n">
        <f aca="false">C27-E27</f>
        <v>-120.59903968254</v>
      </c>
      <c r="J27" s="19" t="n">
        <v>224537.9</v>
      </c>
      <c r="K27" s="19" t="n">
        <v>257771.59</v>
      </c>
      <c r="L27" s="17" t="n">
        <f aca="false">SUMIF('Prelude Actuals Detail'!$D$5:$D$133,"OIMisc",'Prelude Actuals Detail'!$M$5:$M$133)</f>
        <v>208408.32</v>
      </c>
      <c r="M27" s="9" t="s">
        <v>53</v>
      </c>
    </row>
    <row r="28" customFormat="false" ht="15" hidden="false" customHeight="false" outlineLevel="0" collapsed="false">
      <c r="B28" s="6" t="s">
        <v>54</v>
      </c>
      <c r="C28" s="16" t="n">
        <f aca="false">J28/$C$7</f>
        <v>697.744111111111</v>
      </c>
      <c r="D28" s="16" t="n">
        <f aca="false">K28/$D$7</f>
        <v>762.95725</v>
      </c>
      <c r="E28" s="16" t="n">
        <f aca="false">L28/$E$7</f>
        <v>946.889204081633</v>
      </c>
      <c r="F28" s="17" t="n">
        <f aca="false">SUMIF('Prelude Actuals Detail'!$D$5:$D$133,"RUBS",'Prelude Actuals Detail'!$N$5:$N$133)/$E$7</f>
        <v>699.829857142857</v>
      </c>
      <c r="G28" s="16" t="n">
        <f aca="false">E28-D28</f>
        <v>183.931954081633</v>
      </c>
      <c r="H28" s="18" t="n">
        <f aca="false">IF(D28=0,"n/a",(E28-D28)/ABS(D28))</f>
        <v>0.241077667302634</v>
      </c>
      <c r="I28" s="16" t="n">
        <f aca="false">C28-E28</f>
        <v>-249.145092970522</v>
      </c>
      <c r="J28" s="19" t="n">
        <v>251187.88</v>
      </c>
      <c r="K28" s="19" t="n">
        <v>213628.03</v>
      </c>
      <c r="L28" s="17" t="n">
        <f aca="false">SUMIF('Prelude Actuals Detail'!$D$5:$D$133,"RUBS",'Prelude Actuals Detail'!$M$5:$M$133)</f>
        <v>265128.977142857</v>
      </c>
      <c r="M28" s="9" t="s">
        <v>55</v>
      </c>
    </row>
    <row r="29" customFormat="false" ht="19.4" hidden="false" customHeight="false" outlineLevel="0" collapsed="false">
      <c r="B29" s="6" t="s">
        <v>56</v>
      </c>
      <c r="C29" s="16" t="n">
        <f aca="false">J29/$C$7</f>
        <v>360.241666666667</v>
      </c>
      <c r="D29" s="16" t="n">
        <f aca="false">K29/$D$7</f>
        <v>759.419321428572</v>
      </c>
      <c r="E29" s="16" t="n">
        <f aca="false">L29/$E$7</f>
        <v>630.636918367347</v>
      </c>
      <c r="F29" s="17" t="n">
        <f aca="false">SUMIF('Prelude Actuals Detail'!$D$5:$D$133,"Parking",'Prelude Actuals Detail'!$N$5:$N$133)/$E$7</f>
        <v>620.619</v>
      </c>
      <c r="G29" s="16" t="n">
        <f aca="false">E29-D29</f>
        <v>-128.782403061225</v>
      </c>
      <c r="H29" s="18" t="n">
        <f aca="false">IF(D29=0,"n/a",(E29-D29)/ABS(D29))</f>
        <v>-0.169580098145208</v>
      </c>
      <c r="I29" s="16" t="n">
        <f aca="false">C29-E29</f>
        <v>-270.39525170068</v>
      </c>
      <c r="J29" s="19" t="n">
        <v>129687</v>
      </c>
      <c r="K29" s="19" t="n">
        <v>212637.41</v>
      </c>
      <c r="L29" s="17" t="n">
        <f aca="false">SUMIF('Prelude Actuals Detail'!$D$5:$D$133,"Parking",'Prelude Actuals Detail'!$M$5:$M$133)</f>
        <v>176578.337142857</v>
      </c>
      <c r="M29" s="9" t="s">
        <v>57</v>
      </c>
    </row>
    <row r="30" customFormat="false" ht="19.4" hidden="false" customHeight="false" outlineLevel="0" collapsed="false">
      <c r="B30" s="6" t="s">
        <v>58</v>
      </c>
      <c r="C30" s="16" t="n">
        <f aca="false">J30/$C$7</f>
        <v>1077.3</v>
      </c>
      <c r="D30" s="16" t="n">
        <f aca="false">K30/$D$7</f>
        <v>0</v>
      </c>
      <c r="E30" s="16" t="n">
        <f aca="false">L30/$E$7</f>
        <v>25.3509183673469</v>
      </c>
      <c r="F30" s="17" t="n">
        <f aca="false">SUMIF('Prelude Actuals Detail'!$D$5:$D$133,"RevShare",'Prelude Actuals Detail'!$N$5:$N$133)/$E$7</f>
        <v>46.9274285714286</v>
      </c>
      <c r="G30" s="16" t="n">
        <f aca="false">E30-D30</f>
        <v>25.3509183673469</v>
      </c>
      <c r="H30" s="18" t="str">
        <f aca="false">IF(D30=0,"n/a",(E30-D30)/ABS(D30))</f>
        <v>n/a</v>
      </c>
      <c r="I30" s="16" t="n">
        <f aca="false">C30-E30</f>
        <v>1051.94908163265</v>
      </c>
      <c r="J30" s="19" t="n">
        <v>387828</v>
      </c>
      <c r="K30" s="19" t="n">
        <v>0</v>
      </c>
      <c r="L30" s="17" t="n">
        <f aca="false">SUMIF('Prelude Actuals Detail'!$D$5:$D$133,"RevShare",'Prelude Actuals Detail'!$M$5:$M$133)</f>
        <v>7098.25714285714</v>
      </c>
      <c r="M30" s="9" t="s">
        <v>59</v>
      </c>
    </row>
    <row r="31" customFormat="false" ht="15" hidden="false" customHeight="false" outlineLevel="0" collapsed="false">
      <c r="B31" s="20" t="s">
        <v>60</v>
      </c>
      <c r="C31" s="21" t="n">
        <f aca="false">J31/$C$7</f>
        <v>2759.00216666667</v>
      </c>
      <c r="D31" s="21" t="n">
        <f aca="false">K31/$D$7</f>
        <v>2442.98939285714</v>
      </c>
      <c r="E31" s="21" t="n">
        <f aca="false">L31/$E$7</f>
        <v>2347.19246938776</v>
      </c>
      <c r="F31" s="21" t="n">
        <f aca="false">SUM(F27:F30)</f>
        <v>2258.00357142857</v>
      </c>
      <c r="G31" s="21" t="n">
        <f aca="false">E31-D31</f>
        <v>-95.7969234693878</v>
      </c>
      <c r="H31" s="22" t="n">
        <f aca="false">IF(D31=0,"n/a",(E31-D31)/ABS(D31))</f>
        <v>-0.0392129919800228</v>
      </c>
      <c r="I31" s="21" t="n">
        <f aca="false">C31-E31</f>
        <v>411.809697278912</v>
      </c>
      <c r="J31" s="21" t="n">
        <f aca="false">SUM(J27:J30)</f>
        <v>993240.78</v>
      </c>
      <c r="K31" s="21" t="n">
        <f aca="false">SUM(K27:K30)</f>
        <v>684037.03</v>
      </c>
      <c r="L31" s="21" t="n">
        <f aca="false">SUM(L27:L30)</f>
        <v>657213.891428571</v>
      </c>
    </row>
    <row r="32" customFormat="false" ht="15" hidden="false" customHeight="false" outlineLevel="0" collapsed="false">
      <c r="B32" s="23" t="s">
        <v>61</v>
      </c>
      <c r="C32" s="24" t="n">
        <f aca="false">J32/$C$7</f>
        <v>23276.7998333333</v>
      </c>
      <c r="D32" s="24" t="n">
        <f aca="false">K32/$D$7</f>
        <v>20862.5341428571</v>
      </c>
      <c r="E32" s="24" t="n">
        <f aca="false">L32/$E$7</f>
        <v>19745.2850204082</v>
      </c>
      <c r="F32" s="24" t="n">
        <f aca="false">F26+F31</f>
        <v>20017.4574285714</v>
      </c>
      <c r="G32" s="24" t="n">
        <f aca="false">E32-D32</f>
        <v>-1117.24912244898</v>
      </c>
      <c r="H32" s="25" t="n">
        <f aca="false">IF(D32=0,"n/a",(E32-D32)/ABS(D32))</f>
        <v>-0.0535528960575242</v>
      </c>
      <c r="I32" s="24" t="n">
        <f aca="false">C32-E32</f>
        <v>3531.51481292517</v>
      </c>
      <c r="J32" s="24" t="n">
        <f aca="false">J26+J31</f>
        <v>8379647.94</v>
      </c>
      <c r="K32" s="24" t="n">
        <f aca="false">K26+K31</f>
        <v>5841509.56</v>
      </c>
      <c r="L32" s="24" t="n">
        <f aca="false">L26+L31</f>
        <v>5528679.80571429</v>
      </c>
      <c r="M32" s="26"/>
    </row>
    <row r="33" customFormat="false" ht="15" hidden="false" customHeight="false" outlineLevel="0" collapsed="false">
      <c r="B33" s="4" t="s">
        <v>62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customFormat="false" ht="15" hidden="false" customHeight="false" outlineLevel="0" collapsed="false">
      <c r="B34" s="6" t="s">
        <v>63</v>
      </c>
      <c r="C34" s="16" t="n">
        <f aca="false">J34/$C$7</f>
        <v>1670.90588888889</v>
      </c>
      <c r="D34" s="16" t="n">
        <f aca="false">K34/$D$7</f>
        <v>1796.92278571429</v>
      </c>
      <c r="E34" s="16" t="n">
        <f aca="false">L34/$E$7</f>
        <v>1460.60663265306</v>
      </c>
      <c r="F34" s="17" t="n">
        <f aca="false">SUMIF('Prelude Actuals Detail'!$D$5:$D$133,"Payroll",'Prelude Actuals Detail'!$N$5:$N$133)/$E$7</f>
        <v>1436.35671428571</v>
      </c>
      <c r="G34" s="16" t="n">
        <f aca="false">E34-D34</f>
        <v>-336.316153061224</v>
      </c>
      <c r="H34" s="18" t="n">
        <f aca="false">IF(D34=0,"n/a",(E34-D34)/ABS(D34))</f>
        <v>-0.187162273045326</v>
      </c>
      <c r="I34" s="16" t="n">
        <f aca="false">C34-E34</f>
        <v>210.299256235828</v>
      </c>
      <c r="J34" s="19" t="n">
        <v>601526.12</v>
      </c>
      <c r="K34" s="19" t="n">
        <v>503138.38</v>
      </c>
      <c r="L34" s="17" t="n">
        <f aca="false">SUMIF('Prelude Actuals Detail'!$D$5:$D$133,"Payroll",'Prelude Actuals Detail'!$M$5:$M$133)</f>
        <v>408969.857142857</v>
      </c>
      <c r="M34" s="9" t="s">
        <v>64</v>
      </c>
    </row>
    <row r="35" customFormat="false" ht="15" hidden="false" customHeight="false" outlineLevel="0" collapsed="false">
      <c r="B35" s="6" t="s">
        <v>65</v>
      </c>
      <c r="C35" s="16" t="n">
        <f aca="false">J35/$C$7</f>
        <v>366.916888888889</v>
      </c>
      <c r="D35" s="16" t="n">
        <f aca="false">K35/$D$7</f>
        <v>347.142571428571</v>
      </c>
      <c r="E35" s="16" t="n">
        <f aca="false">L35/$E$7</f>
        <v>364.500612244898</v>
      </c>
      <c r="F35" s="17" t="n">
        <f aca="false">SUMIF('Prelude Actuals Detail'!$D$5:$D$133,"Advertising",'Prelude Actuals Detail'!$N$5:$N$133)/$E$7</f>
        <v>481.465</v>
      </c>
      <c r="G35" s="16" t="n">
        <f aca="false">E35-D35</f>
        <v>17.3580408163265</v>
      </c>
      <c r="H35" s="18" t="n">
        <f aca="false">IF(D35=0,"n/a",(E35-D35)/ABS(D35))</f>
        <v>0.0500026278681239</v>
      </c>
      <c r="I35" s="16" t="n">
        <f aca="false">C35-E35</f>
        <v>2.41627664399095</v>
      </c>
      <c r="J35" s="19" t="n">
        <v>132090.08</v>
      </c>
      <c r="K35" s="19" t="n">
        <v>97199.92</v>
      </c>
      <c r="L35" s="17" t="n">
        <f aca="false">SUMIF('Prelude Actuals Detail'!$D$5:$D$133,"Advertising",'Prelude Actuals Detail'!$M$5:$M$133)</f>
        <v>102060.171428571</v>
      </c>
      <c r="M35" s="9" t="s">
        <v>66</v>
      </c>
    </row>
    <row r="36" customFormat="false" ht="15" hidden="false" customHeight="false" outlineLevel="0" collapsed="false">
      <c r="B36" s="6" t="s">
        <v>67</v>
      </c>
      <c r="C36" s="16" t="n">
        <f aca="false">J36/$C$7</f>
        <v>349.137333333333</v>
      </c>
      <c r="D36" s="16" t="n">
        <f aca="false">K36/$D$7</f>
        <v>398.676178571429</v>
      </c>
      <c r="E36" s="16" t="n">
        <f aca="false">L36/$E$7</f>
        <v>421.149367346939</v>
      </c>
      <c r="F36" s="17" t="n">
        <f aca="false">SUMIF('Prelude Actuals Detail'!$D$5:$D$133,"GA",'Prelude Actuals Detail'!$N$5:$N$133)/$E$7</f>
        <v>405.269</v>
      </c>
      <c r="G36" s="16" t="n">
        <f aca="false">E36-D36</f>
        <v>22.4731887755102</v>
      </c>
      <c r="H36" s="18" t="n">
        <f aca="false">IF(D36=0,"n/a",(E36-D36)/ABS(D36))</f>
        <v>0.0563695299178348</v>
      </c>
      <c r="I36" s="16" t="n">
        <f aca="false">C36-E36</f>
        <v>-72.0120340136054</v>
      </c>
      <c r="J36" s="19" t="n">
        <v>125689.44</v>
      </c>
      <c r="K36" s="19" t="n">
        <v>111629.33</v>
      </c>
      <c r="L36" s="17" t="n">
        <f aca="false">SUMIF('Prelude Actuals Detail'!$D$5:$D$133,"GA",'Prelude Actuals Detail'!$M$5:$M$133)</f>
        <v>117921.822857143</v>
      </c>
    </row>
    <row r="37" customFormat="false" ht="15" hidden="false" customHeight="false" outlineLevel="0" collapsed="false">
      <c r="B37" s="6" t="s">
        <v>68</v>
      </c>
      <c r="C37" s="16" t="n">
        <f aca="false">J37/$C$7</f>
        <v>175</v>
      </c>
      <c r="D37" s="16" t="n">
        <f aca="false">K37/$D$7</f>
        <v>227.616464285714</v>
      </c>
      <c r="E37" s="16" t="n">
        <f aca="false">L37/$E$7</f>
        <v>141.521265306122</v>
      </c>
      <c r="F37" s="17" t="n">
        <f aca="false">SUMIF('Prelude Actuals Detail'!$D$5:$D$133,"Turnover",'Prelude Actuals Detail'!$N$5:$N$133)/$E$7</f>
        <v>180.296428571429</v>
      </c>
      <c r="G37" s="16" t="n">
        <f aca="false">E37-D37</f>
        <v>-86.0951989795919</v>
      </c>
      <c r="H37" s="18" t="n">
        <f aca="false">IF(D37=0,"n/a",(E37-D37)/ABS(D37))</f>
        <v>-0.37824679884106</v>
      </c>
      <c r="I37" s="16" t="n">
        <f aca="false">C37-E37</f>
        <v>33.4787346938776</v>
      </c>
      <c r="J37" s="19" t="n">
        <v>63000</v>
      </c>
      <c r="K37" s="19" t="n">
        <v>63732.61</v>
      </c>
      <c r="L37" s="17" t="n">
        <f aca="false">SUMIF('Prelude Actuals Detail'!$D$5:$D$133,"Turnover",'Prelude Actuals Detail'!$M$5:$M$133)</f>
        <v>39625.9542857143</v>
      </c>
      <c r="M37" s="9" t="s">
        <v>69</v>
      </c>
    </row>
    <row r="38" customFormat="false" ht="15" hidden="false" customHeight="false" outlineLevel="0" collapsed="false">
      <c r="B38" s="6" t="s">
        <v>70</v>
      </c>
      <c r="C38" s="16" t="n">
        <f aca="false">J38/$C$7</f>
        <v>175</v>
      </c>
      <c r="D38" s="16" t="n">
        <f aca="false">K38/$D$7</f>
        <v>157.069178571429</v>
      </c>
      <c r="E38" s="16" t="n">
        <f aca="false">L38/$E$7</f>
        <v>120.421285714286</v>
      </c>
      <c r="F38" s="17" t="n">
        <f aca="false">SUMIF('Prelude Actuals Detail'!$D$5:$D$133,"RM",'Prelude Actuals Detail'!$N$5:$N$133)/$E$7</f>
        <v>169.021428571429</v>
      </c>
      <c r="G38" s="16" t="n">
        <f aca="false">E38-D38</f>
        <v>-36.6478928571429</v>
      </c>
      <c r="H38" s="18" t="n">
        <f aca="false">IF(D38=0,"n/a",(E38-D38)/ABS(D38))</f>
        <v>-0.233323260428696</v>
      </c>
      <c r="I38" s="16" t="n">
        <f aca="false">C38-E38</f>
        <v>54.5787142857143</v>
      </c>
      <c r="J38" s="19" t="n">
        <v>63000</v>
      </c>
      <c r="K38" s="19" t="n">
        <v>43979.37</v>
      </c>
      <c r="L38" s="17" t="n">
        <f aca="false">SUMIF('Prelude Actuals Detail'!$D$5:$D$133,"RM",'Prelude Actuals Detail'!$M$5:$M$133)</f>
        <v>33717.96</v>
      </c>
    </row>
    <row r="39" customFormat="false" ht="15" hidden="false" customHeight="false" outlineLevel="0" collapsed="false">
      <c r="B39" s="6" t="s">
        <v>71</v>
      </c>
      <c r="C39" s="16" t="n">
        <f aca="false">J39/$C$7</f>
        <v>634.428805555556</v>
      </c>
      <c r="D39" s="16" t="n">
        <f aca="false">K39/$D$7</f>
        <v>715.691357142857</v>
      </c>
      <c r="E39" s="16" t="n">
        <f aca="false">L39/$E$7</f>
        <v>710.191653061225</v>
      </c>
      <c r="F39" s="17" t="n">
        <f aca="false">SUMIF('Prelude Actuals Detail'!$D$5:$D$133,"Contracts",'Prelude Actuals Detail'!$N$5:$N$133)/$E$7</f>
        <v>830.360857142857</v>
      </c>
      <c r="G39" s="16" t="n">
        <f aca="false">E39-D39</f>
        <v>-5.49970408163256</v>
      </c>
      <c r="H39" s="18" t="n">
        <f aca="false">IF(D39=0,"n/a",(E39-D39)/ABS(D39))</f>
        <v>-0.00768446345864531</v>
      </c>
      <c r="I39" s="16" t="n">
        <f aca="false">C39-E39</f>
        <v>-75.762847505669</v>
      </c>
      <c r="J39" s="19" t="n">
        <v>228394.37</v>
      </c>
      <c r="K39" s="19" t="n">
        <v>200393.58</v>
      </c>
      <c r="L39" s="17" t="n">
        <f aca="false">SUMIF('Prelude Actuals Detail'!$D$5:$D$133,"Contracts",'Prelude Actuals Detail'!$M$5:$M$133)</f>
        <v>198853.662857143</v>
      </c>
    </row>
    <row r="40" customFormat="false" ht="15" hidden="false" customHeight="false" outlineLevel="0" collapsed="false">
      <c r="B40" s="6" t="s">
        <v>72</v>
      </c>
      <c r="C40" s="16" t="n">
        <f aca="false">J40/$C$7</f>
        <v>759.587166666667</v>
      </c>
      <c r="D40" s="16" t="n">
        <f aca="false">K40/$D$7</f>
        <v>552.288571428571</v>
      </c>
      <c r="E40" s="16" t="n">
        <f aca="false">L40/$E$7</f>
        <v>583.974551020408</v>
      </c>
      <c r="F40" s="17" t="n">
        <f aca="false">SUMIF('Prelude Actuals Detail'!$D$5:$D$133,"Utilities",'Prelude Actuals Detail'!$N$5:$N$133)/$E$7</f>
        <v>600.390714285714</v>
      </c>
      <c r="G40" s="16" t="n">
        <f aca="false">E40-D40</f>
        <v>31.6859795918367</v>
      </c>
      <c r="H40" s="18" t="n">
        <f aca="false">IF(D40=0,"n/a",(E40-D40)/ABS(D40))</f>
        <v>0.0573721442576233</v>
      </c>
      <c r="I40" s="16" t="n">
        <f aca="false">C40-E40</f>
        <v>175.612615646259</v>
      </c>
      <c r="J40" s="19" t="n">
        <v>273451.38</v>
      </c>
      <c r="K40" s="19" t="n">
        <v>154640.8</v>
      </c>
      <c r="L40" s="17" t="n">
        <f aca="false">SUMIF('Prelude Actuals Detail'!$D$5:$D$133,"Utilities",'Prelude Actuals Detail'!$M$5:$M$133)</f>
        <v>163512.874285714</v>
      </c>
      <c r="M40" s="9" t="s">
        <v>73</v>
      </c>
    </row>
    <row r="41" customFormat="false" ht="15" hidden="false" customHeight="false" outlineLevel="0" collapsed="false">
      <c r="B41" s="6" t="s">
        <v>74</v>
      </c>
      <c r="C41" s="16" t="n">
        <f aca="false">J41/$C$7</f>
        <v>581.92</v>
      </c>
      <c r="D41" s="16" t="n">
        <f aca="false">K41/$D$7</f>
        <v>521.563357142857</v>
      </c>
      <c r="E41" s="16" t="n">
        <f aca="false">L41/$E$7</f>
        <v>475.315897959184</v>
      </c>
      <c r="F41" s="17" t="n">
        <f aca="false">SUMIF('Prelude Actuals Detail'!$D$5:$D$133,"MgmtFee",'Prelude Actuals Detail'!$N$5:$N$133)/$E$7</f>
        <v>470.182142857143</v>
      </c>
      <c r="G41" s="16" t="n">
        <f aca="false">E41-D41</f>
        <v>-46.2474591836734</v>
      </c>
      <c r="H41" s="18" t="n">
        <f aca="false">IF(D41=0,"n/a",(E41-D41)/ABS(D41))</f>
        <v>-0.0886708365346421</v>
      </c>
      <c r="I41" s="16" t="n">
        <f aca="false">C41-E41</f>
        <v>106.604102040816</v>
      </c>
      <c r="J41" s="19" t="n">
        <v>209491.2</v>
      </c>
      <c r="K41" s="19" t="n">
        <v>146037.74</v>
      </c>
      <c r="L41" s="17" t="n">
        <f aca="false">SUMIF('Prelude Actuals Detail'!$D$5:$D$133,"MgmtFee",'Prelude Actuals Detail'!$M$5:$M$133)</f>
        <v>133088.451428571</v>
      </c>
      <c r="M41" s="9" t="s">
        <v>75</v>
      </c>
    </row>
    <row r="42" customFormat="false" ht="15" hidden="false" customHeight="false" outlineLevel="0" collapsed="false">
      <c r="B42" s="20" t="s">
        <v>76</v>
      </c>
      <c r="C42" s="21" t="n">
        <f aca="false">J42/$C$7</f>
        <v>4712.89608333333</v>
      </c>
      <c r="D42" s="21" t="n">
        <f aca="false">K42/$D$7</f>
        <v>4716.97046428571</v>
      </c>
      <c r="E42" s="21" t="n">
        <f aca="false">L42/$E$7</f>
        <v>4277.68126530612</v>
      </c>
      <c r="F42" s="21" t="n">
        <f aca="false">SUM(F34:F41)</f>
        <v>4573.34228571429</v>
      </c>
      <c r="G42" s="21" t="n">
        <f aca="false">E42-D42</f>
        <v>-439.289198979592</v>
      </c>
      <c r="H42" s="22" t="n">
        <f aca="false">IF(D42=0,"n/a",(E42-D42)/ABS(D42))</f>
        <v>-0.0931295208027368</v>
      </c>
      <c r="I42" s="21" t="n">
        <f aca="false">C42-E42</f>
        <v>435.214818027212</v>
      </c>
      <c r="J42" s="21" t="n">
        <f aca="false">SUM(J34:J41)</f>
        <v>1696642.59</v>
      </c>
      <c r="K42" s="21" t="n">
        <f aca="false">SUM(K34:K41)</f>
        <v>1320751.73</v>
      </c>
      <c r="L42" s="21" t="n">
        <f aca="false">SUM(L34:L41)</f>
        <v>1197750.75428571</v>
      </c>
    </row>
    <row r="43" customFormat="false" ht="15" hidden="false" customHeight="false" outlineLevel="0" collapsed="false">
      <c r="B43" s="6" t="s">
        <v>77</v>
      </c>
      <c r="C43" s="16" t="n">
        <f aca="false">J43/$C$7</f>
        <v>525</v>
      </c>
      <c r="D43" s="16" t="n">
        <f aca="false">K43/$D$7</f>
        <v>620</v>
      </c>
      <c r="E43" s="16" t="n">
        <f aca="false">L43/$E$7</f>
        <v>550.713979591837</v>
      </c>
      <c r="F43" s="17" t="n">
        <f aca="false">SUMIF('Prelude Actuals Detail'!$D$5:$D$133,"Insurance",'Prelude Actuals Detail'!$N$5:$N$133)/$E$7</f>
        <v>481.458714285714</v>
      </c>
      <c r="G43" s="16" t="n">
        <f aca="false">E43-D43</f>
        <v>-69.2860204081632</v>
      </c>
      <c r="H43" s="18" t="n">
        <f aca="false">IF(D43=0,"n/a",(E43-D43)/ABS(D43))</f>
        <v>-0.111751645819618</v>
      </c>
      <c r="I43" s="16" t="n">
        <f aca="false">C43-E43</f>
        <v>-25.7139795918368</v>
      </c>
      <c r="J43" s="19" t="n">
        <v>189000</v>
      </c>
      <c r="K43" s="19" t="n">
        <v>173600</v>
      </c>
      <c r="L43" s="17" t="n">
        <f aca="false">SUMIF('Prelude Actuals Detail'!$D$5:$D$133,"Insurance",'Prelude Actuals Detail'!$M$5:$M$133)</f>
        <v>154199.914285714</v>
      </c>
      <c r="M43" s="9" t="s">
        <v>78</v>
      </c>
    </row>
    <row r="44" customFormat="false" ht="19.4" hidden="false" customHeight="false" outlineLevel="0" collapsed="false">
      <c r="B44" s="6" t="s">
        <v>79</v>
      </c>
      <c r="C44" s="16" t="n">
        <f aca="false">J44/$C$7</f>
        <v>1344.79847222222</v>
      </c>
      <c r="D44" s="16" t="n">
        <f aca="false">K44/$D$7</f>
        <v>1190.94832142857</v>
      </c>
      <c r="E44" s="16" t="n">
        <f aca="false">L44/$E$7</f>
        <v>1190.94973469388</v>
      </c>
      <c r="F44" s="17" t="n">
        <f aca="false">SUMIF('Prelude Actuals Detail'!$D$5:$D$133,"RETaxes",'Prelude Actuals Detail'!$N$5:$N$133)/$E$7</f>
        <v>1190.94957142857</v>
      </c>
      <c r="G44" s="16" t="n">
        <f aca="false">E44-D44</f>
        <v>0.00141326530615515</v>
      </c>
      <c r="H44" s="18" t="n">
        <f aca="false">IF(D44=0,"n/a",(E44-D44)/ABS(D44))</f>
        <v>1.18667223482872E-006</v>
      </c>
      <c r="I44" s="16" t="n">
        <f aca="false">C44-E44</f>
        <v>153.848737528345</v>
      </c>
      <c r="J44" s="19" t="n">
        <v>484127.45</v>
      </c>
      <c r="K44" s="19" t="n">
        <v>333465.53</v>
      </c>
      <c r="L44" s="17" t="n">
        <f aca="false">SUMIF('Prelude Actuals Detail'!$D$5:$D$133,"RETaxes",'Prelude Actuals Detail'!$M$5:$M$133)</f>
        <v>333465.925714286</v>
      </c>
      <c r="M44" s="9" t="s">
        <v>80</v>
      </c>
    </row>
    <row r="45" customFormat="false" ht="15" hidden="false" customHeight="false" outlineLevel="0" collapsed="false">
      <c r="B45" s="20" t="s">
        <v>81</v>
      </c>
      <c r="C45" s="21" t="n">
        <f aca="false">J45/$C$7</f>
        <v>1869.79847222222</v>
      </c>
      <c r="D45" s="21" t="n">
        <f aca="false">K45/$D$7</f>
        <v>1810.94832142857</v>
      </c>
      <c r="E45" s="21" t="n">
        <f aca="false">L45/$E$7</f>
        <v>1741.66371428571</v>
      </c>
      <c r="F45" s="21" t="n">
        <f aca="false">F43+F44</f>
        <v>1672.40828571429</v>
      </c>
      <c r="G45" s="21" t="n">
        <f aca="false">E45-D45</f>
        <v>-69.2846071428569</v>
      </c>
      <c r="H45" s="22" t="n">
        <f aca="false">IF(D45=0,"n/a",(E45-D45)/ABS(D45))</f>
        <v>-0.0382587434014691</v>
      </c>
      <c r="I45" s="21" t="n">
        <f aca="false">C45-E45</f>
        <v>128.134757936507</v>
      </c>
      <c r="J45" s="21" t="n">
        <f aca="false">J43+J44</f>
        <v>673127.45</v>
      </c>
      <c r="K45" s="21" t="n">
        <f aca="false">K43+K44</f>
        <v>507065.53</v>
      </c>
      <c r="L45" s="21" t="n">
        <f aca="false">L43+L44</f>
        <v>487665.84</v>
      </c>
    </row>
    <row r="46" customFormat="false" ht="15" hidden="false" customHeight="false" outlineLevel="0" collapsed="false">
      <c r="B46" s="23" t="s">
        <v>82</v>
      </c>
      <c r="C46" s="24" t="n">
        <f aca="false">J46/$C$7</f>
        <v>6582.69455555556</v>
      </c>
      <c r="D46" s="24" t="n">
        <f aca="false">K46/$D$7</f>
        <v>6527.91878571429</v>
      </c>
      <c r="E46" s="24" t="n">
        <f aca="false">L46/$E$7</f>
        <v>6019.34497959184</v>
      </c>
      <c r="F46" s="24" t="n">
        <f aca="false">F42+F45</f>
        <v>6245.75057142857</v>
      </c>
      <c r="G46" s="24" t="n">
        <f aca="false">E46-D46</f>
        <v>-508.573806122448</v>
      </c>
      <c r="H46" s="25" t="n">
        <f aca="false">IF(D46=0,"n/a",(E46-D46)/ABS(D46))</f>
        <v>-0.0779074959136153</v>
      </c>
      <c r="I46" s="24" t="n">
        <f aca="false">C46-E46</f>
        <v>563.349575963718</v>
      </c>
      <c r="J46" s="24" t="n">
        <f aca="false">J42+J45</f>
        <v>2369770.04</v>
      </c>
      <c r="K46" s="24" t="n">
        <f aca="false">K42+K45</f>
        <v>1827817.26</v>
      </c>
      <c r="L46" s="24" t="n">
        <f aca="false">L42+L45</f>
        <v>1685416.59428571</v>
      </c>
      <c r="M46" s="26"/>
    </row>
    <row r="47" customFormat="false" ht="19.4" hidden="false" customHeight="false" outlineLevel="0" collapsed="false">
      <c r="B47" s="27" t="s">
        <v>83</v>
      </c>
      <c r="C47" s="28" t="n">
        <f aca="false">J47/$C$7</f>
        <v>16694.1052777778</v>
      </c>
      <c r="D47" s="28" t="n">
        <f aca="false">K47/$D$7</f>
        <v>14334.6153571429</v>
      </c>
      <c r="E47" s="28" t="n">
        <f aca="false">L47/$E$7</f>
        <v>13725.9400408163</v>
      </c>
      <c r="F47" s="28" t="n">
        <f aca="false">F32-F46</f>
        <v>13771.7068571429</v>
      </c>
      <c r="G47" s="28" t="n">
        <f aca="false">E47-D47</f>
        <v>-608.675316326533</v>
      </c>
      <c r="H47" s="29" t="n">
        <f aca="false">IF(D47=0,"n/a",(E47-D47)/ABS(D47))</f>
        <v>-0.0424619217998921</v>
      </c>
      <c r="I47" s="28" t="n">
        <f aca="false">C47-E47</f>
        <v>2968.16523696145</v>
      </c>
      <c r="J47" s="28" t="n">
        <f aca="false">J32-J46</f>
        <v>6009877.9</v>
      </c>
      <c r="K47" s="28" t="n">
        <f aca="false">K32-K46</f>
        <v>4013692.3</v>
      </c>
      <c r="L47" s="28" t="n">
        <f aca="false">L32-L46</f>
        <v>3843263.21142857</v>
      </c>
      <c r="M47" s="30" t="s">
        <v>84</v>
      </c>
    </row>
    <row r="48" customFormat="false" ht="15" hidden="false" customHeight="false" outlineLevel="0" collapsed="false">
      <c r="B48" s="4" t="s">
        <v>85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customFormat="false" ht="15" hidden="false" customHeight="false" outlineLevel="0" collapsed="false">
      <c r="B49" s="6" t="s">
        <v>86</v>
      </c>
      <c r="C49" s="18" t="n">
        <f aca="false">C26/C21</f>
        <v>0.929722222582698</v>
      </c>
      <c r="D49" s="18" t="n">
        <f aca="false">D26/D21</f>
        <v>0.8956745467135</v>
      </c>
      <c r="E49" s="18" t="n">
        <f aca="false">E26/E21</f>
        <v>0.865530870432088</v>
      </c>
      <c r="F49" s="18" t="n">
        <f aca="false">F26/F21</f>
        <v>0.880801084597623</v>
      </c>
      <c r="M49" s="9" t="s">
        <v>87</v>
      </c>
    </row>
    <row r="50" customFormat="false" ht="15" hidden="false" customHeight="false" outlineLevel="0" collapsed="false">
      <c r="B50" s="6" t="s">
        <v>88</v>
      </c>
      <c r="C50" s="18" t="n">
        <f aca="false">C46/C32</f>
        <v>0.282800668592289</v>
      </c>
      <c r="D50" s="18" t="n">
        <f aca="false">D46/D32</f>
        <v>0.312901526775897</v>
      </c>
      <c r="E50" s="18" t="n">
        <f aca="false">E46/E32</f>
        <v>0.304849738728533</v>
      </c>
      <c r="F50" s="18" t="n">
        <f aca="false">F46/F32</f>
        <v>0.312015179436018</v>
      </c>
    </row>
    <row r="51" customFormat="false" ht="15" hidden="false" customHeight="false" outlineLevel="0" collapsed="false">
      <c r="B51" s="6" t="s">
        <v>89</v>
      </c>
      <c r="C51" s="18" t="n">
        <f aca="false">C47/C32</f>
        <v>0.717199331407711</v>
      </c>
      <c r="D51" s="18" t="n">
        <f aca="false">D47/D32</f>
        <v>0.687098473224103</v>
      </c>
      <c r="E51" s="18" t="n">
        <f aca="false">E47/E32</f>
        <v>0.695150261271467</v>
      </c>
      <c r="F51" s="18" t="n">
        <f aca="false">F47/F32</f>
        <v>0.687984820563982</v>
      </c>
    </row>
    <row r="52" customFormat="false" ht="15" hidden="false" customHeight="false" outlineLevel="0" collapsed="false">
      <c r="B52" s="6" t="s">
        <v>90</v>
      </c>
      <c r="C52" s="19" t="n">
        <v>250</v>
      </c>
      <c r="D52" s="19" t="n">
        <v>250</v>
      </c>
      <c r="M52" s="31" t="s">
        <v>91</v>
      </c>
    </row>
    <row r="53" customFormat="false" ht="15" hidden="false" customHeight="false" outlineLevel="0" collapsed="false">
      <c r="B53" s="6" t="s">
        <v>92</v>
      </c>
      <c r="J53" s="16" t="n">
        <f aca="false">J47-C52*C7</f>
        <v>5919877.9</v>
      </c>
      <c r="K53" s="16" t="n">
        <f aca="false">K47-D52*D7</f>
        <v>3943692.3</v>
      </c>
    </row>
    <row r="54" customFormat="false" ht="19.4" hidden="false" customHeight="false" outlineLevel="0" collapsed="false">
      <c r="B54" s="6" t="s">
        <v>93</v>
      </c>
      <c r="C54" s="32" t="n">
        <f aca="false">J53/C12</f>
        <v>0.0499567755274262</v>
      </c>
      <c r="D54" s="32" t="n">
        <f aca="false">K53/D12</f>
        <v>0.0494506871473354</v>
      </c>
      <c r="E54" s="32" t="n">
        <f aca="false">(L47-250*E7)/E12</f>
        <v>0.0473136452843708</v>
      </c>
      <c r="M54" s="9" t="s">
        <v>94</v>
      </c>
    </row>
    <row r="56" customFormat="false" ht="15" hidden="false" customHeight="true" outlineLevel="0" collapsed="false">
      <c r="B56" s="33" t="s">
        <v>95</v>
      </c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</row>
    <row r="57" customFormat="false" ht="15" hidden="false" customHeight="false" outlineLevel="0" collapsed="false"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</row>
    <row r="58" customFormat="false" ht="15" hidden="false" customHeight="false" outlineLevel="0" collapsed="false"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</row>
    <row r="59" customFormat="false" ht="15" hidden="false" customHeight="false" outlineLevel="0" collapsed="false"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</row>
  </sheetData>
  <mergeCells count="3">
    <mergeCell ref="B1:M1"/>
    <mergeCell ref="B2:M2"/>
    <mergeCell ref="B56:M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1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11" min="5" style="0" width="10.5"/>
    <col collapsed="false" customWidth="true" hidden="false" outlineLevel="0" max="14" min="12" style="0" width="13"/>
  </cols>
  <sheetData>
    <row r="1" customFormat="false" ht="15" hidden="false" customHeight="false" outlineLevel="0" collapsed="false">
      <c r="B1" s="34" t="s">
        <v>96</v>
      </c>
    </row>
    <row r="2" customFormat="false" ht="15" hidden="false" customHeight="false" outlineLevel="0" collapsed="false">
      <c r="B2" s="35" t="s">
        <v>97</v>
      </c>
    </row>
    <row r="4" customFormat="false" ht="22.35" hidden="false" customHeight="false" outlineLevel="0" collapsed="false">
      <c r="B4" s="36" t="s">
        <v>98</v>
      </c>
      <c r="C4" s="36" t="s">
        <v>99</v>
      </c>
      <c r="D4" s="36" t="s">
        <v>100</v>
      </c>
      <c r="E4" s="36" t="s">
        <v>101</v>
      </c>
      <c r="F4" s="36" t="s">
        <v>102</v>
      </c>
      <c r="G4" s="36" t="s">
        <v>103</v>
      </c>
      <c r="H4" s="36" t="s">
        <v>104</v>
      </c>
      <c r="I4" s="36" t="s">
        <v>105</v>
      </c>
      <c r="J4" s="36" t="s">
        <v>106</v>
      </c>
      <c r="K4" s="36" t="s">
        <v>107</v>
      </c>
      <c r="L4" s="36" t="s">
        <v>108</v>
      </c>
      <c r="M4" s="36" t="s">
        <v>109</v>
      </c>
      <c r="N4" s="36" t="s">
        <v>110</v>
      </c>
    </row>
    <row r="5" customFormat="false" ht="15" hidden="false" customHeight="false" outlineLevel="0" collapsed="false">
      <c r="B5" s="11" t="s">
        <v>111</v>
      </c>
      <c r="C5" s="6" t="s">
        <v>112</v>
      </c>
      <c r="D5" s="11" t="s">
        <v>113</v>
      </c>
      <c r="E5" s="19" t="n">
        <v>482580</v>
      </c>
      <c r="F5" s="19" t="n">
        <v>482580</v>
      </c>
      <c r="G5" s="19" t="n">
        <v>482580</v>
      </c>
      <c r="H5" s="19" t="n">
        <v>482580</v>
      </c>
      <c r="I5" s="19" t="n">
        <v>482580</v>
      </c>
      <c r="J5" s="19" t="n">
        <v>482580</v>
      </c>
      <c r="K5" s="19" t="n">
        <v>482580</v>
      </c>
      <c r="L5" s="16" t="n">
        <f aca="false">SUM(E5:K5)</f>
        <v>3378060</v>
      </c>
      <c r="M5" s="16" t="n">
        <f aca="false">L5*12/7</f>
        <v>5790960</v>
      </c>
      <c r="N5" s="16" t="n">
        <f aca="false">SUM(I5:K5)*4</f>
        <v>5790960</v>
      </c>
    </row>
    <row r="6" customFormat="false" ht="15" hidden="false" customHeight="false" outlineLevel="0" collapsed="false">
      <c r="B6" s="11" t="s">
        <v>114</v>
      </c>
      <c r="C6" s="6" t="s">
        <v>115</v>
      </c>
      <c r="D6" s="11" t="s">
        <v>116</v>
      </c>
      <c r="E6" s="19" t="n">
        <v>-15414</v>
      </c>
      <c r="F6" s="19" t="n">
        <v>-15099</v>
      </c>
      <c r="G6" s="19" t="n">
        <v>-14336</v>
      </c>
      <c r="H6" s="19" t="n">
        <v>-13696</v>
      </c>
      <c r="I6" s="19" t="n">
        <v>-13623</v>
      </c>
      <c r="J6" s="19" t="n">
        <v>-11561</v>
      </c>
      <c r="K6" s="19" t="n">
        <v>-11157</v>
      </c>
      <c r="L6" s="16" t="n">
        <f aca="false">SUM(E6:K6)</f>
        <v>-94886</v>
      </c>
      <c r="M6" s="16" t="n">
        <f aca="false">L6*12/7</f>
        <v>-162661.714285714</v>
      </c>
      <c r="N6" s="16" t="n">
        <f aca="false">SUM(I6:K6)*4</f>
        <v>-145364</v>
      </c>
    </row>
    <row r="7" customFormat="false" ht="15" hidden="false" customHeight="false" outlineLevel="0" collapsed="false">
      <c r="B7" s="11" t="s">
        <v>117</v>
      </c>
      <c r="C7" s="6" t="s">
        <v>118</v>
      </c>
      <c r="D7" s="11" t="s">
        <v>49</v>
      </c>
      <c r="E7" s="19" t="n">
        <v>-2154.11</v>
      </c>
      <c r="F7" s="19" t="n">
        <v>-5842.14</v>
      </c>
      <c r="G7" s="19" t="n">
        <v>-16444.5</v>
      </c>
      <c r="H7" s="19" t="n">
        <v>-34604.2</v>
      </c>
      <c r="I7" s="19" t="n">
        <v>-46159.45</v>
      </c>
      <c r="J7" s="19" t="n">
        <v>-15665.45</v>
      </c>
      <c r="K7" s="19" t="n">
        <v>-18939.2</v>
      </c>
      <c r="L7" s="16" t="n">
        <f aca="false">SUM(E7:K7)</f>
        <v>-139809.05</v>
      </c>
      <c r="M7" s="16" t="n">
        <f aca="false">L7*12/7</f>
        <v>-239672.657142857</v>
      </c>
      <c r="N7" s="16" t="n">
        <f aca="false">SUM(I7:K7)*4</f>
        <v>-323056.4</v>
      </c>
    </row>
    <row r="8" customFormat="false" ht="15" hidden="false" customHeight="false" outlineLevel="0" collapsed="false">
      <c r="B8" s="11" t="s">
        <v>119</v>
      </c>
      <c r="C8" s="6" t="s">
        <v>120</v>
      </c>
      <c r="D8" s="11" t="s">
        <v>49</v>
      </c>
      <c r="E8" s="19" t="n">
        <v>0</v>
      </c>
      <c r="F8" s="19" t="n">
        <v>-3000</v>
      </c>
      <c r="G8" s="19" t="n">
        <v>3000</v>
      </c>
      <c r="H8" s="19" t="n">
        <v>0</v>
      </c>
      <c r="I8" s="19" t="n">
        <v>0</v>
      </c>
      <c r="J8" s="19" t="n">
        <v>0</v>
      </c>
      <c r="K8" s="19" t="n">
        <v>0</v>
      </c>
      <c r="L8" s="16" t="n">
        <f aca="false">SUM(E8:K8)</f>
        <v>0</v>
      </c>
      <c r="M8" s="16" t="n">
        <f aca="false">L8*12/7</f>
        <v>0</v>
      </c>
      <c r="N8" s="16" t="n">
        <f aca="false">SUM(I8:K8)*4</f>
        <v>0</v>
      </c>
    </row>
    <row r="9" customFormat="false" ht="15" hidden="false" customHeight="false" outlineLevel="0" collapsed="false">
      <c r="B9" s="11" t="s">
        <v>121</v>
      </c>
      <c r="C9" s="6" t="s">
        <v>122</v>
      </c>
      <c r="D9" s="11" t="s">
        <v>44</v>
      </c>
      <c r="E9" s="19" t="n">
        <v>-44866.61</v>
      </c>
      <c r="F9" s="19" t="n">
        <v>-57387.96</v>
      </c>
      <c r="G9" s="19" t="n">
        <v>-57935.52</v>
      </c>
      <c r="H9" s="19" t="n">
        <v>-51418.5</v>
      </c>
      <c r="I9" s="19" t="n">
        <v>-27505.94</v>
      </c>
      <c r="J9" s="19" t="n">
        <v>-35839.09</v>
      </c>
      <c r="K9" s="19" t="n">
        <v>-22770.62</v>
      </c>
      <c r="L9" s="16" t="n">
        <f aca="false">SUM(E9:K9)</f>
        <v>-297724.24</v>
      </c>
      <c r="M9" s="16" t="n">
        <f aca="false">L9*12/7</f>
        <v>-510384.411428571</v>
      </c>
      <c r="N9" s="16" t="n">
        <f aca="false">SUM(I9:K9)*4</f>
        <v>-344462.6</v>
      </c>
    </row>
    <row r="10" customFormat="false" ht="15" hidden="false" customHeight="false" outlineLevel="0" collapsed="false">
      <c r="B10" s="11" t="s">
        <v>123</v>
      </c>
      <c r="C10" s="6" t="s">
        <v>124</v>
      </c>
      <c r="D10" s="11" t="s">
        <v>125</v>
      </c>
      <c r="E10" s="19" t="n">
        <v>-1072.06</v>
      </c>
      <c r="F10" s="19" t="n">
        <v>-363.94</v>
      </c>
      <c r="G10" s="19" t="n">
        <v>-718</v>
      </c>
      <c r="H10" s="19" t="n">
        <v>-718</v>
      </c>
      <c r="I10" s="19" t="n">
        <v>-718</v>
      </c>
      <c r="J10" s="19" t="n">
        <v>-718</v>
      </c>
      <c r="K10" s="19" t="n">
        <v>-718</v>
      </c>
      <c r="L10" s="16" t="n">
        <f aca="false">SUM(E10:K10)</f>
        <v>-5026</v>
      </c>
      <c r="M10" s="16" t="n">
        <f aca="false">L10*12/7</f>
        <v>-8616</v>
      </c>
      <c r="N10" s="16" t="n">
        <f aca="false">SUM(I10:K10)*4</f>
        <v>-8616</v>
      </c>
    </row>
    <row r="11" customFormat="false" ht="15" hidden="false" customHeight="false" outlineLevel="0" collapsed="false">
      <c r="B11" s="11" t="s">
        <v>126</v>
      </c>
      <c r="C11" s="6" t="s">
        <v>127</v>
      </c>
      <c r="D11" s="11" t="s">
        <v>128</v>
      </c>
      <c r="E11" s="19" t="n">
        <v>0</v>
      </c>
      <c r="F11" s="19" t="n">
        <v>0</v>
      </c>
      <c r="G11" s="19" t="n">
        <v>277.22</v>
      </c>
      <c r="H11" s="19" t="n">
        <v>0</v>
      </c>
      <c r="I11" s="19" t="n">
        <v>0</v>
      </c>
      <c r="J11" s="19" t="n">
        <v>-364.5</v>
      </c>
      <c r="K11" s="19" t="n">
        <v>0</v>
      </c>
      <c r="L11" s="16" t="n">
        <f aca="false">SUM(E11:K11)</f>
        <v>-87.28</v>
      </c>
      <c r="M11" s="16" t="n">
        <f aca="false">L11*12/7</f>
        <v>-149.622857142857</v>
      </c>
      <c r="N11" s="16" t="n">
        <f aca="false">SUM(I11:K11)*4</f>
        <v>-1458</v>
      </c>
    </row>
    <row r="12" customFormat="false" ht="15" hidden="false" customHeight="false" outlineLevel="0" collapsed="false">
      <c r="B12" s="11" t="s">
        <v>129</v>
      </c>
      <c r="C12" s="6" t="s">
        <v>130</v>
      </c>
      <c r="D12" s="11" t="s">
        <v>128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58.5</v>
      </c>
      <c r="K12" s="19" t="n">
        <v>1102.52</v>
      </c>
      <c r="L12" s="16" t="n">
        <f aca="false">SUM(E12:K12)</f>
        <v>1161.02</v>
      </c>
      <c r="M12" s="16" t="n">
        <f aca="false">L12*12/7</f>
        <v>1990.32</v>
      </c>
      <c r="N12" s="16" t="n">
        <f aca="false">SUM(I12:K12)*4</f>
        <v>4644.08</v>
      </c>
    </row>
    <row r="13" customFormat="false" ht="15" hidden="false" customHeight="false" outlineLevel="0" collapsed="false">
      <c r="B13" s="11" t="s">
        <v>131</v>
      </c>
      <c r="C13" s="6" t="s">
        <v>132</v>
      </c>
      <c r="D13" s="11" t="s">
        <v>133</v>
      </c>
      <c r="E13" s="19" t="n">
        <v>200</v>
      </c>
      <c r="F13" s="19" t="n">
        <v>1200</v>
      </c>
      <c r="G13" s="19" t="n">
        <v>3000</v>
      </c>
      <c r="H13" s="19" t="n">
        <v>6800</v>
      </c>
      <c r="I13" s="19" t="n">
        <v>2140</v>
      </c>
      <c r="J13" s="19" t="n">
        <v>4200</v>
      </c>
      <c r="K13" s="19" t="n">
        <v>1800</v>
      </c>
      <c r="L13" s="16" t="n">
        <f aca="false">SUM(E13:K13)</f>
        <v>19340</v>
      </c>
      <c r="M13" s="16" t="n">
        <f aca="false">L13*12/7</f>
        <v>33154.2857142857</v>
      </c>
      <c r="N13" s="16" t="n">
        <f aca="false">SUM(I13:K13)*4</f>
        <v>32560</v>
      </c>
    </row>
    <row r="14" customFormat="false" ht="15" hidden="false" customHeight="false" outlineLevel="0" collapsed="false">
      <c r="B14" s="11" t="s">
        <v>134</v>
      </c>
      <c r="C14" s="6" t="s">
        <v>135</v>
      </c>
      <c r="D14" s="11" t="s">
        <v>133</v>
      </c>
      <c r="E14" s="19" t="n">
        <v>3893.87</v>
      </c>
      <c r="F14" s="19" t="n">
        <v>3800.37</v>
      </c>
      <c r="G14" s="19" t="n">
        <v>4004.51</v>
      </c>
      <c r="H14" s="19" t="n">
        <v>4489.98</v>
      </c>
      <c r="I14" s="19" t="n">
        <v>5077.56</v>
      </c>
      <c r="J14" s="19" t="n">
        <v>5331.48</v>
      </c>
      <c r="K14" s="19" t="n">
        <v>5453.49</v>
      </c>
      <c r="L14" s="16" t="n">
        <f aca="false">SUM(E14:K14)</f>
        <v>32051.26</v>
      </c>
      <c r="M14" s="16" t="n">
        <f aca="false">L14*12/7</f>
        <v>54945.0171428571</v>
      </c>
      <c r="N14" s="16" t="n">
        <f aca="false">SUM(I14:K14)*4</f>
        <v>63450.12</v>
      </c>
    </row>
    <row r="15" customFormat="false" ht="15" hidden="false" customHeight="false" outlineLevel="0" collapsed="false">
      <c r="B15" s="11" t="s">
        <v>136</v>
      </c>
      <c r="C15" s="6" t="s">
        <v>137</v>
      </c>
      <c r="D15" s="11" t="s">
        <v>133</v>
      </c>
      <c r="E15" s="19" t="n">
        <v>60</v>
      </c>
      <c r="F15" s="19" t="n">
        <v>420</v>
      </c>
      <c r="G15" s="19" t="n">
        <v>660</v>
      </c>
      <c r="H15" s="19" t="n">
        <v>1740</v>
      </c>
      <c r="I15" s="19" t="n">
        <v>660</v>
      </c>
      <c r="J15" s="19" t="n">
        <v>960</v>
      </c>
      <c r="K15" s="19" t="n">
        <v>420</v>
      </c>
      <c r="L15" s="16" t="n">
        <f aca="false">SUM(E15:K15)</f>
        <v>4920</v>
      </c>
      <c r="M15" s="16" t="n">
        <f aca="false">L15*12/7</f>
        <v>8434.28571428571</v>
      </c>
      <c r="N15" s="16" t="n">
        <f aca="false">SUM(I15:K15)*4</f>
        <v>8160</v>
      </c>
    </row>
    <row r="16" customFormat="false" ht="15" hidden="false" customHeight="false" outlineLevel="0" collapsed="false">
      <c r="B16" s="11" t="s">
        <v>138</v>
      </c>
      <c r="C16" s="6" t="s">
        <v>139</v>
      </c>
      <c r="D16" s="11" t="s">
        <v>140</v>
      </c>
      <c r="E16" s="19" t="n">
        <v>0</v>
      </c>
      <c r="F16" s="19" t="n">
        <v>0</v>
      </c>
      <c r="G16" s="19" t="n">
        <v>855.73</v>
      </c>
      <c r="H16" s="19" t="n">
        <v>0</v>
      </c>
      <c r="I16" s="19" t="n">
        <v>0</v>
      </c>
      <c r="J16" s="19" t="n">
        <v>0</v>
      </c>
      <c r="K16" s="19" t="n">
        <v>0</v>
      </c>
      <c r="L16" s="16" t="n">
        <f aca="false">SUM(E16:K16)</f>
        <v>855.73</v>
      </c>
      <c r="M16" s="16" t="n">
        <f aca="false">L16*12/7</f>
        <v>1466.96571428571</v>
      </c>
      <c r="N16" s="16" t="n">
        <f aca="false">SUM(I16:K16)*4</f>
        <v>0</v>
      </c>
    </row>
    <row r="17" customFormat="false" ht="15" hidden="false" customHeight="false" outlineLevel="0" collapsed="false">
      <c r="B17" s="11" t="s">
        <v>141</v>
      </c>
      <c r="C17" s="6" t="s">
        <v>142</v>
      </c>
      <c r="D17" s="11" t="s">
        <v>133</v>
      </c>
      <c r="E17" s="19" t="n">
        <v>125</v>
      </c>
      <c r="F17" s="19" t="n">
        <v>375</v>
      </c>
      <c r="G17" s="19" t="n">
        <v>125</v>
      </c>
      <c r="H17" s="19" t="n">
        <v>0</v>
      </c>
      <c r="I17" s="19" t="n">
        <v>0</v>
      </c>
      <c r="J17" s="19" t="n">
        <v>100</v>
      </c>
      <c r="K17" s="19" t="n">
        <v>0</v>
      </c>
      <c r="L17" s="16" t="n">
        <f aca="false">SUM(E17:K17)</f>
        <v>725</v>
      </c>
      <c r="M17" s="16" t="n">
        <f aca="false">L17*12/7</f>
        <v>1242.85714285714</v>
      </c>
      <c r="N17" s="16" t="n">
        <f aca="false">SUM(I17:K17)*4</f>
        <v>400</v>
      </c>
    </row>
    <row r="18" customFormat="false" ht="15" hidden="false" customHeight="false" outlineLevel="0" collapsed="false">
      <c r="B18" s="11" t="s">
        <v>143</v>
      </c>
      <c r="C18" s="6" t="s">
        <v>144</v>
      </c>
      <c r="D18" s="11" t="s">
        <v>133</v>
      </c>
      <c r="E18" s="19" t="n">
        <v>0</v>
      </c>
      <c r="F18" s="19" t="n">
        <v>950</v>
      </c>
      <c r="G18" s="19" t="n">
        <v>2821.77</v>
      </c>
      <c r="H18" s="19" t="n">
        <v>2575.36</v>
      </c>
      <c r="I18" s="19" t="n">
        <v>2959.19</v>
      </c>
      <c r="J18" s="19" t="n">
        <v>6275.45</v>
      </c>
      <c r="K18" s="19" t="n">
        <v>4475.51</v>
      </c>
      <c r="L18" s="16" t="n">
        <f aca="false">SUM(E18:K18)</f>
        <v>20057.28</v>
      </c>
      <c r="M18" s="16" t="n">
        <f aca="false">L18*12/7</f>
        <v>34383.9085714286</v>
      </c>
      <c r="N18" s="16" t="n">
        <f aca="false">SUM(I18:K18)*4</f>
        <v>54840.6</v>
      </c>
    </row>
    <row r="19" customFormat="false" ht="15" hidden="false" customHeight="false" outlineLevel="0" collapsed="false">
      <c r="B19" s="11" t="s">
        <v>145</v>
      </c>
      <c r="C19" s="6" t="s">
        <v>146</v>
      </c>
      <c r="D19" s="11" t="s">
        <v>133</v>
      </c>
      <c r="E19" s="19" t="n">
        <v>0</v>
      </c>
      <c r="F19" s="19" t="n">
        <v>-200</v>
      </c>
      <c r="G19" s="19" t="n">
        <v>0</v>
      </c>
      <c r="H19" s="19" t="n">
        <v>-200</v>
      </c>
      <c r="I19" s="19" t="n">
        <v>-200</v>
      </c>
      <c r="J19" s="19" t="n">
        <v>-1000</v>
      </c>
      <c r="K19" s="19" t="n">
        <v>-200</v>
      </c>
      <c r="L19" s="16" t="n">
        <f aca="false">SUM(E19:K19)</f>
        <v>-1800</v>
      </c>
      <c r="M19" s="16" t="n">
        <f aca="false">L19*12/7</f>
        <v>-3085.71428571429</v>
      </c>
      <c r="N19" s="16" t="n">
        <f aca="false">SUM(I19:K19)*4</f>
        <v>-5600</v>
      </c>
    </row>
    <row r="20" customFormat="false" ht="15" hidden="false" customHeight="false" outlineLevel="0" collapsed="false">
      <c r="B20" s="11" t="s">
        <v>147</v>
      </c>
      <c r="C20" s="6" t="s">
        <v>148</v>
      </c>
      <c r="D20" s="11" t="s">
        <v>133</v>
      </c>
      <c r="E20" s="19" t="n">
        <v>0</v>
      </c>
      <c r="F20" s="19" t="n">
        <v>0</v>
      </c>
      <c r="G20" s="19" t="n">
        <v>250</v>
      </c>
      <c r="H20" s="19" t="n">
        <v>0</v>
      </c>
      <c r="I20" s="19" t="n">
        <v>669.88</v>
      </c>
      <c r="J20" s="19" t="n">
        <v>330.12</v>
      </c>
      <c r="K20" s="19" t="n">
        <v>0</v>
      </c>
      <c r="L20" s="16" t="n">
        <f aca="false">SUM(E20:K20)</f>
        <v>1250</v>
      </c>
      <c r="M20" s="16" t="n">
        <f aca="false">L20*12/7</f>
        <v>2142.85714285714</v>
      </c>
      <c r="N20" s="16" t="n">
        <f aca="false">SUM(I20:K20)*4</f>
        <v>4000</v>
      </c>
    </row>
    <row r="21" customFormat="false" ht="15" hidden="false" customHeight="false" outlineLevel="0" collapsed="false">
      <c r="B21" s="11" t="s">
        <v>149</v>
      </c>
      <c r="C21" s="6" t="s">
        <v>150</v>
      </c>
      <c r="D21" s="11" t="s">
        <v>151</v>
      </c>
      <c r="E21" s="19" t="n">
        <v>14149.84</v>
      </c>
      <c r="F21" s="19" t="n">
        <v>13564.49</v>
      </c>
      <c r="G21" s="19" t="n">
        <v>9318.4</v>
      </c>
      <c r="H21" s="19" t="n">
        <v>13416.34</v>
      </c>
      <c r="I21" s="19" t="n">
        <v>13340.8</v>
      </c>
      <c r="J21" s="19" t="n">
        <v>12854.85</v>
      </c>
      <c r="K21" s="19" t="n">
        <v>13616.29</v>
      </c>
      <c r="L21" s="16" t="n">
        <f aca="false">SUM(E21:K21)</f>
        <v>90261.01</v>
      </c>
      <c r="M21" s="16" t="n">
        <f aca="false">L21*12/7</f>
        <v>154733.16</v>
      </c>
      <c r="N21" s="16" t="n">
        <f aca="false">SUM(I21:K21)*4</f>
        <v>159247.76</v>
      </c>
    </row>
    <row r="22" customFormat="false" ht="15" hidden="false" customHeight="false" outlineLevel="0" collapsed="false">
      <c r="B22" s="11" t="s">
        <v>152</v>
      </c>
      <c r="C22" s="6" t="s">
        <v>153</v>
      </c>
      <c r="D22" s="11" t="s">
        <v>133</v>
      </c>
      <c r="E22" s="19" t="n">
        <v>0</v>
      </c>
      <c r="F22" s="19" t="n">
        <v>1314.5</v>
      </c>
      <c r="G22" s="19" t="n">
        <v>-1314.5</v>
      </c>
      <c r="H22" s="19" t="n">
        <v>251.93</v>
      </c>
      <c r="I22" s="19" t="n">
        <v>0</v>
      </c>
      <c r="J22" s="19" t="n">
        <v>182.85</v>
      </c>
      <c r="K22" s="19" t="n">
        <v>726.52</v>
      </c>
      <c r="L22" s="16" t="n">
        <f aca="false">SUM(E22:K22)</f>
        <v>1161.3</v>
      </c>
      <c r="M22" s="16" t="n">
        <f aca="false">L22*12/7</f>
        <v>1990.8</v>
      </c>
      <c r="N22" s="16" t="n">
        <f aca="false">SUM(I22:K22)*4</f>
        <v>3637.48</v>
      </c>
    </row>
    <row r="23" customFormat="false" ht="15" hidden="false" customHeight="false" outlineLevel="0" collapsed="false">
      <c r="B23" s="11" t="s">
        <v>154</v>
      </c>
      <c r="C23" s="6" t="s">
        <v>155</v>
      </c>
      <c r="D23" s="11" t="s">
        <v>133</v>
      </c>
      <c r="E23" s="19" t="n">
        <v>24200</v>
      </c>
      <c r="F23" s="19" t="n">
        <v>-18575</v>
      </c>
      <c r="G23" s="19" t="n">
        <v>1050</v>
      </c>
      <c r="H23" s="19" t="n">
        <v>1300</v>
      </c>
      <c r="I23" s="19" t="n">
        <v>1900</v>
      </c>
      <c r="J23" s="19" t="n">
        <v>600</v>
      </c>
      <c r="K23" s="19" t="n">
        <v>2150</v>
      </c>
      <c r="L23" s="16" t="n">
        <f aca="false">SUM(E23:K23)</f>
        <v>12625</v>
      </c>
      <c r="M23" s="16" t="n">
        <f aca="false">L23*12/7</f>
        <v>21642.8571428571</v>
      </c>
      <c r="N23" s="16" t="n">
        <f aca="false">SUM(I23:K23)*4</f>
        <v>18600</v>
      </c>
    </row>
    <row r="24" customFormat="false" ht="15" hidden="false" customHeight="false" outlineLevel="0" collapsed="false">
      <c r="B24" s="11" t="s">
        <v>156</v>
      </c>
      <c r="C24" s="6" t="s">
        <v>157</v>
      </c>
      <c r="D24" s="11" t="s">
        <v>133</v>
      </c>
      <c r="E24" s="19" t="n">
        <v>0</v>
      </c>
      <c r="F24" s="19" t="n">
        <v>0</v>
      </c>
      <c r="G24" s="19" t="n">
        <v>351</v>
      </c>
      <c r="H24" s="19" t="n">
        <v>0</v>
      </c>
      <c r="I24" s="19" t="n">
        <v>2830</v>
      </c>
      <c r="J24" s="19" t="n">
        <v>1000</v>
      </c>
      <c r="K24" s="19" t="n">
        <v>3320</v>
      </c>
      <c r="L24" s="16" t="n">
        <f aca="false">SUM(E24:K24)</f>
        <v>7501</v>
      </c>
      <c r="M24" s="16" t="n">
        <f aca="false">L24*12/7</f>
        <v>12858.8571428571</v>
      </c>
      <c r="N24" s="16" t="n">
        <f aca="false">SUM(I24:K24)*4</f>
        <v>28600</v>
      </c>
    </row>
    <row r="25" customFormat="false" ht="15" hidden="false" customHeight="false" outlineLevel="0" collapsed="false">
      <c r="B25" s="11" t="s">
        <v>158</v>
      </c>
      <c r="C25" s="6" t="s">
        <v>159</v>
      </c>
      <c r="D25" s="11" t="s">
        <v>133</v>
      </c>
      <c r="E25" s="19" t="n">
        <v>0</v>
      </c>
      <c r="F25" s="19" t="n">
        <v>75</v>
      </c>
      <c r="G25" s="19" t="n">
        <v>50</v>
      </c>
      <c r="H25" s="19" t="n">
        <v>0</v>
      </c>
      <c r="I25" s="19" t="n">
        <v>110</v>
      </c>
      <c r="J25" s="19" t="n">
        <v>-50</v>
      </c>
      <c r="K25" s="19" t="n">
        <v>0</v>
      </c>
      <c r="L25" s="16" t="n">
        <f aca="false">SUM(E25:K25)</f>
        <v>185</v>
      </c>
      <c r="M25" s="16" t="n">
        <f aca="false">L25*12/7</f>
        <v>317.142857142857</v>
      </c>
      <c r="N25" s="16" t="n">
        <f aca="false">SUM(I25:K25)*4</f>
        <v>240</v>
      </c>
    </row>
    <row r="26" customFormat="false" ht="15" hidden="false" customHeight="false" outlineLevel="0" collapsed="false">
      <c r="B26" s="11" t="s">
        <v>160</v>
      </c>
      <c r="C26" s="6" t="s">
        <v>161</v>
      </c>
      <c r="D26" s="11" t="s">
        <v>133</v>
      </c>
      <c r="E26" s="19" t="n">
        <v>300</v>
      </c>
      <c r="F26" s="19" t="n">
        <v>300</v>
      </c>
      <c r="G26" s="19" t="n">
        <v>900</v>
      </c>
      <c r="H26" s="19" t="n">
        <v>1166.67</v>
      </c>
      <c r="I26" s="19" t="n">
        <v>1422.58</v>
      </c>
      <c r="J26" s="19" t="n">
        <v>633.87</v>
      </c>
      <c r="K26" s="19" t="n">
        <v>1100</v>
      </c>
      <c r="L26" s="16" t="n">
        <f aca="false">SUM(E26:K26)</f>
        <v>5823.12</v>
      </c>
      <c r="M26" s="16" t="n">
        <f aca="false">L26*12/7</f>
        <v>9982.49142857143</v>
      </c>
      <c r="N26" s="16" t="n">
        <f aca="false">SUM(I26:K26)*4</f>
        <v>12625.8</v>
      </c>
    </row>
    <row r="27" customFormat="false" ht="15" hidden="false" customHeight="false" outlineLevel="0" collapsed="false">
      <c r="B27" s="11" t="s">
        <v>162</v>
      </c>
      <c r="C27" s="6" t="s">
        <v>163</v>
      </c>
      <c r="D27" s="11" t="s">
        <v>133</v>
      </c>
      <c r="E27" s="19" t="n">
        <v>0</v>
      </c>
      <c r="F27" s="19" t="n">
        <v>70</v>
      </c>
      <c r="G27" s="19" t="n">
        <v>70</v>
      </c>
      <c r="H27" s="19" t="n">
        <v>35</v>
      </c>
      <c r="I27" s="19" t="n">
        <v>35</v>
      </c>
      <c r="J27" s="19" t="n">
        <v>70</v>
      </c>
      <c r="K27" s="19" t="n">
        <v>70</v>
      </c>
      <c r="L27" s="16" t="n">
        <f aca="false">SUM(E27:K27)</f>
        <v>350</v>
      </c>
      <c r="M27" s="16" t="n">
        <f aca="false">L27*12/7</f>
        <v>600</v>
      </c>
      <c r="N27" s="16" t="n">
        <f aca="false">SUM(I27:K27)*4</f>
        <v>700</v>
      </c>
    </row>
    <row r="28" customFormat="false" ht="15" hidden="false" customHeight="false" outlineLevel="0" collapsed="false">
      <c r="B28" s="11" t="s">
        <v>164</v>
      </c>
      <c r="C28" s="6" t="s">
        <v>165</v>
      </c>
      <c r="D28" s="11" t="s">
        <v>151</v>
      </c>
      <c r="E28" s="19" t="n">
        <v>1294.19</v>
      </c>
      <c r="F28" s="19" t="n">
        <v>1195.96</v>
      </c>
      <c r="G28" s="19" t="n">
        <v>5380.32</v>
      </c>
      <c r="H28" s="19" t="n">
        <v>1241.16</v>
      </c>
      <c r="I28" s="19" t="n">
        <v>1308.87</v>
      </c>
      <c r="J28" s="19" t="n">
        <v>1142.52</v>
      </c>
      <c r="K28" s="19" t="n">
        <v>1180</v>
      </c>
      <c r="L28" s="16" t="n">
        <f aca="false">SUM(E28:K28)</f>
        <v>12743.02</v>
      </c>
      <c r="M28" s="16" t="n">
        <f aca="false">L28*12/7</f>
        <v>21845.1771428571</v>
      </c>
      <c r="N28" s="16" t="n">
        <f aca="false">SUM(I28:K28)*4</f>
        <v>14525.56</v>
      </c>
    </row>
    <row r="29" customFormat="false" ht="15" hidden="false" customHeight="false" outlineLevel="0" collapsed="false">
      <c r="B29" s="11" t="s">
        <v>166</v>
      </c>
      <c r="C29" s="6" t="s">
        <v>167</v>
      </c>
      <c r="D29" s="11" t="s">
        <v>133</v>
      </c>
      <c r="E29" s="19" t="n">
        <v>0</v>
      </c>
      <c r="F29" s="19" t="n">
        <v>300</v>
      </c>
      <c r="G29" s="19" t="n">
        <v>0</v>
      </c>
      <c r="H29" s="19" t="n">
        <v>1500</v>
      </c>
      <c r="I29" s="19" t="n">
        <v>600</v>
      </c>
      <c r="J29" s="19" t="n">
        <v>600</v>
      </c>
      <c r="K29" s="19" t="n">
        <v>600</v>
      </c>
      <c r="L29" s="16" t="n">
        <f aca="false">SUM(E29:K29)</f>
        <v>3600</v>
      </c>
      <c r="M29" s="16" t="n">
        <f aca="false">L29*12/7</f>
        <v>6171.42857142857</v>
      </c>
      <c r="N29" s="16" t="n">
        <f aca="false">SUM(I29:K29)*4</f>
        <v>7200</v>
      </c>
    </row>
    <row r="30" customFormat="false" ht="15" hidden="false" customHeight="false" outlineLevel="0" collapsed="false">
      <c r="B30" s="11" t="s">
        <v>168</v>
      </c>
      <c r="C30" s="6" t="s">
        <v>169</v>
      </c>
      <c r="D30" s="11" t="s">
        <v>133</v>
      </c>
      <c r="E30" s="19" t="n">
        <v>2037.42</v>
      </c>
      <c r="F30" s="19" t="n">
        <v>1975</v>
      </c>
      <c r="G30" s="19" t="n">
        <v>1907.41</v>
      </c>
      <c r="H30" s="19" t="n">
        <v>1922.16</v>
      </c>
      <c r="I30" s="19" t="n">
        <v>1981.77</v>
      </c>
      <c r="J30" s="19" t="n">
        <v>1933.95</v>
      </c>
      <c r="K30" s="19" t="n">
        <v>1998.55</v>
      </c>
      <c r="L30" s="16" t="n">
        <f aca="false">SUM(E30:K30)</f>
        <v>13756.26</v>
      </c>
      <c r="M30" s="16" t="n">
        <f aca="false">L30*12/7</f>
        <v>23582.16</v>
      </c>
      <c r="N30" s="16" t="n">
        <f aca="false">SUM(I30:K30)*4</f>
        <v>23657.08</v>
      </c>
    </row>
    <row r="31" customFormat="false" ht="15" hidden="false" customHeight="false" outlineLevel="0" collapsed="false">
      <c r="B31" s="11" t="s">
        <v>170</v>
      </c>
      <c r="C31" s="6" t="s">
        <v>171</v>
      </c>
      <c r="D31" s="11" t="s">
        <v>133</v>
      </c>
      <c r="E31" s="19" t="n">
        <v>0</v>
      </c>
      <c r="F31" s="19" t="n">
        <v>0</v>
      </c>
      <c r="G31" s="19" t="n">
        <v>0</v>
      </c>
      <c r="H31" s="19" t="n">
        <v>30.16</v>
      </c>
      <c r="I31" s="19" t="n">
        <v>-53.82</v>
      </c>
      <c r="J31" s="19" t="n">
        <v>-1309.76</v>
      </c>
      <c r="K31" s="19" t="n">
        <v>-221.28</v>
      </c>
      <c r="L31" s="16" t="n">
        <f aca="false">SUM(E31:K31)</f>
        <v>-1554.7</v>
      </c>
      <c r="M31" s="16" t="n">
        <f aca="false">L31*12/7</f>
        <v>-2665.2</v>
      </c>
      <c r="N31" s="16" t="n">
        <f aca="false">SUM(I31:K31)*4</f>
        <v>-6339.44</v>
      </c>
    </row>
    <row r="32" customFormat="false" ht="15" hidden="false" customHeight="false" outlineLevel="0" collapsed="false">
      <c r="B32" s="11" t="s">
        <v>172</v>
      </c>
      <c r="C32" s="6" t="s">
        <v>173</v>
      </c>
      <c r="D32" s="11" t="s">
        <v>140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3284.92</v>
      </c>
      <c r="L32" s="16" t="n">
        <f aca="false">SUM(E32:K32)</f>
        <v>3284.92</v>
      </c>
      <c r="M32" s="16" t="n">
        <f aca="false">L32*12/7</f>
        <v>5631.29142857143</v>
      </c>
      <c r="N32" s="16" t="n">
        <f aca="false">SUM(I32:K32)*4</f>
        <v>13139.68</v>
      </c>
    </row>
    <row r="33" customFormat="false" ht="15" hidden="false" customHeight="false" outlineLevel="0" collapsed="false">
      <c r="B33" s="11" t="s">
        <v>174</v>
      </c>
      <c r="C33" s="6" t="s">
        <v>175</v>
      </c>
      <c r="D33" s="11" t="s">
        <v>133</v>
      </c>
      <c r="E33" s="19" t="n">
        <v>260</v>
      </c>
      <c r="F33" s="19" t="n">
        <v>220</v>
      </c>
      <c r="G33" s="19" t="n">
        <v>220</v>
      </c>
      <c r="H33" s="19" t="n">
        <v>220</v>
      </c>
      <c r="I33" s="19" t="n">
        <v>220</v>
      </c>
      <c r="J33" s="19" t="n">
        <v>220</v>
      </c>
      <c r="K33" s="19" t="n">
        <v>220</v>
      </c>
      <c r="L33" s="16" t="n">
        <f aca="false">SUM(E33:K33)</f>
        <v>1580</v>
      </c>
      <c r="M33" s="16" t="n">
        <f aca="false">L33*12/7</f>
        <v>2708.57142857143</v>
      </c>
      <c r="N33" s="16" t="n">
        <f aca="false">SUM(I33:K33)*4</f>
        <v>2640</v>
      </c>
    </row>
    <row r="34" customFormat="false" ht="15" hidden="false" customHeight="false" outlineLevel="0" collapsed="false">
      <c r="B34" s="11" t="s">
        <v>176</v>
      </c>
      <c r="C34" s="6" t="s">
        <v>177</v>
      </c>
      <c r="D34" s="11" t="s">
        <v>178</v>
      </c>
      <c r="E34" s="19" t="n">
        <v>28.71</v>
      </c>
      <c r="F34" s="19" t="n">
        <v>2357.86</v>
      </c>
      <c r="G34" s="19" t="n">
        <v>7059.56</v>
      </c>
      <c r="H34" s="19" t="n">
        <v>3335.11</v>
      </c>
      <c r="I34" s="19" t="n">
        <v>2808.79</v>
      </c>
      <c r="J34" s="19" t="n">
        <v>3056.21</v>
      </c>
      <c r="K34" s="19" t="n">
        <v>2136.89</v>
      </c>
      <c r="L34" s="16" t="n">
        <f aca="false">SUM(E34:K34)</f>
        <v>20783.13</v>
      </c>
      <c r="M34" s="16" t="n">
        <f aca="false">L34*12/7</f>
        <v>35628.2228571429</v>
      </c>
      <c r="N34" s="16" t="n">
        <f aca="false">SUM(I34:K34)*4</f>
        <v>32007.56</v>
      </c>
    </row>
    <row r="35" customFormat="false" ht="15" hidden="false" customHeight="false" outlineLevel="0" collapsed="false">
      <c r="B35" s="11" t="s">
        <v>179</v>
      </c>
      <c r="C35" s="6" t="s">
        <v>180</v>
      </c>
      <c r="D35" s="11" t="s">
        <v>178</v>
      </c>
      <c r="E35" s="19" t="n">
        <v>6.17</v>
      </c>
      <c r="F35" s="19" t="n">
        <v>563.75</v>
      </c>
      <c r="G35" s="19" t="n">
        <v>1244.32</v>
      </c>
      <c r="H35" s="19" t="n">
        <v>909.61</v>
      </c>
      <c r="I35" s="19" t="n">
        <v>435.02</v>
      </c>
      <c r="J35" s="19" t="n">
        <v>418.2</v>
      </c>
      <c r="K35" s="19" t="n">
        <v>365.15</v>
      </c>
      <c r="L35" s="16" t="n">
        <f aca="false">SUM(E35:K35)</f>
        <v>3942.22</v>
      </c>
      <c r="M35" s="16" t="n">
        <f aca="false">L35*12/7</f>
        <v>6758.09142857143</v>
      </c>
      <c r="N35" s="16" t="n">
        <f aca="false">SUM(I35:K35)*4</f>
        <v>4873.48</v>
      </c>
    </row>
    <row r="36" customFormat="false" ht="15" hidden="false" customHeight="false" outlineLevel="0" collapsed="false">
      <c r="B36" s="11" t="s">
        <v>181</v>
      </c>
      <c r="C36" s="6" t="s">
        <v>182</v>
      </c>
      <c r="D36" s="11" t="s">
        <v>178</v>
      </c>
      <c r="E36" s="19" t="n">
        <v>41.5</v>
      </c>
      <c r="F36" s="19" t="n">
        <v>1609.75</v>
      </c>
      <c r="G36" s="19" t="n">
        <v>-1651.25</v>
      </c>
      <c r="H36" s="19" t="n">
        <v>0</v>
      </c>
      <c r="I36" s="19" t="n">
        <v>0</v>
      </c>
      <c r="J36" s="19" t="n">
        <v>0</v>
      </c>
      <c r="K36" s="19" t="n">
        <v>0</v>
      </c>
      <c r="L36" s="16" t="n">
        <f aca="false">SUM(E36:K36)</f>
        <v>0</v>
      </c>
      <c r="M36" s="16" t="n">
        <f aca="false">L36*12/7</f>
        <v>0</v>
      </c>
      <c r="N36" s="16" t="n">
        <f aca="false">SUM(I36:K36)*4</f>
        <v>0</v>
      </c>
    </row>
    <row r="37" customFormat="false" ht="15" hidden="false" customHeight="false" outlineLevel="0" collapsed="false">
      <c r="B37" s="11" t="s">
        <v>183</v>
      </c>
      <c r="C37" s="6" t="s">
        <v>184</v>
      </c>
      <c r="D37" s="11" t="s">
        <v>178</v>
      </c>
      <c r="E37" s="19" t="n">
        <v>5.74</v>
      </c>
      <c r="F37" s="19" t="n">
        <v>504.51</v>
      </c>
      <c r="G37" s="19" t="n">
        <v>1030</v>
      </c>
      <c r="H37" s="19" t="n">
        <v>1547.96</v>
      </c>
      <c r="I37" s="19" t="n">
        <v>457.79</v>
      </c>
      <c r="J37" s="19" t="n">
        <v>551.73</v>
      </c>
      <c r="K37" s="19" t="n">
        <v>487.27</v>
      </c>
      <c r="L37" s="16" t="n">
        <f aca="false">SUM(E37:K37)</f>
        <v>4585</v>
      </c>
      <c r="M37" s="16" t="n">
        <f aca="false">L37*12/7</f>
        <v>7860</v>
      </c>
      <c r="N37" s="16" t="n">
        <f aca="false">SUM(I37:K37)*4</f>
        <v>5987.16</v>
      </c>
    </row>
    <row r="38" customFormat="false" ht="15" hidden="false" customHeight="false" outlineLevel="0" collapsed="false">
      <c r="B38" s="11" t="s">
        <v>185</v>
      </c>
      <c r="C38" s="6" t="s">
        <v>186</v>
      </c>
      <c r="D38" s="11" t="s">
        <v>178</v>
      </c>
      <c r="E38" s="19" t="n">
        <v>46.21</v>
      </c>
      <c r="F38" s="19" t="n">
        <v>6755.04</v>
      </c>
      <c r="G38" s="19" t="n">
        <v>13650.61</v>
      </c>
      <c r="H38" s="19" t="n">
        <v>19771.43</v>
      </c>
      <c r="I38" s="19" t="n">
        <v>4679.44</v>
      </c>
      <c r="J38" s="19" t="n">
        <v>5443.09</v>
      </c>
      <c r="K38" s="19" t="n">
        <v>4668.62</v>
      </c>
      <c r="L38" s="16" t="n">
        <f aca="false">SUM(E38:K38)</f>
        <v>55014.44</v>
      </c>
      <c r="M38" s="16" t="n">
        <f aca="false">L38*12/7</f>
        <v>94310.4685714286</v>
      </c>
      <c r="N38" s="16" t="n">
        <f aca="false">SUM(I38:K38)*4</f>
        <v>59164.6</v>
      </c>
    </row>
    <row r="39" customFormat="false" ht="15" hidden="false" customHeight="false" outlineLevel="0" collapsed="false">
      <c r="B39" s="11" t="s">
        <v>187</v>
      </c>
      <c r="C39" s="6" t="s">
        <v>188</v>
      </c>
      <c r="D39" s="11" t="s">
        <v>178</v>
      </c>
      <c r="E39" s="19" t="n">
        <v>10.19</v>
      </c>
      <c r="F39" s="19" t="n">
        <v>1488.22</v>
      </c>
      <c r="G39" s="19" t="n">
        <v>21587.41</v>
      </c>
      <c r="H39" s="19" t="n">
        <v>12348.3</v>
      </c>
      <c r="I39" s="19" t="n">
        <v>5427.95</v>
      </c>
      <c r="J39" s="19" t="n">
        <v>6458.48</v>
      </c>
      <c r="K39" s="19" t="n">
        <v>5391.15</v>
      </c>
      <c r="L39" s="16" t="n">
        <f aca="false">SUM(E39:K39)</f>
        <v>52711.7</v>
      </c>
      <c r="M39" s="16" t="n">
        <f aca="false">L39*12/7</f>
        <v>90362.9142857143</v>
      </c>
      <c r="N39" s="16" t="n">
        <f aca="false">SUM(I39:K39)*4</f>
        <v>69110.32</v>
      </c>
    </row>
    <row r="40" customFormat="false" ht="15" hidden="false" customHeight="false" outlineLevel="0" collapsed="false">
      <c r="B40" s="11" t="s">
        <v>189</v>
      </c>
      <c r="C40" s="6" t="s">
        <v>190</v>
      </c>
      <c r="D40" s="11" t="s">
        <v>178</v>
      </c>
      <c r="E40" s="19" t="n">
        <v>34.64</v>
      </c>
      <c r="F40" s="19" t="n">
        <v>3830.83</v>
      </c>
      <c r="G40" s="19" t="n">
        <v>-3865.47</v>
      </c>
      <c r="H40" s="19" t="n">
        <v>0</v>
      </c>
      <c r="I40" s="19" t="n">
        <v>0</v>
      </c>
      <c r="J40" s="19" t="n">
        <v>0</v>
      </c>
      <c r="K40" s="19" t="n">
        <v>0</v>
      </c>
      <c r="L40" s="16" t="n">
        <f aca="false">SUM(E40:K40)</f>
        <v>0</v>
      </c>
      <c r="M40" s="16" t="n">
        <f aca="false">L40*12/7</f>
        <v>0</v>
      </c>
      <c r="N40" s="16" t="n">
        <f aca="false">SUM(I40:K40)*4</f>
        <v>0</v>
      </c>
    </row>
    <row r="41" customFormat="false" ht="15" hidden="false" customHeight="false" outlineLevel="0" collapsed="false">
      <c r="B41" s="11" t="s">
        <v>191</v>
      </c>
      <c r="C41" s="6" t="s">
        <v>192</v>
      </c>
      <c r="D41" s="11" t="s">
        <v>178</v>
      </c>
      <c r="E41" s="19" t="n">
        <v>0</v>
      </c>
      <c r="F41" s="19" t="n">
        <v>0</v>
      </c>
      <c r="G41" s="19" t="n">
        <v>5363.64</v>
      </c>
      <c r="H41" s="19" t="n">
        <v>6056.13</v>
      </c>
      <c r="I41" s="19" t="n">
        <v>2183.13</v>
      </c>
      <c r="J41" s="19" t="n">
        <v>2276.06</v>
      </c>
      <c r="K41" s="19" t="n">
        <v>1743.12</v>
      </c>
      <c r="L41" s="16" t="n">
        <f aca="false">SUM(E41:K41)</f>
        <v>17622.08</v>
      </c>
      <c r="M41" s="16" t="n">
        <f aca="false">L41*12/7</f>
        <v>30209.28</v>
      </c>
      <c r="N41" s="16" t="n">
        <f aca="false">SUM(I41:K41)*4</f>
        <v>24809.24</v>
      </c>
    </row>
    <row r="42" customFormat="false" ht="15" hidden="false" customHeight="false" outlineLevel="0" collapsed="false">
      <c r="B42" s="11" t="s">
        <v>193</v>
      </c>
      <c r="C42" s="6" t="s">
        <v>194</v>
      </c>
      <c r="D42" s="11" t="s">
        <v>133</v>
      </c>
      <c r="E42" s="19" t="n">
        <v>0</v>
      </c>
      <c r="F42" s="19" t="n">
        <v>0</v>
      </c>
      <c r="G42" s="19" t="n">
        <v>0</v>
      </c>
      <c r="H42" s="19" t="n">
        <v>0</v>
      </c>
      <c r="I42" s="19" t="n">
        <v>0</v>
      </c>
      <c r="J42" s="19" t="n">
        <v>0</v>
      </c>
      <c r="K42" s="19" t="n">
        <v>1</v>
      </c>
      <c r="L42" s="16" t="n">
        <f aca="false">SUM(E42:K42)</f>
        <v>1</v>
      </c>
      <c r="M42" s="16" t="n">
        <f aca="false">L42*12/7</f>
        <v>1.71428571428571</v>
      </c>
      <c r="N42" s="16" t="n">
        <f aca="false">SUM(I42:K42)*4</f>
        <v>4</v>
      </c>
    </row>
    <row r="43" customFormat="false" ht="15" hidden="false" customHeight="false" outlineLevel="0" collapsed="false">
      <c r="B43" s="11" t="s">
        <v>195</v>
      </c>
      <c r="C43" s="6" t="s">
        <v>196</v>
      </c>
      <c r="D43" s="11" t="s">
        <v>197</v>
      </c>
      <c r="E43" s="19" t="n">
        <v>0</v>
      </c>
      <c r="F43" s="19" t="n">
        <v>8676.09</v>
      </c>
      <c r="G43" s="19" t="n">
        <v>18354.89</v>
      </c>
      <c r="H43" s="19" t="n">
        <v>13772.21</v>
      </c>
      <c r="I43" s="19" t="n">
        <v>5746.92</v>
      </c>
      <c r="J43" s="19" t="n">
        <v>9431.47</v>
      </c>
      <c r="K43" s="19" t="n">
        <v>10159.29</v>
      </c>
      <c r="L43" s="16" t="n">
        <f aca="false">SUM(E43:K43)</f>
        <v>66140.87</v>
      </c>
      <c r="M43" s="16" t="n">
        <f aca="false">L43*12/7</f>
        <v>113384.348571429</v>
      </c>
      <c r="N43" s="16" t="n">
        <f aca="false">SUM(I43:K43)*4</f>
        <v>101350.72</v>
      </c>
    </row>
    <row r="44" customFormat="false" ht="15" hidden="false" customHeight="false" outlineLevel="0" collapsed="false">
      <c r="B44" s="11" t="s">
        <v>198</v>
      </c>
      <c r="C44" s="6" t="s">
        <v>199</v>
      </c>
      <c r="D44" s="11" t="s">
        <v>197</v>
      </c>
      <c r="E44" s="19" t="n">
        <v>369.22</v>
      </c>
      <c r="F44" s="19" t="n">
        <v>5685.51</v>
      </c>
      <c r="G44" s="19" t="n">
        <v>-6054.73</v>
      </c>
      <c r="H44" s="19" t="n">
        <v>0</v>
      </c>
      <c r="I44" s="19" t="n">
        <v>0</v>
      </c>
      <c r="J44" s="19" t="n">
        <v>0</v>
      </c>
      <c r="K44" s="19" t="n">
        <v>0</v>
      </c>
      <c r="L44" s="16" t="n">
        <f aca="false">SUM(E44:K44)</f>
        <v>0</v>
      </c>
      <c r="M44" s="16" t="n">
        <f aca="false">L44*12/7</f>
        <v>0</v>
      </c>
      <c r="N44" s="16" t="n">
        <f aca="false">SUM(I44:K44)*4</f>
        <v>0</v>
      </c>
    </row>
    <row r="45" customFormat="false" ht="15" hidden="false" customHeight="false" outlineLevel="0" collapsed="false">
      <c r="B45" s="11" t="s">
        <v>200</v>
      </c>
      <c r="C45" s="6" t="s">
        <v>201</v>
      </c>
      <c r="D45" s="11" t="s">
        <v>197</v>
      </c>
      <c r="E45" s="19" t="n">
        <v>82.8</v>
      </c>
      <c r="F45" s="19" t="n">
        <v>5218.43</v>
      </c>
      <c r="G45" s="19" t="n">
        <v>3035.26</v>
      </c>
      <c r="H45" s="19" t="n">
        <v>5164.82</v>
      </c>
      <c r="I45" s="19" t="n">
        <v>1984.19</v>
      </c>
      <c r="J45" s="19" t="n">
        <v>2528.26</v>
      </c>
      <c r="K45" s="19" t="n">
        <v>2618.26</v>
      </c>
      <c r="L45" s="16" t="n">
        <f aca="false">SUM(E45:K45)</f>
        <v>20632.02</v>
      </c>
      <c r="M45" s="16" t="n">
        <f aca="false">L45*12/7</f>
        <v>35369.1771428572</v>
      </c>
      <c r="N45" s="16" t="n">
        <f aca="false">SUM(I45:K45)*4</f>
        <v>28522.84</v>
      </c>
    </row>
    <row r="46" customFormat="false" ht="15" hidden="false" customHeight="false" outlineLevel="0" collapsed="false">
      <c r="B46" s="11" t="s">
        <v>202</v>
      </c>
      <c r="C46" s="6" t="s">
        <v>203</v>
      </c>
      <c r="D46" s="11" t="s">
        <v>197</v>
      </c>
      <c r="E46" s="19" t="n">
        <v>0</v>
      </c>
      <c r="F46" s="19" t="n">
        <v>950</v>
      </c>
      <c r="G46" s="19" t="n">
        <v>0</v>
      </c>
      <c r="H46" s="19" t="n">
        <v>10651.17</v>
      </c>
      <c r="I46" s="19" t="n">
        <v>2486.83</v>
      </c>
      <c r="J46" s="19" t="n">
        <v>5795</v>
      </c>
      <c r="K46" s="19" t="n">
        <v>0</v>
      </c>
      <c r="L46" s="16" t="n">
        <f aca="false">SUM(E46:K46)</f>
        <v>19883</v>
      </c>
      <c r="M46" s="16" t="n">
        <f aca="false">L46*12/7</f>
        <v>34085.1428571429</v>
      </c>
      <c r="N46" s="16" t="n">
        <f aca="false">SUM(I46:K46)*4</f>
        <v>33127.32</v>
      </c>
    </row>
    <row r="47" customFormat="false" ht="15" hidden="false" customHeight="false" outlineLevel="0" collapsed="false">
      <c r="B47" s="11" t="s">
        <v>204</v>
      </c>
      <c r="C47" s="6" t="s">
        <v>205</v>
      </c>
      <c r="D47" s="11" t="s">
        <v>197</v>
      </c>
      <c r="E47" s="19" t="n">
        <v>0</v>
      </c>
      <c r="F47" s="19" t="n">
        <v>0</v>
      </c>
      <c r="G47" s="19" t="n">
        <v>0</v>
      </c>
      <c r="H47" s="19" t="n">
        <v>0</v>
      </c>
      <c r="I47" s="19" t="n">
        <v>2981.17</v>
      </c>
      <c r="J47" s="19" t="n">
        <v>0</v>
      </c>
      <c r="K47" s="19" t="n">
        <v>0</v>
      </c>
      <c r="L47" s="16" t="n">
        <f aca="false">SUM(E47:K47)</f>
        <v>2981.17</v>
      </c>
      <c r="M47" s="16" t="n">
        <f aca="false">L47*12/7</f>
        <v>5110.57714285714</v>
      </c>
      <c r="N47" s="16" t="n">
        <f aca="false">SUM(I47:K47)*4</f>
        <v>11924.68</v>
      </c>
    </row>
    <row r="48" customFormat="false" ht="15" hidden="false" customHeight="false" outlineLevel="0" collapsed="false">
      <c r="B48" s="11" t="s">
        <v>206</v>
      </c>
      <c r="C48" s="6" t="s">
        <v>207</v>
      </c>
      <c r="D48" s="11" t="s">
        <v>197</v>
      </c>
      <c r="E48" s="19" t="n">
        <v>0</v>
      </c>
      <c r="F48" s="19" t="n">
        <v>13524.64</v>
      </c>
      <c r="G48" s="19" t="n">
        <v>13293.57</v>
      </c>
      <c r="H48" s="19" t="n">
        <v>20300.01</v>
      </c>
      <c r="I48" s="19" t="n">
        <v>6716.93</v>
      </c>
      <c r="J48" s="19" t="n">
        <v>14081.07</v>
      </c>
      <c r="K48" s="19" t="n">
        <v>12426.91</v>
      </c>
      <c r="L48" s="16" t="n">
        <f aca="false">SUM(E48:K48)</f>
        <v>80343.13</v>
      </c>
      <c r="M48" s="16" t="n">
        <f aca="false">L48*12/7</f>
        <v>137731.08</v>
      </c>
      <c r="N48" s="16" t="n">
        <f aca="false">SUM(I48:K48)*4</f>
        <v>132899.64</v>
      </c>
    </row>
    <row r="49" customFormat="false" ht="15" hidden="false" customHeight="false" outlineLevel="0" collapsed="false">
      <c r="B49" s="11" t="s">
        <v>208</v>
      </c>
      <c r="C49" s="6" t="s">
        <v>209</v>
      </c>
      <c r="D49" s="11" t="s">
        <v>197</v>
      </c>
      <c r="E49" s="19" t="n">
        <v>0</v>
      </c>
      <c r="F49" s="19" t="n">
        <v>3420.18</v>
      </c>
      <c r="G49" s="19" t="n">
        <v>-3420.18</v>
      </c>
      <c r="H49" s="19" t="n">
        <v>0</v>
      </c>
      <c r="I49" s="19" t="n">
        <v>0</v>
      </c>
      <c r="J49" s="19" t="n">
        <v>0</v>
      </c>
      <c r="K49" s="19" t="n">
        <v>0</v>
      </c>
      <c r="L49" s="16" t="n">
        <f aca="false">SUM(E49:K49)</f>
        <v>0</v>
      </c>
      <c r="M49" s="16" t="n">
        <f aca="false">L49*12/7</f>
        <v>0</v>
      </c>
      <c r="N49" s="16" t="n">
        <f aca="false">SUM(I49:K49)*4</f>
        <v>0</v>
      </c>
    </row>
    <row r="50" customFormat="false" ht="15" hidden="false" customHeight="false" outlineLevel="0" collapsed="false">
      <c r="B50" s="11" t="s">
        <v>210</v>
      </c>
      <c r="C50" s="6" t="s">
        <v>211</v>
      </c>
      <c r="D50" s="11" t="s">
        <v>197</v>
      </c>
      <c r="E50" s="19" t="n">
        <v>0</v>
      </c>
      <c r="F50" s="19" t="n">
        <v>37.74</v>
      </c>
      <c r="G50" s="19" t="n">
        <v>8.68</v>
      </c>
      <c r="H50" s="19" t="n">
        <v>48.79</v>
      </c>
      <c r="I50" s="19" t="n">
        <v>13.1</v>
      </c>
      <c r="J50" s="19" t="n">
        <v>-108.31</v>
      </c>
      <c r="K50" s="19" t="n">
        <v>0</v>
      </c>
      <c r="L50" s="16" t="n">
        <f aca="false">SUM(E50:K50)</f>
        <v>0</v>
      </c>
      <c r="M50" s="16" t="n">
        <f aca="false">L50*12/7</f>
        <v>0</v>
      </c>
      <c r="N50" s="16" t="n">
        <f aca="false">SUM(I50:K50)*4</f>
        <v>-380.84</v>
      </c>
    </row>
    <row r="51" customFormat="false" ht="15" hidden="false" customHeight="false" outlineLevel="0" collapsed="false">
      <c r="B51" s="11" t="s">
        <v>212</v>
      </c>
      <c r="C51" s="6" t="s">
        <v>213</v>
      </c>
      <c r="D51" s="11" t="s">
        <v>197</v>
      </c>
      <c r="E51" s="19" t="n">
        <v>0</v>
      </c>
      <c r="F51" s="19" t="n">
        <v>1297.75</v>
      </c>
      <c r="G51" s="19" t="n">
        <v>-1297.75</v>
      </c>
      <c r="H51" s="19" t="n">
        <v>0</v>
      </c>
      <c r="I51" s="19" t="n">
        <v>0</v>
      </c>
      <c r="J51" s="19" t="n">
        <v>0</v>
      </c>
      <c r="K51" s="19" t="n">
        <v>0</v>
      </c>
      <c r="L51" s="16" t="n">
        <f aca="false">SUM(E51:K51)</f>
        <v>0</v>
      </c>
      <c r="M51" s="16" t="n">
        <f aca="false">L51*12/7</f>
        <v>0</v>
      </c>
      <c r="N51" s="16" t="n">
        <f aca="false">SUM(I51:K51)*4</f>
        <v>0</v>
      </c>
    </row>
    <row r="52" customFormat="false" ht="15" hidden="false" customHeight="false" outlineLevel="0" collapsed="false">
      <c r="B52" s="11" t="s">
        <v>214</v>
      </c>
      <c r="C52" s="6" t="s">
        <v>215</v>
      </c>
      <c r="D52" s="11" t="s">
        <v>197</v>
      </c>
      <c r="E52" s="19" t="n">
        <v>75.96</v>
      </c>
      <c r="F52" s="19" t="n">
        <v>-75.96</v>
      </c>
      <c r="G52" s="19" t="n">
        <v>8111.24</v>
      </c>
      <c r="H52" s="19" t="n">
        <v>6422.94</v>
      </c>
      <c r="I52" s="19" t="n">
        <v>2553.79</v>
      </c>
      <c r="J52" s="19" t="n">
        <v>4255.65</v>
      </c>
      <c r="K52" s="19" t="n">
        <v>3316.94</v>
      </c>
      <c r="L52" s="16" t="n">
        <f aca="false">SUM(E52:K52)</f>
        <v>24660.56</v>
      </c>
      <c r="M52" s="16" t="n">
        <f aca="false">L52*12/7</f>
        <v>42275.2457142857</v>
      </c>
      <c r="N52" s="16" t="n">
        <f aca="false">SUM(I52:K52)*4</f>
        <v>40505.52</v>
      </c>
    </row>
    <row r="53" customFormat="false" ht="15" hidden="false" customHeight="false" outlineLevel="0" collapsed="false">
      <c r="B53" s="11" t="s">
        <v>216</v>
      </c>
      <c r="C53" s="6" t="s">
        <v>217</v>
      </c>
      <c r="D53" s="11" t="s">
        <v>197</v>
      </c>
      <c r="E53" s="19" t="n">
        <v>0</v>
      </c>
      <c r="F53" s="19" t="n">
        <v>2392.5</v>
      </c>
      <c r="G53" s="19" t="n">
        <v>3987.5</v>
      </c>
      <c r="H53" s="19" t="n">
        <v>3987.5</v>
      </c>
      <c r="I53" s="19" t="n">
        <v>3987.5</v>
      </c>
      <c r="J53" s="19" t="n">
        <v>0</v>
      </c>
      <c r="K53" s="19" t="n">
        <v>9570</v>
      </c>
      <c r="L53" s="16" t="n">
        <f aca="false">SUM(E53:K53)</f>
        <v>23925</v>
      </c>
      <c r="M53" s="16" t="n">
        <f aca="false">L53*12/7</f>
        <v>41014.2857142857</v>
      </c>
      <c r="N53" s="16" t="n">
        <f aca="false">SUM(I53:K53)*4</f>
        <v>54230</v>
      </c>
    </row>
    <row r="54" customFormat="false" ht="15" hidden="false" customHeight="false" outlineLevel="0" collapsed="false">
      <c r="B54" s="11" t="s">
        <v>218</v>
      </c>
      <c r="C54" s="6" t="s">
        <v>219</v>
      </c>
      <c r="D54" s="11" t="s">
        <v>220</v>
      </c>
      <c r="E54" s="19" t="n">
        <v>153.98</v>
      </c>
      <c r="F54" s="19" t="n">
        <v>1308.13</v>
      </c>
      <c r="G54" s="19" t="n">
        <v>-289.59</v>
      </c>
      <c r="H54" s="19" t="n">
        <v>372.45</v>
      </c>
      <c r="I54" s="19" t="n">
        <v>420.04</v>
      </c>
      <c r="J54" s="19" t="n">
        <v>365.09</v>
      </c>
      <c r="K54" s="19" t="n">
        <v>722.49</v>
      </c>
      <c r="L54" s="16" t="n">
        <f aca="false">SUM(E54:K54)</f>
        <v>3052.59</v>
      </c>
      <c r="M54" s="16" t="n">
        <f aca="false">L54*12/7</f>
        <v>5233.01142857143</v>
      </c>
      <c r="N54" s="16" t="n">
        <f aca="false">SUM(I54:K54)*4</f>
        <v>6030.48</v>
      </c>
    </row>
    <row r="55" customFormat="false" ht="15" hidden="false" customHeight="false" outlineLevel="0" collapsed="false">
      <c r="B55" s="11" t="s">
        <v>221</v>
      </c>
      <c r="C55" s="6" t="s">
        <v>222</v>
      </c>
      <c r="D55" s="11" t="s">
        <v>220</v>
      </c>
      <c r="E55" s="19" t="n">
        <v>53.34</v>
      </c>
      <c r="F55" s="19" t="n">
        <v>-25.84</v>
      </c>
      <c r="G55" s="19" t="n">
        <v>275.4</v>
      </c>
      <c r="H55" s="19" t="n">
        <v>171.45</v>
      </c>
      <c r="I55" s="19" t="n">
        <v>65.31</v>
      </c>
      <c r="J55" s="19" t="n">
        <v>106.09</v>
      </c>
      <c r="K55" s="19" t="n">
        <v>123.51</v>
      </c>
      <c r="L55" s="16" t="n">
        <f aca="false">SUM(E55:K55)</f>
        <v>769.26</v>
      </c>
      <c r="M55" s="16" t="n">
        <f aca="false">L55*12/7</f>
        <v>1318.73142857143</v>
      </c>
      <c r="N55" s="16" t="n">
        <f aca="false">SUM(I55:K55)*4</f>
        <v>1179.64</v>
      </c>
    </row>
    <row r="56" customFormat="false" ht="15" hidden="false" customHeight="false" outlineLevel="0" collapsed="false">
      <c r="B56" s="11" t="s">
        <v>223</v>
      </c>
      <c r="C56" s="6" t="s">
        <v>224</v>
      </c>
      <c r="D56" s="11" t="s">
        <v>220</v>
      </c>
      <c r="E56" s="19" t="n">
        <v>0</v>
      </c>
      <c r="F56" s="19" t="n">
        <v>94.58</v>
      </c>
      <c r="G56" s="19" t="n">
        <v>-94.58</v>
      </c>
      <c r="H56" s="19" t="n">
        <v>0</v>
      </c>
      <c r="I56" s="19" t="n">
        <v>0</v>
      </c>
      <c r="J56" s="19" t="n">
        <v>0</v>
      </c>
      <c r="K56" s="19" t="n">
        <v>0</v>
      </c>
      <c r="L56" s="16" t="n">
        <f aca="false">SUM(E56:K56)</f>
        <v>0</v>
      </c>
      <c r="M56" s="16" t="n">
        <f aca="false">L56*12/7</f>
        <v>0</v>
      </c>
      <c r="N56" s="16" t="n">
        <f aca="false">SUM(I56:K56)*4</f>
        <v>0</v>
      </c>
    </row>
    <row r="57" customFormat="false" ht="15" hidden="false" customHeight="false" outlineLevel="0" collapsed="false">
      <c r="B57" s="11" t="s">
        <v>225</v>
      </c>
      <c r="C57" s="6" t="s">
        <v>226</v>
      </c>
      <c r="D57" s="11" t="s">
        <v>220</v>
      </c>
      <c r="E57" s="19" t="n">
        <v>418.56</v>
      </c>
      <c r="F57" s="19" t="n">
        <v>67.64</v>
      </c>
      <c r="G57" s="19" t="n">
        <v>485.02</v>
      </c>
      <c r="H57" s="19" t="n">
        <v>32.99</v>
      </c>
      <c r="I57" s="19" t="n">
        <v>99.29</v>
      </c>
      <c r="J57" s="19" t="n">
        <v>186.83</v>
      </c>
      <c r="K57" s="19" t="n">
        <v>169.69</v>
      </c>
      <c r="L57" s="16" t="n">
        <f aca="false">SUM(E57:K57)</f>
        <v>1460.02</v>
      </c>
      <c r="M57" s="16" t="n">
        <f aca="false">L57*12/7</f>
        <v>2502.89142857143</v>
      </c>
      <c r="N57" s="16" t="n">
        <f aca="false">SUM(I57:K57)*4</f>
        <v>1823.24</v>
      </c>
    </row>
    <row r="58" customFormat="false" ht="15" hidden="false" customHeight="false" outlineLevel="0" collapsed="false">
      <c r="B58" s="11" t="s">
        <v>227</v>
      </c>
      <c r="C58" s="6" t="s">
        <v>228</v>
      </c>
      <c r="D58" s="11" t="s">
        <v>220</v>
      </c>
      <c r="E58" s="19" t="n">
        <v>0</v>
      </c>
      <c r="F58" s="19" t="n">
        <v>36.37</v>
      </c>
      <c r="G58" s="19" t="n">
        <v>35.3</v>
      </c>
      <c r="H58" s="19" t="n">
        <v>184.45</v>
      </c>
      <c r="I58" s="19" t="n">
        <v>0</v>
      </c>
      <c r="J58" s="19" t="n">
        <v>66.77</v>
      </c>
      <c r="K58" s="19" t="n">
        <v>298.95</v>
      </c>
      <c r="L58" s="16" t="n">
        <f aca="false">SUM(E58:K58)</f>
        <v>621.84</v>
      </c>
      <c r="M58" s="16" t="n">
        <f aca="false">L58*12/7</f>
        <v>1066.01142857143</v>
      </c>
      <c r="N58" s="16" t="n">
        <f aca="false">SUM(I58:K58)*4</f>
        <v>1462.88</v>
      </c>
    </row>
    <row r="59" customFormat="false" ht="15" hidden="false" customHeight="false" outlineLevel="0" collapsed="false">
      <c r="B59" s="11" t="s">
        <v>229</v>
      </c>
      <c r="C59" s="6" t="s">
        <v>230</v>
      </c>
      <c r="D59" s="11" t="s">
        <v>220</v>
      </c>
      <c r="E59" s="19" t="n">
        <v>86.61</v>
      </c>
      <c r="F59" s="19" t="n">
        <v>-86.61</v>
      </c>
      <c r="G59" s="19" t="n">
        <v>0</v>
      </c>
      <c r="H59" s="19" t="n">
        <v>0</v>
      </c>
      <c r="I59" s="19" t="n">
        <v>0</v>
      </c>
      <c r="J59" s="19" t="n">
        <v>0</v>
      </c>
      <c r="K59" s="19" t="n">
        <v>0</v>
      </c>
      <c r="L59" s="16" t="n">
        <f aca="false">SUM(E59:K59)</f>
        <v>0</v>
      </c>
      <c r="M59" s="16" t="n">
        <f aca="false">L59*12/7</f>
        <v>0</v>
      </c>
      <c r="N59" s="16" t="n">
        <f aca="false">SUM(I59:K59)*4</f>
        <v>0</v>
      </c>
    </row>
    <row r="60" customFormat="false" ht="15" hidden="false" customHeight="false" outlineLevel="0" collapsed="false">
      <c r="B60" s="11" t="s">
        <v>231</v>
      </c>
      <c r="C60" s="6" t="s">
        <v>232</v>
      </c>
      <c r="D60" s="11" t="s">
        <v>220</v>
      </c>
      <c r="E60" s="19" t="n">
        <v>0</v>
      </c>
      <c r="F60" s="19" t="n">
        <v>0</v>
      </c>
      <c r="G60" s="19" t="n">
        <v>0</v>
      </c>
      <c r="H60" s="19" t="n">
        <v>0</v>
      </c>
      <c r="I60" s="19" t="n">
        <v>0</v>
      </c>
      <c r="J60" s="19" t="n">
        <v>0</v>
      </c>
      <c r="K60" s="19" t="n">
        <v>423.75</v>
      </c>
      <c r="L60" s="16" t="n">
        <f aca="false">SUM(E60:K60)</f>
        <v>423.75</v>
      </c>
      <c r="M60" s="16" t="n">
        <f aca="false">L60*12/7</f>
        <v>726.428571428571</v>
      </c>
      <c r="N60" s="16" t="n">
        <f aca="false">SUM(I60:K60)*4</f>
        <v>1695</v>
      </c>
    </row>
    <row r="61" customFormat="false" ht="15" hidden="false" customHeight="false" outlineLevel="0" collapsed="false">
      <c r="B61" s="11" t="s">
        <v>233</v>
      </c>
      <c r="C61" s="6" t="s">
        <v>234</v>
      </c>
      <c r="D61" s="11" t="s">
        <v>220</v>
      </c>
      <c r="E61" s="19" t="n">
        <v>0</v>
      </c>
      <c r="F61" s="19" t="n">
        <v>93.53</v>
      </c>
      <c r="G61" s="19" t="n">
        <v>0</v>
      </c>
      <c r="H61" s="19" t="n">
        <v>291.27</v>
      </c>
      <c r="I61" s="19" t="n">
        <v>329.56</v>
      </c>
      <c r="J61" s="19" t="n">
        <v>389.22</v>
      </c>
      <c r="K61" s="19" t="n">
        <v>361.3</v>
      </c>
      <c r="L61" s="16" t="n">
        <f aca="false">SUM(E61:K61)</f>
        <v>1464.88</v>
      </c>
      <c r="M61" s="16" t="n">
        <f aca="false">L61*12/7</f>
        <v>2511.22285714286</v>
      </c>
      <c r="N61" s="16" t="n">
        <f aca="false">SUM(I61:K61)*4</f>
        <v>4320.32</v>
      </c>
    </row>
    <row r="62" customFormat="false" ht="15" hidden="false" customHeight="false" outlineLevel="0" collapsed="false">
      <c r="B62" s="11" t="s">
        <v>235</v>
      </c>
      <c r="C62" s="6" t="s">
        <v>236</v>
      </c>
      <c r="D62" s="11" t="s">
        <v>220</v>
      </c>
      <c r="E62" s="19" t="n">
        <v>553.27</v>
      </c>
      <c r="F62" s="19" t="n">
        <v>121.28</v>
      </c>
      <c r="G62" s="19" t="n">
        <v>160.44</v>
      </c>
      <c r="H62" s="19" t="n">
        <v>1128.57</v>
      </c>
      <c r="I62" s="19" t="n">
        <v>730.12</v>
      </c>
      <c r="J62" s="19" t="n">
        <v>265.22</v>
      </c>
      <c r="K62" s="19" t="n">
        <v>116.26</v>
      </c>
      <c r="L62" s="16" t="n">
        <f aca="false">SUM(E62:K62)</f>
        <v>3075.16</v>
      </c>
      <c r="M62" s="16" t="n">
        <f aca="false">L62*12/7</f>
        <v>5271.70285714286</v>
      </c>
      <c r="N62" s="16" t="n">
        <f aca="false">SUM(I62:K62)*4</f>
        <v>4446.4</v>
      </c>
    </row>
    <row r="63" customFormat="false" ht="15" hidden="false" customHeight="false" outlineLevel="0" collapsed="false">
      <c r="B63" s="11" t="s">
        <v>237</v>
      </c>
      <c r="C63" s="6" t="s">
        <v>238</v>
      </c>
      <c r="D63" s="11" t="s">
        <v>220</v>
      </c>
      <c r="E63" s="19" t="n">
        <v>0</v>
      </c>
      <c r="F63" s="19" t="n">
        <v>394.79</v>
      </c>
      <c r="G63" s="19" t="n">
        <v>-102.05</v>
      </c>
      <c r="H63" s="19" t="n">
        <v>312.21</v>
      </c>
      <c r="I63" s="19" t="n">
        <v>137.55</v>
      </c>
      <c r="J63" s="19" t="n">
        <v>295.5</v>
      </c>
      <c r="K63" s="19" t="n">
        <v>335.81</v>
      </c>
      <c r="L63" s="16" t="n">
        <f aca="false">SUM(E63:K63)</f>
        <v>1373.81</v>
      </c>
      <c r="M63" s="16" t="n">
        <f aca="false">L63*12/7</f>
        <v>2355.10285714286</v>
      </c>
      <c r="N63" s="16" t="n">
        <f aca="false">SUM(I63:K63)*4</f>
        <v>3075.44</v>
      </c>
    </row>
    <row r="64" customFormat="false" ht="15" hidden="false" customHeight="false" outlineLevel="0" collapsed="false">
      <c r="B64" s="11" t="s">
        <v>239</v>
      </c>
      <c r="C64" s="6" t="s">
        <v>240</v>
      </c>
      <c r="D64" s="11" t="s">
        <v>220</v>
      </c>
      <c r="E64" s="19" t="n">
        <v>224.59</v>
      </c>
      <c r="F64" s="19" t="n">
        <v>-128.26</v>
      </c>
      <c r="G64" s="19" t="n">
        <v>407.81</v>
      </c>
      <c r="H64" s="19" t="n">
        <v>443.74</v>
      </c>
      <c r="I64" s="19" t="n">
        <v>272.11</v>
      </c>
      <c r="J64" s="19" t="n">
        <v>1087.08</v>
      </c>
      <c r="K64" s="19" t="n">
        <v>328.92</v>
      </c>
      <c r="L64" s="16" t="n">
        <f aca="false">SUM(E64:K64)</f>
        <v>2635.99</v>
      </c>
      <c r="M64" s="16" t="n">
        <f aca="false">L64*12/7</f>
        <v>4518.84</v>
      </c>
      <c r="N64" s="16" t="n">
        <f aca="false">SUM(I64:K64)*4</f>
        <v>6752.44</v>
      </c>
    </row>
    <row r="65" customFormat="false" ht="15" hidden="false" customHeight="false" outlineLevel="0" collapsed="false">
      <c r="B65" s="11" t="s">
        <v>241</v>
      </c>
      <c r="C65" s="6" t="s">
        <v>242</v>
      </c>
      <c r="D65" s="11" t="s">
        <v>220</v>
      </c>
      <c r="E65" s="19" t="n">
        <v>0</v>
      </c>
      <c r="F65" s="19" t="n">
        <v>4056.25</v>
      </c>
      <c r="G65" s="19" t="n">
        <v>-3656.25</v>
      </c>
      <c r="H65" s="19" t="n">
        <v>0</v>
      </c>
      <c r="I65" s="19" t="n">
        <v>0</v>
      </c>
      <c r="J65" s="19" t="n">
        <v>260</v>
      </c>
      <c r="K65" s="19" t="n">
        <v>1050</v>
      </c>
      <c r="L65" s="16" t="n">
        <f aca="false">SUM(E65:K65)</f>
        <v>1710</v>
      </c>
      <c r="M65" s="16" t="n">
        <f aca="false">L65*12/7</f>
        <v>2931.42857142857</v>
      </c>
      <c r="N65" s="16" t="n">
        <f aca="false">SUM(I65:K65)*4</f>
        <v>5240</v>
      </c>
    </row>
    <row r="66" customFormat="false" ht="15" hidden="false" customHeight="false" outlineLevel="0" collapsed="false">
      <c r="B66" s="11" t="s">
        <v>243</v>
      </c>
      <c r="C66" s="6" t="s">
        <v>244</v>
      </c>
      <c r="D66" s="11" t="s">
        <v>220</v>
      </c>
      <c r="E66" s="19" t="n">
        <v>0</v>
      </c>
      <c r="F66" s="19" t="n">
        <v>0</v>
      </c>
      <c r="G66" s="19" t="n">
        <v>0</v>
      </c>
      <c r="H66" s="19" t="n">
        <v>149.62</v>
      </c>
      <c r="I66" s="19" t="n">
        <v>52.91</v>
      </c>
      <c r="J66" s="19" t="n">
        <v>44.73</v>
      </c>
      <c r="K66" s="19" t="n">
        <v>22.95</v>
      </c>
      <c r="L66" s="16" t="n">
        <f aca="false">SUM(E66:K66)</f>
        <v>270.21</v>
      </c>
      <c r="M66" s="16" t="n">
        <f aca="false">L66*12/7</f>
        <v>463.217142857143</v>
      </c>
      <c r="N66" s="16" t="n">
        <f aca="false">SUM(I66:K66)*4</f>
        <v>482.36</v>
      </c>
    </row>
    <row r="67" customFormat="false" ht="15" hidden="false" customHeight="false" outlineLevel="0" collapsed="false">
      <c r="B67" s="11" t="s">
        <v>245</v>
      </c>
      <c r="C67" s="6" t="s">
        <v>246</v>
      </c>
      <c r="D67" s="11" t="s">
        <v>220</v>
      </c>
      <c r="E67" s="19" t="n">
        <v>0</v>
      </c>
      <c r="F67" s="19" t="n">
        <v>0</v>
      </c>
      <c r="G67" s="19" t="n">
        <v>106.85</v>
      </c>
      <c r="H67" s="19" t="n">
        <v>0</v>
      </c>
      <c r="I67" s="19" t="n">
        <v>49.77</v>
      </c>
      <c r="J67" s="19" t="n">
        <v>0</v>
      </c>
      <c r="K67" s="19" t="n">
        <v>0</v>
      </c>
      <c r="L67" s="16" t="n">
        <f aca="false">SUM(E67:K67)</f>
        <v>156.62</v>
      </c>
      <c r="M67" s="16" t="n">
        <f aca="false">L67*12/7</f>
        <v>268.491428571429</v>
      </c>
      <c r="N67" s="16" t="n">
        <f aca="false">SUM(I67:K67)*4</f>
        <v>199.08</v>
      </c>
    </row>
    <row r="68" customFormat="false" ht="15" hidden="false" customHeight="false" outlineLevel="0" collapsed="false">
      <c r="B68" s="11" t="s">
        <v>247</v>
      </c>
      <c r="C68" s="6" t="s">
        <v>248</v>
      </c>
      <c r="D68" s="11" t="s">
        <v>220</v>
      </c>
      <c r="E68" s="19" t="n">
        <v>0</v>
      </c>
      <c r="F68" s="19" t="n">
        <v>0</v>
      </c>
      <c r="G68" s="19" t="n">
        <v>0</v>
      </c>
      <c r="H68" s="19" t="n">
        <v>0</v>
      </c>
      <c r="I68" s="19" t="n">
        <v>0</v>
      </c>
      <c r="J68" s="19" t="n">
        <v>0</v>
      </c>
      <c r="K68" s="19" t="n">
        <v>2654.68</v>
      </c>
      <c r="L68" s="16" t="n">
        <f aca="false">SUM(E68:K68)</f>
        <v>2654.68</v>
      </c>
      <c r="M68" s="16" t="n">
        <f aca="false">L68*12/7</f>
        <v>4550.88</v>
      </c>
      <c r="N68" s="16" t="n">
        <f aca="false">SUM(I68:K68)*4</f>
        <v>10618.72</v>
      </c>
    </row>
    <row r="69" customFormat="false" ht="15" hidden="false" customHeight="false" outlineLevel="0" collapsed="false">
      <c r="B69" s="11" t="s">
        <v>249</v>
      </c>
      <c r="C69" s="6" t="s">
        <v>250</v>
      </c>
      <c r="D69" s="11" t="s">
        <v>220</v>
      </c>
      <c r="E69" s="19" t="n">
        <v>424</v>
      </c>
      <c r="F69" s="19" t="n">
        <v>0</v>
      </c>
      <c r="G69" s="19" t="n">
        <v>-424</v>
      </c>
      <c r="H69" s="19" t="n">
        <v>0</v>
      </c>
      <c r="I69" s="19" t="n">
        <v>0</v>
      </c>
      <c r="J69" s="19" t="n">
        <v>0</v>
      </c>
      <c r="K69" s="19" t="n">
        <v>0</v>
      </c>
      <c r="L69" s="16" t="n">
        <f aca="false">SUM(E69:K69)</f>
        <v>0</v>
      </c>
      <c r="M69" s="16" t="n">
        <f aca="false">L69*12/7</f>
        <v>0</v>
      </c>
      <c r="N69" s="16" t="n">
        <f aca="false">SUM(I69:K69)*4</f>
        <v>0</v>
      </c>
    </row>
    <row r="70" customFormat="false" ht="15" hidden="false" customHeight="false" outlineLevel="0" collapsed="false">
      <c r="B70" s="11" t="s">
        <v>251</v>
      </c>
      <c r="C70" s="6" t="s">
        <v>252</v>
      </c>
      <c r="D70" s="11" t="s">
        <v>253</v>
      </c>
      <c r="E70" s="19" t="n">
        <v>350</v>
      </c>
      <c r="F70" s="19" t="n">
        <v>265</v>
      </c>
      <c r="G70" s="19" t="n">
        <v>640</v>
      </c>
      <c r="H70" s="19" t="n">
        <v>730</v>
      </c>
      <c r="I70" s="19" t="n">
        <v>2145</v>
      </c>
      <c r="J70" s="19" t="n">
        <v>985</v>
      </c>
      <c r="K70" s="19" t="n">
        <v>1170</v>
      </c>
      <c r="L70" s="16" t="n">
        <f aca="false">SUM(E70:K70)</f>
        <v>6285</v>
      </c>
      <c r="M70" s="16" t="n">
        <f aca="false">L70*12/7</f>
        <v>10774.2857142857</v>
      </c>
      <c r="N70" s="16" t="n">
        <f aca="false">SUM(I70:K70)*4</f>
        <v>17200</v>
      </c>
    </row>
    <row r="71" customFormat="false" ht="15" hidden="false" customHeight="false" outlineLevel="0" collapsed="false">
      <c r="B71" s="11" t="s">
        <v>254</v>
      </c>
      <c r="C71" s="6" t="s">
        <v>255</v>
      </c>
      <c r="D71" s="11" t="s">
        <v>253</v>
      </c>
      <c r="E71" s="19" t="n">
        <v>0</v>
      </c>
      <c r="F71" s="19" t="n">
        <v>930</v>
      </c>
      <c r="G71" s="19" t="n">
        <v>1810</v>
      </c>
      <c r="H71" s="19" t="n">
        <v>2920</v>
      </c>
      <c r="I71" s="19" t="n">
        <v>700</v>
      </c>
      <c r="J71" s="19" t="n">
        <v>1710</v>
      </c>
      <c r="K71" s="19" t="n">
        <v>3965</v>
      </c>
      <c r="L71" s="16" t="n">
        <f aca="false">SUM(E71:K71)</f>
        <v>12035</v>
      </c>
      <c r="M71" s="16" t="n">
        <f aca="false">L71*12/7</f>
        <v>20631.4285714286</v>
      </c>
      <c r="N71" s="16" t="n">
        <f aca="false">SUM(I71:K71)*4</f>
        <v>25500</v>
      </c>
    </row>
    <row r="72" customFormat="false" ht="15" hidden="false" customHeight="false" outlineLevel="0" collapsed="false">
      <c r="B72" s="11" t="s">
        <v>256</v>
      </c>
      <c r="C72" s="6" t="s">
        <v>257</v>
      </c>
      <c r="D72" s="11" t="s">
        <v>253</v>
      </c>
      <c r="E72" s="19" t="n">
        <v>0</v>
      </c>
      <c r="F72" s="19" t="n">
        <v>83.75</v>
      </c>
      <c r="G72" s="19" t="n">
        <v>-83.75</v>
      </c>
      <c r="H72" s="19" t="n">
        <v>0</v>
      </c>
      <c r="I72" s="19" t="n">
        <v>0</v>
      </c>
      <c r="J72" s="19" t="n">
        <v>0</v>
      </c>
      <c r="K72" s="19" t="n">
        <v>0</v>
      </c>
      <c r="L72" s="16" t="n">
        <f aca="false">SUM(E72:K72)</f>
        <v>0</v>
      </c>
      <c r="M72" s="16" t="n">
        <f aca="false">L72*12/7</f>
        <v>0</v>
      </c>
      <c r="N72" s="16" t="n">
        <f aca="false">SUM(I72:K72)*4</f>
        <v>0</v>
      </c>
    </row>
    <row r="73" customFormat="false" ht="15" hidden="false" customHeight="false" outlineLevel="0" collapsed="false">
      <c r="B73" s="11" t="s">
        <v>258</v>
      </c>
      <c r="C73" s="6" t="s">
        <v>259</v>
      </c>
      <c r="D73" s="11" t="s">
        <v>253</v>
      </c>
      <c r="E73" s="19" t="n">
        <v>0</v>
      </c>
      <c r="F73" s="19" t="n">
        <v>0</v>
      </c>
      <c r="G73" s="19" t="n">
        <v>129.87</v>
      </c>
      <c r="H73" s="19" t="n">
        <v>0</v>
      </c>
      <c r="I73" s="19" t="n">
        <v>129.87</v>
      </c>
      <c r="J73" s="19" t="n">
        <v>0</v>
      </c>
      <c r="K73" s="19" t="n">
        <v>129.87</v>
      </c>
      <c r="L73" s="16" t="n">
        <f aca="false">SUM(E73:K73)</f>
        <v>389.61</v>
      </c>
      <c r="M73" s="16" t="n">
        <f aca="false">L73*12/7</f>
        <v>667.902857142857</v>
      </c>
      <c r="N73" s="16" t="n">
        <f aca="false">SUM(I73:K73)*4</f>
        <v>1038.96</v>
      </c>
    </row>
    <row r="74" customFormat="false" ht="15" hidden="false" customHeight="false" outlineLevel="0" collapsed="false">
      <c r="B74" s="11" t="s">
        <v>260</v>
      </c>
      <c r="C74" s="6" t="s">
        <v>261</v>
      </c>
      <c r="D74" s="11" t="s">
        <v>253</v>
      </c>
      <c r="E74" s="19" t="n">
        <v>277.08</v>
      </c>
      <c r="F74" s="19" t="n">
        <v>402.15</v>
      </c>
      <c r="G74" s="19" t="n">
        <v>345.81</v>
      </c>
      <c r="H74" s="19" t="n">
        <v>377.2</v>
      </c>
      <c r="I74" s="19" t="n">
        <v>0</v>
      </c>
      <c r="J74" s="19" t="n">
        <v>-47.71</v>
      </c>
      <c r="K74" s="19" t="n">
        <v>795.28</v>
      </c>
      <c r="L74" s="16" t="n">
        <f aca="false">SUM(E74:K74)</f>
        <v>2149.81</v>
      </c>
      <c r="M74" s="16" t="n">
        <f aca="false">L74*12/7</f>
        <v>3685.38857142857</v>
      </c>
      <c r="N74" s="16" t="n">
        <f aca="false">SUM(I74:K74)*4</f>
        <v>2990.28</v>
      </c>
    </row>
    <row r="75" customFormat="false" ht="15" hidden="false" customHeight="false" outlineLevel="0" collapsed="false">
      <c r="B75" s="11" t="s">
        <v>262</v>
      </c>
      <c r="C75" s="6" t="s">
        <v>263</v>
      </c>
      <c r="D75" s="11" t="s">
        <v>253</v>
      </c>
      <c r="E75" s="19" t="n">
        <v>89.32</v>
      </c>
      <c r="F75" s="19" t="n">
        <v>-89.32</v>
      </c>
      <c r="G75" s="19" t="n">
        <v>1011.38</v>
      </c>
      <c r="H75" s="19" t="n">
        <v>305.9</v>
      </c>
      <c r="I75" s="19" t="n">
        <v>118</v>
      </c>
      <c r="J75" s="19" t="n">
        <v>217.42</v>
      </c>
      <c r="K75" s="19" t="n">
        <v>603.02</v>
      </c>
      <c r="L75" s="16" t="n">
        <f aca="false">SUM(E75:K75)</f>
        <v>2255.72</v>
      </c>
      <c r="M75" s="16" t="n">
        <f aca="false">L75*12/7</f>
        <v>3866.94857142857</v>
      </c>
      <c r="N75" s="16" t="n">
        <f aca="false">SUM(I75:K75)*4</f>
        <v>3753.76</v>
      </c>
    </row>
    <row r="76" customFormat="false" ht="15" hidden="false" customHeight="false" outlineLevel="0" collapsed="false">
      <c r="B76" s="11" t="s">
        <v>264</v>
      </c>
      <c r="C76" s="6" t="s">
        <v>265</v>
      </c>
      <c r="D76" s="11" t="s">
        <v>71</v>
      </c>
      <c r="E76" s="19" t="n">
        <v>0</v>
      </c>
      <c r="F76" s="19" t="n">
        <v>60</v>
      </c>
      <c r="G76" s="19" t="n">
        <v>0</v>
      </c>
      <c r="H76" s="19" t="n">
        <v>120</v>
      </c>
      <c r="I76" s="19" t="n">
        <v>60</v>
      </c>
      <c r="J76" s="19" t="n">
        <v>60</v>
      </c>
      <c r="K76" s="19" t="n">
        <v>60</v>
      </c>
      <c r="L76" s="16" t="n">
        <f aca="false">SUM(E76:K76)</f>
        <v>360</v>
      </c>
      <c r="M76" s="16" t="n">
        <f aca="false">L76*12/7</f>
        <v>617.142857142857</v>
      </c>
      <c r="N76" s="16" t="n">
        <f aca="false">SUM(I76:K76)*4</f>
        <v>720</v>
      </c>
    </row>
    <row r="77" customFormat="false" ht="15" hidden="false" customHeight="false" outlineLevel="0" collapsed="false">
      <c r="B77" s="11" t="s">
        <v>266</v>
      </c>
      <c r="C77" s="6" t="s">
        <v>267</v>
      </c>
      <c r="D77" s="11" t="s">
        <v>71</v>
      </c>
      <c r="E77" s="19" t="n">
        <v>0</v>
      </c>
      <c r="F77" s="19" t="n">
        <v>10662</v>
      </c>
      <c r="G77" s="19" t="n">
        <v>-10662</v>
      </c>
      <c r="H77" s="19" t="n">
        <v>720</v>
      </c>
      <c r="I77" s="19" t="n">
        <v>2280</v>
      </c>
      <c r="J77" s="19" t="n">
        <v>1360</v>
      </c>
      <c r="K77" s="19" t="n">
        <v>720</v>
      </c>
      <c r="L77" s="16" t="n">
        <f aca="false">SUM(E77:K77)</f>
        <v>5080</v>
      </c>
      <c r="M77" s="16" t="n">
        <f aca="false">L77*12/7</f>
        <v>8708.57142857143</v>
      </c>
      <c r="N77" s="16" t="n">
        <f aca="false">SUM(I77:K77)*4</f>
        <v>17440</v>
      </c>
    </row>
    <row r="78" customFormat="false" ht="15" hidden="false" customHeight="false" outlineLevel="0" collapsed="false">
      <c r="B78" s="11" t="s">
        <v>268</v>
      </c>
      <c r="C78" s="6" t="s">
        <v>269</v>
      </c>
      <c r="D78" s="11" t="s">
        <v>71</v>
      </c>
      <c r="E78" s="19" t="n">
        <v>0</v>
      </c>
      <c r="F78" s="19" t="n">
        <v>0</v>
      </c>
      <c r="G78" s="19" t="n">
        <v>0</v>
      </c>
      <c r="H78" s="19" t="n">
        <v>230</v>
      </c>
      <c r="I78" s="19" t="n">
        <v>910</v>
      </c>
      <c r="J78" s="19" t="n">
        <v>540</v>
      </c>
      <c r="K78" s="19" t="n">
        <v>360</v>
      </c>
      <c r="L78" s="16" t="n">
        <f aca="false">SUM(E78:K78)</f>
        <v>2040</v>
      </c>
      <c r="M78" s="16" t="n">
        <f aca="false">L78*12/7</f>
        <v>3497.14285714286</v>
      </c>
      <c r="N78" s="16" t="n">
        <f aca="false">SUM(I78:K78)*4</f>
        <v>7240</v>
      </c>
    </row>
    <row r="79" customFormat="false" ht="15" hidden="false" customHeight="false" outlineLevel="0" collapsed="false">
      <c r="B79" s="11" t="s">
        <v>270</v>
      </c>
      <c r="C79" s="6" t="s">
        <v>271</v>
      </c>
      <c r="D79" s="11" t="s">
        <v>71</v>
      </c>
      <c r="E79" s="19" t="n">
        <v>0</v>
      </c>
      <c r="F79" s="19" t="n">
        <v>9312.38</v>
      </c>
      <c r="G79" s="19" t="n">
        <v>0</v>
      </c>
      <c r="H79" s="19" t="n">
        <v>10310.02</v>
      </c>
      <c r="I79" s="19" t="n">
        <v>4905.6</v>
      </c>
      <c r="J79" s="19" t="n">
        <v>4905.6</v>
      </c>
      <c r="K79" s="19" t="n">
        <v>13965.6</v>
      </c>
      <c r="L79" s="16" t="n">
        <f aca="false">SUM(E79:K79)</f>
        <v>43399.2</v>
      </c>
      <c r="M79" s="16" t="n">
        <f aca="false">L79*12/7</f>
        <v>74398.6285714286</v>
      </c>
      <c r="N79" s="16" t="n">
        <f aca="false">SUM(I79:K79)*4</f>
        <v>95107.2</v>
      </c>
    </row>
    <row r="80" customFormat="false" ht="15" hidden="false" customHeight="false" outlineLevel="0" collapsed="false">
      <c r="B80" s="11" t="s">
        <v>272</v>
      </c>
      <c r="C80" s="6" t="s">
        <v>273</v>
      </c>
      <c r="D80" s="11" t="s">
        <v>71</v>
      </c>
      <c r="E80" s="19" t="n">
        <v>879.46</v>
      </c>
      <c r="F80" s="19" t="n">
        <v>548.54</v>
      </c>
      <c r="G80" s="19" t="n">
        <v>1144</v>
      </c>
      <c r="H80" s="19" t="n">
        <v>932</v>
      </c>
      <c r="I80" s="19" t="n">
        <v>796</v>
      </c>
      <c r="J80" s="19" t="n">
        <v>795.75</v>
      </c>
      <c r="K80" s="19" t="n">
        <v>876.75</v>
      </c>
      <c r="L80" s="16" t="n">
        <f aca="false">SUM(E80:K80)</f>
        <v>5972.5</v>
      </c>
      <c r="M80" s="16" t="n">
        <f aca="false">L80*12/7</f>
        <v>10238.5714285714</v>
      </c>
      <c r="N80" s="16" t="n">
        <f aca="false">SUM(I80:K80)*4</f>
        <v>9874</v>
      </c>
    </row>
    <row r="81" customFormat="false" ht="15" hidden="false" customHeight="false" outlineLevel="0" collapsed="false">
      <c r="B81" s="11" t="s">
        <v>274</v>
      </c>
      <c r="C81" s="6" t="s">
        <v>275</v>
      </c>
      <c r="D81" s="11" t="s">
        <v>71</v>
      </c>
      <c r="E81" s="19" t="n">
        <v>280</v>
      </c>
      <c r="F81" s="19" t="n">
        <v>350</v>
      </c>
      <c r="G81" s="19" t="n">
        <v>200</v>
      </c>
      <c r="H81" s="19" t="n">
        <v>400</v>
      </c>
      <c r="I81" s="19" t="n">
        <v>200</v>
      </c>
      <c r="J81" s="19" t="n">
        <v>200</v>
      </c>
      <c r="K81" s="19" t="n">
        <v>200</v>
      </c>
      <c r="L81" s="16" t="n">
        <f aca="false">SUM(E81:K81)</f>
        <v>1830</v>
      </c>
      <c r="M81" s="16" t="n">
        <f aca="false">L81*12/7</f>
        <v>3137.14285714286</v>
      </c>
      <c r="N81" s="16" t="n">
        <f aca="false">SUM(I81:K81)*4</f>
        <v>2400</v>
      </c>
    </row>
    <row r="82" customFormat="false" ht="15" hidden="false" customHeight="false" outlineLevel="0" collapsed="false">
      <c r="B82" s="11" t="s">
        <v>276</v>
      </c>
      <c r="C82" s="6" t="s">
        <v>277</v>
      </c>
      <c r="D82" s="11" t="s">
        <v>71</v>
      </c>
      <c r="E82" s="19" t="n">
        <v>0</v>
      </c>
      <c r="F82" s="19" t="n">
        <v>1817.2</v>
      </c>
      <c r="G82" s="19" t="n">
        <v>-1817.2</v>
      </c>
      <c r="H82" s="19" t="n">
        <v>0</v>
      </c>
      <c r="I82" s="19" t="n">
        <v>0</v>
      </c>
      <c r="J82" s="19" t="n">
        <v>0</v>
      </c>
      <c r="K82" s="19" t="n">
        <v>0</v>
      </c>
      <c r="L82" s="16" t="n">
        <f aca="false">SUM(E82:K82)</f>
        <v>0</v>
      </c>
      <c r="M82" s="16" t="n">
        <f aca="false">L82*12/7</f>
        <v>0</v>
      </c>
      <c r="N82" s="16" t="n">
        <f aca="false">SUM(I82:K82)*4</f>
        <v>0</v>
      </c>
    </row>
    <row r="83" customFormat="false" ht="15" hidden="false" customHeight="false" outlineLevel="0" collapsed="false">
      <c r="B83" s="11" t="s">
        <v>278</v>
      </c>
      <c r="C83" s="6" t="s">
        <v>279</v>
      </c>
      <c r="D83" s="11" t="s">
        <v>71</v>
      </c>
      <c r="E83" s="19" t="n">
        <v>0</v>
      </c>
      <c r="F83" s="19" t="n">
        <v>14100.24</v>
      </c>
      <c r="G83" s="19" t="n">
        <v>8786.94</v>
      </c>
      <c r="H83" s="19" t="n">
        <v>7345.47</v>
      </c>
      <c r="I83" s="19" t="n">
        <v>2380</v>
      </c>
      <c r="J83" s="19" t="n">
        <v>15274.53</v>
      </c>
      <c r="K83" s="19" t="n">
        <v>7566.04</v>
      </c>
      <c r="L83" s="16" t="n">
        <f aca="false">SUM(E83:K83)</f>
        <v>55453.22</v>
      </c>
      <c r="M83" s="16" t="n">
        <f aca="false">L83*12/7</f>
        <v>95062.6628571429</v>
      </c>
      <c r="N83" s="16" t="n">
        <f aca="false">SUM(I83:K83)*4</f>
        <v>100882.28</v>
      </c>
    </row>
    <row r="84" customFormat="false" ht="15" hidden="false" customHeight="false" outlineLevel="0" collapsed="false">
      <c r="B84" s="11" t="s">
        <v>280</v>
      </c>
      <c r="C84" s="6" t="s">
        <v>281</v>
      </c>
      <c r="D84" s="11" t="s">
        <v>71</v>
      </c>
      <c r="E84" s="19" t="n">
        <v>2380</v>
      </c>
      <c r="F84" s="19" t="n">
        <v>2380</v>
      </c>
      <c r="G84" s="19" t="n">
        <v>-4760</v>
      </c>
      <c r="H84" s="19" t="n">
        <v>0</v>
      </c>
      <c r="I84" s="19" t="n">
        <v>0</v>
      </c>
      <c r="J84" s="19" t="n">
        <v>0</v>
      </c>
      <c r="K84" s="19" t="n">
        <v>0</v>
      </c>
      <c r="L84" s="16" t="n">
        <f aca="false">SUM(E84:K84)</f>
        <v>0</v>
      </c>
      <c r="M84" s="16" t="n">
        <f aca="false">L84*12/7</f>
        <v>0</v>
      </c>
      <c r="N84" s="16" t="n">
        <f aca="false">SUM(I84:K84)*4</f>
        <v>0</v>
      </c>
    </row>
    <row r="85" customFormat="false" ht="15" hidden="false" customHeight="false" outlineLevel="0" collapsed="false">
      <c r="B85" s="11" t="s">
        <v>282</v>
      </c>
      <c r="C85" s="6" t="s">
        <v>283</v>
      </c>
      <c r="D85" s="11" t="s">
        <v>71</v>
      </c>
      <c r="E85" s="19" t="n">
        <v>2053.97</v>
      </c>
      <c r="F85" s="19" t="n">
        <v>2886.71</v>
      </c>
      <c r="G85" s="19" t="n">
        <v>-2856.97</v>
      </c>
      <c r="H85" s="19" t="n">
        <v>69.95</v>
      </c>
      <c r="I85" s="19" t="n">
        <v>-263.69</v>
      </c>
      <c r="J85" s="19" t="n">
        <v>-96.87</v>
      </c>
      <c r="K85" s="19" t="n">
        <v>69.95</v>
      </c>
      <c r="L85" s="16" t="n">
        <f aca="false">SUM(E85:K85)</f>
        <v>1863.05</v>
      </c>
      <c r="M85" s="16" t="n">
        <f aca="false">L85*12/7</f>
        <v>3193.8</v>
      </c>
      <c r="N85" s="16" t="n">
        <f aca="false">SUM(I85:K85)*4</f>
        <v>-1162.44</v>
      </c>
    </row>
    <row r="86" customFormat="false" ht="15" hidden="false" customHeight="false" outlineLevel="0" collapsed="false">
      <c r="B86" s="11" t="s">
        <v>284</v>
      </c>
      <c r="C86" s="6" t="s">
        <v>285</v>
      </c>
      <c r="D86" s="11" t="s">
        <v>286</v>
      </c>
      <c r="E86" s="19" t="n">
        <v>0</v>
      </c>
      <c r="F86" s="19" t="n">
        <v>17.47</v>
      </c>
      <c r="G86" s="19" t="n">
        <v>989.44</v>
      </c>
      <c r="H86" s="19" t="n">
        <v>0</v>
      </c>
      <c r="I86" s="19" t="n">
        <v>0</v>
      </c>
      <c r="J86" s="19" t="n">
        <v>0</v>
      </c>
      <c r="K86" s="19" t="n">
        <v>0</v>
      </c>
      <c r="L86" s="16" t="n">
        <f aca="false">SUM(E86:K86)</f>
        <v>1006.91</v>
      </c>
      <c r="M86" s="16" t="n">
        <f aca="false">L86*12/7</f>
        <v>1726.13142857143</v>
      </c>
      <c r="N86" s="16" t="n">
        <f aca="false">SUM(I86:K86)*4</f>
        <v>0</v>
      </c>
    </row>
    <row r="87" customFormat="false" ht="15" hidden="false" customHeight="false" outlineLevel="0" collapsed="false">
      <c r="B87" s="11" t="s">
        <v>287</v>
      </c>
      <c r="C87" s="6" t="s">
        <v>288</v>
      </c>
      <c r="D87" s="11" t="s">
        <v>286</v>
      </c>
      <c r="E87" s="19" t="n">
        <v>0</v>
      </c>
      <c r="F87" s="19" t="n">
        <v>0</v>
      </c>
      <c r="G87" s="19" t="n">
        <v>5678.04</v>
      </c>
      <c r="H87" s="19" t="n">
        <v>2995.1</v>
      </c>
      <c r="I87" s="19" t="n">
        <v>6378</v>
      </c>
      <c r="J87" s="19" t="n">
        <v>4662.18</v>
      </c>
      <c r="K87" s="19" t="n">
        <v>3689</v>
      </c>
      <c r="L87" s="16" t="n">
        <f aca="false">SUM(E87:K87)</f>
        <v>23402.32</v>
      </c>
      <c r="M87" s="16" t="n">
        <f aca="false">L87*12/7</f>
        <v>40118.2628571429</v>
      </c>
      <c r="N87" s="16" t="n">
        <f aca="false">SUM(I87:K87)*4</f>
        <v>58916.72</v>
      </c>
    </row>
    <row r="88" customFormat="false" ht="15" hidden="false" customHeight="false" outlineLevel="0" collapsed="false">
      <c r="B88" s="11" t="s">
        <v>289</v>
      </c>
      <c r="C88" s="6" t="s">
        <v>290</v>
      </c>
      <c r="D88" s="11" t="s">
        <v>286</v>
      </c>
      <c r="E88" s="19" t="n">
        <v>0</v>
      </c>
      <c r="F88" s="19" t="n">
        <v>2556.98</v>
      </c>
      <c r="G88" s="19" t="n">
        <v>1839.13</v>
      </c>
      <c r="H88" s="19" t="n">
        <v>3633.55</v>
      </c>
      <c r="I88" s="19" t="n">
        <v>1569</v>
      </c>
      <c r="J88" s="19" t="n">
        <v>3231.92</v>
      </c>
      <c r="K88" s="19" t="n">
        <v>6365.96</v>
      </c>
      <c r="L88" s="16" t="n">
        <f aca="false">SUM(E88:K88)</f>
        <v>19196.54</v>
      </c>
      <c r="M88" s="16" t="n">
        <f aca="false">L88*12/7</f>
        <v>32908.3542857143</v>
      </c>
      <c r="N88" s="16" t="n">
        <f aca="false">SUM(I88:K88)*4</f>
        <v>44667.52</v>
      </c>
    </row>
    <row r="89" customFormat="false" ht="15" hidden="false" customHeight="false" outlineLevel="0" collapsed="false">
      <c r="B89" s="11" t="s">
        <v>291</v>
      </c>
      <c r="C89" s="6" t="s">
        <v>292</v>
      </c>
      <c r="D89" s="11" t="s">
        <v>286</v>
      </c>
      <c r="E89" s="19" t="n">
        <v>0</v>
      </c>
      <c r="F89" s="19" t="n">
        <v>5137.24</v>
      </c>
      <c r="G89" s="19" t="n">
        <v>-3769</v>
      </c>
      <c r="H89" s="19" t="n">
        <v>199</v>
      </c>
      <c r="I89" s="19" t="n">
        <v>199</v>
      </c>
      <c r="J89" s="19" t="n">
        <v>199</v>
      </c>
      <c r="K89" s="19" t="n">
        <v>199</v>
      </c>
      <c r="L89" s="16" t="n">
        <f aca="false">SUM(E89:K89)</f>
        <v>2164.24</v>
      </c>
      <c r="M89" s="16" t="n">
        <f aca="false">L89*12/7</f>
        <v>3710.12571428571</v>
      </c>
      <c r="N89" s="16" t="n">
        <f aca="false">SUM(I89:K89)*4</f>
        <v>2388</v>
      </c>
    </row>
    <row r="90" customFormat="false" ht="15" hidden="false" customHeight="false" outlineLevel="0" collapsed="false">
      <c r="B90" s="11" t="s">
        <v>293</v>
      </c>
      <c r="C90" s="6" t="s">
        <v>294</v>
      </c>
      <c r="D90" s="11" t="s">
        <v>286</v>
      </c>
      <c r="E90" s="19" t="n">
        <v>0</v>
      </c>
      <c r="F90" s="19" t="n">
        <v>0</v>
      </c>
      <c r="G90" s="19" t="n">
        <v>998</v>
      </c>
      <c r="H90" s="19" t="n">
        <v>499</v>
      </c>
      <c r="I90" s="19" t="n">
        <v>0</v>
      </c>
      <c r="J90" s="19" t="n">
        <v>499</v>
      </c>
      <c r="K90" s="19" t="n">
        <v>499</v>
      </c>
      <c r="L90" s="16" t="n">
        <f aca="false">SUM(E90:K90)</f>
        <v>2495</v>
      </c>
      <c r="M90" s="16" t="n">
        <f aca="false">L90*12/7</f>
        <v>4277.14285714286</v>
      </c>
      <c r="N90" s="16" t="n">
        <f aca="false">SUM(I90:K90)*4</f>
        <v>3992</v>
      </c>
    </row>
    <row r="91" customFormat="false" ht="15" hidden="false" customHeight="false" outlineLevel="0" collapsed="false">
      <c r="B91" s="11" t="s">
        <v>295</v>
      </c>
      <c r="C91" s="6" t="s">
        <v>296</v>
      </c>
      <c r="D91" s="11" t="s">
        <v>286</v>
      </c>
      <c r="E91" s="19" t="n">
        <v>0</v>
      </c>
      <c r="F91" s="19" t="n">
        <v>300.17</v>
      </c>
      <c r="G91" s="19" t="n">
        <v>150.08</v>
      </c>
      <c r="H91" s="19" t="n">
        <v>0</v>
      </c>
      <c r="I91" s="19" t="n">
        <v>0</v>
      </c>
      <c r="J91" s="19" t="n">
        <v>0</v>
      </c>
      <c r="K91" s="19" t="n">
        <v>0</v>
      </c>
      <c r="L91" s="16" t="n">
        <f aca="false">SUM(E91:K91)</f>
        <v>450.25</v>
      </c>
      <c r="M91" s="16" t="n">
        <f aca="false">L91*12/7</f>
        <v>771.857142857143</v>
      </c>
      <c r="N91" s="16" t="n">
        <f aca="false">SUM(I91:K91)*4</f>
        <v>0</v>
      </c>
    </row>
    <row r="92" customFormat="false" ht="15" hidden="false" customHeight="false" outlineLevel="0" collapsed="false">
      <c r="B92" s="11" t="s">
        <v>297</v>
      </c>
      <c r="C92" s="6" t="s">
        <v>298</v>
      </c>
      <c r="D92" s="11" t="s">
        <v>286</v>
      </c>
      <c r="E92" s="19" t="n">
        <v>0</v>
      </c>
      <c r="F92" s="19" t="n">
        <v>338.67</v>
      </c>
      <c r="G92" s="19" t="n">
        <v>-338.67</v>
      </c>
      <c r="H92" s="19" t="n">
        <v>0</v>
      </c>
      <c r="I92" s="19" t="n">
        <v>0</v>
      </c>
      <c r="J92" s="19" t="n">
        <v>0</v>
      </c>
      <c r="K92" s="19" t="n">
        <v>0</v>
      </c>
      <c r="L92" s="16" t="n">
        <f aca="false">SUM(E92:K92)</f>
        <v>0</v>
      </c>
      <c r="M92" s="16" t="n">
        <f aca="false">L92*12/7</f>
        <v>0</v>
      </c>
      <c r="N92" s="16" t="n">
        <f aca="false">SUM(I92:K92)*4</f>
        <v>0</v>
      </c>
    </row>
    <row r="93" customFormat="false" ht="15" hidden="false" customHeight="false" outlineLevel="0" collapsed="false">
      <c r="B93" s="11" t="s">
        <v>299</v>
      </c>
      <c r="C93" s="6" t="s">
        <v>300</v>
      </c>
      <c r="D93" s="11" t="s">
        <v>286</v>
      </c>
      <c r="E93" s="19" t="n">
        <v>0</v>
      </c>
      <c r="F93" s="19" t="n">
        <v>322.92</v>
      </c>
      <c r="G93" s="19" t="n">
        <v>-322.92</v>
      </c>
      <c r="H93" s="19" t="n">
        <v>0</v>
      </c>
      <c r="I93" s="19" t="n">
        <v>0</v>
      </c>
      <c r="J93" s="19" t="n">
        <v>0</v>
      </c>
      <c r="K93" s="19" t="n">
        <v>0</v>
      </c>
      <c r="L93" s="16" t="n">
        <f aca="false">SUM(E93:K93)</f>
        <v>0</v>
      </c>
      <c r="M93" s="16" t="n">
        <f aca="false">L93*12/7</f>
        <v>0</v>
      </c>
      <c r="N93" s="16" t="n">
        <f aca="false">SUM(I93:K93)*4</f>
        <v>0</v>
      </c>
    </row>
    <row r="94" customFormat="false" ht="15" hidden="false" customHeight="false" outlineLevel="0" collapsed="false">
      <c r="B94" s="11" t="s">
        <v>301</v>
      </c>
      <c r="C94" s="6" t="s">
        <v>302</v>
      </c>
      <c r="D94" s="11" t="s">
        <v>286</v>
      </c>
      <c r="E94" s="19" t="n">
        <v>0</v>
      </c>
      <c r="F94" s="19" t="n">
        <v>0</v>
      </c>
      <c r="G94" s="19" t="n">
        <v>0</v>
      </c>
      <c r="H94" s="19" t="n">
        <v>0</v>
      </c>
      <c r="I94" s="19" t="n">
        <v>500</v>
      </c>
      <c r="J94" s="19" t="n">
        <v>0</v>
      </c>
      <c r="K94" s="19" t="n">
        <v>1000</v>
      </c>
      <c r="L94" s="16" t="n">
        <f aca="false">SUM(E94:K94)</f>
        <v>1500</v>
      </c>
      <c r="M94" s="16" t="n">
        <f aca="false">L94*12/7</f>
        <v>2571.42857142857</v>
      </c>
      <c r="N94" s="16" t="n">
        <f aca="false">SUM(I94:K94)*4</f>
        <v>6000</v>
      </c>
    </row>
    <row r="95" customFormat="false" ht="15" hidden="false" customHeight="false" outlineLevel="0" collapsed="false">
      <c r="B95" s="11" t="s">
        <v>303</v>
      </c>
      <c r="C95" s="6" t="s">
        <v>304</v>
      </c>
      <c r="D95" s="11" t="s">
        <v>286</v>
      </c>
      <c r="E95" s="19" t="n">
        <v>140</v>
      </c>
      <c r="F95" s="19" t="n">
        <v>4545.78</v>
      </c>
      <c r="G95" s="19" t="n">
        <v>-4265.78</v>
      </c>
      <c r="H95" s="19" t="n">
        <v>140</v>
      </c>
      <c r="I95" s="19" t="n">
        <v>140</v>
      </c>
      <c r="J95" s="19" t="n">
        <v>140</v>
      </c>
      <c r="K95" s="19" t="n">
        <v>140</v>
      </c>
      <c r="L95" s="16" t="n">
        <f aca="false">SUM(E95:K95)</f>
        <v>980</v>
      </c>
      <c r="M95" s="16" t="n">
        <f aca="false">L95*12/7</f>
        <v>1680</v>
      </c>
      <c r="N95" s="16" t="n">
        <f aca="false">SUM(I95:K95)*4</f>
        <v>1680</v>
      </c>
    </row>
    <row r="96" customFormat="false" ht="15" hidden="false" customHeight="false" outlineLevel="0" collapsed="false">
      <c r="B96" s="11" t="s">
        <v>305</v>
      </c>
      <c r="C96" s="6" t="s">
        <v>306</v>
      </c>
      <c r="D96" s="11" t="s">
        <v>286</v>
      </c>
      <c r="E96" s="19" t="n">
        <v>233.7</v>
      </c>
      <c r="F96" s="19" t="n">
        <v>25.64</v>
      </c>
      <c r="G96" s="19" t="n">
        <v>1274.57</v>
      </c>
      <c r="H96" s="19" t="n">
        <v>2168.77</v>
      </c>
      <c r="I96" s="19" t="n">
        <v>403.54</v>
      </c>
      <c r="J96" s="19" t="n">
        <v>1889.05</v>
      </c>
      <c r="K96" s="19" t="n">
        <v>958.97</v>
      </c>
      <c r="L96" s="16" t="n">
        <f aca="false">SUM(E96:K96)</f>
        <v>6954.24</v>
      </c>
      <c r="M96" s="16" t="n">
        <f aca="false">L96*12/7</f>
        <v>11921.5542857143</v>
      </c>
      <c r="N96" s="16" t="n">
        <f aca="false">SUM(I96:K96)*4</f>
        <v>13006.24</v>
      </c>
    </row>
    <row r="97" customFormat="false" ht="15" hidden="false" customHeight="false" outlineLevel="0" collapsed="false">
      <c r="B97" s="11" t="s">
        <v>307</v>
      </c>
      <c r="C97" s="6" t="s">
        <v>308</v>
      </c>
      <c r="D97" s="11" t="s">
        <v>286</v>
      </c>
      <c r="E97" s="19" t="n">
        <v>0</v>
      </c>
      <c r="F97" s="19" t="n">
        <v>0</v>
      </c>
      <c r="G97" s="19" t="n">
        <v>320.88</v>
      </c>
      <c r="H97" s="19" t="n">
        <v>0</v>
      </c>
      <c r="I97" s="19" t="n">
        <v>0</v>
      </c>
      <c r="J97" s="19" t="n">
        <v>636.46</v>
      </c>
      <c r="K97" s="19" t="n">
        <v>336.72</v>
      </c>
      <c r="L97" s="16" t="n">
        <f aca="false">SUM(E97:K97)</f>
        <v>1294.06</v>
      </c>
      <c r="M97" s="16" t="n">
        <f aca="false">L97*12/7</f>
        <v>2218.38857142857</v>
      </c>
      <c r="N97" s="16" t="n">
        <f aca="false">SUM(I97:K97)*4</f>
        <v>3892.72</v>
      </c>
    </row>
    <row r="98" customFormat="false" ht="15" hidden="false" customHeight="false" outlineLevel="0" collapsed="false">
      <c r="B98" s="11" t="s">
        <v>309</v>
      </c>
      <c r="C98" s="6" t="s">
        <v>310</v>
      </c>
      <c r="D98" s="11" t="s">
        <v>286</v>
      </c>
      <c r="E98" s="19" t="n">
        <v>0</v>
      </c>
      <c r="F98" s="19" t="n">
        <v>133.1</v>
      </c>
      <c r="G98" s="19" t="n">
        <v>-133.1</v>
      </c>
      <c r="H98" s="19" t="n">
        <v>24.79</v>
      </c>
      <c r="I98" s="19" t="n">
        <v>0</v>
      </c>
      <c r="J98" s="19" t="n">
        <v>66.75</v>
      </c>
      <c r="K98" s="19" t="n">
        <v>0</v>
      </c>
      <c r="L98" s="16" t="n">
        <f aca="false">SUM(E98:K98)</f>
        <v>91.54</v>
      </c>
      <c r="M98" s="16" t="n">
        <f aca="false">L98*12/7</f>
        <v>156.925714285714</v>
      </c>
      <c r="N98" s="16" t="n">
        <f aca="false">SUM(I98:K98)*4</f>
        <v>267</v>
      </c>
    </row>
    <row r="99" customFormat="false" ht="15" hidden="false" customHeight="false" outlineLevel="0" collapsed="false">
      <c r="B99" s="11" t="s">
        <v>311</v>
      </c>
      <c r="C99" s="6" t="s">
        <v>312</v>
      </c>
      <c r="D99" s="11" t="s">
        <v>313</v>
      </c>
      <c r="E99" s="19" t="n">
        <v>0</v>
      </c>
      <c r="F99" s="19" t="n">
        <v>9870.5</v>
      </c>
      <c r="G99" s="19" t="n">
        <v>-7950.38</v>
      </c>
      <c r="H99" s="19" t="n">
        <v>1853.91</v>
      </c>
      <c r="I99" s="19" t="n">
        <v>-1241.18</v>
      </c>
      <c r="J99" s="19" t="n">
        <v>258.28</v>
      </c>
      <c r="K99" s="19" t="n">
        <v>291.91</v>
      </c>
      <c r="L99" s="16" t="n">
        <f aca="false">SUM(E99:K99)</f>
        <v>3083.04</v>
      </c>
      <c r="M99" s="16" t="n">
        <f aca="false">L99*12/7</f>
        <v>5285.21142857143</v>
      </c>
      <c r="N99" s="16" t="n">
        <f aca="false">SUM(I99:K99)*4</f>
        <v>-2763.96</v>
      </c>
    </row>
    <row r="100" customFormat="false" ht="15" hidden="false" customHeight="false" outlineLevel="0" collapsed="false">
      <c r="B100" s="11" t="s">
        <v>314</v>
      </c>
      <c r="C100" s="6" t="s">
        <v>315</v>
      </c>
      <c r="D100" s="11" t="s">
        <v>313</v>
      </c>
      <c r="E100" s="19" t="n">
        <v>0</v>
      </c>
      <c r="F100" s="19" t="n">
        <v>4912.99</v>
      </c>
      <c r="G100" s="19" t="n">
        <v>-3088.11</v>
      </c>
      <c r="H100" s="19" t="n">
        <v>912.44</v>
      </c>
      <c r="I100" s="19" t="n">
        <v>912.44</v>
      </c>
      <c r="J100" s="19" t="n">
        <v>912.44</v>
      </c>
      <c r="K100" s="19" t="n">
        <v>912.44</v>
      </c>
      <c r="L100" s="16" t="n">
        <f aca="false">SUM(E100:K100)</f>
        <v>5474.64</v>
      </c>
      <c r="M100" s="16" t="n">
        <f aca="false">L100*12/7</f>
        <v>9385.09714285714</v>
      </c>
      <c r="N100" s="16" t="n">
        <f aca="false">SUM(I100:K100)*4</f>
        <v>10949.28</v>
      </c>
    </row>
    <row r="101" customFormat="false" ht="15" hidden="false" customHeight="false" outlineLevel="0" collapsed="false">
      <c r="B101" s="11" t="s">
        <v>316</v>
      </c>
      <c r="C101" s="6" t="s">
        <v>317</v>
      </c>
      <c r="D101" s="11" t="s">
        <v>313</v>
      </c>
      <c r="E101" s="19" t="n">
        <v>0</v>
      </c>
      <c r="F101" s="19" t="n">
        <v>1346.33</v>
      </c>
      <c r="G101" s="19" t="n">
        <v>0</v>
      </c>
      <c r="H101" s="19" t="n">
        <v>0</v>
      </c>
      <c r="I101" s="19" t="n">
        <v>0</v>
      </c>
      <c r="J101" s="19" t="n">
        <v>0</v>
      </c>
      <c r="K101" s="19" t="n">
        <v>0</v>
      </c>
      <c r="L101" s="16" t="n">
        <f aca="false">SUM(E101:K101)</f>
        <v>1346.33</v>
      </c>
      <c r="M101" s="16" t="n">
        <f aca="false">L101*12/7</f>
        <v>2307.99428571429</v>
      </c>
      <c r="N101" s="16" t="n">
        <f aca="false">SUM(I101:K101)*4</f>
        <v>0</v>
      </c>
    </row>
    <row r="102" customFormat="false" ht="15" hidden="false" customHeight="false" outlineLevel="0" collapsed="false">
      <c r="B102" s="11" t="s">
        <v>318</v>
      </c>
      <c r="C102" s="6" t="s">
        <v>319</v>
      </c>
      <c r="D102" s="11" t="s">
        <v>313</v>
      </c>
      <c r="E102" s="19" t="n">
        <v>424.36</v>
      </c>
      <c r="F102" s="19" t="n">
        <v>0</v>
      </c>
      <c r="G102" s="19" t="n">
        <v>-198.49</v>
      </c>
      <c r="H102" s="19" t="n">
        <v>410.66</v>
      </c>
      <c r="I102" s="19" t="n">
        <v>218.55</v>
      </c>
      <c r="J102" s="19" t="n">
        <v>649.28</v>
      </c>
      <c r="K102" s="19" t="n">
        <v>218.55</v>
      </c>
      <c r="L102" s="16" t="n">
        <f aca="false">SUM(E102:K102)</f>
        <v>1722.91</v>
      </c>
      <c r="M102" s="16" t="n">
        <f aca="false">L102*12/7</f>
        <v>2953.56</v>
      </c>
      <c r="N102" s="16" t="n">
        <f aca="false">SUM(I102:K102)*4</f>
        <v>4345.52</v>
      </c>
    </row>
    <row r="103" customFormat="false" ht="15" hidden="false" customHeight="false" outlineLevel="0" collapsed="false">
      <c r="B103" s="11" t="s">
        <v>320</v>
      </c>
      <c r="C103" s="6" t="s">
        <v>321</v>
      </c>
      <c r="D103" s="11" t="s">
        <v>313</v>
      </c>
      <c r="E103" s="19" t="n">
        <v>27.28</v>
      </c>
      <c r="F103" s="19" t="n">
        <v>1813.62</v>
      </c>
      <c r="G103" s="19" t="n">
        <v>-1643</v>
      </c>
      <c r="H103" s="19" t="n">
        <v>120.39</v>
      </c>
      <c r="I103" s="19" t="n">
        <v>182.19</v>
      </c>
      <c r="J103" s="19" t="n">
        <v>116.64</v>
      </c>
      <c r="K103" s="19" t="n">
        <v>810.38</v>
      </c>
      <c r="L103" s="16" t="n">
        <f aca="false">SUM(E103:K103)</f>
        <v>1427.5</v>
      </c>
      <c r="M103" s="16" t="n">
        <f aca="false">L103*12/7</f>
        <v>2447.14285714286</v>
      </c>
      <c r="N103" s="16" t="n">
        <f aca="false">SUM(I103:K103)*4</f>
        <v>4436.84</v>
      </c>
    </row>
    <row r="104" customFormat="false" ht="15" hidden="false" customHeight="false" outlineLevel="0" collapsed="false">
      <c r="B104" s="11" t="s">
        <v>322</v>
      </c>
      <c r="C104" s="6" t="s">
        <v>323</v>
      </c>
      <c r="D104" s="11" t="s">
        <v>313</v>
      </c>
      <c r="E104" s="19" t="n">
        <v>0</v>
      </c>
      <c r="F104" s="19" t="n">
        <v>464.95</v>
      </c>
      <c r="G104" s="19" t="n">
        <v>300</v>
      </c>
      <c r="H104" s="19" t="n">
        <v>281.48</v>
      </c>
      <c r="I104" s="19" t="n">
        <v>31</v>
      </c>
      <c r="J104" s="19" t="n">
        <v>237.52</v>
      </c>
      <c r="K104" s="19" t="n">
        <v>300</v>
      </c>
      <c r="L104" s="16" t="n">
        <f aca="false">SUM(E104:K104)</f>
        <v>1614.95</v>
      </c>
      <c r="M104" s="16" t="n">
        <f aca="false">L104*12/7</f>
        <v>2768.48571428571</v>
      </c>
      <c r="N104" s="16" t="n">
        <f aca="false">SUM(I104:K104)*4</f>
        <v>2274.08</v>
      </c>
    </row>
    <row r="105" customFormat="false" ht="15" hidden="false" customHeight="false" outlineLevel="0" collapsed="false">
      <c r="B105" s="11" t="s">
        <v>324</v>
      </c>
      <c r="C105" s="6" t="s">
        <v>325</v>
      </c>
      <c r="D105" s="11" t="s">
        <v>313</v>
      </c>
      <c r="E105" s="19" t="n">
        <v>0</v>
      </c>
      <c r="F105" s="19" t="n">
        <v>0</v>
      </c>
      <c r="G105" s="19" t="n">
        <v>0</v>
      </c>
      <c r="H105" s="19" t="n">
        <v>0</v>
      </c>
      <c r="I105" s="19" t="n">
        <v>0</v>
      </c>
      <c r="J105" s="19" t="n">
        <v>3.78</v>
      </c>
      <c r="K105" s="19" t="n">
        <v>6.3</v>
      </c>
      <c r="L105" s="16" t="n">
        <f aca="false">SUM(E105:K105)</f>
        <v>10.08</v>
      </c>
      <c r="M105" s="16" t="n">
        <f aca="false">L105*12/7</f>
        <v>17.28</v>
      </c>
      <c r="N105" s="16" t="n">
        <f aca="false">SUM(I105:K105)*4</f>
        <v>40.32</v>
      </c>
    </row>
    <row r="106" customFormat="false" ht="15" hidden="false" customHeight="false" outlineLevel="0" collapsed="false">
      <c r="B106" s="11" t="s">
        <v>326</v>
      </c>
      <c r="C106" s="6" t="s">
        <v>327</v>
      </c>
      <c r="D106" s="11" t="s">
        <v>313</v>
      </c>
      <c r="E106" s="19" t="n">
        <v>0</v>
      </c>
      <c r="F106" s="19" t="n">
        <v>84</v>
      </c>
      <c r="G106" s="19" t="n">
        <v>0</v>
      </c>
      <c r="H106" s="19" t="n">
        <v>648</v>
      </c>
      <c r="I106" s="19" t="n">
        <v>400</v>
      </c>
      <c r="J106" s="19" t="n">
        <v>1286.25</v>
      </c>
      <c r="K106" s="19" t="n">
        <v>646.5</v>
      </c>
      <c r="L106" s="16" t="n">
        <f aca="false">SUM(E106:K106)</f>
        <v>3064.75</v>
      </c>
      <c r="M106" s="16" t="n">
        <f aca="false">L106*12/7</f>
        <v>5253.85714285714</v>
      </c>
      <c r="N106" s="16" t="n">
        <f aca="false">SUM(I106:K106)*4</f>
        <v>9331</v>
      </c>
    </row>
    <row r="107" customFormat="false" ht="15" hidden="false" customHeight="false" outlineLevel="0" collapsed="false">
      <c r="B107" s="11" t="s">
        <v>328</v>
      </c>
      <c r="C107" s="6" t="s">
        <v>329</v>
      </c>
      <c r="D107" s="11" t="s">
        <v>313</v>
      </c>
      <c r="E107" s="19" t="n">
        <v>0</v>
      </c>
      <c r="F107" s="19" t="n">
        <v>0</v>
      </c>
      <c r="G107" s="19" t="n">
        <v>554.94</v>
      </c>
      <c r="H107" s="19" t="n">
        <v>221.21</v>
      </c>
      <c r="I107" s="19" t="n">
        <v>166.73</v>
      </c>
      <c r="J107" s="19" t="n">
        <v>54.4</v>
      </c>
      <c r="K107" s="19" t="n">
        <v>398.48</v>
      </c>
      <c r="L107" s="16" t="n">
        <f aca="false">SUM(E107:K107)</f>
        <v>1395.76</v>
      </c>
      <c r="M107" s="16" t="n">
        <f aca="false">L107*12/7</f>
        <v>2392.73142857143</v>
      </c>
      <c r="N107" s="16" t="n">
        <f aca="false">SUM(I107:K107)*4</f>
        <v>2478.44</v>
      </c>
    </row>
    <row r="108" customFormat="false" ht="15" hidden="false" customHeight="false" outlineLevel="0" collapsed="false">
      <c r="B108" s="11" t="s">
        <v>330</v>
      </c>
      <c r="C108" s="6" t="s">
        <v>331</v>
      </c>
      <c r="D108" s="11" t="s">
        <v>313</v>
      </c>
      <c r="E108" s="19" t="n">
        <v>0</v>
      </c>
      <c r="F108" s="19" t="n">
        <v>0</v>
      </c>
      <c r="G108" s="19" t="n">
        <v>3444</v>
      </c>
      <c r="H108" s="19" t="n">
        <v>0</v>
      </c>
      <c r="I108" s="19" t="n">
        <v>2296</v>
      </c>
      <c r="J108" s="19" t="n">
        <v>1148</v>
      </c>
      <c r="K108" s="19" t="n">
        <v>1148</v>
      </c>
      <c r="L108" s="16" t="n">
        <f aca="false">SUM(E108:K108)</f>
        <v>8036</v>
      </c>
      <c r="M108" s="16" t="n">
        <f aca="false">L108*12/7</f>
        <v>13776</v>
      </c>
      <c r="N108" s="16" t="n">
        <f aca="false">SUM(I108:K108)*4</f>
        <v>18368</v>
      </c>
    </row>
    <row r="109" customFormat="false" ht="15" hidden="false" customHeight="false" outlineLevel="0" collapsed="false">
      <c r="B109" s="11" t="s">
        <v>332</v>
      </c>
      <c r="C109" s="6" t="s">
        <v>333</v>
      </c>
      <c r="D109" s="11" t="s">
        <v>313</v>
      </c>
      <c r="E109" s="19" t="n">
        <v>0</v>
      </c>
      <c r="F109" s="19" t="n">
        <v>0</v>
      </c>
      <c r="G109" s="19" t="n">
        <v>1242</v>
      </c>
      <c r="H109" s="19" t="n">
        <v>0</v>
      </c>
      <c r="I109" s="19" t="n">
        <v>828</v>
      </c>
      <c r="J109" s="19" t="n">
        <v>414</v>
      </c>
      <c r="K109" s="19" t="n">
        <v>414</v>
      </c>
      <c r="L109" s="16" t="n">
        <f aca="false">SUM(E109:K109)</f>
        <v>2898</v>
      </c>
      <c r="M109" s="16" t="n">
        <f aca="false">L109*12/7</f>
        <v>4968</v>
      </c>
      <c r="N109" s="16" t="n">
        <f aca="false">SUM(I109:K109)*4</f>
        <v>6624</v>
      </c>
    </row>
    <row r="110" customFormat="false" ht="15" hidden="false" customHeight="false" outlineLevel="0" collapsed="false">
      <c r="B110" s="11" t="s">
        <v>334</v>
      </c>
      <c r="C110" s="6" t="s">
        <v>335</v>
      </c>
      <c r="D110" s="11" t="s">
        <v>313</v>
      </c>
      <c r="E110" s="19" t="n">
        <v>1000.4</v>
      </c>
      <c r="F110" s="19" t="n">
        <v>0</v>
      </c>
      <c r="G110" s="19" t="n">
        <v>-935.85</v>
      </c>
      <c r="H110" s="19" t="n">
        <v>1159.7</v>
      </c>
      <c r="I110" s="19" t="n">
        <v>209.85</v>
      </c>
      <c r="J110" s="19" t="n">
        <v>0</v>
      </c>
      <c r="K110" s="19" t="n">
        <v>0</v>
      </c>
      <c r="L110" s="16" t="n">
        <f aca="false">SUM(E110:K110)</f>
        <v>1434.1</v>
      </c>
      <c r="M110" s="16" t="n">
        <f aca="false">L110*12/7</f>
        <v>2458.45714285714</v>
      </c>
      <c r="N110" s="16" t="n">
        <f aca="false">SUM(I110:K110)*4</f>
        <v>839.4</v>
      </c>
    </row>
    <row r="111" customFormat="false" ht="15" hidden="false" customHeight="false" outlineLevel="0" collapsed="false">
      <c r="B111" s="11" t="s">
        <v>336</v>
      </c>
      <c r="C111" s="6" t="s">
        <v>337</v>
      </c>
      <c r="D111" s="11" t="s">
        <v>313</v>
      </c>
      <c r="E111" s="19" t="n">
        <v>299.84</v>
      </c>
      <c r="F111" s="19" t="n">
        <v>100</v>
      </c>
      <c r="G111" s="19" t="n">
        <v>286.85</v>
      </c>
      <c r="H111" s="19" t="n">
        <v>418.73</v>
      </c>
      <c r="I111" s="19" t="n">
        <v>293.72</v>
      </c>
      <c r="J111" s="19" t="n">
        <v>1025.4</v>
      </c>
      <c r="K111" s="19" t="n">
        <v>160.46</v>
      </c>
      <c r="L111" s="16" t="n">
        <f aca="false">SUM(E111:K111)</f>
        <v>2585</v>
      </c>
      <c r="M111" s="16" t="n">
        <f aca="false">L111*12/7</f>
        <v>4431.42857142857</v>
      </c>
      <c r="N111" s="16" t="n">
        <f aca="false">SUM(I111:K111)*4</f>
        <v>5918.32</v>
      </c>
    </row>
    <row r="112" customFormat="false" ht="15" hidden="false" customHeight="false" outlineLevel="0" collapsed="false">
      <c r="B112" s="11" t="s">
        <v>338</v>
      </c>
      <c r="C112" s="6" t="s">
        <v>339</v>
      </c>
      <c r="D112" s="11" t="s">
        <v>313</v>
      </c>
      <c r="E112" s="19" t="n">
        <v>430</v>
      </c>
      <c r="F112" s="19" t="n">
        <v>3239.85</v>
      </c>
      <c r="G112" s="19" t="n">
        <v>-1789.62</v>
      </c>
      <c r="H112" s="19" t="n">
        <v>430</v>
      </c>
      <c r="I112" s="19" t="n">
        <v>461.48</v>
      </c>
      <c r="J112" s="19" t="n">
        <v>1885.46</v>
      </c>
      <c r="K112" s="19" t="n">
        <v>492.96</v>
      </c>
      <c r="L112" s="16" t="n">
        <f aca="false">SUM(E112:K112)</f>
        <v>5150.13</v>
      </c>
      <c r="M112" s="16" t="n">
        <f aca="false">L112*12/7</f>
        <v>8828.79428571429</v>
      </c>
      <c r="N112" s="16" t="n">
        <f aca="false">SUM(I112:K112)*4</f>
        <v>11359.6</v>
      </c>
    </row>
    <row r="113" customFormat="false" ht="15" hidden="false" customHeight="false" outlineLevel="0" collapsed="false">
      <c r="B113" s="11" t="s">
        <v>340</v>
      </c>
      <c r="C113" s="6" t="s">
        <v>341</v>
      </c>
      <c r="D113" s="11" t="s">
        <v>313</v>
      </c>
      <c r="E113" s="19" t="n">
        <v>0</v>
      </c>
      <c r="F113" s="19" t="n">
        <v>163.36</v>
      </c>
      <c r="G113" s="19" t="n">
        <v>9.32</v>
      </c>
      <c r="H113" s="19" t="n">
        <v>10.55</v>
      </c>
      <c r="I113" s="19" t="n">
        <v>24.89</v>
      </c>
      <c r="J113" s="19" t="n">
        <v>3.23</v>
      </c>
      <c r="K113" s="19" t="n">
        <v>59.38</v>
      </c>
      <c r="L113" s="16" t="n">
        <f aca="false">SUM(E113:K113)</f>
        <v>270.73</v>
      </c>
      <c r="M113" s="16" t="n">
        <f aca="false">L113*12/7</f>
        <v>464.108571428571</v>
      </c>
      <c r="N113" s="16" t="n">
        <f aca="false">SUM(I113:K113)*4</f>
        <v>350</v>
      </c>
    </row>
    <row r="114" customFormat="false" ht="15" hidden="false" customHeight="false" outlineLevel="0" collapsed="false">
      <c r="B114" s="11" t="s">
        <v>342</v>
      </c>
      <c r="C114" s="6" t="s">
        <v>343</v>
      </c>
      <c r="D114" s="11" t="s">
        <v>313</v>
      </c>
      <c r="E114" s="19" t="n">
        <v>0</v>
      </c>
      <c r="F114" s="19" t="n">
        <v>2256.09</v>
      </c>
      <c r="G114" s="19" t="n">
        <v>3298.06</v>
      </c>
      <c r="H114" s="19" t="n">
        <v>-644.34</v>
      </c>
      <c r="I114" s="19" t="n">
        <v>325</v>
      </c>
      <c r="J114" s="19" t="n">
        <v>125.28</v>
      </c>
      <c r="K114" s="19" t="n">
        <v>0</v>
      </c>
      <c r="L114" s="16" t="n">
        <f aca="false">SUM(E114:K114)</f>
        <v>5360.09</v>
      </c>
      <c r="M114" s="16" t="n">
        <f aca="false">L114*12/7</f>
        <v>9188.72571428571</v>
      </c>
      <c r="N114" s="16" t="n">
        <f aca="false">SUM(I114:K114)*4</f>
        <v>1801.12</v>
      </c>
    </row>
    <row r="115" customFormat="false" ht="15" hidden="false" customHeight="false" outlineLevel="0" collapsed="false">
      <c r="B115" s="11" t="s">
        <v>344</v>
      </c>
      <c r="C115" s="6" t="s">
        <v>345</v>
      </c>
      <c r="D115" s="11" t="s">
        <v>313</v>
      </c>
      <c r="E115" s="19" t="n">
        <v>0</v>
      </c>
      <c r="F115" s="19" t="n">
        <v>320</v>
      </c>
      <c r="G115" s="19" t="n">
        <v>600</v>
      </c>
      <c r="H115" s="19" t="n">
        <v>0</v>
      </c>
      <c r="I115" s="19" t="n">
        <v>0</v>
      </c>
      <c r="J115" s="19" t="n">
        <v>0</v>
      </c>
      <c r="K115" s="19" t="n">
        <v>0</v>
      </c>
      <c r="L115" s="16" t="n">
        <f aca="false">SUM(E115:K115)</f>
        <v>920</v>
      </c>
      <c r="M115" s="16" t="n">
        <f aca="false">L115*12/7</f>
        <v>1577.14285714286</v>
      </c>
      <c r="N115" s="16" t="n">
        <f aca="false">SUM(I115:K115)*4</f>
        <v>0</v>
      </c>
    </row>
    <row r="116" customFormat="false" ht="15" hidden="false" customHeight="false" outlineLevel="0" collapsed="false">
      <c r="B116" s="11" t="s">
        <v>346</v>
      </c>
      <c r="C116" s="6" t="s">
        <v>148</v>
      </c>
      <c r="D116" s="11" t="s">
        <v>313</v>
      </c>
      <c r="E116" s="19" t="n">
        <v>0</v>
      </c>
      <c r="F116" s="19" t="n">
        <v>0</v>
      </c>
      <c r="G116" s="19" t="n">
        <v>38.67</v>
      </c>
      <c r="H116" s="19" t="n">
        <v>0</v>
      </c>
      <c r="I116" s="19" t="n">
        <v>0</v>
      </c>
      <c r="J116" s="19" t="n">
        <v>644.88</v>
      </c>
      <c r="K116" s="19" t="n">
        <v>180</v>
      </c>
      <c r="L116" s="16" t="n">
        <f aca="false">SUM(E116:K116)</f>
        <v>863.55</v>
      </c>
      <c r="M116" s="16" t="n">
        <f aca="false">L116*12/7</f>
        <v>1480.37142857143</v>
      </c>
      <c r="N116" s="16" t="n">
        <f aca="false">SUM(I116:K116)*4</f>
        <v>3299.52</v>
      </c>
    </row>
    <row r="117" customFormat="false" ht="15" hidden="false" customHeight="false" outlineLevel="0" collapsed="false">
      <c r="B117" s="11" t="s">
        <v>347</v>
      </c>
      <c r="C117" s="6" t="s">
        <v>348</v>
      </c>
      <c r="D117" s="11" t="s">
        <v>313</v>
      </c>
      <c r="E117" s="19" t="n">
        <v>0</v>
      </c>
      <c r="F117" s="19" t="n">
        <v>0</v>
      </c>
      <c r="G117" s="19" t="n">
        <v>5663.6</v>
      </c>
      <c r="H117" s="19" t="n">
        <v>2241.2</v>
      </c>
      <c r="I117" s="19" t="n">
        <v>1908</v>
      </c>
      <c r="J117" s="19" t="n">
        <v>1817.2</v>
      </c>
      <c r="K117" s="19" t="n">
        <v>2241.2</v>
      </c>
      <c r="L117" s="16" t="n">
        <f aca="false">SUM(E117:K117)</f>
        <v>13871.2</v>
      </c>
      <c r="M117" s="16" t="n">
        <f aca="false">L117*12/7</f>
        <v>23779.2</v>
      </c>
      <c r="N117" s="16" t="n">
        <f aca="false">SUM(I117:K117)*4</f>
        <v>23865.6</v>
      </c>
    </row>
    <row r="118" customFormat="false" ht="15" hidden="false" customHeight="false" outlineLevel="0" collapsed="false">
      <c r="B118" s="11" t="s">
        <v>349</v>
      </c>
      <c r="C118" s="6" t="s">
        <v>350</v>
      </c>
      <c r="D118" s="11" t="s">
        <v>313</v>
      </c>
      <c r="E118" s="19" t="n">
        <v>0</v>
      </c>
      <c r="F118" s="19" t="n">
        <v>38.67</v>
      </c>
      <c r="G118" s="19" t="n">
        <v>-38.67</v>
      </c>
      <c r="H118" s="19" t="n">
        <v>0</v>
      </c>
      <c r="I118" s="19" t="n">
        <v>0</v>
      </c>
      <c r="J118" s="19" t="n">
        <v>0</v>
      </c>
      <c r="K118" s="19" t="n">
        <v>0</v>
      </c>
      <c r="L118" s="16" t="n">
        <f aca="false">SUM(E118:K118)</f>
        <v>0</v>
      </c>
      <c r="M118" s="16" t="n">
        <f aca="false">L118*12/7</f>
        <v>0</v>
      </c>
      <c r="N118" s="16" t="n">
        <f aca="false">SUM(I118:K118)*4</f>
        <v>0</v>
      </c>
    </row>
    <row r="119" customFormat="false" ht="15" hidden="false" customHeight="false" outlineLevel="0" collapsed="false">
      <c r="B119" s="11" t="s">
        <v>351</v>
      </c>
      <c r="C119" s="6" t="s">
        <v>352</v>
      </c>
      <c r="D119" s="11" t="s">
        <v>313</v>
      </c>
      <c r="E119" s="19" t="n">
        <v>0</v>
      </c>
      <c r="F119" s="19" t="n">
        <v>3667</v>
      </c>
      <c r="G119" s="19" t="n">
        <v>0</v>
      </c>
      <c r="H119" s="19" t="n">
        <v>0</v>
      </c>
      <c r="I119" s="19" t="n">
        <v>0</v>
      </c>
      <c r="J119" s="19" t="n">
        <v>0</v>
      </c>
      <c r="K119" s="19" t="n">
        <v>0</v>
      </c>
      <c r="L119" s="16" t="n">
        <f aca="false">SUM(E119:K119)</f>
        <v>3667</v>
      </c>
      <c r="M119" s="16" t="n">
        <f aca="false">L119*12/7</f>
        <v>6286.28571428572</v>
      </c>
      <c r="N119" s="16" t="n">
        <f aca="false">SUM(I119:K119)*4</f>
        <v>0</v>
      </c>
    </row>
    <row r="120" customFormat="false" ht="15" hidden="false" customHeight="false" outlineLevel="0" collapsed="false">
      <c r="B120" s="11" t="s">
        <v>353</v>
      </c>
      <c r="C120" s="6" t="s">
        <v>354</v>
      </c>
      <c r="D120" s="11" t="s">
        <v>313</v>
      </c>
      <c r="E120" s="19" t="n">
        <v>0</v>
      </c>
      <c r="F120" s="19" t="n">
        <v>5010</v>
      </c>
      <c r="G120" s="19" t="n">
        <v>-5010</v>
      </c>
      <c r="H120" s="19" t="n">
        <v>0</v>
      </c>
      <c r="I120" s="19" t="n">
        <v>0</v>
      </c>
      <c r="J120" s="19" t="n">
        <v>0</v>
      </c>
      <c r="K120" s="19" t="n">
        <v>0</v>
      </c>
      <c r="L120" s="16" t="n">
        <f aca="false">SUM(E120:K120)</f>
        <v>0</v>
      </c>
      <c r="M120" s="16" t="n">
        <f aca="false">L120*12/7</f>
        <v>0</v>
      </c>
      <c r="N120" s="16" t="n">
        <f aca="false">SUM(I120:K120)*4</f>
        <v>0</v>
      </c>
    </row>
    <row r="121" customFormat="false" ht="15" hidden="false" customHeight="false" outlineLevel="0" collapsed="false">
      <c r="B121" s="11" t="s">
        <v>355</v>
      </c>
      <c r="C121" s="6" t="s">
        <v>356</v>
      </c>
      <c r="D121" s="11" t="s">
        <v>313</v>
      </c>
      <c r="E121" s="19" t="n">
        <v>0</v>
      </c>
      <c r="F121" s="19" t="n">
        <v>651.06</v>
      </c>
      <c r="G121" s="19" t="n">
        <v>-651.06</v>
      </c>
      <c r="H121" s="19" t="n">
        <v>0</v>
      </c>
      <c r="I121" s="19" t="n">
        <v>0</v>
      </c>
      <c r="J121" s="19" t="n">
        <v>0</v>
      </c>
      <c r="K121" s="19" t="n">
        <v>0</v>
      </c>
      <c r="L121" s="16" t="n">
        <f aca="false">SUM(E121:K121)</f>
        <v>0</v>
      </c>
      <c r="M121" s="16" t="n">
        <f aca="false">L121*12/7</f>
        <v>0</v>
      </c>
      <c r="N121" s="16" t="n">
        <f aca="false">SUM(I121:K121)*4</f>
        <v>0</v>
      </c>
    </row>
    <row r="122" customFormat="false" ht="15" hidden="false" customHeight="false" outlineLevel="0" collapsed="false">
      <c r="B122" s="11" t="s">
        <v>357</v>
      </c>
      <c r="C122" s="6" t="s">
        <v>358</v>
      </c>
      <c r="D122" s="11" t="s">
        <v>313</v>
      </c>
      <c r="E122" s="19" t="n">
        <v>0</v>
      </c>
      <c r="F122" s="19" t="n">
        <v>0</v>
      </c>
      <c r="G122" s="19" t="n">
        <v>56.8</v>
      </c>
      <c r="H122" s="19" t="n">
        <v>21.4</v>
      </c>
      <c r="I122" s="19" t="n">
        <v>64.2</v>
      </c>
      <c r="J122" s="19" t="n">
        <v>230.95</v>
      </c>
      <c r="K122" s="19" t="n">
        <v>82.39</v>
      </c>
      <c r="L122" s="16" t="n">
        <f aca="false">SUM(E122:K122)</f>
        <v>455.74</v>
      </c>
      <c r="M122" s="16" t="n">
        <f aca="false">L122*12/7</f>
        <v>781.268571428571</v>
      </c>
      <c r="N122" s="16" t="n">
        <f aca="false">SUM(I122:K122)*4</f>
        <v>1510.16</v>
      </c>
    </row>
    <row r="123" customFormat="false" ht="15" hidden="false" customHeight="false" outlineLevel="0" collapsed="false">
      <c r="B123" s="11" t="s">
        <v>359</v>
      </c>
      <c r="C123" s="6" t="s">
        <v>360</v>
      </c>
      <c r="D123" s="11" t="s">
        <v>313</v>
      </c>
      <c r="E123" s="19" t="n">
        <v>352</v>
      </c>
      <c r="F123" s="19" t="n">
        <v>352</v>
      </c>
      <c r="G123" s="19" t="n">
        <v>352</v>
      </c>
      <c r="H123" s="19" t="n">
        <v>352</v>
      </c>
      <c r="I123" s="19" t="n">
        <v>352</v>
      </c>
      <c r="J123" s="19" t="n">
        <v>352</v>
      </c>
      <c r="K123" s="19" t="n">
        <v>352</v>
      </c>
      <c r="L123" s="16" t="n">
        <f aca="false">SUM(E123:K123)</f>
        <v>2464</v>
      </c>
      <c r="M123" s="16" t="n">
        <f aca="false">L123*12/7</f>
        <v>4224</v>
      </c>
      <c r="N123" s="16" t="n">
        <f aca="false">SUM(I123:K123)*4</f>
        <v>4224</v>
      </c>
    </row>
    <row r="124" customFormat="false" ht="15" hidden="false" customHeight="false" outlineLevel="0" collapsed="false">
      <c r="B124" s="11" t="s">
        <v>361</v>
      </c>
      <c r="C124" s="6" t="s">
        <v>362</v>
      </c>
      <c r="D124" s="11" t="s">
        <v>313</v>
      </c>
      <c r="E124" s="19" t="n">
        <v>0</v>
      </c>
      <c r="F124" s="19" t="n">
        <v>882.41</v>
      </c>
      <c r="G124" s="19" t="n">
        <v>-266.2</v>
      </c>
      <c r="H124" s="19" t="n">
        <v>0</v>
      </c>
      <c r="I124" s="19" t="n">
        <v>760.01</v>
      </c>
      <c r="J124" s="19" t="n">
        <v>296.01</v>
      </c>
      <c r="K124" s="19" t="n">
        <v>0</v>
      </c>
      <c r="L124" s="16" t="n">
        <f aca="false">SUM(E124:K124)</f>
        <v>1672.23</v>
      </c>
      <c r="M124" s="16" t="n">
        <f aca="false">L124*12/7</f>
        <v>2866.68</v>
      </c>
      <c r="N124" s="16" t="n">
        <f aca="false">SUM(I124:K124)*4</f>
        <v>4224.08</v>
      </c>
    </row>
    <row r="125" customFormat="false" ht="15" hidden="false" customHeight="false" outlineLevel="0" collapsed="false">
      <c r="B125" s="11" t="s">
        <v>363</v>
      </c>
      <c r="C125" s="6" t="s">
        <v>364</v>
      </c>
      <c r="D125" s="11" t="s">
        <v>72</v>
      </c>
      <c r="E125" s="19" t="n">
        <v>0</v>
      </c>
      <c r="F125" s="19" t="n">
        <v>3100</v>
      </c>
      <c r="G125" s="19" t="n">
        <v>900.66</v>
      </c>
      <c r="H125" s="19" t="n">
        <v>10245.3</v>
      </c>
      <c r="I125" s="19" t="n">
        <v>2929.71</v>
      </c>
      <c r="J125" s="19" t="n">
        <v>2377.36</v>
      </c>
      <c r="K125" s="19" t="n">
        <v>2424.37</v>
      </c>
      <c r="L125" s="16" t="n">
        <f aca="false">SUM(E125:K125)</f>
        <v>21977.4</v>
      </c>
      <c r="M125" s="16" t="n">
        <f aca="false">L125*12/7</f>
        <v>37675.5428571429</v>
      </c>
      <c r="N125" s="16" t="n">
        <f aca="false">SUM(I125:K125)*4</f>
        <v>30925.76</v>
      </c>
    </row>
    <row r="126" customFormat="false" ht="15" hidden="false" customHeight="false" outlineLevel="0" collapsed="false">
      <c r="B126" s="11" t="s">
        <v>365</v>
      </c>
      <c r="C126" s="6" t="s">
        <v>366</v>
      </c>
      <c r="D126" s="11" t="s">
        <v>72</v>
      </c>
      <c r="E126" s="19" t="n">
        <v>0</v>
      </c>
      <c r="F126" s="19" t="n">
        <v>2816.53</v>
      </c>
      <c r="G126" s="19" t="n">
        <v>724.33</v>
      </c>
      <c r="H126" s="19" t="n">
        <v>383.56</v>
      </c>
      <c r="I126" s="19" t="n">
        <v>809.88</v>
      </c>
      <c r="J126" s="19" t="n">
        <v>974.24</v>
      </c>
      <c r="K126" s="19" t="n">
        <v>1044.17</v>
      </c>
      <c r="L126" s="16" t="n">
        <f aca="false">SUM(E126:K126)</f>
        <v>6752.71</v>
      </c>
      <c r="M126" s="16" t="n">
        <f aca="false">L126*12/7</f>
        <v>11576.0742857143</v>
      </c>
      <c r="N126" s="16" t="n">
        <f aca="false">SUM(I126:K126)*4</f>
        <v>11313.16</v>
      </c>
    </row>
    <row r="127" customFormat="false" ht="15" hidden="false" customHeight="false" outlineLevel="0" collapsed="false">
      <c r="B127" s="11" t="s">
        <v>367</v>
      </c>
      <c r="C127" s="6" t="s">
        <v>368</v>
      </c>
      <c r="D127" s="11" t="s">
        <v>72</v>
      </c>
      <c r="E127" s="19" t="n">
        <v>0</v>
      </c>
      <c r="F127" s="19" t="n">
        <v>1600</v>
      </c>
      <c r="G127" s="19" t="n">
        <v>-893.64</v>
      </c>
      <c r="H127" s="19" t="n">
        <v>420.11</v>
      </c>
      <c r="I127" s="19" t="n">
        <v>389.14</v>
      </c>
      <c r="J127" s="19" t="n">
        <v>378.85</v>
      </c>
      <c r="K127" s="19" t="n">
        <v>420.46</v>
      </c>
      <c r="L127" s="16" t="n">
        <f aca="false">SUM(E127:K127)</f>
        <v>2314.92</v>
      </c>
      <c r="M127" s="16" t="n">
        <f aca="false">L127*12/7</f>
        <v>3968.43428571429</v>
      </c>
      <c r="N127" s="16" t="n">
        <f aca="false">SUM(I127:K127)*4</f>
        <v>4753.8</v>
      </c>
    </row>
    <row r="128" customFormat="false" ht="15" hidden="false" customHeight="false" outlineLevel="0" collapsed="false">
      <c r="B128" s="11" t="s">
        <v>369</v>
      </c>
      <c r="C128" s="6" t="s">
        <v>370</v>
      </c>
      <c r="D128" s="11" t="s">
        <v>72</v>
      </c>
      <c r="E128" s="19" t="n">
        <v>0</v>
      </c>
      <c r="F128" s="19" t="n">
        <v>1593.55</v>
      </c>
      <c r="G128" s="19" t="n">
        <v>-181.97</v>
      </c>
      <c r="H128" s="19" t="n">
        <v>659.71</v>
      </c>
      <c r="I128" s="19" t="n">
        <v>567.39</v>
      </c>
      <c r="J128" s="19" t="n">
        <v>307.35</v>
      </c>
      <c r="K128" s="19" t="n">
        <v>2459.22</v>
      </c>
      <c r="L128" s="16" t="n">
        <f aca="false">SUM(E128:K128)</f>
        <v>5405.25</v>
      </c>
      <c r="M128" s="16" t="n">
        <f aca="false">L128*12/7</f>
        <v>9266.14285714286</v>
      </c>
      <c r="N128" s="16" t="n">
        <f aca="false">SUM(I128:K128)*4</f>
        <v>13335.84</v>
      </c>
    </row>
    <row r="129" customFormat="false" ht="15" hidden="false" customHeight="false" outlineLevel="0" collapsed="false">
      <c r="B129" s="11" t="s">
        <v>371</v>
      </c>
      <c r="C129" s="6" t="s">
        <v>372</v>
      </c>
      <c r="D129" s="11" t="s">
        <v>72</v>
      </c>
      <c r="E129" s="19" t="n">
        <v>0</v>
      </c>
      <c r="F129" s="19" t="n">
        <v>4159.91</v>
      </c>
      <c r="G129" s="19" t="n">
        <v>-23.38</v>
      </c>
      <c r="H129" s="19" t="n">
        <v>2756.71</v>
      </c>
      <c r="I129" s="19" t="n">
        <v>2534.72</v>
      </c>
      <c r="J129" s="19" t="n">
        <v>2831.75</v>
      </c>
      <c r="K129" s="19" t="n">
        <v>2312.98</v>
      </c>
      <c r="L129" s="16" t="n">
        <f aca="false">SUM(E129:K129)</f>
        <v>14572.69</v>
      </c>
      <c r="M129" s="16" t="n">
        <f aca="false">L129*12/7</f>
        <v>24981.7542857143</v>
      </c>
      <c r="N129" s="16" t="n">
        <f aca="false">SUM(I129:K129)*4</f>
        <v>30717.8</v>
      </c>
    </row>
    <row r="130" customFormat="false" ht="15" hidden="false" customHeight="false" outlineLevel="0" collapsed="false">
      <c r="B130" s="11" t="s">
        <v>373</v>
      </c>
      <c r="C130" s="6" t="s">
        <v>374</v>
      </c>
      <c r="D130" s="11" t="s">
        <v>72</v>
      </c>
      <c r="E130" s="19" t="n">
        <v>0</v>
      </c>
      <c r="F130" s="19" t="n">
        <v>5430.56</v>
      </c>
      <c r="G130" s="19" t="n">
        <v>19343.28</v>
      </c>
      <c r="H130" s="19" t="n">
        <v>319.94</v>
      </c>
      <c r="I130" s="19" t="n">
        <v>5900.86</v>
      </c>
      <c r="J130" s="19" t="n">
        <v>4639.71</v>
      </c>
      <c r="K130" s="19" t="n">
        <v>8725.19</v>
      </c>
      <c r="L130" s="16" t="n">
        <f aca="false">SUM(E130:K130)</f>
        <v>44359.54</v>
      </c>
      <c r="M130" s="16" t="n">
        <f aca="false">L130*12/7</f>
        <v>76044.9257142857</v>
      </c>
      <c r="N130" s="16" t="n">
        <f aca="false">SUM(I130:K130)*4</f>
        <v>77063.04</v>
      </c>
    </row>
    <row r="131" customFormat="false" ht="15" hidden="false" customHeight="false" outlineLevel="0" collapsed="false">
      <c r="B131" s="11" t="s">
        <v>375</v>
      </c>
      <c r="C131" s="6" t="s">
        <v>376</v>
      </c>
      <c r="D131" s="11" t="s">
        <v>377</v>
      </c>
      <c r="E131" s="19" t="n">
        <v>10098.71</v>
      </c>
      <c r="F131" s="19" t="n">
        <v>11893.13</v>
      </c>
      <c r="G131" s="19" t="n">
        <v>11905.58</v>
      </c>
      <c r="H131" s="19" t="n">
        <v>10824.76</v>
      </c>
      <c r="I131" s="19" t="n">
        <v>10080.6</v>
      </c>
      <c r="J131" s="19" t="n">
        <v>11156.5</v>
      </c>
      <c r="K131" s="19" t="n">
        <v>11675.65</v>
      </c>
      <c r="L131" s="16" t="n">
        <f aca="false">SUM(E131:K131)</f>
        <v>77634.93</v>
      </c>
      <c r="M131" s="16" t="n">
        <f aca="false">L131*12/7</f>
        <v>133088.451428571</v>
      </c>
      <c r="N131" s="16" t="n">
        <f aca="false">SUM(I131:K131)*4</f>
        <v>131651</v>
      </c>
    </row>
    <row r="132" customFormat="false" ht="15" hidden="false" customHeight="false" outlineLevel="0" collapsed="false">
      <c r="B132" s="11" t="s">
        <v>378</v>
      </c>
      <c r="C132" s="6" t="s">
        <v>379</v>
      </c>
      <c r="D132" s="11" t="s">
        <v>380</v>
      </c>
      <c r="E132" s="19" t="n">
        <v>27788.83</v>
      </c>
      <c r="F132" s="19" t="n">
        <v>27788.83</v>
      </c>
      <c r="G132" s="19" t="n">
        <v>27788.83</v>
      </c>
      <c r="H132" s="19" t="n">
        <v>27788.83</v>
      </c>
      <c r="I132" s="19" t="n">
        <v>27788.83</v>
      </c>
      <c r="J132" s="19" t="n">
        <v>27788.81</v>
      </c>
      <c r="K132" s="19" t="n">
        <v>27788.83</v>
      </c>
      <c r="L132" s="16" t="n">
        <f aca="false">SUM(E132:K132)</f>
        <v>194521.79</v>
      </c>
      <c r="M132" s="16" t="n">
        <f aca="false">L132*12/7</f>
        <v>333465.925714286</v>
      </c>
      <c r="N132" s="16" t="n">
        <f aca="false">SUM(I132:K132)*4</f>
        <v>333465.88</v>
      </c>
    </row>
    <row r="133" customFormat="false" ht="15" hidden="false" customHeight="false" outlineLevel="0" collapsed="false">
      <c r="B133" s="11" t="s">
        <v>381</v>
      </c>
      <c r="C133" s="6" t="s">
        <v>382</v>
      </c>
      <c r="D133" s="11" t="s">
        <v>77</v>
      </c>
      <c r="E133" s="19" t="n">
        <v>15013.63</v>
      </c>
      <c r="F133" s="19" t="n">
        <v>15013.63</v>
      </c>
      <c r="G133" s="19" t="n">
        <v>15013.63</v>
      </c>
      <c r="H133" s="19" t="n">
        <v>11206.95</v>
      </c>
      <c r="I133" s="19" t="n">
        <v>11206.95</v>
      </c>
      <c r="J133" s="19" t="n">
        <v>11206.95</v>
      </c>
      <c r="K133" s="19" t="n">
        <v>11288.21</v>
      </c>
      <c r="L133" s="16" t="n">
        <f aca="false">SUM(E133:K133)</f>
        <v>89949.95</v>
      </c>
      <c r="M133" s="16" t="n">
        <f aca="false">L133*12/7</f>
        <v>154199.914285714</v>
      </c>
      <c r="N133" s="16" t="n">
        <f aca="false">SUM(I133:K133)*4</f>
        <v>134808.44</v>
      </c>
    </row>
    <row r="134" customFormat="false" ht="15" hidden="false" customHeight="false" outlineLevel="0" collapsed="false">
      <c r="C134" s="37" t="s">
        <v>383</v>
      </c>
      <c r="L134" s="21" t="n">
        <f aca="false">SUM(L5:L133)</f>
        <v>4208222.9</v>
      </c>
      <c r="M134" s="21" t="n">
        <f aca="false">SUM(M5:M133)</f>
        <v>7214096.4</v>
      </c>
      <c r="N134" s="21" t="n">
        <f aca="false">SUM(N5:N133)</f>
        <v>7353698.24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20"/>
  </cols>
  <sheetData>
    <row r="2" customFormat="false" ht="15" hidden="false" customHeight="false" outlineLevel="0" collapsed="false">
      <c r="B2" s="38" t="s">
        <v>384</v>
      </c>
    </row>
    <row r="3" customFormat="false" ht="15" hidden="false" customHeight="false" outlineLevel="0" collapsed="false">
      <c r="B3" s="39"/>
    </row>
    <row r="4" customFormat="false" ht="42" hidden="false" customHeight="true" outlineLevel="0" collapsed="false">
      <c r="B4" s="39" t="s">
        <v>385</v>
      </c>
    </row>
    <row r="5" customFormat="false" ht="55.5" hidden="false" customHeight="true" outlineLevel="0" collapsed="false">
      <c r="B5" s="39" t="s">
        <v>386</v>
      </c>
    </row>
    <row r="6" customFormat="false" ht="69.75" hidden="false" customHeight="true" outlineLevel="0" collapsed="false">
      <c r="B6" s="39" t="s">
        <v>387</v>
      </c>
    </row>
    <row r="7" customFormat="false" ht="15" hidden="false" customHeight="false" outlineLevel="0" collapsed="false">
      <c r="B7" s="39"/>
    </row>
    <row r="8" customFormat="false" ht="55.5" hidden="false" customHeight="true" outlineLevel="0" collapsed="false">
      <c r="B8" s="39" t="s">
        <v>388</v>
      </c>
    </row>
    <row r="9" customFormat="false" ht="55.5" hidden="false" customHeight="true" outlineLevel="0" collapsed="false">
      <c r="B9" s="39" t="s">
        <v>389</v>
      </c>
    </row>
    <row r="10" customFormat="false" ht="42" hidden="false" customHeight="true" outlineLevel="0" collapsed="false">
      <c r="B10" s="39" t="s">
        <v>390</v>
      </c>
    </row>
    <row r="11" customFormat="false" ht="15" hidden="false" customHeight="false" outlineLevel="0" collapsed="false">
      <c r="B11" s="39"/>
    </row>
    <row r="12" customFormat="false" ht="42" hidden="false" customHeight="true" outlineLevel="0" collapsed="false">
      <c r="B12" s="39" t="s">
        <v>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2026-08-14T16:11:39Z</dcterms:created>
  <dc:creator>openpyxl</dc:creator>
  <dc:description/>
  <dc:language>en-US</dc:language>
  <cp:lastModifiedBy/>
  <dcterms:modified xsi:type="dcterms:W3CDTF">2026-08-14T16:11:39Z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