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wkinscompanies.sharepoint.com/sites/AM/Files/Apartments/Properties/Canyon Ridge (Gowen &amp; Grand Forest)/Operations/Financials/T-12/"/>
    </mc:Choice>
  </mc:AlternateContent>
  <xr:revisionPtr revIDLastSave="2" documentId="8_{276295D9-1F79-4ECB-A34C-D5EC899B6271}" xr6:coauthVersionLast="47" xr6:coauthVersionMax="47" xr10:uidLastSave="{61C69AD6-94EC-4A3F-834A-D0EAC40AD5C0}"/>
  <bookViews>
    <workbookView xWindow="-120" yWindow="-120" windowWidth="29040" windowHeight="15720" xr2:uid="{00000000-000D-0000-FFFF-FFFF00000000}"/>
  </bookViews>
  <sheets>
    <sheet name="Canyon Ridge" sheetId="1" r:id="rId1"/>
    <sheet name="Report Parameters" sheetId="2" r:id="rId2"/>
  </sheets>
  <definedNames>
    <definedName name="_xlnm.Print_Area" localSheetId="1">'Report Parameters'!$A$1:$B$32</definedName>
    <definedName name="_xlnm.Print_Titles" localSheetId="0">'Canyon Ridge'!$6:$6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2" i="1" l="1"/>
  <c r="R152" i="1"/>
  <c r="Q152" i="1"/>
  <c r="AK150" i="1"/>
  <c r="E150" i="1" s="1"/>
  <c r="AH150" i="1"/>
  <c r="S150" i="1"/>
  <c r="R150" i="1"/>
  <c r="Q150" i="1"/>
  <c r="B150" i="1"/>
  <c r="AU148" i="1"/>
  <c r="AJ148" i="1"/>
  <c r="AH148" i="1"/>
  <c r="S148" i="1"/>
  <c r="R148" i="1"/>
  <c r="Q148" i="1"/>
  <c r="N148" i="1"/>
  <c r="D148" i="1"/>
  <c r="B148" i="1"/>
  <c r="AU147" i="1"/>
  <c r="AT147" i="1"/>
  <c r="AT148" i="1" s="1"/>
  <c r="M148" i="1" s="1"/>
  <c r="AS147" i="1"/>
  <c r="AR147" i="1"/>
  <c r="AP147" i="1"/>
  <c r="AO147" i="1"/>
  <c r="AN147" i="1"/>
  <c r="AM147" i="1"/>
  <c r="AL147" i="1"/>
  <c r="AK147" i="1"/>
  <c r="AJ147" i="1"/>
  <c r="AI147" i="1"/>
  <c r="AH147" i="1"/>
  <c r="AU146" i="1"/>
  <c r="AT146" i="1"/>
  <c r="AS146" i="1"/>
  <c r="AS148" i="1" s="1"/>
  <c r="L148" i="1" s="1"/>
  <c r="AR146" i="1"/>
  <c r="AR148" i="1" s="1"/>
  <c r="K148" i="1" s="1"/>
  <c r="AP146" i="1"/>
  <c r="AP148" i="1" s="1"/>
  <c r="J148" i="1" s="1"/>
  <c r="AO146" i="1"/>
  <c r="AO148" i="1" s="1"/>
  <c r="I148" i="1" s="1"/>
  <c r="AN146" i="1"/>
  <c r="AN148" i="1" s="1"/>
  <c r="H148" i="1" s="1"/>
  <c r="AM146" i="1"/>
  <c r="AM148" i="1" s="1"/>
  <c r="G148" i="1" s="1"/>
  <c r="AL146" i="1"/>
  <c r="AL148" i="1" s="1"/>
  <c r="F148" i="1" s="1"/>
  <c r="AK146" i="1"/>
  <c r="AK148" i="1" s="1"/>
  <c r="E148" i="1" s="1"/>
  <c r="AJ146" i="1"/>
  <c r="AI146" i="1"/>
  <c r="AI148" i="1" s="1"/>
  <c r="C148" i="1" s="1"/>
  <c r="AH146" i="1"/>
  <c r="AR143" i="1"/>
  <c r="AO143" i="1"/>
  <c r="AM143" i="1"/>
  <c r="AL143" i="1"/>
  <c r="AK143" i="1"/>
  <c r="S143" i="1"/>
  <c r="R143" i="1"/>
  <c r="Q143" i="1"/>
  <c r="K143" i="1"/>
  <c r="I143" i="1"/>
  <c r="G143" i="1"/>
  <c r="F143" i="1"/>
  <c r="E143" i="1"/>
  <c r="AU142" i="1"/>
  <c r="AU150" i="1" s="1"/>
  <c r="N150" i="1" s="1"/>
  <c r="AT142" i="1"/>
  <c r="AT150" i="1" s="1"/>
  <c r="M150" i="1" s="1"/>
  <c r="AS142" i="1"/>
  <c r="AS150" i="1" s="1"/>
  <c r="L150" i="1" s="1"/>
  <c r="AR142" i="1"/>
  <c r="AR150" i="1" s="1"/>
  <c r="K150" i="1" s="1"/>
  <c r="AP142" i="1"/>
  <c r="AP150" i="1" s="1"/>
  <c r="J150" i="1" s="1"/>
  <c r="AO142" i="1"/>
  <c r="AO150" i="1" s="1"/>
  <c r="I150" i="1" s="1"/>
  <c r="AN142" i="1"/>
  <c r="AN150" i="1" s="1"/>
  <c r="H150" i="1" s="1"/>
  <c r="AM142" i="1"/>
  <c r="AM150" i="1" s="1"/>
  <c r="G150" i="1" s="1"/>
  <c r="AL142" i="1"/>
  <c r="AL150" i="1" s="1"/>
  <c r="F150" i="1" s="1"/>
  <c r="AK142" i="1"/>
  <c r="AJ142" i="1"/>
  <c r="AJ150" i="1" s="1"/>
  <c r="D150" i="1" s="1"/>
  <c r="AI142" i="1"/>
  <c r="AI143" i="1" s="1"/>
  <c r="C143" i="1" s="1"/>
  <c r="AH142" i="1"/>
  <c r="AH143" i="1" s="1"/>
  <c r="B143" i="1" s="1"/>
  <c r="S138" i="1"/>
  <c r="R138" i="1"/>
  <c r="Q138" i="1"/>
  <c r="S136" i="1"/>
  <c r="R136" i="1"/>
  <c r="Q136" i="1"/>
  <c r="S134" i="1"/>
  <c r="R134" i="1"/>
  <c r="Q134" i="1"/>
  <c r="AU133" i="1"/>
  <c r="AT133" i="1"/>
  <c r="AS133" i="1"/>
  <c r="AR133" i="1"/>
  <c r="AP133" i="1"/>
  <c r="AO133" i="1"/>
  <c r="AN133" i="1"/>
  <c r="AM133" i="1"/>
  <c r="AL133" i="1"/>
  <c r="AK133" i="1"/>
  <c r="AJ133" i="1"/>
  <c r="AI133" i="1"/>
  <c r="AH133" i="1"/>
  <c r="AU132" i="1"/>
  <c r="AT132" i="1"/>
  <c r="AS132" i="1"/>
  <c r="AR132" i="1"/>
  <c r="AP132" i="1"/>
  <c r="AO132" i="1"/>
  <c r="AN132" i="1"/>
  <c r="AM132" i="1"/>
  <c r="AL132" i="1"/>
  <c r="AK132" i="1"/>
  <c r="AJ132" i="1"/>
  <c r="AI132" i="1"/>
  <c r="AH132" i="1"/>
  <c r="AU131" i="1"/>
  <c r="AT131" i="1"/>
  <c r="AS131" i="1"/>
  <c r="AR131" i="1"/>
  <c r="AP131" i="1"/>
  <c r="AO131" i="1"/>
  <c r="AN131" i="1"/>
  <c r="AM131" i="1"/>
  <c r="AL131" i="1"/>
  <c r="AK131" i="1"/>
  <c r="AJ131" i="1"/>
  <c r="AI131" i="1"/>
  <c r="AH131" i="1"/>
  <c r="AU130" i="1"/>
  <c r="AT130" i="1"/>
  <c r="AS130" i="1"/>
  <c r="AR130" i="1"/>
  <c r="AP130" i="1"/>
  <c r="AO130" i="1"/>
  <c r="AN130" i="1"/>
  <c r="AM130" i="1"/>
  <c r="AL130" i="1"/>
  <c r="AK130" i="1"/>
  <c r="AJ130" i="1"/>
  <c r="AI130" i="1"/>
  <c r="AH130" i="1"/>
  <c r="AU129" i="1"/>
  <c r="AT129" i="1"/>
  <c r="AS129" i="1"/>
  <c r="AR129" i="1"/>
  <c r="AP129" i="1"/>
  <c r="AO129" i="1"/>
  <c r="AN129" i="1"/>
  <c r="AM129" i="1"/>
  <c r="AL129" i="1"/>
  <c r="AK129" i="1"/>
  <c r="AJ129" i="1"/>
  <c r="AI129" i="1"/>
  <c r="AH129" i="1"/>
  <c r="AU128" i="1"/>
  <c r="AT128" i="1"/>
  <c r="AS128" i="1"/>
  <c r="AR128" i="1"/>
  <c r="AP128" i="1"/>
  <c r="AO128" i="1"/>
  <c r="AN128" i="1"/>
  <c r="AM128" i="1"/>
  <c r="AL128" i="1"/>
  <c r="AK128" i="1"/>
  <c r="AJ128" i="1"/>
  <c r="AI128" i="1"/>
  <c r="AH128" i="1"/>
  <c r="AU127" i="1"/>
  <c r="AT127" i="1"/>
  <c r="AS127" i="1"/>
  <c r="AR127" i="1"/>
  <c r="AP127" i="1"/>
  <c r="AO127" i="1"/>
  <c r="AN127" i="1"/>
  <c r="AM127" i="1"/>
  <c r="AL127" i="1"/>
  <c r="AK127" i="1"/>
  <c r="AJ127" i="1"/>
  <c r="AI127" i="1"/>
  <c r="AH127" i="1"/>
  <c r="AU126" i="1"/>
  <c r="AT126" i="1"/>
  <c r="AS126" i="1"/>
  <c r="AR126" i="1"/>
  <c r="AP126" i="1"/>
  <c r="AO126" i="1"/>
  <c r="AN126" i="1"/>
  <c r="AM126" i="1"/>
  <c r="AL126" i="1"/>
  <c r="AK126" i="1"/>
  <c r="AJ126" i="1"/>
  <c r="AI126" i="1"/>
  <c r="AH126" i="1"/>
  <c r="AU125" i="1"/>
  <c r="AT125" i="1"/>
  <c r="AS125" i="1"/>
  <c r="AR125" i="1"/>
  <c r="AP125" i="1"/>
  <c r="AO125" i="1"/>
  <c r="AN125" i="1"/>
  <c r="AM125" i="1"/>
  <c r="AL125" i="1"/>
  <c r="AK125" i="1"/>
  <c r="AJ125" i="1"/>
  <c r="AI125" i="1"/>
  <c r="AH125" i="1"/>
  <c r="AU124" i="1"/>
  <c r="AT124" i="1"/>
  <c r="AS124" i="1"/>
  <c r="AR124" i="1"/>
  <c r="AP124" i="1"/>
  <c r="AO124" i="1"/>
  <c r="AN124" i="1"/>
  <c r="AM124" i="1"/>
  <c r="AL124" i="1"/>
  <c r="AK124" i="1"/>
  <c r="AJ124" i="1"/>
  <c r="AI124" i="1"/>
  <c r="AH124" i="1"/>
  <c r="AU123" i="1"/>
  <c r="AT123" i="1"/>
  <c r="AS123" i="1"/>
  <c r="AR123" i="1"/>
  <c r="AP123" i="1"/>
  <c r="AO123" i="1"/>
  <c r="AN123" i="1"/>
  <c r="AM123" i="1"/>
  <c r="AL123" i="1"/>
  <c r="AK123" i="1"/>
  <c r="AJ123" i="1"/>
  <c r="AI123" i="1"/>
  <c r="AH123" i="1"/>
  <c r="AU122" i="1"/>
  <c r="AT122" i="1"/>
  <c r="AS122" i="1"/>
  <c r="AR122" i="1"/>
  <c r="AP122" i="1"/>
  <c r="AO122" i="1"/>
  <c r="AN122" i="1"/>
  <c r="AM122" i="1"/>
  <c r="AL122" i="1"/>
  <c r="AK122" i="1"/>
  <c r="AJ122" i="1"/>
  <c r="AI122" i="1"/>
  <c r="AH122" i="1"/>
  <c r="AU121" i="1"/>
  <c r="AT121" i="1"/>
  <c r="AS121" i="1"/>
  <c r="AR121" i="1"/>
  <c r="AP121" i="1"/>
  <c r="AO121" i="1"/>
  <c r="AN121" i="1"/>
  <c r="AM121" i="1"/>
  <c r="AL121" i="1"/>
  <c r="AK121" i="1"/>
  <c r="AJ121" i="1"/>
  <c r="AI121" i="1"/>
  <c r="AH121" i="1"/>
  <c r="AU120" i="1"/>
  <c r="AT120" i="1"/>
  <c r="AS120" i="1"/>
  <c r="AR120" i="1"/>
  <c r="AP120" i="1"/>
  <c r="AO120" i="1"/>
  <c r="AN120" i="1"/>
  <c r="AM120" i="1"/>
  <c r="AL120" i="1"/>
  <c r="AK120" i="1"/>
  <c r="AJ120" i="1"/>
  <c r="AI120" i="1"/>
  <c r="AH120" i="1"/>
  <c r="AU119" i="1"/>
  <c r="AT119" i="1"/>
  <c r="AS119" i="1"/>
  <c r="AR119" i="1"/>
  <c r="AP119" i="1"/>
  <c r="AO119" i="1"/>
  <c r="AN119" i="1"/>
  <c r="AM119" i="1"/>
  <c r="AL119" i="1"/>
  <c r="AK119" i="1"/>
  <c r="AJ119" i="1"/>
  <c r="AI119" i="1"/>
  <c r="AH119" i="1"/>
  <c r="AU118" i="1"/>
  <c r="AT118" i="1"/>
  <c r="AT134" i="1" s="1"/>
  <c r="M134" i="1" s="1"/>
  <c r="AS118" i="1"/>
  <c r="AR118" i="1"/>
  <c r="AP118" i="1"/>
  <c r="AP134" i="1" s="1"/>
  <c r="J134" i="1" s="1"/>
  <c r="AO118" i="1"/>
  <c r="AN118" i="1"/>
  <c r="AM118" i="1"/>
  <c r="AL118" i="1"/>
  <c r="AK118" i="1"/>
  <c r="AJ118" i="1"/>
  <c r="AI118" i="1"/>
  <c r="AH118" i="1"/>
  <c r="AU117" i="1"/>
  <c r="AT117" i="1"/>
  <c r="AS117" i="1"/>
  <c r="AR117" i="1"/>
  <c r="AP117" i="1"/>
  <c r="AO117" i="1"/>
  <c r="AN117" i="1"/>
  <c r="AM117" i="1"/>
  <c r="AL117" i="1"/>
  <c r="AK117" i="1"/>
  <c r="AJ117" i="1"/>
  <c r="AI117" i="1"/>
  <c r="AH117" i="1"/>
  <c r="AU116" i="1"/>
  <c r="AT116" i="1"/>
  <c r="AS116" i="1"/>
  <c r="AR116" i="1"/>
  <c r="AP116" i="1"/>
  <c r="AO116" i="1"/>
  <c r="AN116" i="1"/>
  <c r="AM116" i="1"/>
  <c r="AL116" i="1"/>
  <c r="AK116" i="1"/>
  <c r="AJ116" i="1"/>
  <c r="AI116" i="1"/>
  <c r="AH116" i="1"/>
  <c r="AU115" i="1"/>
  <c r="AT115" i="1"/>
  <c r="AS115" i="1"/>
  <c r="AR115" i="1"/>
  <c r="AP115" i="1"/>
  <c r="AO115" i="1"/>
  <c r="AN115" i="1"/>
  <c r="AM115" i="1"/>
  <c r="AL115" i="1"/>
  <c r="AK115" i="1"/>
  <c r="AJ115" i="1"/>
  <c r="AI115" i="1"/>
  <c r="AH115" i="1"/>
  <c r="AU114" i="1"/>
  <c r="AT114" i="1"/>
  <c r="AS114" i="1"/>
  <c r="AR114" i="1"/>
  <c r="AP114" i="1"/>
  <c r="AO114" i="1"/>
  <c r="AN114" i="1"/>
  <c r="AM114" i="1"/>
  <c r="AL114" i="1"/>
  <c r="AK114" i="1"/>
  <c r="AJ114" i="1"/>
  <c r="AI114" i="1"/>
  <c r="AH114" i="1"/>
  <c r="AU113" i="1"/>
  <c r="AT113" i="1"/>
  <c r="AS113" i="1"/>
  <c r="AR113" i="1"/>
  <c r="AR134" i="1" s="1"/>
  <c r="K134" i="1" s="1"/>
  <c r="AP113" i="1"/>
  <c r="AO113" i="1"/>
  <c r="AN113" i="1"/>
  <c r="AM113" i="1"/>
  <c r="AL113" i="1"/>
  <c r="AK113" i="1"/>
  <c r="AJ113" i="1"/>
  <c r="AI113" i="1"/>
  <c r="AH113" i="1"/>
  <c r="AU112" i="1"/>
  <c r="AT112" i="1"/>
  <c r="AS112" i="1"/>
  <c r="AR112" i="1"/>
  <c r="AP112" i="1"/>
  <c r="AO112" i="1"/>
  <c r="AO134" i="1" s="1"/>
  <c r="I134" i="1" s="1"/>
  <c r="AN112" i="1"/>
  <c r="AM112" i="1"/>
  <c r="AL112" i="1"/>
  <c r="AK112" i="1"/>
  <c r="AJ112" i="1"/>
  <c r="AI112" i="1"/>
  <c r="AH112" i="1"/>
  <c r="AU111" i="1"/>
  <c r="AU134" i="1" s="1"/>
  <c r="N134" i="1" s="1"/>
  <c r="AT111" i="1"/>
  <c r="AS111" i="1"/>
  <c r="AS134" i="1" s="1"/>
  <c r="L134" i="1" s="1"/>
  <c r="AR111" i="1"/>
  <c r="AP111" i="1"/>
  <c r="AO111" i="1"/>
  <c r="AN111" i="1"/>
  <c r="AN134" i="1" s="1"/>
  <c r="H134" i="1" s="1"/>
  <c r="AM111" i="1"/>
  <c r="AM134" i="1" s="1"/>
  <c r="G134" i="1" s="1"/>
  <c r="AL111" i="1"/>
  <c r="AL134" i="1" s="1"/>
  <c r="F134" i="1" s="1"/>
  <c r="AK111" i="1"/>
  <c r="AK134" i="1" s="1"/>
  <c r="E134" i="1" s="1"/>
  <c r="AJ111" i="1"/>
  <c r="AJ134" i="1" s="1"/>
  <c r="D134" i="1" s="1"/>
  <c r="AI111" i="1"/>
  <c r="AI134" i="1" s="1"/>
  <c r="C134" i="1" s="1"/>
  <c r="AH111" i="1"/>
  <c r="AH134" i="1" s="1"/>
  <c r="B134" i="1" s="1"/>
  <c r="AK108" i="1"/>
  <c r="E108" i="1" s="1"/>
  <c r="AH108" i="1"/>
  <c r="S108" i="1"/>
  <c r="R108" i="1"/>
  <c r="Q108" i="1"/>
  <c r="B108" i="1"/>
  <c r="AU107" i="1"/>
  <c r="AT107" i="1"/>
  <c r="AS107" i="1"/>
  <c r="AR107" i="1"/>
  <c r="AP107" i="1"/>
  <c r="AO107" i="1"/>
  <c r="AN107" i="1"/>
  <c r="AM107" i="1"/>
  <c r="AL107" i="1"/>
  <c r="AK107" i="1"/>
  <c r="AJ107" i="1"/>
  <c r="AI107" i="1"/>
  <c r="AH107" i="1"/>
  <c r="AU106" i="1"/>
  <c r="AT106" i="1"/>
  <c r="AS106" i="1"/>
  <c r="AR106" i="1"/>
  <c r="AP106" i="1"/>
  <c r="AO106" i="1"/>
  <c r="AN106" i="1"/>
  <c r="AM106" i="1"/>
  <c r="AL106" i="1"/>
  <c r="AK106" i="1"/>
  <c r="AJ106" i="1"/>
  <c r="AI106" i="1"/>
  <c r="AH106" i="1"/>
  <c r="AU105" i="1"/>
  <c r="AT105" i="1"/>
  <c r="AS105" i="1"/>
  <c r="AR105" i="1"/>
  <c r="AP105" i="1"/>
  <c r="AO105" i="1"/>
  <c r="AN105" i="1"/>
  <c r="AM105" i="1"/>
  <c r="AL105" i="1"/>
  <c r="AK105" i="1"/>
  <c r="AJ105" i="1"/>
  <c r="AI105" i="1"/>
  <c r="AH105" i="1"/>
  <c r="AU104" i="1"/>
  <c r="AT104" i="1"/>
  <c r="AS104" i="1"/>
  <c r="AR104" i="1"/>
  <c r="AP104" i="1"/>
  <c r="AO104" i="1"/>
  <c r="AN104" i="1"/>
  <c r="AM104" i="1"/>
  <c r="AL104" i="1"/>
  <c r="AK104" i="1"/>
  <c r="AJ104" i="1"/>
  <c r="AI104" i="1"/>
  <c r="AH104" i="1"/>
  <c r="AU103" i="1"/>
  <c r="AT103" i="1"/>
  <c r="AS103" i="1"/>
  <c r="AR103" i="1"/>
  <c r="AP103" i="1"/>
  <c r="AO103" i="1"/>
  <c r="AN103" i="1"/>
  <c r="AM103" i="1"/>
  <c r="AL103" i="1"/>
  <c r="AK103" i="1"/>
  <c r="AJ103" i="1"/>
  <c r="AI103" i="1"/>
  <c r="AI108" i="1" s="1"/>
  <c r="C108" i="1" s="1"/>
  <c r="AH103" i="1"/>
  <c r="AU102" i="1"/>
  <c r="AU108" i="1" s="1"/>
  <c r="N108" i="1" s="1"/>
  <c r="AT102" i="1"/>
  <c r="AT108" i="1" s="1"/>
  <c r="M108" i="1" s="1"/>
  <c r="AS102" i="1"/>
  <c r="AS108" i="1" s="1"/>
  <c r="L108" i="1" s="1"/>
  <c r="AR102" i="1"/>
  <c r="AR108" i="1" s="1"/>
  <c r="K108" i="1" s="1"/>
  <c r="AP102" i="1"/>
  <c r="AP108" i="1" s="1"/>
  <c r="J108" i="1" s="1"/>
  <c r="AO102" i="1"/>
  <c r="AO108" i="1" s="1"/>
  <c r="I108" i="1" s="1"/>
  <c r="AN102" i="1"/>
  <c r="AN108" i="1" s="1"/>
  <c r="H108" i="1" s="1"/>
  <c r="AM102" i="1"/>
  <c r="AM108" i="1" s="1"/>
  <c r="G108" i="1" s="1"/>
  <c r="AL102" i="1"/>
  <c r="AL108" i="1" s="1"/>
  <c r="F108" i="1" s="1"/>
  <c r="AK102" i="1"/>
  <c r="AJ102" i="1"/>
  <c r="AJ108" i="1" s="1"/>
  <c r="D108" i="1" s="1"/>
  <c r="AI102" i="1"/>
  <c r="AH102" i="1"/>
  <c r="S99" i="1"/>
  <c r="R99" i="1"/>
  <c r="Q99" i="1"/>
  <c r="AU98" i="1"/>
  <c r="AT98" i="1"/>
  <c r="AS98" i="1"/>
  <c r="AR98" i="1"/>
  <c r="AP98" i="1"/>
  <c r="AO98" i="1"/>
  <c r="AN98" i="1"/>
  <c r="AM98" i="1"/>
  <c r="AL98" i="1"/>
  <c r="AK98" i="1"/>
  <c r="AJ98" i="1"/>
  <c r="AI98" i="1"/>
  <c r="AH98" i="1"/>
  <c r="AU97" i="1"/>
  <c r="AT97" i="1"/>
  <c r="AS97" i="1"/>
  <c r="AR97" i="1"/>
  <c r="AP97" i="1"/>
  <c r="AO97" i="1"/>
  <c r="AN97" i="1"/>
  <c r="AM97" i="1"/>
  <c r="AL97" i="1"/>
  <c r="AK97" i="1"/>
  <c r="AJ97" i="1"/>
  <c r="AI97" i="1"/>
  <c r="AH97" i="1"/>
  <c r="AU96" i="1"/>
  <c r="AT96" i="1"/>
  <c r="AS96" i="1"/>
  <c r="AR96" i="1"/>
  <c r="AP96" i="1"/>
  <c r="AO96" i="1"/>
  <c r="AN96" i="1"/>
  <c r="AM96" i="1"/>
  <c r="AL96" i="1"/>
  <c r="AK96" i="1"/>
  <c r="AJ96" i="1"/>
  <c r="AI96" i="1"/>
  <c r="AH96" i="1"/>
  <c r="AU95" i="1"/>
  <c r="AT95" i="1"/>
  <c r="AS95" i="1"/>
  <c r="AR95" i="1"/>
  <c r="AP95" i="1"/>
  <c r="AO95" i="1"/>
  <c r="AN95" i="1"/>
  <c r="AM95" i="1"/>
  <c r="AL95" i="1"/>
  <c r="AK95" i="1"/>
  <c r="AJ95" i="1"/>
  <c r="AI95" i="1"/>
  <c r="AH95" i="1"/>
  <c r="AU94" i="1"/>
  <c r="AT94" i="1"/>
  <c r="AS94" i="1"/>
  <c r="AR94" i="1"/>
  <c r="AP94" i="1"/>
  <c r="AO94" i="1"/>
  <c r="AN94" i="1"/>
  <c r="AM94" i="1"/>
  <c r="AL94" i="1"/>
  <c r="AK94" i="1"/>
  <c r="AJ94" i="1"/>
  <c r="AI94" i="1"/>
  <c r="AH94" i="1"/>
  <c r="AU93" i="1"/>
  <c r="AT93" i="1"/>
  <c r="AS93" i="1"/>
  <c r="AR93" i="1"/>
  <c r="AP93" i="1"/>
  <c r="AO93" i="1"/>
  <c r="AN93" i="1"/>
  <c r="AM93" i="1"/>
  <c r="AL93" i="1"/>
  <c r="AK93" i="1"/>
  <c r="AJ93" i="1"/>
  <c r="AI93" i="1"/>
  <c r="AH93" i="1"/>
  <c r="AU92" i="1"/>
  <c r="AT92" i="1"/>
  <c r="AS92" i="1"/>
  <c r="AR92" i="1"/>
  <c r="AP92" i="1"/>
  <c r="AO92" i="1"/>
  <c r="AN92" i="1"/>
  <c r="AM92" i="1"/>
  <c r="AL92" i="1"/>
  <c r="AK92" i="1"/>
  <c r="AJ92" i="1"/>
  <c r="AI92" i="1"/>
  <c r="AH92" i="1"/>
  <c r="AU91" i="1"/>
  <c r="AT91" i="1"/>
  <c r="AS91" i="1"/>
  <c r="AR91" i="1"/>
  <c r="AP91" i="1"/>
  <c r="AO91" i="1"/>
  <c r="AN91" i="1"/>
  <c r="AM91" i="1"/>
  <c r="AL91" i="1"/>
  <c r="AK91" i="1"/>
  <c r="AJ91" i="1"/>
  <c r="AI91" i="1"/>
  <c r="AH91" i="1"/>
  <c r="AU90" i="1"/>
  <c r="AT90" i="1"/>
  <c r="AS90" i="1"/>
  <c r="AR90" i="1"/>
  <c r="AP90" i="1"/>
  <c r="AO90" i="1"/>
  <c r="AN90" i="1"/>
  <c r="AM90" i="1"/>
  <c r="AL90" i="1"/>
  <c r="AK90" i="1"/>
  <c r="AJ90" i="1"/>
  <c r="AI90" i="1"/>
  <c r="AH90" i="1"/>
  <c r="AU89" i="1"/>
  <c r="AT89" i="1"/>
  <c r="AS89" i="1"/>
  <c r="AR89" i="1"/>
  <c r="AP89" i="1"/>
  <c r="AO89" i="1"/>
  <c r="AN89" i="1"/>
  <c r="AM89" i="1"/>
  <c r="AL89" i="1"/>
  <c r="AK89" i="1"/>
  <c r="AJ89" i="1"/>
  <c r="AI89" i="1"/>
  <c r="AH89" i="1"/>
  <c r="AU88" i="1"/>
  <c r="AT88" i="1"/>
  <c r="AS88" i="1"/>
  <c r="AR88" i="1"/>
  <c r="AP88" i="1"/>
  <c r="AO88" i="1"/>
  <c r="AN88" i="1"/>
  <c r="AM88" i="1"/>
  <c r="AL88" i="1"/>
  <c r="AK88" i="1"/>
  <c r="AJ88" i="1"/>
  <c r="AI88" i="1"/>
  <c r="AH88" i="1"/>
  <c r="AU87" i="1"/>
  <c r="AT87" i="1"/>
  <c r="AS87" i="1"/>
  <c r="AR87" i="1"/>
  <c r="AP87" i="1"/>
  <c r="AO87" i="1"/>
  <c r="AN87" i="1"/>
  <c r="AM87" i="1"/>
  <c r="AL87" i="1"/>
  <c r="AK87" i="1"/>
  <c r="AJ87" i="1"/>
  <c r="AI87" i="1"/>
  <c r="AH87" i="1"/>
  <c r="AU86" i="1"/>
  <c r="AT86" i="1"/>
  <c r="AS86" i="1"/>
  <c r="AR86" i="1"/>
  <c r="AP86" i="1"/>
  <c r="AO86" i="1"/>
  <c r="AN86" i="1"/>
  <c r="AM86" i="1"/>
  <c r="AL86" i="1"/>
  <c r="AK86" i="1"/>
  <c r="AJ86" i="1"/>
  <c r="AI86" i="1"/>
  <c r="AH86" i="1"/>
  <c r="AU85" i="1"/>
  <c r="AT85" i="1"/>
  <c r="AS85" i="1"/>
  <c r="AR85" i="1"/>
  <c r="AP85" i="1"/>
  <c r="AO85" i="1"/>
  <c r="AN85" i="1"/>
  <c r="AM85" i="1"/>
  <c r="AL85" i="1"/>
  <c r="AK85" i="1"/>
  <c r="AJ85" i="1"/>
  <c r="AI85" i="1"/>
  <c r="AH85" i="1"/>
  <c r="AU84" i="1"/>
  <c r="AT84" i="1"/>
  <c r="AS84" i="1"/>
  <c r="AR84" i="1"/>
  <c r="AP84" i="1"/>
  <c r="AO84" i="1"/>
  <c r="AN84" i="1"/>
  <c r="AM84" i="1"/>
  <c r="AL84" i="1"/>
  <c r="AK84" i="1"/>
  <c r="AJ84" i="1"/>
  <c r="AI84" i="1"/>
  <c r="AH84" i="1"/>
  <c r="AU83" i="1"/>
  <c r="AU99" i="1" s="1"/>
  <c r="N99" i="1" s="1"/>
  <c r="AT83" i="1"/>
  <c r="AT99" i="1" s="1"/>
  <c r="M99" i="1" s="1"/>
  <c r="AS83" i="1"/>
  <c r="AS99" i="1" s="1"/>
  <c r="L99" i="1" s="1"/>
  <c r="AR83" i="1"/>
  <c r="AR99" i="1" s="1"/>
  <c r="K99" i="1" s="1"/>
  <c r="AP83" i="1"/>
  <c r="AP99" i="1" s="1"/>
  <c r="J99" i="1" s="1"/>
  <c r="AO83" i="1"/>
  <c r="AO99" i="1" s="1"/>
  <c r="I99" i="1" s="1"/>
  <c r="AN83" i="1"/>
  <c r="AN99" i="1" s="1"/>
  <c r="H99" i="1" s="1"/>
  <c r="AM83" i="1"/>
  <c r="AM99" i="1" s="1"/>
  <c r="G99" i="1" s="1"/>
  <c r="AL83" i="1"/>
  <c r="AL99" i="1" s="1"/>
  <c r="F99" i="1" s="1"/>
  <c r="AK83" i="1"/>
  <c r="AK99" i="1" s="1"/>
  <c r="E99" i="1" s="1"/>
  <c r="AJ83" i="1"/>
  <c r="AJ99" i="1" s="1"/>
  <c r="D99" i="1" s="1"/>
  <c r="AI83" i="1"/>
  <c r="AI99" i="1" s="1"/>
  <c r="C99" i="1" s="1"/>
  <c r="AH83" i="1"/>
  <c r="AH99" i="1" s="1"/>
  <c r="B99" i="1" s="1"/>
  <c r="AT80" i="1"/>
  <c r="M80" i="1" s="1"/>
  <c r="AP80" i="1"/>
  <c r="S80" i="1"/>
  <c r="R80" i="1"/>
  <c r="Q80" i="1"/>
  <c r="J80" i="1"/>
  <c r="AU79" i="1"/>
  <c r="AT79" i="1"/>
  <c r="AS79" i="1"/>
  <c r="AR79" i="1"/>
  <c r="AP79" i="1"/>
  <c r="AO79" i="1"/>
  <c r="AN79" i="1"/>
  <c r="AM79" i="1"/>
  <c r="AL79" i="1"/>
  <c r="AK79" i="1"/>
  <c r="AJ79" i="1"/>
  <c r="AI79" i="1"/>
  <c r="AH79" i="1"/>
  <c r="AU78" i="1"/>
  <c r="AT78" i="1"/>
  <c r="AS78" i="1"/>
  <c r="AR78" i="1"/>
  <c r="AP78" i="1"/>
  <c r="AO78" i="1"/>
  <c r="AN78" i="1"/>
  <c r="AM78" i="1"/>
  <c r="AL78" i="1"/>
  <c r="AK78" i="1"/>
  <c r="AJ78" i="1"/>
  <c r="AI78" i="1"/>
  <c r="AH78" i="1"/>
  <c r="AU77" i="1"/>
  <c r="AT77" i="1"/>
  <c r="AS77" i="1"/>
  <c r="AR77" i="1"/>
  <c r="AP77" i="1"/>
  <c r="AO77" i="1"/>
  <c r="AN77" i="1"/>
  <c r="AM77" i="1"/>
  <c r="AL77" i="1"/>
  <c r="AK77" i="1"/>
  <c r="AJ77" i="1"/>
  <c r="AI77" i="1"/>
  <c r="AH77" i="1"/>
  <c r="AU76" i="1"/>
  <c r="AT76" i="1"/>
  <c r="AS76" i="1"/>
  <c r="AR76" i="1"/>
  <c r="AP76" i="1"/>
  <c r="AO76" i="1"/>
  <c r="AN76" i="1"/>
  <c r="AM76" i="1"/>
  <c r="AL76" i="1"/>
  <c r="AK76" i="1"/>
  <c r="AJ76" i="1"/>
  <c r="AI76" i="1"/>
  <c r="AH76" i="1"/>
  <c r="AU75" i="1"/>
  <c r="AT75" i="1"/>
  <c r="AS75" i="1"/>
  <c r="AR75" i="1"/>
  <c r="AR80" i="1" s="1"/>
  <c r="K80" i="1" s="1"/>
  <c r="AP75" i="1"/>
  <c r="AO75" i="1"/>
  <c r="AN75" i="1"/>
  <c r="AM75" i="1"/>
  <c r="AL75" i="1"/>
  <c r="AK75" i="1"/>
  <c r="AJ75" i="1"/>
  <c r="AI75" i="1"/>
  <c r="AH75" i="1"/>
  <c r="AU74" i="1"/>
  <c r="AT74" i="1"/>
  <c r="AS74" i="1"/>
  <c r="AR74" i="1"/>
  <c r="AP74" i="1"/>
  <c r="AO74" i="1"/>
  <c r="AO80" i="1" s="1"/>
  <c r="I80" i="1" s="1"/>
  <c r="AN74" i="1"/>
  <c r="AM74" i="1"/>
  <c r="AM80" i="1" s="1"/>
  <c r="G80" i="1" s="1"/>
  <c r="AL74" i="1"/>
  <c r="AK74" i="1"/>
  <c r="AJ74" i="1"/>
  <c r="AI74" i="1"/>
  <c r="AH74" i="1"/>
  <c r="AU73" i="1"/>
  <c r="AT73" i="1"/>
  <c r="AS73" i="1"/>
  <c r="AR73" i="1"/>
  <c r="AP73" i="1"/>
  <c r="AO73" i="1"/>
  <c r="AN73" i="1"/>
  <c r="AN80" i="1" s="1"/>
  <c r="H80" i="1" s="1"/>
  <c r="AM73" i="1"/>
  <c r="AL73" i="1"/>
  <c r="AK73" i="1"/>
  <c r="AJ73" i="1"/>
  <c r="AI73" i="1"/>
  <c r="AH73" i="1"/>
  <c r="AU72" i="1"/>
  <c r="AU80" i="1" s="1"/>
  <c r="N80" i="1" s="1"/>
  <c r="AT72" i="1"/>
  <c r="AS72" i="1"/>
  <c r="AS80" i="1" s="1"/>
  <c r="L80" i="1" s="1"/>
  <c r="AR72" i="1"/>
  <c r="AP72" i="1"/>
  <c r="AO72" i="1"/>
  <c r="AN72" i="1"/>
  <c r="AM72" i="1"/>
  <c r="AL72" i="1"/>
  <c r="AL80" i="1" s="1"/>
  <c r="F80" i="1" s="1"/>
  <c r="AK72" i="1"/>
  <c r="AK80" i="1" s="1"/>
  <c r="E80" i="1" s="1"/>
  <c r="AJ72" i="1"/>
  <c r="AJ80" i="1" s="1"/>
  <c r="D80" i="1" s="1"/>
  <c r="AI72" i="1"/>
  <c r="AI80" i="1" s="1"/>
  <c r="C80" i="1" s="1"/>
  <c r="AH72" i="1"/>
  <c r="AH80" i="1" s="1"/>
  <c r="B80" i="1" s="1"/>
  <c r="S69" i="1"/>
  <c r="R69" i="1"/>
  <c r="Q69" i="1"/>
  <c r="AU68" i="1"/>
  <c r="AT68" i="1"/>
  <c r="AS68" i="1"/>
  <c r="AR68" i="1"/>
  <c r="AP68" i="1"/>
  <c r="AO68" i="1"/>
  <c r="AN68" i="1"/>
  <c r="AM68" i="1"/>
  <c r="AL68" i="1"/>
  <c r="AK68" i="1"/>
  <c r="AJ68" i="1"/>
  <c r="AI68" i="1"/>
  <c r="AH68" i="1"/>
  <c r="AU67" i="1"/>
  <c r="AT67" i="1"/>
  <c r="AS67" i="1"/>
  <c r="AR67" i="1"/>
  <c r="AP67" i="1"/>
  <c r="AO67" i="1"/>
  <c r="AN67" i="1"/>
  <c r="AM67" i="1"/>
  <c r="AL67" i="1"/>
  <c r="AK67" i="1"/>
  <c r="AJ67" i="1"/>
  <c r="AI67" i="1"/>
  <c r="AH67" i="1"/>
  <c r="AU66" i="1"/>
  <c r="AT66" i="1"/>
  <c r="AS66" i="1"/>
  <c r="AR66" i="1"/>
  <c r="AP66" i="1"/>
  <c r="AO66" i="1"/>
  <c r="AN66" i="1"/>
  <c r="AM66" i="1"/>
  <c r="AL66" i="1"/>
  <c r="AK66" i="1"/>
  <c r="AJ66" i="1"/>
  <c r="AI66" i="1"/>
  <c r="AH66" i="1"/>
  <c r="AU65" i="1"/>
  <c r="AT65" i="1"/>
  <c r="AS65" i="1"/>
  <c r="AR65" i="1"/>
  <c r="AP65" i="1"/>
  <c r="AO65" i="1"/>
  <c r="AN65" i="1"/>
  <c r="AM65" i="1"/>
  <c r="AL65" i="1"/>
  <c r="AK65" i="1"/>
  <c r="AJ65" i="1"/>
  <c r="AI65" i="1"/>
  <c r="AH65" i="1"/>
  <c r="AU64" i="1"/>
  <c r="AT64" i="1"/>
  <c r="AS64" i="1"/>
  <c r="AR64" i="1"/>
  <c r="AP64" i="1"/>
  <c r="AO64" i="1"/>
  <c r="AN64" i="1"/>
  <c r="AM64" i="1"/>
  <c r="AL64" i="1"/>
  <c r="AK64" i="1"/>
  <c r="AJ64" i="1"/>
  <c r="AI64" i="1"/>
  <c r="AH64" i="1"/>
  <c r="AU63" i="1"/>
  <c r="AT63" i="1"/>
  <c r="AT136" i="1" s="1"/>
  <c r="M136" i="1" s="1"/>
  <c r="AS63" i="1"/>
  <c r="AR63" i="1"/>
  <c r="AP63" i="1"/>
  <c r="AO63" i="1"/>
  <c r="AN63" i="1"/>
  <c r="AM63" i="1"/>
  <c r="AL63" i="1"/>
  <c r="AK63" i="1"/>
  <c r="AJ63" i="1"/>
  <c r="AI63" i="1"/>
  <c r="AH63" i="1"/>
  <c r="AU62" i="1"/>
  <c r="AT62" i="1"/>
  <c r="AS62" i="1"/>
  <c r="AR62" i="1"/>
  <c r="AP62" i="1"/>
  <c r="AO62" i="1"/>
  <c r="AN62" i="1"/>
  <c r="AM62" i="1"/>
  <c r="AL62" i="1"/>
  <c r="AK62" i="1"/>
  <c r="AJ62" i="1"/>
  <c r="AI62" i="1"/>
  <c r="AH62" i="1"/>
  <c r="AU61" i="1"/>
  <c r="AT61" i="1"/>
  <c r="AS61" i="1"/>
  <c r="AR61" i="1"/>
  <c r="AP61" i="1"/>
  <c r="AO61" i="1"/>
  <c r="AN61" i="1"/>
  <c r="AM61" i="1"/>
  <c r="AL61" i="1"/>
  <c r="AK61" i="1"/>
  <c r="AJ61" i="1"/>
  <c r="AI61" i="1"/>
  <c r="AH61" i="1"/>
  <c r="AU60" i="1"/>
  <c r="AT60" i="1"/>
  <c r="AS60" i="1"/>
  <c r="AR60" i="1"/>
  <c r="AP60" i="1"/>
  <c r="AO60" i="1"/>
  <c r="AN60" i="1"/>
  <c r="AM60" i="1"/>
  <c r="AL60" i="1"/>
  <c r="AK60" i="1"/>
  <c r="AJ60" i="1"/>
  <c r="AI60" i="1"/>
  <c r="AH60" i="1"/>
  <c r="AU59" i="1"/>
  <c r="AT59" i="1"/>
  <c r="AS59" i="1"/>
  <c r="AR59" i="1"/>
  <c r="AP59" i="1"/>
  <c r="AO59" i="1"/>
  <c r="AN59" i="1"/>
  <c r="AM59" i="1"/>
  <c r="AL59" i="1"/>
  <c r="AK59" i="1"/>
  <c r="AJ59" i="1"/>
  <c r="AI59" i="1"/>
  <c r="AH59" i="1"/>
  <c r="AU58" i="1"/>
  <c r="AT58" i="1"/>
  <c r="AS58" i="1"/>
  <c r="AR58" i="1"/>
  <c r="AP58" i="1"/>
  <c r="AO58" i="1"/>
  <c r="AN58" i="1"/>
  <c r="AM58" i="1"/>
  <c r="AL58" i="1"/>
  <c r="AK58" i="1"/>
  <c r="AJ58" i="1"/>
  <c r="AI58" i="1"/>
  <c r="AH58" i="1"/>
  <c r="AU57" i="1"/>
  <c r="AU136" i="1" s="1"/>
  <c r="N136" i="1" s="1"/>
  <c r="AT57" i="1"/>
  <c r="AS57" i="1"/>
  <c r="AS69" i="1" s="1"/>
  <c r="L69" i="1" s="1"/>
  <c r="AR57" i="1"/>
  <c r="AP57" i="1"/>
  <c r="AO57" i="1"/>
  <c r="AN57" i="1"/>
  <c r="AM57" i="1"/>
  <c r="AL57" i="1"/>
  <c r="AK57" i="1"/>
  <c r="AJ57" i="1"/>
  <c r="AI57" i="1"/>
  <c r="AH57" i="1"/>
  <c r="AU56" i="1"/>
  <c r="AT56" i="1"/>
  <c r="AS56" i="1"/>
  <c r="AR56" i="1"/>
  <c r="AP56" i="1"/>
  <c r="AO56" i="1"/>
  <c r="AN56" i="1"/>
  <c r="AM56" i="1"/>
  <c r="AL56" i="1"/>
  <c r="AK56" i="1"/>
  <c r="AJ56" i="1"/>
  <c r="AI56" i="1"/>
  <c r="AH56" i="1"/>
  <c r="AU55" i="1"/>
  <c r="AT55" i="1"/>
  <c r="AS55" i="1"/>
  <c r="AR55" i="1"/>
  <c r="AP55" i="1"/>
  <c r="AO55" i="1"/>
  <c r="AN55" i="1"/>
  <c r="AM55" i="1"/>
  <c r="AL55" i="1"/>
  <c r="AK55" i="1"/>
  <c r="AJ55" i="1"/>
  <c r="AI55" i="1"/>
  <c r="AH55" i="1"/>
  <c r="AU54" i="1"/>
  <c r="AT54" i="1"/>
  <c r="AT69" i="1" s="1"/>
  <c r="M69" i="1" s="1"/>
  <c r="AS54" i="1"/>
  <c r="AS136" i="1" s="1"/>
  <c r="L136" i="1" s="1"/>
  <c r="AR54" i="1"/>
  <c r="AR69" i="1" s="1"/>
  <c r="K69" i="1" s="1"/>
  <c r="AP54" i="1"/>
  <c r="AP136" i="1" s="1"/>
  <c r="J136" i="1" s="1"/>
  <c r="AO54" i="1"/>
  <c r="AO136" i="1" s="1"/>
  <c r="I136" i="1" s="1"/>
  <c r="AN54" i="1"/>
  <c r="AN136" i="1" s="1"/>
  <c r="H136" i="1" s="1"/>
  <c r="AM54" i="1"/>
  <c r="AM136" i="1" s="1"/>
  <c r="G136" i="1" s="1"/>
  <c r="AL54" i="1"/>
  <c r="AL136" i="1" s="1"/>
  <c r="F136" i="1" s="1"/>
  <c r="AK54" i="1"/>
  <c r="AK136" i="1" s="1"/>
  <c r="E136" i="1" s="1"/>
  <c r="AJ54" i="1"/>
  <c r="AJ136" i="1" s="1"/>
  <c r="D136" i="1" s="1"/>
  <c r="AI54" i="1"/>
  <c r="AI136" i="1" s="1"/>
  <c r="C136" i="1" s="1"/>
  <c r="AH54" i="1"/>
  <c r="AH69" i="1" s="1"/>
  <c r="B69" i="1" s="1"/>
  <c r="S50" i="1"/>
  <c r="R50" i="1"/>
  <c r="Q50" i="1"/>
  <c r="AT48" i="1"/>
  <c r="AS48" i="1"/>
  <c r="AR48" i="1"/>
  <c r="S48" i="1"/>
  <c r="R48" i="1"/>
  <c r="Q48" i="1"/>
  <c r="M48" i="1"/>
  <c r="L48" i="1"/>
  <c r="K48" i="1"/>
  <c r="AU47" i="1"/>
  <c r="AT47" i="1"/>
  <c r="AS47" i="1"/>
  <c r="AR47" i="1"/>
  <c r="AP47" i="1"/>
  <c r="AP48" i="1" s="1"/>
  <c r="J48" i="1" s="1"/>
  <c r="AO47" i="1"/>
  <c r="AN47" i="1"/>
  <c r="AM47" i="1"/>
  <c r="AL47" i="1"/>
  <c r="AK47" i="1"/>
  <c r="AJ47" i="1"/>
  <c r="AI47" i="1"/>
  <c r="AH47" i="1"/>
  <c r="AU46" i="1"/>
  <c r="AU48" i="1" s="1"/>
  <c r="N48" i="1" s="1"/>
  <c r="AT46" i="1"/>
  <c r="AS46" i="1"/>
  <c r="AR46" i="1"/>
  <c r="AP46" i="1"/>
  <c r="AO46" i="1"/>
  <c r="AO48" i="1" s="1"/>
  <c r="I48" i="1" s="1"/>
  <c r="AN46" i="1"/>
  <c r="AN48" i="1" s="1"/>
  <c r="H48" i="1" s="1"/>
  <c r="AM46" i="1"/>
  <c r="AM48" i="1" s="1"/>
  <c r="G48" i="1" s="1"/>
  <c r="AL46" i="1"/>
  <c r="AL48" i="1" s="1"/>
  <c r="F48" i="1" s="1"/>
  <c r="AK46" i="1"/>
  <c r="AK48" i="1" s="1"/>
  <c r="E48" i="1" s="1"/>
  <c r="AJ46" i="1"/>
  <c r="AJ48" i="1" s="1"/>
  <c r="D48" i="1" s="1"/>
  <c r="AI46" i="1"/>
  <c r="AI48" i="1" s="1"/>
  <c r="C48" i="1" s="1"/>
  <c r="AH46" i="1"/>
  <c r="AH48" i="1" s="1"/>
  <c r="B48" i="1" s="1"/>
  <c r="S43" i="1"/>
  <c r="R43" i="1"/>
  <c r="Q43" i="1"/>
  <c r="AU42" i="1"/>
  <c r="AT42" i="1"/>
  <c r="AS42" i="1"/>
  <c r="AR42" i="1"/>
  <c r="AP42" i="1"/>
  <c r="AO42" i="1"/>
  <c r="AN42" i="1"/>
  <c r="AM42" i="1"/>
  <c r="AL42" i="1"/>
  <c r="AK42" i="1"/>
  <c r="AJ42" i="1"/>
  <c r="AI42" i="1"/>
  <c r="AH42" i="1"/>
  <c r="AU41" i="1"/>
  <c r="AT41" i="1"/>
  <c r="AS41" i="1"/>
  <c r="AR41" i="1"/>
  <c r="AP41" i="1"/>
  <c r="AO41" i="1"/>
  <c r="AN41" i="1"/>
  <c r="AM41" i="1"/>
  <c r="AL41" i="1"/>
  <c r="AK41" i="1"/>
  <c r="AJ41" i="1"/>
  <c r="AI41" i="1"/>
  <c r="AH41" i="1"/>
  <c r="AU40" i="1"/>
  <c r="AT40" i="1"/>
  <c r="AS40" i="1"/>
  <c r="AR40" i="1"/>
  <c r="AP40" i="1"/>
  <c r="AO40" i="1"/>
  <c r="AN40" i="1"/>
  <c r="AM40" i="1"/>
  <c r="AL40" i="1"/>
  <c r="AK40" i="1"/>
  <c r="AJ40" i="1"/>
  <c r="AI40" i="1"/>
  <c r="AH40" i="1"/>
  <c r="AU39" i="1"/>
  <c r="AT39" i="1"/>
  <c r="AS39" i="1"/>
  <c r="AR39" i="1"/>
  <c r="AP39" i="1"/>
  <c r="AO39" i="1"/>
  <c r="AN39" i="1"/>
  <c r="AM39" i="1"/>
  <c r="AL39" i="1"/>
  <c r="AK39" i="1"/>
  <c r="AJ39" i="1"/>
  <c r="AI39" i="1"/>
  <c r="AH39" i="1"/>
  <c r="AU38" i="1"/>
  <c r="AT38" i="1"/>
  <c r="AS38" i="1"/>
  <c r="AR38" i="1"/>
  <c r="AP38" i="1"/>
  <c r="AO38" i="1"/>
  <c r="AN38" i="1"/>
  <c r="AM38" i="1"/>
  <c r="AL38" i="1"/>
  <c r="AK38" i="1"/>
  <c r="AJ38" i="1"/>
  <c r="AI38" i="1"/>
  <c r="AH38" i="1"/>
  <c r="AU37" i="1"/>
  <c r="AT37" i="1"/>
  <c r="AS37" i="1"/>
  <c r="AR37" i="1"/>
  <c r="AP37" i="1"/>
  <c r="AO37" i="1"/>
  <c r="AN37" i="1"/>
  <c r="AM37" i="1"/>
  <c r="AL37" i="1"/>
  <c r="AK37" i="1"/>
  <c r="AJ37" i="1"/>
  <c r="AI37" i="1"/>
  <c r="AH37" i="1"/>
  <c r="AU36" i="1"/>
  <c r="AT36" i="1"/>
  <c r="AS36" i="1"/>
  <c r="AR36" i="1"/>
  <c r="AP36" i="1"/>
  <c r="AO36" i="1"/>
  <c r="AN36" i="1"/>
  <c r="AM36" i="1"/>
  <c r="AL36" i="1"/>
  <c r="AK36" i="1"/>
  <c r="AJ36" i="1"/>
  <c r="AI36" i="1"/>
  <c r="AH36" i="1"/>
  <c r="AU35" i="1"/>
  <c r="AT35" i="1"/>
  <c r="AS35" i="1"/>
  <c r="AR35" i="1"/>
  <c r="AP35" i="1"/>
  <c r="AO35" i="1"/>
  <c r="AN35" i="1"/>
  <c r="AM35" i="1"/>
  <c r="AL35" i="1"/>
  <c r="AK35" i="1"/>
  <c r="AJ35" i="1"/>
  <c r="AI35" i="1"/>
  <c r="AH35" i="1"/>
  <c r="AU34" i="1"/>
  <c r="AT34" i="1"/>
  <c r="AS34" i="1"/>
  <c r="AR34" i="1"/>
  <c r="AP34" i="1"/>
  <c r="AO34" i="1"/>
  <c r="AN34" i="1"/>
  <c r="AM34" i="1"/>
  <c r="AL34" i="1"/>
  <c r="AK34" i="1"/>
  <c r="AJ34" i="1"/>
  <c r="AI34" i="1"/>
  <c r="AH34" i="1"/>
  <c r="AU33" i="1"/>
  <c r="AT33" i="1"/>
  <c r="AS33" i="1"/>
  <c r="AR33" i="1"/>
  <c r="AP33" i="1"/>
  <c r="AO33" i="1"/>
  <c r="AN33" i="1"/>
  <c r="AM33" i="1"/>
  <c r="AL33" i="1"/>
  <c r="AK33" i="1"/>
  <c r="AJ33" i="1"/>
  <c r="AI33" i="1"/>
  <c r="AH33" i="1"/>
  <c r="AU32" i="1"/>
  <c r="AT32" i="1"/>
  <c r="AS32" i="1"/>
  <c r="AR32" i="1"/>
  <c r="AP32" i="1"/>
  <c r="AO32" i="1"/>
  <c r="AN32" i="1"/>
  <c r="AM32" i="1"/>
  <c r="AL32" i="1"/>
  <c r="AK32" i="1"/>
  <c r="AJ32" i="1"/>
  <c r="AI32" i="1"/>
  <c r="AH32" i="1"/>
  <c r="AU31" i="1"/>
  <c r="AT31" i="1"/>
  <c r="AS31" i="1"/>
  <c r="AR31" i="1"/>
  <c r="AP31" i="1"/>
  <c r="AO31" i="1"/>
  <c r="AN31" i="1"/>
  <c r="AM31" i="1"/>
  <c r="AL31" i="1"/>
  <c r="AK31" i="1"/>
  <c r="AJ31" i="1"/>
  <c r="AI31" i="1"/>
  <c r="AH31" i="1"/>
  <c r="AU30" i="1"/>
  <c r="AT30" i="1"/>
  <c r="AS30" i="1"/>
  <c r="AR30" i="1"/>
  <c r="AP30" i="1"/>
  <c r="AO30" i="1"/>
  <c r="AN30" i="1"/>
  <c r="AM30" i="1"/>
  <c r="AL30" i="1"/>
  <c r="AK30" i="1"/>
  <c r="AJ30" i="1"/>
  <c r="AI30" i="1"/>
  <c r="AH30" i="1"/>
  <c r="AU29" i="1"/>
  <c r="AT29" i="1"/>
  <c r="AS29" i="1"/>
  <c r="AR29" i="1"/>
  <c r="AP29" i="1"/>
  <c r="AO29" i="1"/>
  <c r="AN29" i="1"/>
  <c r="AM29" i="1"/>
  <c r="AL29" i="1"/>
  <c r="AK29" i="1"/>
  <c r="AJ29" i="1"/>
  <c r="AI29" i="1"/>
  <c r="AH29" i="1"/>
  <c r="AU28" i="1"/>
  <c r="AT28" i="1"/>
  <c r="AS28" i="1"/>
  <c r="AR28" i="1"/>
  <c r="AP28" i="1"/>
  <c r="AO28" i="1"/>
  <c r="AN28" i="1"/>
  <c r="AM28" i="1"/>
  <c r="AL28" i="1"/>
  <c r="AK28" i="1"/>
  <c r="AJ28" i="1"/>
  <c r="AI28" i="1"/>
  <c r="AH28" i="1"/>
  <c r="AU27" i="1"/>
  <c r="AT27" i="1"/>
  <c r="AS27" i="1"/>
  <c r="AR27" i="1"/>
  <c r="AP27" i="1"/>
  <c r="AO27" i="1"/>
  <c r="AN27" i="1"/>
  <c r="AM27" i="1"/>
  <c r="AL27" i="1"/>
  <c r="AL43" i="1" s="1"/>
  <c r="F43" i="1" s="1"/>
  <c r="AK27" i="1"/>
  <c r="AJ27" i="1"/>
  <c r="AJ43" i="1" s="1"/>
  <c r="D43" i="1" s="1"/>
  <c r="AI27" i="1"/>
  <c r="AI43" i="1" s="1"/>
  <c r="C43" i="1" s="1"/>
  <c r="AH27" i="1"/>
  <c r="AH43" i="1" s="1"/>
  <c r="B43" i="1" s="1"/>
  <c r="AU26" i="1"/>
  <c r="AT26" i="1"/>
  <c r="AS26" i="1"/>
  <c r="AR26" i="1"/>
  <c r="AP26" i="1"/>
  <c r="AO26" i="1"/>
  <c r="AN26" i="1"/>
  <c r="AM26" i="1"/>
  <c r="AL26" i="1"/>
  <c r="AK26" i="1"/>
  <c r="AJ26" i="1"/>
  <c r="AI26" i="1"/>
  <c r="AH26" i="1"/>
  <c r="AU25" i="1"/>
  <c r="AU43" i="1" s="1"/>
  <c r="N43" i="1" s="1"/>
  <c r="AT25" i="1"/>
  <c r="AS25" i="1"/>
  <c r="AR25" i="1"/>
  <c r="AP25" i="1"/>
  <c r="AO25" i="1"/>
  <c r="AN25" i="1"/>
  <c r="AM25" i="1"/>
  <c r="AL25" i="1"/>
  <c r="AK25" i="1"/>
  <c r="AJ25" i="1"/>
  <c r="AI25" i="1"/>
  <c r="AH25" i="1"/>
  <c r="AU24" i="1"/>
  <c r="AT24" i="1"/>
  <c r="AT43" i="1" s="1"/>
  <c r="M43" i="1" s="1"/>
  <c r="AS24" i="1"/>
  <c r="AS43" i="1" s="1"/>
  <c r="L43" i="1" s="1"/>
  <c r="AR24" i="1"/>
  <c r="AR43" i="1" s="1"/>
  <c r="K43" i="1" s="1"/>
  <c r="AP24" i="1"/>
  <c r="AP43" i="1" s="1"/>
  <c r="J43" i="1" s="1"/>
  <c r="AO24" i="1"/>
  <c r="AO43" i="1" s="1"/>
  <c r="I43" i="1" s="1"/>
  <c r="AN24" i="1"/>
  <c r="AN43" i="1" s="1"/>
  <c r="H43" i="1" s="1"/>
  <c r="AM24" i="1"/>
  <c r="AM43" i="1" s="1"/>
  <c r="G43" i="1" s="1"/>
  <c r="AL24" i="1"/>
  <c r="AK24" i="1"/>
  <c r="AK43" i="1" s="1"/>
  <c r="E43" i="1" s="1"/>
  <c r="AJ24" i="1"/>
  <c r="AI24" i="1"/>
  <c r="AH24" i="1"/>
  <c r="AP21" i="1"/>
  <c r="J21" i="1" s="1"/>
  <c r="AM21" i="1"/>
  <c r="G21" i="1" s="1"/>
  <c r="S21" i="1"/>
  <c r="R21" i="1"/>
  <c r="Q21" i="1"/>
  <c r="AM19" i="1"/>
  <c r="G19" i="1" s="1"/>
  <c r="AJ19" i="1"/>
  <c r="S19" i="1"/>
  <c r="R19" i="1"/>
  <c r="Q19" i="1"/>
  <c r="D19" i="1"/>
  <c r="AU18" i="1"/>
  <c r="AT18" i="1"/>
  <c r="AS18" i="1"/>
  <c r="AR18" i="1"/>
  <c r="AP18" i="1"/>
  <c r="AO18" i="1"/>
  <c r="AN18" i="1"/>
  <c r="AM18" i="1"/>
  <c r="AL18" i="1"/>
  <c r="AK18" i="1"/>
  <c r="AJ18" i="1"/>
  <c r="AI18" i="1"/>
  <c r="AH18" i="1"/>
  <c r="AU17" i="1"/>
  <c r="AT17" i="1"/>
  <c r="AS17" i="1"/>
  <c r="AR17" i="1"/>
  <c r="AP17" i="1"/>
  <c r="AO17" i="1"/>
  <c r="AN17" i="1"/>
  <c r="AM17" i="1"/>
  <c r="AL17" i="1"/>
  <c r="AK17" i="1"/>
  <c r="AJ17" i="1"/>
  <c r="AI17" i="1"/>
  <c r="AH17" i="1"/>
  <c r="AU16" i="1"/>
  <c r="AT16" i="1"/>
  <c r="AS16" i="1"/>
  <c r="AR16" i="1"/>
  <c r="AP16" i="1"/>
  <c r="AO16" i="1"/>
  <c r="AN16" i="1"/>
  <c r="AM16" i="1"/>
  <c r="AL16" i="1"/>
  <c r="AK16" i="1"/>
  <c r="AJ16" i="1"/>
  <c r="AI16" i="1"/>
  <c r="AH16" i="1"/>
  <c r="AU15" i="1"/>
  <c r="AT15" i="1"/>
  <c r="AS15" i="1"/>
  <c r="AR15" i="1"/>
  <c r="AP15" i="1"/>
  <c r="AO15" i="1"/>
  <c r="AN15" i="1"/>
  <c r="AM15" i="1"/>
  <c r="AL15" i="1"/>
  <c r="AK15" i="1"/>
  <c r="AJ15" i="1"/>
  <c r="AI15" i="1"/>
  <c r="AH15" i="1"/>
  <c r="AU14" i="1"/>
  <c r="AU19" i="1" s="1"/>
  <c r="N19" i="1" s="1"/>
  <c r="AT14" i="1"/>
  <c r="AT19" i="1" s="1"/>
  <c r="M19" i="1" s="1"/>
  <c r="AS14" i="1"/>
  <c r="AS19" i="1" s="1"/>
  <c r="L19" i="1" s="1"/>
  <c r="AR14" i="1"/>
  <c r="AR19" i="1" s="1"/>
  <c r="K19" i="1" s="1"/>
  <c r="AP14" i="1"/>
  <c r="AP19" i="1" s="1"/>
  <c r="J19" i="1" s="1"/>
  <c r="AO14" i="1"/>
  <c r="AO19" i="1" s="1"/>
  <c r="I19" i="1" s="1"/>
  <c r="AN14" i="1"/>
  <c r="AN152" i="1" s="1"/>
  <c r="H152" i="1" s="1"/>
  <c r="AM14" i="1"/>
  <c r="AL14" i="1"/>
  <c r="AL19" i="1" s="1"/>
  <c r="F19" i="1" s="1"/>
  <c r="AK14" i="1"/>
  <c r="AK19" i="1" s="1"/>
  <c r="E19" i="1" s="1"/>
  <c r="AJ14" i="1"/>
  <c r="AI14" i="1"/>
  <c r="AI138" i="1" s="1"/>
  <c r="C138" i="1" s="1"/>
  <c r="AH14" i="1"/>
  <c r="AH19" i="1" s="1"/>
  <c r="B19" i="1" s="1"/>
  <c r="AK11" i="1"/>
  <c r="AI11" i="1"/>
  <c r="AH11" i="1"/>
  <c r="S11" i="1"/>
  <c r="R11" i="1"/>
  <c r="Q11" i="1"/>
  <c r="E11" i="1"/>
  <c r="C11" i="1"/>
  <c r="B11" i="1"/>
  <c r="AU10" i="1"/>
  <c r="AT10" i="1"/>
  <c r="AS10" i="1"/>
  <c r="AR10" i="1"/>
  <c r="AP10" i="1"/>
  <c r="AO10" i="1"/>
  <c r="AN10" i="1"/>
  <c r="AM10" i="1"/>
  <c r="AL10" i="1"/>
  <c r="AK10" i="1"/>
  <c r="AJ10" i="1"/>
  <c r="AI10" i="1"/>
  <c r="AH10" i="1"/>
  <c r="AH21" i="1" s="1"/>
  <c r="B21" i="1" s="1"/>
  <c r="AU9" i="1"/>
  <c r="AT9" i="1"/>
  <c r="AT138" i="1" s="1"/>
  <c r="M138" i="1" s="1"/>
  <c r="AS9" i="1"/>
  <c r="AS50" i="1" s="1"/>
  <c r="L50" i="1" s="1"/>
  <c r="AR9" i="1"/>
  <c r="AR50" i="1" s="1"/>
  <c r="K50" i="1" s="1"/>
  <c r="AP9" i="1"/>
  <c r="AP50" i="1" s="1"/>
  <c r="J50" i="1" s="1"/>
  <c r="AO9" i="1"/>
  <c r="AO50" i="1" s="1"/>
  <c r="I50" i="1" s="1"/>
  <c r="AN9" i="1"/>
  <c r="AN50" i="1" s="1"/>
  <c r="H50" i="1" s="1"/>
  <c r="AM9" i="1"/>
  <c r="AM50" i="1" s="1"/>
  <c r="G50" i="1" s="1"/>
  <c r="AL9" i="1"/>
  <c r="AK9" i="1"/>
  <c r="AJ9" i="1"/>
  <c r="AJ21" i="1" s="1"/>
  <c r="D21" i="1" s="1"/>
  <c r="AI9" i="1"/>
  <c r="AI21" i="1" s="1"/>
  <c r="C21" i="1" s="1"/>
  <c r="AH9" i="1"/>
  <c r="AH152" i="1" s="1"/>
  <c r="B152" i="1" s="1"/>
  <c r="AS11" i="1" l="1"/>
  <c r="L11" i="1" s="1"/>
  <c r="AT11" i="1"/>
  <c r="M11" i="1" s="1"/>
  <c r="AK21" i="1"/>
  <c r="E21" i="1" s="1"/>
  <c r="AT50" i="1"/>
  <c r="M50" i="1" s="1"/>
  <c r="AR136" i="1"/>
  <c r="K136" i="1" s="1"/>
  <c r="AU138" i="1"/>
  <c r="N138" i="1" s="1"/>
  <c r="AJ143" i="1"/>
  <c r="D143" i="1" s="1"/>
  <c r="AI152" i="1"/>
  <c r="C152" i="1" s="1"/>
  <c r="AI19" i="1"/>
  <c r="C19" i="1" s="1"/>
  <c r="AL21" i="1"/>
  <c r="F21" i="1" s="1"/>
  <c r="AU50" i="1"/>
  <c r="N50" i="1" s="1"/>
  <c r="AU69" i="1"/>
  <c r="N69" i="1" s="1"/>
  <c r="AJ152" i="1"/>
  <c r="D152" i="1" s="1"/>
  <c r="AI150" i="1"/>
  <c r="C150" i="1" s="1"/>
  <c r="AL152" i="1"/>
  <c r="F152" i="1" s="1"/>
  <c r="AJ11" i="1"/>
  <c r="D11" i="1" s="1"/>
  <c r="AO21" i="1"/>
  <c r="I21" i="1" s="1"/>
  <c r="AH138" i="1"/>
  <c r="B138" i="1" s="1"/>
  <c r="AN143" i="1"/>
  <c r="H143" i="1" s="1"/>
  <c r="AM152" i="1"/>
  <c r="G152" i="1" s="1"/>
  <c r="AL11" i="1"/>
  <c r="F11" i="1" s="1"/>
  <c r="AN19" i="1"/>
  <c r="H19" i="1" s="1"/>
  <c r="AR21" i="1"/>
  <c r="K21" i="1" s="1"/>
  <c r="AI50" i="1"/>
  <c r="C50" i="1" s="1"/>
  <c r="AI69" i="1"/>
  <c r="C69" i="1" s="1"/>
  <c r="AJ138" i="1"/>
  <c r="D138" i="1" s="1"/>
  <c r="AP143" i="1"/>
  <c r="J143" i="1" s="1"/>
  <c r="AO152" i="1"/>
  <c r="I152" i="1" s="1"/>
  <c r="AM11" i="1"/>
  <c r="G11" i="1" s="1"/>
  <c r="AS21" i="1"/>
  <c r="L21" i="1" s="1"/>
  <c r="AJ50" i="1"/>
  <c r="D50" i="1" s="1"/>
  <c r="AJ69" i="1"/>
  <c r="D69" i="1" s="1"/>
  <c r="AH136" i="1"/>
  <c r="B136" i="1" s="1"/>
  <c r="AK138" i="1"/>
  <c r="E138" i="1" s="1"/>
  <c r="AP152" i="1"/>
  <c r="J152" i="1" s="1"/>
  <c r="AK152" i="1"/>
  <c r="E152" i="1" s="1"/>
  <c r="AN21" i="1"/>
  <c r="H21" i="1" s="1"/>
  <c r="AN11" i="1"/>
  <c r="H11" i="1" s="1"/>
  <c r="AT21" i="1"/>
  <c r="M21" i="1" s="1"/>
  <c r="AK50" i="1"/>
  <c r="E50" i="1" s="1"/>
  <c r="AK69" i="1"/>
  <c r="E69" i="1" s="1"/>
  <c r="AL138" i="1"/>
  <c r="F138" i="1" s="1"/>
  <c r="AS143" i="1"/>
  <c r="L143" i="1" s="1"/>
  <c r="AR152" i="1"/>
  <c r="K152" i="1" s="1"/>
  <c r="AO11" i="1"/>
  <c r="I11" i="1" s="1"/>
  <c r="AU21" i="1"/>
  <c r="N21" i="1" s="1"/>
  <c r="AL50" i="1"/>
  <c r="F50" i="1" s="1"/>
  <c r="AL69" i="1"/>
  <c r="F69" i="1" s="1"/>
  <c r="AM138" i="1"/>
  <c r="G138" i="1" s="1"/>
  <c r="AT143" i="1"/>
  <c r="M143" i="1" s="1"/>
  <c r="AS152" i="1"/>
  <c r="L152" i="1" s="1"/>
  <c r="AP11" i="1"/>
  <c r="J11" i="1" s="1"/>
  <c r="AM69" i="1"/>
  <c r="G69" i="1" s="1"/>
  <c r="AN138" i="1"/>
  <c r="H138" i="1" s="1"/>
  <c r="AU143" i="1"/>
  <c r="N143" i="1" s="1"/>
  <c r="AT152" i="1"/>
  <c r="M152" i="1" s="1"/>
  <c r="AH50" i="1"/>
  <c r="B50" i="1" s="1"/>
  <c r="AR11" i="1"/>
  <c r="K11" i="1" s="1"/>
  <c r="AN69" i="1"/>
  <c r="H69" i="1" s="1"/>
  <c r="AO138" i="1"/>
  <c r="I138" i="1" s="1"/>
  <c r="AU152" i="1"/>
  <c r="N152" i="1" s="1"/>
  <c r="AO69" i="1"/>
  <c r="I69" i="1" s="1"/>
  <c r="AP138" i="1"/>
  <c r="J138" i="1" s="1"/>
  <c r="AP69" i="1"/>
  <c r="J69" i="1" s="1"/>
  <c r="AR138" i="1"/>
  <c r="K138" i="1" s="1"/>
  <c r="AU11" i="1"/>
  <c r="N11" i="1" s="1"/>
  <c r="AS138" i="1"/>
  <c r="L138" i="1" s="1"/>
</calcChain>
</file>

<file path=xl/sharedStrings.xml><?xml version="1.0" encoding="utf-8"?>
<sst xmlns="http://schemas.openxmlformats.org/spreadsheetml/2006/main" count="1027" uniqueCount="233">
  <si>
    <t>Income Statement</t>
  </si>
  <si>
    <t>Canyon Ridge</t>
  </si>
  <si>
    <t>Accrual Basis</t>
  </si>
  <si>
    <t>Jun 2025 - May 2026</t>
  </si>
  <si>
    <t>Account Name</t>
  </si>
  <si>
    <t>Income Statement: GL Account Type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</si>
  <si>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</si>
  <si>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</si>
  <si>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</si>
  <si>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</si>
  <si>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</si>
  <si>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</si>
  <si>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</si>
  <si>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</si>
  <si>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</si>
  <si>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</si>
  <si>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</si>
  <si>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</si>
  <si>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Total</t>
  </si>
  <si>
    <t>Income Statement: Property</t>
  </si>
  <si>
    <t>Income Statement: Property Look-Up Code</t>
  </si>
  <si>
    <t>Income Statement: Unit Count</t>
  </si>
  <si>
    <t>Income Statement: 0</t>
  </si>
  <si>
    <t>Income Statement: 1</t>
  </si>
  <si>
    <t>Income Statement: 2</t>
  </si>
  <si>
    <t>Income Statement: 3</t>
  </si>
  <si>
    <t>Income Statement: 4</t>
  </si>
  <si>
    <t>Income Statement: 5</t>
  </si>
  <si>
    <t>Income Statement: 6</t>
  </si>
  <si>
    <t>Income Statement: 7</t>
  </si>
  <si>
    <t>Income Statement: 8</t>
  </si>
  <si>
    <t>Income Statement: 9</t>
  </si>
  <si>
    <t>Income Statement: 10</t>
  </si>
  <si>
    <t>Income Statement: 11</t>
  </si>
  <si>
    <t>Income Statement: 31</t>
  </si>
  <si>
    <t>Income Statement: 41</t>
  </si>
  <si>
    <t>Income Statement: Month 1 Change Sign</t>
  </si>
  <si>
    <t>Income Statement: Month 2 Change Sign</t>
  </si>
  <si>
    <t>Income Statement: Month 3 Change Sign</t>
  </si>
  <si>
    <t>Income Statement: Month 4 Change Sign</t>
  </si>
  <si>
    <t>Income Statement: Month 5 Change Sign</t>
  </si>
  <si>
    <t>Income Statement: Month 6 Change Sign</t>
  </si>
  <si>
    <t>Income Statement: Month 7 Change Sign</t>
  </si>
  <si>
    <t>Income Statement: Month 8 Change Sign</t>
  </si>
  <si>
    <t>Income Statement: Month 9 Change Sign</t>
  </si>
  <si>
    <t>Income Statement: 51</t>
  </si>
  <si>
    <t>Income Statement: Month 10 Change Sign</t>
  </si>
  <si>
    <t>Income Statement: Month 11 Change Sign</t>
  </si>
  <si>
    <t>Income Statement: Month 12 Change Sign</t>
  </si>
  <si>
    <t>Income Statement: Total Change Sign</t>
  </si>
  <si>
    <t>Gross Potential Rents</t>
  </si>
  <si>
    <t>Gross Market Rent</t>
  </si>
  <si>
    <t>9521</t>
  </si>
  <si>
    <t>Net Change in Cash|Net Income / (Loss) After Cap. Ex. &amp; Distributions|Net Income / (Loss) before Cap. Ex &amp; Distr.|Net Operating Income / (Loss)|Total Controllable Net Operating Income / (Loss)|Total Income|Total Rental Income|Gross Potential Rents</t>
  </si>
  <si>
    <t>00000|00000|00000|00000|00000|00000|00000|00001</t>
  </si>
  <si>
    <t>4|4|4|4|4|4|4|4</t>
  </si>
  <si>
    <t>Loss/Gain to Old Lease</t>
  </si>
  <si>
    <t>Rental Adjustments</t>
  </si>
  <si>
    <t>Vacancy - Current</t>
  </si>
  <si>
    <t>Net Change in Cash|Net Income / (Loss) After Cap. Ex. &amp; Distributions|Net Income / (Loss) before Cap. Ex &amp; Distr.|Net Operating Income / (Loss)|Total Controllable Net Operating Income / (Loss)|Total Income|Total Rental Income|Rental Adjustments</t>
  </si>
  <si>
    <t>00000|00000|00000|00000|00000|00000|00000|00002</t>
  </si>
  <si>
    <t>Vacancy - Non-Revenue</t>
  </si>
  <si>
    <t>Concessions - Up Front</t>
  </si>
  <si>
    <t>Concessions - Renewal/Res Satisfaction</t>
  </si>
  <si>
    <t>Chargeback Concessions</t>
  </si>
  <si>
    <t>Total Rental Income</t>
  </si>
  <si>
    <t>Other Income</t>
  </si>
  <si>
    <t>Pet Fee</t>
  </si>
  <si>
    <t>Net Change in Cash|Net Income / (Loss) After Cap. Ex. &amp; Distributions|Net Income / (Loss) before Cap. Ex &amp; Distr.|Net Operating Income / (Loss)|Total Controllable Net Operating Income / (Loss)|Total Income|Other Income</t>
  </si>
  <si>
    <t>00000|00000|00000|00000|00000|00000|00001</t>
  </si>
  <si>
    <t>4|4|4|4|4|4|4</t>
  </si>
  <si>
    <t>Pet Rent</t>
  </si>
  <si>
    <t>Parking/Storage</t>
  </si>
  <si>
    <t>Renters Insurance</t>
  </si>
  <si>
    <t>Utility Reimbursement</t>
  </si>
  <si>
    <t>Late Fees</t>
  </si>
  <si>
    <t>Month-to-Month/STL Fee</t>
  </si>
  <si>
    <t>Resident Maintenance Assessments</t>
  </si>
  <si>
    <t>Application Fee</t>
  </si>
  <si>
    <t>Credit Verification Expense (-)</t>
  </si>
  <si>
    <t>Admin Fee</t>
  </si>
  <si>
    <t>Revenue Sharing Income</t>
  </si>
  <si>
    <t>Vending/Clubhouse/Common Area Income</t>
  </si>
  <si>
    <t>Interest Income</t>
  </si>
  <si>
    <t>Lease Termination Fee</t>
  </si>
  <si>
    <t>Move Out Charges</t>
  </si>
  <si>
    <t>Technology Fee Income</t>
  </si>
  <si>
    <t>Deposit Alternative</t>
  </si>
  <si>
    <t>Write Off's - Other Income</t>
  </si>
  <si>
    <t>Income Write Off's - Net</t>
  </si>
  <si>
    <t>Write Offs - Rent</t>
  </si>
  <si>
    <t>Net Change in Cash|Net Income / (Loss) After Cap. Ex. &amp; Distributions|Net Income / (Loss) before Cap. Ex &amp; Distr.|Net Operating Income / (Loss)|Total Controllable Net Operating Income / (Loss)|Total Income|Income Write Off's - Net</t>
  </si>
  <si>
    <t>00000|00000|00000|00000|00000|00000|00002</t>
  </si>
  <si>
    <t>Collected Write Offs</t>
  </si>
  <si>
    <t>Total Income</t>
  </si>
  <si>
    <t>Controllable Operating Expenses</t>
  </si>
  <si>
    <t>Payroll/Related</t>
  </si>
  <si>
    <t>Manager - Salary</t>
  </si>
  <si>
    <t>Net Change in Cash|Net Income / (Loss) After Cap. Ex. &amp; Distributions|Net Income / (Loss) before Cap. Ex &amp; Distr.|Net Operating Income / (Loss)|Total Controllable Net Operating Income / (Loss)|Controllable Operating Expenses|Payroll/Related</t>
  </si>
  <si>
    <t>00000|00000|00000|00000|00000|00001|00000</t>
  </si>
  <si>
    <t>4|4|4|4|4|5|5</t>
  </si>
  <si>
    <t>Manager - Bonus</t>
  </si>
  <si>
    <t>Assistant Manager - Salary</t>
  </si>
  <si>
    <t>Assistant Manager - Bonus</t>
  </si>
  <si>
    <t>Leasing Agent - Salary</t>
  </si>
  <si>
    <t>Leasing Agent - Bonus</t>
  </si>
  <si>
    <t>Maintenance Supervisor - Salary</t>
  </si>
  <si>
    <t>Maintenance Technician - Salary</t>
  </si>
  <si>
    <t>Maintenance - Bonus</t>
  </si>
  <si>
    <t>Employee Apartment Concession</t>
  </si>
  <si>
    <t>Uniforms</t>
  </si>
  <si>
    <t>FICA</t>
  </si>
  <si>
    <t>Health/401K</t>
  </si>
  <si>
    <t>Worker's Compensation</t>
  </si>
  <si>
    <t>Other Payroll Burden</t>
  </si>
  <si>
    <t>Advertising</t>
  </si>
  <si>
    <t>Signage / Brochures</t>
  </si>
  <si>
    <t>Net Change in Cash|Net Income / (Loss) After Cap. Ex. &amp; Distributions|Net Income / (Loss) before Cap. Ex &amp; Distr.|Net Operating Income / (Loss)|Total Controllable Net Operating Income / (Loss)|Controllable Operating Expenses|Advertising</t>
  </si>
  <si>
    <t>00000|00000|00000|00000|00000|00001|00001</t>
  </si>
  <si>
    <t>Client Promotions</t>
  </si>
  <si>
    <t>Internet Advertising</t>
  </si>
  <si>
    <t>Locator Fees</t>
  </si>
  <si>
    <t>Model Expense</t>
  </si>
  <si>
    <t>Other Advertising/Outreach</t>
  </si>
  <si>
    <t>Resident Referral Fee</t>
  </si>
  <si>
    <t>Resident Retention Expense</t>
  </si>
  <si>
    <t>General &amp; Administrative</t>
  </si>
  <si>
    <t>ACH Fees</t>
  </si>
  <si>
    <t>Net Change in Cash|Net Income / (Loss) After Cap. Ex. &amp; Distributions|Net Income / (Loss) before Cap. Ex &amp; Distr.|Net Operating Income / (Loss)|Total Controllable Net Operating Income / (Loss)|Controllable Operating Expenses|General &amp; Administrative</t>
  </si>
  <si>
    <t>00000|00000|00000|00000|00000|00001|00002</t>
  </si>
  <si>
    <t>Courier/Express Mail/Postage</t>
  </si>
  <si>
    <t>Courtesy Patrol/Alarm Monitoring</t>
  </si>
  <si>
    <t>Eviction / Legal Fees Collected (-)</t>
  </si>
  <si>
    <t>Eviction / Legal Fees</t>
  </si>
  <si>
    <t>IT Support/Computer Repairs</t>
  </si>
  <si>
    <t>Licenses/Permits/Dues/Subscriptions</t>
  </si>
  <si>
    <t>Mileage/Travel</t>
  </si>
  <si>
    <t>Office Supplies/Equipment/Repairs</t>
  </si>
  <si>
    <t>Printing</t>
  </si>
  <si>
    <t>Recruiting Expense</t>
  </si>
  <si>
    <t>Social/Entertainment</t>
  </si>
  <si>
    <t>Technology Fee Expense</t>
  </si>
  <si>
    <t>Communications (Tele/Ans Svc/ISP/Pager)</t>
  </si>
  <si>
    <t>Training - All</t>
  </si>
  <si>
    <t>Utilities</t>
  </si>
  <si>
    <t>Electric - Common</t>
  </si>
  <si>
    <t>Net Change in Cash|Net Income / (Loss) After Cap. Ex. &amp; Distributions|Net Income / (Loss) before Cap. Ex &amp; Distr.|Net Operating Income / (Loss)|Total Controllable Net Operating Income / (Loss)|Controllable Operating Expenses|Utilities</t>
  </si>
  <si>
    <t>00000|00000|00000|00000|00000|00001|00003</t>
  </si>
  <si>
    <t>Vacant Unit Utilities</t>
  </si>
  <si>
    <t>Gas - Common</t>
  </si>
  <si>
    <t>Water/Sewer</t>
  </si>
  <si>
    <t>Trash Removal</t>
  </si>
  <si>
    <t>Utility Billing/Transfer/Audit Fees</t>
  </si>
  <si>
    <t>Maintenance Costs</t>
  </si>
  <si>
    <t>Common Area Exterior Repairs/Maintenance</t>
  </si>
  <si>
    <t>Net Change in Cash|Net Income / (Loss) After Cap. Ex. &amp; Distributions|Net Income / (Loss) before Cap. Ex &amp; Distr.|Net Operating Income / (Loss)|Total Controllable Net Operating Income / (Loss)|Controllable Operating Expenses|Maintenance Costs</t>
  </si>
  <si>
    <t>00000|00000|00000|00000|00000|00001|00004</t>
  </si>
  <si>
    <t>Common Area Interior Repairs/Maintenance</t>
  </si>
  <si>
    <t>Counter Repair/Resurface</t>
  </si>
  <si>
    <t>Janitorial Supplies</t>
  </si>
  <si>
    <t>Appliance Repair</t>
  </si>
  <si>
    <t>Windows/Doors/Screens</t>
  </si>
  <si>
    <t>Electrical/Lighting</t>
  </si>
  <si>
    <t>Elevators</t>
  </si>
  <si>
    <t>Equipment/Hardware</t>
  </si>
  <si>
    <t>Exterminating</t>
  </si>
  <si>
    <t>Fire Alarm Monitor/Fire Suppl. Equipment</t>
  </si>
  <si>
    <t>Flooring Repair</t>
  </si>
  <si>
    <t>HVAC</t>
  </si>
  <si>
    <t>Interior Repairs - Unit</t>
  </si>
  <si>
    <t>Keys/Locks</t>
  </si>
  <si>
    <t>Landscaping - Materials/Repairs</t>
  </si>
  <si>
    <t>Landscaping - Contract</t>
  </si>
  <si>
    <t>Plumbing</t>
  </si>
  <si>
    <t>Pools/Spas/Fountains</t>
  </si>
  <si>
    <t>Snow Removal</t>
  </si>
  <si>
    <t>Carpet Cleaning (turn/occ)</t>
  </si>
  <si>
    <t>Contract Cleaning</t>
  </si>
  <si>
    <t>Turnover - Painting Supplies</t>
  </si>
  <si>
    <t>Total Controllable Net Operating Income / (Loss)</t>
  </si>
  <si>
    <t>Non-Controllable Operating Expenses</t>
  </si>
  <si>
    <t>Management Fees</t>
  </si>
  <si>
    <t>Net Change in Cash|Net Income / (Loss) After Cap. Ex. &amp; Distributions|Net Income / (Loss) before Cap. Ex &amp; Distr.|Net Operating Income / (Loss)|Non-Controllable Operating Expenses|Management Fees</t>
  </si>
  <si>
    <t>00000|00000|00000|00000|00001|00000</t>
  </si>
  <si>
    <t>4|4|4|4|5|5</t>
  </si>
  <si>
    <t>Taxes &amp; Insurance</t>
  </si>
  <si>
    <t>Property/Liability Insurance</t>
  </si>
  <si>
    <t>Net Change in Cash|Net Income / (Loss) After Cap. Ex. &amp; Distributions|Net Income / (Loss) before Cap. Ex &amp; Distr.|Net Operating Income / (Loss)|Non-Controllable Operating Expenses|Taxes &amp; Insurance</t>
  </si>
  <si>
    <t>00000|00000|00000|00000|00001|00001</t>
  </si>
  <si>
    <t>Real Estate Taxes</t>
  </si>
  <si>
    <t>Net Operating Income / (Loss)</t>
  </si>
  <si>
    <t>Report Parameters</t>
  </si>
  <si>
    <t>Report Name</t>
  </si>
  <si>
    <t>Version</t>
  </si>
  <si>
    <t>Property Groups</t>
  </si>
  <si>
    <t>Chart of Accounts or Mask</t>
  </si>
  <si>
    <t>APTS (Cash Flow)</t>
  </si>
  <si>
    <t>Accounting Method</t>
  </si>
  <si>
    <t>Accrual</t>
  </si>
  <si>
    <t>Location Type</t>
  </si>
  <si>
    <t>Property</t>
  </si>
  <si>
    <t>Period</t>
  </si>
  <si>
    <t>Prior Post Month</t>
  </si>
  <si>
    <t>Use Alternative Year End</t>
  </si>
  <si>
    <t>No</t>
  </si>
  <si>
    <t>Trailing Periods</t>
  </si>
  <si>
    <t>Expand By Period</t>
  </si>
  <si>
    <t>Month</t>
  </si>
  <si>
    <t>GL Account Numbers</t>
  </si>
  <si>
    <t>Hide</t>
  </si>
  <si>
    <t>Show Periods From</t>
  </si>
  <si>
    <t>Oldest To Newest</t>
  </si>
  <si>
    <t>Consolidate By</t>
  </si>
  <si>
    <t>Do Not Consolidate</t>
  </si>
  <si>
    <t>Accounting Method Exception</t>
  </si>
  <si>
    <t>No Exception</t>
  </si>
  <si>
    <t>Show Occupancy Percentages</t>
  </si>
  <si>
    <t>Zero Balances</t>
  </si>
  <si>
    <t>Net Cash Flow Groups</t>
  </si>
  <si>
    <t>Beginning/Ending Cash Balances</t>
  </si>
  <si>
    <t>Beginning/Ending Cash Balances Details</t>
  </si>
  <si>
    <t>Year-To-Date</t>
  </si>
  <si>
    <t>Include Paused Journal Entries</t>
  </si>
  <si>
    <t>Compare Periods</t>
  </si>
  <si>
    <t>Compare Against</t>
  </si>
  <si>
    <t>Prior Period</t>
  </si>
  <si>
    <t>% of Income</t>
  </si>
  <si>
    <t>Expand by GL Book</t>
  </si>
  <si>
    <t>Enable Drill-ins</t>
  </si>
  <si>
    <t>Yes</t>
  </si>
  <si>
    <t>Income Statement 4.1 generated</t>
  </si>
  <si>
    <t>06/15/2026 11:18 AM PDT</t>
  </si>
  <si>
    <t xml:space="preserve"> data as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</si>
</sst>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0;\(#,##0.00\)"/>
  </numFmts>
  <fonts count="6">
    <font>
      <sz val="11"/>
      <color rgb="FF000000"/>
      <name val="Calibri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sans-serif"/>
    </font>
    <font>
      <b/>
      <sz val="10"/>
      <color rgb="FF00000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indent="1"/>
    </xf>
    <xf numFmtId="49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2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/>
    <xf numFmtId="49" fontId="3" fillId="0" borderId="0" xfId="0" applyNumberFormat="1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right" vertical="center"/>
    </xf>
    <xf numFmtId="0" fontId="0" fillId="0" borderId="0" xfId="0" applyBorder="1"/>
    <xf numFmtId="164" fontId="2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2"/>
    </xf>
    <xf numFmtId="49" fontId="3" fillId="0" borderId="0" xfId="0" applyNumberFormat="1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L252"/>
  <sheetViews>
    <sheetView tabSelected="1" workbookViewId="0">
      <pane ySplit="7" topLeftCell="A108" activePane="bottomLeft" state="frozen"/>
      <selection pane="bottomLeft" activeCell="B158" sqref="B158"/>
    </sheetView>
  </sheetViews>
  <sheetFormatPr defaultRowHeight="15"/>
  <cols>
    <col min="1" max="1" width="30.7109375" customWidth="1"/>
    <col min="2" max="14" width="16.42578125" customWidth="1"/>
    <col min="16" max="16" width="14.42578125" hidden="1" customWidth="1"/>
    <col min="17" max="17" width="30.7109375" hidden="1" customWidth="1"/>
    <col min="18" max="18" width="20.7109375" hidden="1" customWidth="1"/>
    <col min="19" max="19" width="13.5703125" hidden="1" customWidth="1"/>
    <col min="20" max="20" width="17.42578125" hidden="1" customWidth="1"/>
    <col min="21" max="21" width="14.42578125" hidden="1" customWidth="1"/>
    <col min="22" max="22" width="17.42578125" hidden="1" customWidth="1"/>
    <col min="23" max="24" width="298.85546875" hidden="1" customWidth="1"/>
    <col min="25" max="25" width="56.42578125" hidden="1" customWidth="1"/>
    <col min="26" max="26" width="48" hidden="1" customWidth="1"/>
    <col min="27" max="30" width="17.42578125" hidden="1" customWidth="1"/>
    <col min="31" max="31" width="18" hidden="1" customWidth="1"/>
    <col min="32" max="47" width="17.42578125" hidden="1" customWidth="1"/>
    <col min="50" max="50" width="9.140625" hidden="1"/>
    <col min="53" max="53" width="9.140625" hidden="1"/>
    <col min="56" max="56" width="9.140625" hidden="1"/>
    <col min="59" max="59" width="9.140625" hidden="1"/>
    <col min="62" max="62" width="9.140625" hidden="1"/>
    <col min="65" max="65" width="9.140625" hidden="1"/>
    <col min="69" max="69" width="9.140625" hidden="1"/>
    <col min="73" max="73" width="9.140625" hidden="1"/>
    <col min="77" max="77" width="9.140625" hidden="1"/>
    <col min="81" max="81" width="9.140625" hidden="1"/>
    <col min="86" max="90" width="9.140625" hidden="1"/>
  </cols>
  <sheetData>
    <row r="2" spans="1:47" ht="15.75">
      <c r="A2" s="1" t="s">
        <v>0</v>
      </c>
    </row>
    <row r="3" spans="1:47">
      <c r="A3" s="2" t="s">
        <v>1</v>
      </c>
    </row>
    <row r="4" spans="1:47">
      <c r="A4" s="2" t="s">
        <v>2</v>
      </c>
    </row>
    <row r="5" spans="1:47">
      <c r="A5" s="2" t="s">
        <v>3</v>
      </c>
    </row>
    <row r="7" spans="1:47">
      <c r="A7" s="3" t="s">
        <v>4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P7" s="4" t="s">
        <v>5</v>
      </c>
      <c r="Q7" s="6" t="s">
        <v>19</v>
      </c>
      <c r="R7" s="6" t="s">
        <v>20</v>
      </c>
      <c r="S7" s="4" t="s">
        <v>21</v>
      </c>
      <c r="T7" s="4" t="s">
        <v>22</v>
      </c>
      <c r="U7" s="6" t="s">
        <v>23</v>
      </c>
      <c r="V7" s="4" t="s">
        <v>24</v>
      </c>
      <c r="W7" s="6" t="s">
        <v>25</v>
      </c>
      <c r="X7" s="6" t="s">
        <v>26</v>
      </c>
      <c r="Y7" s="6" t="s">
        <v>27</v>
      </c>
      <c r="Z7" s="6" t="s">
        <v>28</v>
      </c>
      <c r="AA7" s="4" t="s">
        <v>29</v>
      </c>
      <c r="AB7" s="4" t="s">
        <v>30</v>
      </c>
      <c r="AC7" s="4" t="s">
        <v>31</v>
      </c>
      <c r="AD7" s="4" t="s">
        <v>32</v>
      </c>
      <c r="AE7" s="6" t="s">
        <v>33</v>
      </c>
      <c r="AF7" s="4" t="s">
        <v>34</v>
      </c>
      <c r="AG7" s="4" t="s">
        <v>35</v>
      </c>
      <c r="AH7" s="4" t="s">
        <v>36</v>
      </c>
      <c r="AI7" s="4" t="s">
        <v>37</v>
      </c>
      <c r="AJ7" s="4" t="s">
        <v>38</v>
      </c>
      <c r="AK7" s="4" t="s">
        <v>39</v>
      </c>
      <c r="AL7" s="4" t="s">
        <v>40</v>
      </c>
      <c r="AM7" s="4" t="s">
        <v>41</v>
      </c>
      <c r="AN7" s="4" t="s">
        <v>42</v>
      </c>
      <c r="AO7" s="4" t="s">
        <v>43</v>
      </c>
      <c r="AP7" s="4" t="s">
        <v>44</v>
      </c>
      <c r="AQ7" s="4" t="s">
        <v>45</v>
      </c>
      <c r="AR7" s="4" t="s">
        <v>46</v>
      </c>
      <c r="AS7" s="4" t="s">
        <v>47</v>
      </c>
      <c r="AT7" s="4" t="s">
        <v>48</v>
      </c>
      <c r="AU7" s="4" t="s">
        <v>49</v>
      </c>
    </row>
    <row r="8" spans="1:47">
      <c r="A8" s="7" t="s">
        <v>50</v>
      </c>
    </row>
    <row r="9" spans="1:47">
      <c r="A9" s="8" t="s">
        <v>51</v>
      </c>
      <c r="B9" s="16">
        <v>581010</v>
      </c>
      <c r="C9" s="16">
        <v>581275</v>
      </c>
      <c r="D9" s="16">
        <v>577735</v>
      </c>
      <c r="E9" s="16">
        <v>585720</v>
      </c>
      <c r="F9" s="16">
        <v>582605</v>
      </c>
      <c r="G9" s="16">
        <v>584585</v>
      </c>
      <c r="H9" s="16">
        <v>585860</v>
      </c>
      <c r="I9" s="16">
        <v>594439</v>
      </c>
      <c r="J9" s="16">
        <v>594439</v>
      </c>
      <c r="K9" s="16">
        <v>619080</v>
      </c>
      <c r="L9" s="16">
        <v>649890</v>
      </c>
      <c r="M9" s="16">
        <v>663690</v>
      </c>
      <c r="N9" s="16">
        <v>7200328</v>
      </c>
      <c r="P9" s="15">
        <v>4</v>
      </c>
      <c r="Q9" s="2" t="s">
        <v>1</v>
      </c>
      <c r="R9" s="2" t="s">
        <v>52</v>
      </c>
      <c r="T9" s="15">
        <v>14108</v>
      </c>
      <c r="U9" s="2" t="s">
        <v>1</v>
      </c>
      <c r="V9" s="15">
        <v>100029927</v>
      </c>
      <c r="W9" s="2" t="s">
        <v>53</v>
      </c>
      <c r="X9" s="2" t="s">
        <v>53</v>
      </c>
      <c r="Y9" s="2" t="s">
        <v>54</v>
      </c>
      <c r="Z9" s="2" t="s">
        <v>51</v>
      </c>
      <c r="AA9" s="15">
        <v>4001</v>
      </c>
      <c r="AB9" s="15">
        <v>1</v>
      </c>
      <c r="AC9" s="15">
        <v>1888698</v>
      </c>
      <c r="AD9" s="15">
        <v>0</v>
      </c>
      <c r="AE9" s="2" t="s">
        <v>55</v>
      </c>
      <c r="AF9" s="15">
        <v>1</v>
      </c>
      <c r="AG9" s="15">
        <v>1</v>
      </c>
      <c r="AH9" s="15">
        <f>IF(5 = P9, B9 * -1, B9)</f>
        <v>581010</v>
      </c>
      <c r="AI9" s="15">
        <f>IF(5 = P9, C9 * -1, C9)</f>
        <v>581275</v>
      </c>
      <c r="AJ9" s="15">
        <f>IF(5 = P9, D9 * -1, D9)</f>
        <v>577735</v>
      </c>
      <c r="AK9" s="15">
        <f>IF(5 = P9, E9 * -1, E9)</f>
        <v>585720</v>
      </c>
      <c r="AL9" s="15">
        <f>IF(5 = P9, F9 * -1, F9)</f>
        <v>582605</v>
      </c>
      <c r="AM9" s="15">
        <f>IF(5 = P9, G9 * -1, G9)</f>
        <v>584585</v>
      </c>
      <c r="AN9" s="15">
        <f>IF(5 = P9, H9 * -1, H9)</f>
        <v>585860</v>
      </c>
      <c r="AO9" s="15">
        <f>IF(5 = P9, I9 * -1, I9)</f>
        <v>594439</v>
      </c>
      <c r="AP9" s="15">
        <f>IF(5 = P9, J9 * -1, J9)</f>
        <v>594439</v>
      </c>
      <c r="AQ9" s="15">
        <v>619080</v>
      </c>
      <c r="AR9" s="15">
        <f>IF(5 = P9, K9 * -1, K9)</f>
        <v>619080</v>
      </c>
      <c r="AS9" s="15">
        <f>IF(5 = P9, L9 * -1, L9)</f>
        <v>649890</v>
      </c>
      <c r="AT9" s="15">
        <f>IF(5 = P9, M9 * -1, M9)</f>
        <v>663690</v>
      </c>
      <c r="AU9" s="15">
        <f>IF(5 = P9, N9 * -1, N9)</f>
        <v>7200328</v>
      </c>
    </row>
    <row r="10" spans="1:47">
      <c r="A10" s="8" t="s">
        <v>56</v>
      </c>
      <c r="B10" s="16">
        <v>-13904.15</v>
      </c>
      <c r="C10" s="16">
        <v>-14882.4</v>
      </c>
      <c r="D10" s="16">
        <v>-15146.81</v>
      </c>
      <c r="E10" s="16">
        <v>-20825.16</v>
      </c>
      <c r="F10" s="16">
        <v>-22141.43</v>
      </c>
      <c r="G10" s="16">
        <v>-23083.32</v>
      </c>
      <c r="H10" s="16">
        <v>-24780.400000000001</v>
      </c>
      <c r="I10" s="16">
        <v>-33243.74</v>
      </c>
      <c r="J10" s="16">
        <v>-33042.17</v>
      </c>
      <c r="K10" s="16">
        <v>-56321.57</v>
      </c>
      <c r="L10" s="16">
        <v>-84607.72</v>
      </c>
      <c r="M10" s="16">
        <v>-93972.25</v>
      </c>
      <c r="N10" s="16">
        <v>-435951.12</v>
      </c>
      <c r="P10" s="15">
        <v>4</v>
      </c>
      <c r="Q10" s="2" t="s">
        <v>1</v>
      </c>
      <c r="R10" s="2" t="s">
        <v>52</v>
      </c>
      <c r="T10" s="15">
        <v>14108</v>
      </c>
      <c r="U10" s="2" t="s">
        <v>1</v>
      </c>
      <c r="V10" s="15">
        <v>100029927</v>
      </c>
      <c r="W10" s="2" t="s">
        <v>53</v>
      </c>
      <c r="X10" s="2" t="s">
        <v>53</v>
      </c>
      <c r="Y10" s="2" t="s">
        <v>54</v>
      </c>
      <c r="Z10" s="2" t="s">
        <v>56</v>
      </c>
      <c r="AA10" s="15">
        <v>4004</v>
      </c>
      <c r="AB10" s="15">
        <v>1</v>
      </c>
      <c r="AC10" s="15">
        <v>1888701</v>
      </c>
      <c r="AD10" s="15">
        <v>1</v>
      </c>
      <c r="AE10" s="2" t="s">
        <v>55</v>
      </c>
      <c r="AF10" s="15">
        <v>1</v>
      </c>
      <c r="AG10" s="15">
        <v>1</v>
      </c>
      <c r="AH10" s="15">
        <f>IF(5 = P10, B10 * -1, B10)</f>
        <v>-13904.15</v>
      </c>
      <c r="AI10" s="15">
        <f>IF(5 = P10, C10 * -1, C10)</f>
        <v>-14882.4</v>
      </c>
      <c r="AJ10" s="15">
        <f>IF(5 = P10, D10 * -1, D10)</f>
        <v>-15146.81</v>
      </c>
      <c r="AK10" s="15">
        <f>IF(5 = P10, E10 * -1, E10)</f>
        <v>-20825.16</v>
      </c>
      <c r="AL10" s="15">
        <f>IF(5 = P10, F10 * -1, F10)</f>
        <v>-22141.43</v>
      </c>
      <c r="AM10" s="15">
        <f>IF(5 = P10, G10 * -1, G10)</f>
        <v>-23083.32</v>
      </c>
      <c r="AN10" s="15">
        <f>IF(5 = P10, H10 * -1, H10)</f>
        <v>-24780.400000000001</v>
      </c>
      <c r="AO10" s="15">
        <f>IF(5 = P10, I10 * -1, I10)</f>
        <v>-33243.74</v>
      </c>
      <c r="AP10" s="15">
        <f>IF(5 = P10, J10 * -1, J10)</f>
        <v>-33042.17</v>
      </c>
      <c r="AQ10" s="15">
        <v>-56321.57</v>
      </c>
      <c r="AR10" s="15">
        <f>IF(5 = P10, K10 * -1, K10)</f>
        <v>-56321.57</v>
      </c>
      <c r="AS10" s="15">
        <f>IF(5 = P10, L10 * -1, L10)</f>
        <v>-84607.72</v>
      </c>
      <c r="AT10" s="15">
        <f>IF(5 = P10, M10 * -1, M10)</f>
        <v>-93972.25</v>
      </c>
      <c r="AU10" s="15">
        <f>IF(5 = P10, N10 * -1, N10)</f>
        <v>-435951.12</v>
      </c>
    </row>
    <row r="11" spans="1:47">
      <c r="A11" s="9" t="s">
        <v>50</v>
      </c>
      <c r="B11" s="11">
        <f>IF(5 = P11, AH11 * -1, AH11)</f>
        <v>567105.85</v>
      </c>
      <c r="C11" s="11">
        <f>IF(5 = P11, AI11 * -1, AI11)</f>
        <v>566392.6</v>
      </c>
      <c r="D11" s="11">
        <f>IF(5 = P11, AJ11 * -1, AJ11)</f>
        <v>562588.18999999994</v>
      </c>
      <c r="E11" s="11">
        <f>IF(5 = P11, AK11 * -1, AK11)</f>
        <v>564894.84</v>
      </c>
      <c r="F11" s="11">
        <f>IF(5 = P11, AL11 * -1, AL11)</f>
        <v>560463.56999999995</v>
      </c>
      <c r="G11" s="11">
        <f>IF(5 = P11, AM11 * -1, AM11)</f>
        <v>561501.68000000005</v>
      </c>
      <c r="H11" s="11">
        <f>IF(5 = P11, AN11 * -1, AN11)</f>
        <v>561079.6</v>
      </c>
      <c r="I11" s="11">
        <f>IF(5 = P11, AO11 * -1, AO11)</f>
        <v>561195.26</v>
      </c>
      <c r="J11" s="11">
        <f>IF(5 = P11, AP11 * -1, AP11)</f>
        <v>561396.82999999996</v>
      </c>
      <c r="K11" s="11">
        <f>IF(5 = P11, AR11 * -1, AR11)</f>
        <v>562758.43000000005</v>
      </c>
      <c r="L11" s="11">
        <f>IF(5 = P11, AS11 * -1, AS11)</f>
        <v>565282.28</v>
      </c>
      <c r="M11" s="11">
        <f>IF(5 = P11, AT11 * -1, AT11)</f>
        <v>569717.75</v>
      </c>
      <c r="N11" s="11">
        <f>IF(5 = P11, AU11 * -1, AU11)</f>
        <v>6764376.8799999999</v>
      </c>
      <c r="P11" s="10">
        <v>4</v>
      </c>
      <c r="Q11" s="17" t="str">
        <f>Q10</f>
        <v>Canyon Ridge</v>
      </c>
      <c r="R11" s="12" t="str">
        <f>R10</f>
        <v>9521</v>
      </c>
      <c r="S11" s="10">
        <f>S10</f>
        <v>0</v>
      </c>
      <c r="T11" s="15"/>
      <c r="U11" s="2"/>
      <c r="V11" s="15"/>
      <c r="W11" s="2"/>
      <c r="X11" s="2"/>
      <c r="Y11" s="2"/>
      <c r="Z11" s="2"/>
      <c r="AA11" s="15"/>
      <c r="AB11" s="15"/>
      <c r="AC11" s="15"/>
      <c r="AD11" s="15"/>
      <c r="AE11" s="2"/>
      <c r="AF11" s="15"/>
      <c r="AG11" s="15"/>
      <c r="AH11" s="10">
        <f t="shared" ref="AH11:AP11" si="0">SUM(AH9:AH10)</f>
        <v>567105.85</v>
      </c>
      <c r="AI11" s="10">
        <f t="shared" si="0"/>
        <v>566392.6</v>
      </c>
      <c r="AJ11" s="10">
        <f t="shared" si="0"/>
        <v>562588.18999999994</v>
      </c>
      <c r="AK11" s="10">
        <f t="shared" si="0"/>
        <v>564894.84</v>
      </c>
      <c r="AL11" s="10">
        <f t="shared" si="0"/>
        <v>560463.56999999995</v>
      </c>
      <c r="AM11" s="10">
        <f t="shared" si="0"/>
        <v>561501.68000000005</v>
      </c>
      <c r="AN11" s="10">
        <f t="shared" si="0"/>
        <v>561079.6</v>
      </c>
      <c r="AO11" s="10">
        <f t="shared" si="0"/>
        <v>561195.26</v>
      </c>
      <c r="AP11" s="10">
        <f t="shared" si="0"/>
        <v>561396.82999999996</v>
      </c>
      <c r="AQ11" s="15"/>
      <c r="AR11" s="10">
        <f>SUM(AR9:AR10)</f>
        <v>562758.43000000005</v>
      </c>
      <c r="AS11" s="10">
        <f>SUM(AS9:AS10)</f>
        <v>565282.28</v>
      </c>
      <c r="AT11" s="10">
        <f>SUM(AT9:AT10)</f>
        <v>569717.75</v>
      </c>
      <c r="AU11" s="10">
        <f>SUM(AU9:AU10)</f>
        <v>6764376.8799999999</v>
      </c>
    </row>
    <row r="12" spans="1:47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P12" s="15"/>
      <c r="Q12" s="2"/>
      <c r="T12" s="15"/>
      <c r="U12" s="2"/>
      <c r="V12" s="15"/>
      <c r="W12" s="2"/>
      <c r="X12" s="2"/>
      <c r="Y12" s="2"/>
      <c r="Z12" s="2"/>
      <c r="AA12" s="15"/>
      <c r="AB12" s="15"/>
      <c r="AC12" s="15"/>
      <c r="AD12" s="15"/>
      <c r="AE12" s="2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>
      <c r="A13" s="7" t="s">
        <v>57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P13" s="15"/>
      <c r="Q13" s="2"/>
      <c r="T13" s="15"/>
      <c r="U13" s="2"/>
      <c r="V13" s="15"/>
      <c r="W13" s="2"/>
      <c r="X13" s="2"/>
      <c r="Y13" s="2"/>
      <c r="Z13" s="2"/>
      <c r="AA13" s="15"/>
      <c r="AB13" s="15"/>
      <c r="AC13" s="15"/>
      <c r="AD13" s="15"/>
      <c r="AE13" s="2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spans="1:47">
      <c r="A14" s="8" t="s">
        <v>58</v>
      </c>
      <c r="B14" s="16">
        <v>-324680.33</v>
      </c>
      <c r="C14" s="16">
        <v>-281426.62</v>
      </c>
      <c r="D14" s="16">
        <v>-245062.57</v>
      </c>
      <c r="E14" s="16">
        <v>-190757.18</v>
      </c>
      <c r="F14" s="16">
        <v>-152973.54999999999</v>
      </c>
      <c r="G14" s="16">
        <v>-124356.67</v>
      </c>
      <c r="H14" s="16">
        <v>-92295.98</v>
      </c>
      <c r="I14" s="16">
        <v>-67559.929999999993</v>
      </c>
      <c r="J14" s="16">
        <v>-35724.46</v>
      </c>
      <c r="K14" s="16">
        <v>-16221.93</v>
      </c>
      <c r="L14" s="16">
        <v>-7491.33</v>
      </c>
      <c r="M14" s="16">
        <v>-12633.73</v>
      </c>
      <c r="N14" s="16">
        <v>-1551184.28</v>
      </c>
      <c r="P14" s="15">
        <v>4</v>
      </c>
      <c r="Q14" s="2" t="s">
        <v>1</v>
      </c>
      <c r="R14" s="2" t="s">
        <v>52</v>
      </c>
      <c r="T14" s="15">
        <v>14108</v>
      </c>
      <c r="U14" s="2" t="s">
        <v>1</v>
      </c>
      <c r="V14" s="15">
        <v>100029927</v>
      </c>
      <c r="W14" s="2" t="s">
        <v>59</v>
      </c>
      <c r="X14" s="2" t="s">
        <v>59</v>
      </c>
      <c r="Y14" s="2" t="s">
        <v>60</v>
      </c>
      <c r="Z14" s="2" t="s">
        <v>58</v>
      </c>
      <c r="AA14" s="15">
        <v>4026</v>
      </c>
      <c r="AB14" s="15">
        <v>1</v>
      </c>
      <c r="AC14" s="15">
        <v>1888754</v>
      </c>
      <c r="AD14" s="15">
        <v>0</v>
      </c>
      <c r="AE14" s="2" t="s">
        <v>55</v>
      </c>
      <c r="AF14" s="15">
        <v>1</v>
      </c>
      <c r="AG14" s="15">
        <v>1</v>
      </c>
      <c r="AH14" s="15">
        <f>IF(5 = P14, B14 * -1, B14)</f>
        <v>-324680.33</v>
      </c>
      <c r="AI14" s="15">
        <f>IF(5 = P14, C14 * -1, C14)</f>
        <v>-281426.62</v>
      </c>
      <c r="AJ14" s="15">
        <f>IF(5 = P14, D14 * -1, D14)</f>
        <v>-245062.57</v>
      </c>
      <c r="AK14" s="15">
        <f>IF(5 = P14, E14 * -1, E14)</f>
        <v>-190757.18</v>
      </c>
      <c r="AL14" s="15">
        <f>IF(5 = P14, F14 * -1, F14)</f>
        <v>-152973.54999999999</v>
      </c>
      <c r="AM14" s="15">
        <f>IF(5 = P14, G14 * -1, G14)</f>
        <v>-124356.67</v>
      </c>
      <c r="AN14" s="15">
        <f>IF(5 = P14, H14 * -1, H14)</f>
        <v>-92295.98</v>
      </c>
      <c r="AO14" s="15">
        <f>IF(5 = P14, I14 * -1, I14)</f>
        <v>-67559.929999999993</v>
      </c>
      <c r="AP14" s="15">
        <f>IF(5 = P14, J14 * -1, J14)</f>
        <v>-35724.46</v>
      </c>
      <c r="AQ14" s="15">
        <v>-16221.93</v>
      </c>
      <c r="AR14" s="15">
        <f>IF(5 = P14, K14 * -1, K14)</f>
        <v>-16221.93</v>
      </c>
      <c r="AS14" s="15">
        <f>IF(5 = P14, L14 * -1, L14)</f>
        <v>-7491.33</v>
      </c>
      <c r="AT14" s="15">
        <f>IF(5 = P14, M14 * -1, M14)</f>
        <v>-12633.73</v>
      </c>
      <c r="AU14" s="15">
        <f>IF(5 = P14, N14 * -1, N14)</f>
        <v>-1551184.28</v>
      </c>
    </row>
    <row r="15" spans="1:47">
      <c r="A15" s="8" t="s">
        <v>61</v>
      </c>
      <c r="B15" s="16">
        <v>-2000</v>
      </c>
      <c r="C15" s="16">
        <v>-2000</v>
      </c>
      <c r="D15" s="16">
        <v>-2000</v>
      </c>
      <c r="E15" s="16">
        <v>-2000</v>
      </c>
      <c r="F15" s="16">
        <v>-2000</v>
      </c>
      <c r="G15" s="16">
        <v>-2000</v>
      </c>
      <c r="H15" s="16">
        <v>-2000</v>
      </c>
      <c r="I15" s="16">
        <v>-2110</v>
      </c>
      <c r="J15" s="16">
        <v>-2110</v>
      </c>
      <c r="K15" s="16">
        <v>-2235</v>
      </c>
      <c r="L15" s="16">
        <v>-2360</v>
      </c>
      <c r="M15" s="16">
        <v>-2460</v>
      </c>
      <c r="N15" s="16">
        <v>-25275</v>
      </c>
      <c r="P15" s="15">
        <v>4</v>
      </c>
      <c r="Q15" s="2" t="s">
        <v>1</v>
      </c>
      <c r="R15" s="2" t="s">
        <v>52</v>
      </c>
      <c r="T15" s="15">
        <v>14108</v>
      </c>
      <c r="U15" s="2" t="s">
        <v>1</v>
      </c>
      <c r="V15" s="15">
        <v>100029927</v>
      </c>
      <c r="W15" s="2" t="s">
        <v>59</v>
      </c>
      <c r="X15" s="2" t="s">
        <v>59</v>
      </c>
      <c r="Y15" s="2" t="s">
        <v>60</v>
      </c>
      <c r="Z15" s="2" t="s">
        <v>61</v>
      </c>
      <c r="AA15" s="15">
        <v>4028</v>
      </c>
      <c r="AB15" s="15">
        <v>1</v>
      </c>
      <c r="AC15" s="15">
        <v>1888756</v>
      </c>
      <c r="AD15" s="15">
        <v>1</v>
      </c>
      <c r="AE15" s="2" t="s">
        <v>55</v>
      </c>
      <c r="AF15" s="15">
        <v>1</v>
      </c>
      <c r="AG15" s="15">
        <v>1</v>
      </c>
      <c r="AH15" s="15">
        <f>IF(5 = P15, B15 * -1, B15)</f>
        <v>-2000</v>
      </c>
      <c r="AI15" s="15">
        <f>IF(5 = P15, C15 * -1, C15)</f>
        <v>-2000</v>
      </c>
      <c r="AJ15" s="15">
        <f>IF(5 = P15, D15 * -1, D15)</f>
        <v>-2000</v>
      </c>
      <c r="AK15" s="15">
        <f>IF(5 = P15, E15 * -1, E15)</f>
        <v>-2000</v>
      </c>
      <c r="AL15" s="15">
        <f>IF(5 = P15, F15 * -1, F15)</f>
        <v>-2000</v>
      </c>
      <c r="AM15" s="15">
        <f>IF(5 = P15, G15 * -1, G15)</f>
        <v>-2000</v>
      </c>
      <c r="AN15" s="15">
        <f>IF(5 = P15, H15 * -1, H15)</f>
        <v>-2000</v>
      </c>
      <c r="AO15" s="15">
        <f>IF(5 = P15, I15 * -1, I15)</f>
        <v>-2110</v>
      </c>
      <c r="AP15" s="15">
        <f>IF(5 = P15, J15 * -1, J15)</f>
        <v>-2110</v>
      </c>
      <c r="AQ15" s="15">
        <v>-2235</v>
      </c>
      <c r="AR15" s="15">
        <f>IF(5 = P15, K15 * -1, K15)</f>
        <v>-2235</v>
      </c>
      <c r="AS15" s="15">
        <f>IF(5 = P15, L15 * -1, L15)</f>
        <v>-2360</v>
      </c>
      <c r="AT15" s="15">
        <f>IF(5 = P15, M15 * -1, M15)</f>
        <v>-2460</v>
      </c>
      <c r="AU15" s="15">
        <f>IF(5 = P15, N15 * -1, N15)</f>
        <v>-25275</v>
      </c>
    </row>
    <row r="16" spans="1:47">
      <c r="A16" s="8" t="s">
        <v>62</v>
      </c>
      <c r="B16" s="16">
        <v>-50037</v>
      </c>
      <c r="C16" s="16">
        <v>-65590</v>
      </c>
      <c r="D16" s="16">
        <v>-49870</v>
      </c>
      <c r="E16" s="16">
        <v>-58231.38</v>
      </c>
      <c r="F16" s="16">
        <v>-60060</v>
      </c>
      <c r="G16" s="16">
        <v>-43200</v>
      </c>
      <c r="H16" s="16">
        <v>-37792.5</v>
      </c>
      <c r="I16" s="16">
        <v>-32413.75</v>
      </c>
      <c r="J16" s="16">
        <v>-42142.75</v>
      </c>
      <c r="K16" s="16">
        <v>-49068.25</v>
      </c>
      <c r="L16" s="16">
        <v>-30541.25</v>
      </c>
      <c r="M16" s="16">
        <v>-288.75</v>
      </c>
      <c r="N16" s="16">
        <v>-519235.63</v>
      </c>
      <c r="P16" s="15">
        <v>4</v>
      </c>
      <c r="Q16" s="2" t="s">
        <v>1</v>
      </c>
      <c r="R16" s="2" t="s">
        <v>52</v>
      </c>
      <c r="T16" s="15">
        <v>14108</v>
      </c>
      <c r="U16" s="2" t="s">
        <v>1</v>
      </c>
      <c r="V16" s="15">
        <v>100029927</v>
      </c>
      <c r="W16" s="2" t="s">
        <v>59</v>
      </c>
      <c r="X16" s="2" t="s">
        <v>59</v>
      </c>
      <c r="Y16" s="2" t="s">
        <v>60</v>
      </c>
      <c r="Z16" s="2" t="s">
        <v>62</v>
      </c>
      <c r="AA16" s="15">
        <v>4029</v>
      </c>
      <c r="AB16" s="15">
        <v>1</v>
      </c>
      <c r="AC16" s="15">
        <v>1888757</v>
      </c>
      <c r="AD16" s="15">
        <v>2</v>
      </c>
      <c r="AE16" s="2" t="s">
        <v>55</v>
      </c>
      <c r="AF16" s="15">
        <v>1</v>
      </c>
      <c r="AG16" s="15">
        <v>1</v>
      </c>
      <c r="AH16" s="15">
        <f>IF(5 = P16, B16 * -1, B16)</f>
        <v>-50037</v>
      </c>
      <c r="AI16" s="15">
        <f>IF(5 = P16, C16 * -1, C16)</f>
        <v>-65590</v>
      </c>
      <c r="AJ16" s="15">
        <f>IF(5 = P16, D16 * -1, D16)</f>
        <v>-49870</v>
      </c>
      <c r="AK16" s="15">
        <f>IF(5 = P16, E16 * -1, E16)</f>
        <v>-58231.38</v>
      </c>
      <c r="AL16" s="15">
        <f>IF(5 = P16, F16 * -1, F16)</f>
        <v>-60060</v>
      </c>
      <c r="AM16" s="15">
        <f>IF(5 = P16, G16 * -1, G16)</f>
        <v>-43200</v>
      </c>
      <c r="AN16" s="15">
        <f>IF(5 = P16, H16 * -1, H16)</f>
        <v>-37792.5</v>
      </c>
      <c r="AO16" s="15">
        <f>IF(5 = P16, I16 * -1, I16)</f>
        <v>-32413.75</v>
      </c>
      <c r="AP16" s="15">
        <f>IF(5 = P16, J16 * -1, J16)</f>
        <v>-42142.75</v>
      </c>
      <c r="AQ16" s="15">
        <v>-49068.25</v>
      </c>
      <c r="AR16" s="15">
        <f>IF(5 = P16, K16 * -1, K16)</f>
        <v>-49068.25</v>
      </c>
      <c r="AS16" s="15">
        <f>IF(5 = P16, L16 * -1, L16)</f>
        <v>-30541.25</v>
      </c>
      <c r="AT16" s="15">
        <f>IF(5 = P16, M16 * -1, M16)</f>
        <v>-288.75</v>
      </c>
      <c r="AU16" s="15">
        <f>IF(5 = P16, N16 * -1, N16)</f>
        <v>-519235.63</v>
      </c>
    </row>
    <row r="17" spans="1:47">
      <c r="A17" s="8" t="s">
        <v>63</v>
      </c>
      <c r="B17" s="16">
        <v>0</v>
      </c>
      <c r="C17" s="16">
        <v>0</v>
      </c>
      <c r="D17" s="16">
        <v>-3065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-6.25</v>
      </c>
      <c r="L17" s="16">
        <v>0</v>
      </c>
      <c r="M17" s="16">
        <v>0</v>
      </c>
      <c r="N17" s="16">
        <v>-3071.25</v>
      </c>
      <c r="P17" s="15">
        <v>4</v>
      </c>
      <c r="Q17" s="2" t="s">
        <v>1</v>
      </c>
      <c r="R17" s="2" t="s">
        <v>52</v>
      </c>
      <c r="T17" s="15">
        <v>14108</v>
      </c>
      <c r="U17" s="2" t="s">
        <v>1</v>
      </c>
      <c r="V17" s="15">
        <v>100029927</v>
      </c>
      <c r="W17" s="2" t="s">
        <v>59</v>
      </c>
      <c r="X17" s="2" t="s">
        <v>59</v>
      </c>
      <c r="Y17" s="2" t="s">
        <v>60</v>
      </c>
      <c r="Z17" s="2" t="s">
        <v>63</v>
      </c>
      <c r="AA17" s="15">
        <v>4031</v>
      </c>
      <c r="AB17" s="15">
        <v>1</v>
      </c>
      <c r="AC17" s="15">
        <v>1888759</v>
      </c>
      <c r="AD17" s="15">
        <v>4</v>
      </c>
      <c r="AE17" s="2" t="s">
        <v>55</v>
      </c>
      <c r="AF17" s="15">
        <v>0</v>
      </c>
      <c r="AG17" s="15">
        <v>0</v>
      </c>
      <c r="AH17" s="15">
        <f>IF(5 = P17, B17 * -1, B17)</f>
        <v>0</v>
      </c>
      <c r="AI17" s="15">
        <f>IF(5 = P17, C17 * -1, C17)</f>
        <v>0</v>
      </c>
      <c r="AJ17" s="15">
        <f>IF(5 = P17, D17 * -1, D17)</f>
        <v>-3065</v>
      </c>
      <c r="AK17" s="15">
        <f>IF(5 = P17, E17 * -1, E17)</f>
        <v>0</v>
      </c>
      <c r="AL17" s="15">
        <f>IF(5 = P17, F17 * -1, F17)</f>
        <v>0</v>
      </c>
      <c r="AM17" s="15">
        <f>IF(5 = P17, G17 * -1, G17)</f>
        <v>0</v>
      </c>
      <c r="AN17" s="15">
        <f>IF(5 = P17, H17 * -1, H17)</f>
        <v>0</v>
      </c>
      <c r="AO17" s="15">
        <f>IF(5 = P17, I17 * -1, I17)</f>
        <v>0</v>
      </c>
      <c r="AP17" s="15">
        <f>IF(5 = P17, J17 * -1, J17)</f>
        <v>0</v>
      </c>
      <c r="AQ17" s="15">
        <v>-6.25</v>
      </c>
      <c r="AR17" s="15">
        <f>IF(5 = P17, K17 * -1, K17)</f>
        <v>-6.25</v>
      </c>
      <c r="AS17" s="15">
        <f>IF(5 = P17, L17 * -1, L17)</f>
        <v>0</v>
      </c>
      <c r="AT17" s="15">
        <f>IF(5 = P17, M17 * -1, M17)</f>
        <v>0</v>
      </c>
      <c r="AU17" s="15">
        <f>IF(5 = P17, N17 * -1, N17)</f>
        <v>-3071.25</v>
      </c>
    </row>
    <row r="18" spans="1:47">
      <c r="A18" s="8" t="s">
        <v>64</v>
      </c>
      <c r="B18" s="16">
        <v>0</v>
      </c>
      <c r="C18" s="16">
        <v>0</v>
      </c>
      <c r="D18" s="16">
        <v>8310</v>
      </c>
      <c r="E18" s="16">
        <v>9297.5</v>
      </c>
      <c r="F18" s="16">
        <v>5522.5</v>
      </c>
      <c r="G18" s="16">
        <v>0</v>
      </c>
      <c r="H18" s="16">
        <v>937.5</v>
      </c>
      <c r="I18" s="16">
        <v>0</v>
      </c>
      <c r="J18" s="16">
        <v>4700</v>
      </c>
      <c r="K18" s="16">
        <v>0</v>
      </c>
      <c r="L18" s="16">
        <v>0</v>
      </c>
      <c r="M18" s="16">
        <v>0</v>
      </c>
      <c r="N18" s="16">
        <v>28767.5</v>
      </c>
      <c r="P18" s="15">
        <v>4</v>
      </c>
      <c r="Q18" s="2" t="s">
        <v>1</v>
      </c>
      <c r="R18" s="2" t="s">
        <v>52</v>
      </c>
      <c r="T18" s="15">
        <v>14108</v>
      </c>
      <c r="U18" s="2" t="s">
        <v>1</v>
      </c>
      <c r="V18" s="15">
        <v>100029927</v>
      </c>
      <c r="W18" s="2" t="s">
        <v>59</v>
      </c>
      <c r="X18" s="2" t="s">
        <v>59</v>
      </c>
      <c r="Y18" s="2" t="s">
        <v>60</v>
      </c>
      <c r="Z18" s="2" t="s">
        <v>64</v>
      </c>
      <c r="AA18" s="15">
        <v>4032</v>
      </c>
      <c r="AB18" s="15">
        <v>1</v>
      </c>
      <c r="AC18" s="15">
        <v>1888760</v>
      </c>
      <c r="AD18" s="15">
        <v>5</v>
      </c>
      <c r="AE18" s="2" t="s">
        <v>55</v>
      </c>
      <c r="AF18" s="15">
        <v>1</v>
      </c>
      <c r="AG18" s="15">
        <v>1</v>
      </c>
      <c r="AH18" s="15">
        <f>IF(5 = P18, B18 * -1, B18)</f>
        <v>0</v>
      </c>
      <c r="AI18" s="15">
        <f>IF(5 = P18, C18 * -1, C18)</f>
        <v>0</v>
      </c>
      <c r="AJ18" s="15">
        <f>IF(5 = P18, D18 * -1, D18)</f>
        <v>8310</v>
      </c>
      <c r="AK18" s="15">
        <f>IF(5 = P18, E18 * -1, E18)</f>
        <v>9297.5</v>
      </c>
      <c r="AL18" s="15">
        <f>IF(5 = P18, F18 * -1, F18)</f>
        <v>5522.5</v>
      </c>
      <c r="AM18" s="15">
        <f>IF(5 = P18, G18 * -1, G18)</f>
        <v>0</v>
      </c>
      <c r="AN18" s="15">
        <f>IF(5 = P18, H18 * -1, H18)</f>
        <v>937.5</v>
      </c>
      <c r="AO18" s="15">
        <f>IF(5 = P18, I18 * -1, I18)</f>
        <v>0</v>
      </c>
      <c r="AP18" s="15">
        <f>IF(5 = P18, J18 * -1, J18)</f>
        <v>4700</v>
      </c>
      <c r="AQ18" s="15">
        <v>0</v>
      </c>
      <c r="AR18" s="15">
        <f>IF(5 = P18, K18 * -1, K18)</f>
        <v>0</v>
      </c>
      <c r="AS18" s="15">
        <f>IF(5 = P18, L18 * -1, L18)</f>
        <v>0</v>
      </c>
      <c r="AT18" s="15">
        <f>IF(5 = P18, M18 * -1, M18)</f>
        <v>0</v>
      </c>
      <c r="AU18" s="15">
        <f>IF(5 = P18, N18 * -1, N18)</f>
        <v>28767.5</v>
      </c>
    </row>
    <row r="19" spans="1:47">
      <c r="A19" s="9" t="s">
        <v>57</v>
      </c>
      <c r="B19" s="11">
        <f>IF(5 = P19, AH19 * -1, AH19)</f>
        <v>-376717.33</v>
      </c>
      <c r="C19" s="11">
        <f>IF(5 = P19, AI19 * -1, AI19)</f>
        <v>-349016.62</v>
      </c>
      <c r="D19" s="11">
        <f>IF(5 = P19, AJ19 * -1, AJ19)</f>
        <v>-291687.57</v>
      </c>
      <c r="E19" s="11">
        <f>IF(5 = P19, AK19 * -1, AK19)</f>
        <v>-241691.06</v>
      </c>
      <c r="F19" s="11">
        <f>IF(5 = P19, AL19 * -1, AL19)</f>
        <v>-209511.05</v>
      </c>
      <c r="G19" s="11">
        <f>IF(5 = P19, AM19 * -1, AM19)</f>
        <v>-169556.66999999998</v>
      </c>
      <c r="H19" s="11">
        <f>IF(5 = P19, AN19 * -1, AN19)</f>
        <v>-131150.97999999998</v>
      </c>
      <c r="I19" s="11">
        <f>IF(5 = P19, AO19 * -1, AO19)</f>
        <v>-102083.68</v>
      </c>
      <c r="J19" s="11">
        <f>IF(5 = P19, AP19 * -1, AP19)</f>
        <v>-75277.209999999992</v>
      </c>
      <c r="K19" s="11">
        <f>IF(5 = P19, AR19 * -1, AR19)</f>
        <v>-67531.429999999993</v>
      </c>
      <c r="L19" s="11">
        <f>IF(5 = P19, AS19 * -1, AS19)</f>
        <v>-40392.58</v>
      </c>
      <c r="M19" s="11">
        <f>IF(5 = P19, AT19 * -1, AT19)</f>
        <v>-15382.48</v>
      </c>
      <c r="N19" s="11">
        <f>IF(5 = P19, AU19 * -1, AU19)</f>
        <v>-2069998.6600000001</v>
      </c>
      <c r="P19" s="10">
        <v>4</v>
      </c>
      <c r="Q19" s="17" t="str">
        <f>Q18</f>
        <v>Canyon Ridge</v>
      </c>
      <c r="R19" s="12" t="str">
        <f>R18</f>
        <v>9521</v>
      </c>
      <c r="S19" s="10">
        <f>S18</f>
        <v>0</v>
      </c>
      <c r="T19" s="15"/>
      <c r="U19" s="2"/>
      <c r="V19" s="15"/>
      <c r="W19" s="2"/>
      <c r="X19" s="2"/>
      <c r="Y19" s="2"/>
      <c r="Z19" s="2"/>
      <c r="AA19" s="15"/>
      <c r="AB19" s="15"/>
      <c r="AC19" s="15"/>
      <c r="AD19" s="15"/>
      <c r="AE19" s="2"/>
      <c r="AF19" s="15"/>
      <c r="AG19" s="15"/>
      <c r="AH19" s="10">
        <f t="shared" ref="AH19:AP19" si="1">SUM(AH14:AH18)</f>
        <v>-376717.33</v>
      </c>
      <c r="AI19" s="10">
        <f t="shared" si="1"/>
        <v>-349016.62</v>
      </c>
      <c r="AJ19" s="10">
        <f t="shared" si="1"/>
        <v>-291687.57</v>
      </c>
      <c r="AK19" s="10">
        <f t="shared" si="1"/>
        <v>-241691.06</v>
      </c>
      <c r="AL19" s="10">
        <f t="shared" si="1"/>
        <v>-209511.05</v>
      </c>
      <c r="AM19" s="10">
        <f t="shared" si="1"/>
        <v>-169556.66999999998</v>
      </c>
      <c r="AN19" s="10">
        <f t="shared" si="1"/>
        <v>-131150.97999999998</v>
      </c>
      <c r="AO19" s="10">
        <f t="shared" si="1"/>
        <v>-102083.68</v>
      </c>
      <c r="AP19" s="10">
        <f t="shared" si="1"/>
        <v>-75277.209999999992</v>
      </c>
      <c r="AQ19" s="15"/>
      <c r="AR19" s="10">
        <f>SUM(AR14:AR18)</f>
        <v>-67531.429999999993</v>
      </c>
      <c r="AS19" s="10">
        <f>SUM(AS14:AS18)</f>
        <v>-40392.58</v>
      </c>
      <c r="AT19" s="10">
        <f>SUM(AT14:AT18)</f>
        <v>-15382.48</v>
      </c>
      <c r="AU19" s="10">
        <f>SUM(AU14:AU18)</f>
        <v>-2069998.6600000001</v>
      </c>
    </row>
    <row r="20" spans="1:47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P20" s="15"/>
      <c r="Q20" s="2"/>
      <c r="T20" s="15"/>
      <c r="U20" s="2"/>
      <c r="V20" s="15"/>
      <c r="W20" s="2"/>
      <c r="X20" s="2"/>
      <c r="Y20" s="2"/>
      <c r="Z20" s="2"/>
      <c r="AA20" s="15"/>
      <c r="AB20" s="15"/>
      <c r="AC20" s="15"/>
      <c r="AD20" s="15"/>
      <c r="AE20" s="2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spans="1:47">
      <c r="A21" s="9" t="s">
        <v>65</v>
      </c>
      <c r="B21" s="11">
        <f>IF(5 = P21, AH21 * -1, AH21)</f>
        <v>190388.51999999996</v>
      </c>
      <c r="C21" s="11">
        <f>IF(5 = P21, AI21 * -1, AI21)</f>
        <v>217375.97999999998</v>
      </c>
      <c r="D21" s="11">
        <f>IF(5 = P21, AJ21 * -1, AJ21)</f>
        <v>270900.61999999994</v>
      </c>
      <c r="E21" s="11">
        <f>IF(5 = P21, AK21 * -1, AK21)</f>
        <v>323203.77999999997</v>
      </c>
      <c r="F21" s="11">
        <f>IF(5 = P21, AL21 * -1, AL21)</f>
        <v>350952.51999999996</v>
      </c>
      <c r="G21" s="11">
        <f>IF(5 = P21, AM21 * -1, AM21)</f>
        <v>391945.01000000007</v>
      </c>
      <c r="H21" s="11">
        <f>IF(5 = P21, AN21 * -1, AN21)</f>
        <v>429928.62</v>
      </c>
      <c r="I21" s="11">
        <f>IF(5 = P21, AO21 * -1, AO21)</f>
        <v>459111.58</v>
      </c>
      <c r="J21" s="11">
        <f>IF(5 = P21, AP21 * -1, AP21)</f>
        <v>486119.62</v>
      </c>
      <c r="K21" s="11">
        <f>IF(5 = P21, AR21 * -1, AR21)</f>
        <v>495227.00000000006</v>
      </c>
      <c r="L21" s="11">
        <f>IF(5 = P21, AS21 * -1, AS21)</f>
        <v>524889.70000000007</v>
      </c>
      <c r="M21" s="11">
        <f>IF(5 = P21, AT21 * -1, AT21)</f>
        <v>554335.27</v>
      </c>
      <c r="N21" s="11">
        <f>IF(5 = P21, AU21 * -1, AU21)</f>
        <v>4694378.22</v>
      </c>
      <c r="P21" s="10">
        <v>4</v>
      </c>
      <c r="Q21" s="17" t="str">
        <f>Q18</f>
        <v>Canyon Ridge</v>
      </c>
      <c r="R21" s="12" t="str">
        <f>R18</f>
        <v>9521</v>
      </c>
      <c r="S21" s="10">
        <f>S18</f>
        <v>0</v>
      </c>
      <c r="T21" s="15"/>
      <c r="U21" s="2"/>
      <c r="V21" s="15"/>
      <c r="W21" s="2"/>
      <c r="X21" s="2"/>
      <c r="Y21" s="2"/>
      <c r="Z21" s="2"/>
      <c r="AA21" s="15"/>
      <c r="AB21" s="15"/>
      <c r="AC21" s="15"/>
      <c r="AD21" s="15"/>
      <c r="AE21" s="2"/>
      <c r="AF21" s="15"/>
      <c r="AG21" s="15"/>
      <c r="AH21" s="10">
        <f t="shared" ref="AH21:AP21" si="2">SUM(AH9:AH10)+SUM(AH14:AH18)</f>
        <v>190388.51999999996</v>
      </c>
      <c r="AI21" s="10">
        <f t="shared" si="2"/>
        <v>217375.97999999998</v>
      </c>
      <c r="AJ21" s="10">
        <f t="shared" si="2"/>
        <v>270900.61999999994</v>
      </c>
      <c r="AK21" s="10">
        <f t="shared" si="2"/>
        <v>323203.77999999997</v>
      </c>
      <c r="AL21" s="10">
        <f t="shared" si="2"/>
        <v>350952.51999999996</v>
      </c>
      <c r="AM21" s="10">
        <f t="shared" si="2"/>
        <v>391945.01000000007</v>
      </c>
      <c r="AN21" s="10">
        <f t="shared" si="2"/>
        <v>429928.62</v>
      </c>
      <c r="AO21" s="10">
        <f t="shared" si="2"/>
        <v>459111.58</v>
      </c>
      <c r="AP21" s="10">
        <f t="shared" si="2"/>
        <v>486119.62</v>
      </c>
      <c r="AQ21" s="15"/>
      <c r="AR21" s="10">
        <f>SUM(AR9:AR10)+SUM(AR14:AR18)</f>
        <v>495227.00000000006</v>
      </c>
      <c r="AS21" s="10">
        <f>SUM(AS9:AS10)+SUM(AS14:AS18)</f>
        <v>524889.70000000007</v>
      </c>
      <c r="AT21" s="10">
        <f>SUM(AT9:AT10)+SUM(AT14:AT18)</f>
        <v>554335.27</v>
      </c>
      <c r="AU21" s="10">
        <f>SUM(AU9:AU10)+SUM(AU14:AU18)</f>
        <v>4694378.22</v>
      </c>
    </row>
    <row r="22" spans="1:47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P22" s="15"/>
      <c r="Q22" s="2"/>
      <c r="T22" s="15"/>
      <c r="U22" s="2"/>
      <c r="V22" s="15"/>
      <c r="W22" s="2"/>
      <c r="X22" s="2"/>
      <c r="Y22" s="2"/>
      <c r="Z22" s="2"/>
      <c r="AA22" s="15"/>
      <c r="AB22" s="15"/>
      <c r="AC22" s="15"/>
      <c r="AD22" s="15"/>
      <c r="AE22" s="2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>
      <c r="A23" s="7" t="s">
        <v>66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P23" s="15"/>
      <c r="Q23" s="2"/>
      <c r="T23" s="15"/>
      <c r="U23" s="2"/>
      <c r="V23" s="15"/>
      <c r="W23" s="2"/>
      <c r="X23" s="2"/>
      <c r="Y23" s="2"/>
      <c r="Z23" s="2"/>
      <c r="AA23" s="15"/>
      <c r="AB23" s="15"/>
      <c r="AC23" s="15"/>
      <c r="AD23" s="15"/>
      <c r="AE23" s="2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spans="1:47">
      <c r="A24" s="8" t="s">
        <v>67</v>
      </c>
      <c r="B24" s="16">
        <v>900</v>
      </c>
      <c r="C24" s="16">
        <v>900</v>
      </c>
      <c r="D24" s="16">
        <v>1500</v>
      </c>
      <c r="E24" s="16">
        <v>1500</v>
      </c>
      <c r="F24" s="16">
        <v>300</v>
      </c>
      <c r="G24" s="16">
        <v>600</v>
      </c>
      <c r="H24" s="16">
        <v>900</v>
      </c>
      <c r="I24" s="16">
        <v>600</v>
      </c>
      <c r="J24" s="16">
        <v>600</v>
      </c>
      <c r="K24" s="16">
        <v>300</v>
      </c>
      <c r="L24" s="16">
        <v>600</v>
      </c>
      <c r="M24" s="16">
        <v>600</v>
      </c>
      <c r="N24" s="16">
        <v>9300</v>
      </c>
      <c r="P24" s="15">
        <v>4</v>
      </c>
      <c r="Q24" s="2" t="s">
        <v>1</v>
      </c>
      <c r="R24" s="2" t="s">
        <v>52</v>
      </c>
      <c r="T24" s="15">
        <v>14108</v>
      </c>
      <c r="U24" s="2" t="s">
        <v>1</v>
      </c>
      <c r="V24" s="15">
        <v>100029927</v>
      </c>
      <c r="W24" s="2" t="s">
        <v>68</v>
      </c>
      <c r="X24" s="2" t="s">
        <v>68</v>
      </c>
      <c r="Y24" s="2" t="s">
        <v>69</v>
      </c>
      <c r="Z24" s="2" t="s">
        <v>67</v>
      </c>
      <c r="AA24" s="15">
        <v>4201</v>
      </c>
      <c r="AB24" s="15">
        <v>1</v>
      </c>
      <c r="AC24" s="15">
        <v>1888914</v>
      </c>
      <c r="AD24" s="15">
        <v>0</v>
      </c>
      <c r="AE24" s="2" t="s">
        <v>70</v>
      </c>
      <c r="AF24" s="15">
        <v>1</v>
      </c>
      <c r="AG24" s="15">
        <v>1</v>
      </c>
      <c r="AH24" s="15">
        <f t="shared" ref="AH24:AH42" si="3">IF(5 = P24, B24 * -1, B24)</f>
        <v>900</v>
      </c>
      <c r="AI24" s="15">
        <f t="shared" ref="AI24:AI42" si="4">IF(5 = P24, C24 * -1, C24)</f>
        <v>900</v>
      </c>
      <c r="AJ24" s="15">
        <f t="shared" ref="AJ24:AJ42" si="5">IF(5 = P24, D24 * -1, D24)</f>
        <v>1500</v>
      </c>
      <c r="AK24" s="15">
        <f t="shared" ref="AK24:AK42" si="6">IF(5 = P24, E24 * -1, E24)</f>
        <v>1500</v>
      </c>
      <c r="AL24" s="15">
        <f t="shared" ref="AL24:AL42" si="7">IF(5 = P24, F24 * -1, F24)</f>
        <v>300</v>
      </c>
      <c r="AM24" s="15">
        <f t="shared" ref="AM24:AM42" si="8">IF(5 = P24, G24 * -1, G24)</f>
        <v>600</v>
      </c>
      <c r="AN24" s="15">
        <f t="shared" ref="AN24:AN42" si="9">IF(5 = P24, H24 * -1, H24)</f>
        <v>900</v>
      </c>
      <c r="AO24" s="15">
        <f t="shared" ref="AO24:AO42" si="10">IF(5 = P24, I24 * -1, I24)</f>
        <v>600</v>
      </c>
      <c r="AP24" s="15">
        <f t="shared" ref="AP24:AP42" si="11">IF(5 = P24, J24 * -1, J24)</f>
        <v>600</v>
      </c>
      <c r="AQ24" s="15">
        <v>300</v>
      </c>
      <c r="AR24" s="15">
        <f t="shared" ref="AR24:AR42" si="12">IF(5 = P24, K24 * -1, K24)</f>
        <v>300</v>
      </c>
      <c r="AS24" s="15">
        <f t="shared" ref="AS24:AS42" si="13">IF(5 = P24, L24 * -1, L24)</f>
        <v>600</v>
      </c>
      <c r="AT24" s="15">
        <f t="shared" ref="AT24:AT42" si="14">IF(5 = P24, M24 * -1, M24)</f>
        <v>600</v>
      </c>
      <c r="AU24" s="15">
        <f t="shared" ref="AU24:AU42" si="15">IF(5 = P24, N24 * -1, N24)</f>
        <v>9300</v>
      </c>
    </row>
    <row r="25" spans="1:47">
      <c r="A25" s="8" t="s">
        <v>71</v>
      </c>
      <c r="B25" s="16">
        <v>280.01</v>
      </c>
      <c r="C25" s="16">
        <v>374.84</v>
      </c>
      <c r="D25" s="16">
        <v>536.29999999999995</v>
      </c>
      <c r="E25" s="16">
        <v>801.5</v>
      </c>
      <c r="F25" s="16">
        <v>746.29</v>
      </c>
      <c r="G25" s="16">
        <v>943.83</v>
      </c>
      <c r="H25" s="16">
        <v>852.42</v>
      </c>
      <c r="I25" s="16">
        <v>1002.58</v>
      </c>
      <c r="J25" s="16">
        <v>1192.5</v>
      </c>
      <c r="K25" s="16">
        <v>1141.45</v>
      </c>
      <c r="L25" s="16">
        <v>1219.17</v>
      </c>
      <c r="M25" s="16">
        <v>1214.76</v>
      </c>
      <c r="N25" s="16">
        <v>10305.65</v>
      </c>
      <c r="P25" s="15">
        <v>4</v>
      </c>
      <c r="Q25" s="2" t="s">
        <v>1</v>
      </c>
      <c r="R25" s="2" t="s">
        <v>52</v>
      </c>
      <c r="T25" s="15">
        <v>14108</v>
      </c>
      <c r="U25" s="2" t="s">
        <v>1</v>
      </c>
      <c r="V25" s="15">
        <v>100029927</v>
      </c>
      <c r="W25" s="2" t="s">
        <v>68</v>
      </c>
      <c r="X25" s="2" t="s">
        <v>68</v>
      </c>
      <c r="Y25" s="2" t="s">
        <v>69</v>
      </c>
      <c r="Z25" s="2" t="s">
        <v>71</v>
      </c>
      <c r="AA25" s="15">
        <v>4202</v>
      </c>
      <c r="AB25" s="15">
        <v>1</v>
      </c>
      <c r="AC25" s="15">
        <v>1888915</v>
      </c>
      <c r="AD25" s="15">
        <v>1</v>
      </c>
      <c r="AE25" s="2" t="s">
        <v>70</v>
      </c>
      <c r="AF25" s="15">
        <v>1</v>
      </c>
      <c r="AG25" s="15">
        <v>1</v>
      </c>
      <c r="AH25" s="15">
        <f t="shared" si="3"/>
        <v>280.01</v>
      </c>
      <c r="AI25" s="15">
        <f t="shared" si="4"/>
        <v>374.84</v>
      </c>
      <c r="AJ25" s="15">
        <f t="shared" si="5"/>
        <v>536.29999999999995</v>
      </c>
      <c r="AK25" s="15">
        <f t="shared" si="6"/>
        <v>801.5</v>
      </c>
      <c r="AL25" s="15">
        <f t="shared" si="7"/>
        <v>746.29</v>
      </c>
      <c r="AM25" s="15">
        <f t="shared" si="8"/>
        <v>943.83</v>
      </c>
      <c r="AN25" s="15">
        <f t="shared" si="9"/>
        <v>852.42</v>
      </c>
      <c r="AO25" s="15">
        <f t="shared" si="10"/>
        <v>1002.58</v>
      </c>
      <c r="AP25" s="15">
        <f t="shared" si="11"/>
        <v>1192.5</v>
      </c>
      <c r="AQ25" s="15">
        <v>1141.45</v>
      </c>
      <c r="AR25" s="15">
        <f t="shared" si="12"/>
        <v>1141.45</v>
      </c>
      <c r="AS25" s="15">
        <f t="shared" si="13"/>
        <v>1219.17</v>
      </c>
      <c r="AT25" s="15">
        <f t="shared" si="14"/>
        <v>1214.76</v>
      </c>
      <c r="AU25" s="15">
        <f t="shared" si="15"/>
        <v>10305.65</v>
      </c>
    </row>
    <row r="26" spans="1:47">
      <c r="A26" s="8" t="s">
        <v>72</v>
      </c>
      <c r="B26" s="16">
        <v>3696.09</v>
      </c>
      <c r="C26" s="16">
        <v>3988.86</v>
      </c>
      <c r="D26" s="16">
        <v>4307.59</v>
      </c>
      <c r="E26" s="16">
        <v>4847.5</v>
      </c>
      <c r="F26" s="16">
        <v>5188.87</v>
      </c>
      <c r="G26" s="16">
        <v>5784.66</v>
      </c>
      <c r="H26" s="16">
        <v>6447.59</v>
      </c>
      <c r="I26" s="16">
        <v>6868.22</v>
      </c>
      <c r="J26" s="16">
        <v>7053.58</v>
      </c>
      <c r="K26" s="16">
        <v>11749.15</v>
      </c>
      <c r="L26" s="16">
        <v>9045</v>
      </c>
      <c r="M26" s="16">
        <v>8990.16</v>
      </c>
      <c r="N26" s="16">
        <v>77967.27</v>
      </c>
      <c r="P26" s="15">
        <v>4</v>
      </c>
      <c r="Q26" s="2" t="s">
        <v>1</v>
      </c>
      <c r="R26" s="2" t="s">
        <v>52</v>
      </c>
      <c r="T26" s="15">
        <v>14108</v>
      </c>
      <c r="U26" s="2" t="s">
        <v>1</v>
      </c>
      <c r="V26" s="15">
        <v>100029927</v>
      </c>
      <c r="W26" s="2" t="s">
        <v>68</v>
      </c>
      <c r="X26" s="2" t="s">
        <v>68</v>
      </c>
      <c r="Y26" s="2" t="s">
        <v>69</v>
      </c>
      <c r="Z26" s="2" t="s">
        <v>72</v>
      </c>
      <c r="AA26" s="15">
        <v>4203</v>
      </c>
      <c r="AB26" s="15">
        <v>1</v>
      </c>
      <c r="AC26" s="15">
        <v>1888916</v>
      </c>
      <c r="AD26" s="15">
        <v>2</v>
      </c>
      <c r="AE26" s="2" t="s">
        <v>70</v>
      </c>
      <c r="AF26" s="15">
        <v>1</v>
      </c>
      <c r="AG26" s="15">
        <v>1</v>
      </c>
      <c r="AH26" s="15">
        <f t="shared" si="3"/>
        <v>3696.09</v>
      </c>
      <c r="AI26" s="15">
        <f t="shared" si="4"/>
        <v>3988.86</v>
      </c>
      <c r="AJ26" s="15">
        <f t="shared" si="5"/>
        <v>4307.59</v>
      </c>
      <c r="AK26" s="15">
        <f t="shared" si="6"/>
        <v>4847.5</v>
      </c>
      <c r="AL26" s="15">
        <f t="shared" si="7"/>
        <v>5188.87</v>
      </c>
      <c r="AM26" s="15">
        <f t="shared" si="8"/>
        <v>5784.66</v>
      </c>
      <c r="AN26" s="15">
        <f t="shared" si="9"/>
        <v>6447.59</v>
      </c>
      <c r="AO26" s="15">
        <f t="shared" si="10"/>
        <v>6868.22</v>
      </c>
      <c r="AP26" s="15">
        <f t="shared" si="11"/>
        <v>7053.58</v>
      </c>
      <c r="AQ26" s="15">
        <v>11749.15</v>
      </c>
      <c r="AR26" s="15">
        <f t="shared" si="12"/>
        <v>11749.15</v>
      </c>
      <c r="AS26" s="15">
        <f t="shared" si="13"/>
        <v>9045</v>
      </c>
      <c r="AT26" s="15">
        <f t="shared" si="14"/>
        <v>8990.16</v>
      </c>
      <c r="AU26" s="15">
        <f t="shared" si="15"/>
        <v>77967.27</v>
      </c>
    </row>
    <row r="27" spans="1:47">
      <c r="A27" s="8" t="s">
        <v>73</v>
      </c>
      <c r="B27" s="16">
        <v>145.16</v>
      </c>
      <c r="C27" s="16">
        <v>456.29</v>
      </c>
      <c r="D27" s="16">
        <v>-86.73</v>
      </c>
      <c r="E27" s="16">
        <v>342.54</v>
      </c>
      <c r="F27" s="16">
        <v>177.74</v>
      </c>
      <c r="G27" s="16">
        <v>336.66</v>
      </c>
      <c r="H27" s="16">
        <v>361.61</v>
      </c>
      <c r="I27" s="16">
        <v>364.4</v>
      </c>
      <c r="J27" s="16">
        <v>285.56</v>
      </c>
      <c r="K27" s="16">
        <v>533.35</v>
      </c>
      <c r="L27" s="16">
        <v>312.58999999999997</v>
      </c>
      <c r="M27" s="16">
        <v>552.78</v>
      </c>
      <c r="N27" s="16">
        <v>3781.95</v>
      </c>
      <c r="P27" s="15">
        <v>4</v>
      </c>
      <c r="Q27" s="2" t="s">
        <v>1</v>
      </c>
      <c r="R27" s="2" t="s">
        <v>52</v>
      </c>
      <c r="T27" s="15">
        <v>14108</v>
      </c>
      <c r="U27" s="2" t="s">
        <v>1</v>
      </c>
      <c r="V27" s="15">
        <v>100029927</v>
      </c>
      <c r="W27" s="2" t="s">
        <v>68</v>
      </c>
      <c r="X27" s="2" t="s">
        <v>68</v>
      </c>
      <c r="Y27" s="2" t="s">
        <v>69</v>
      </c>
      <c r="Z27" s="2" t="s">
        <v>73</v>
      </c>
      <c r="AA27" s="15">
        <v>4204</v>
      </c>
      <c r="AB27" s="15">
        <v>1</v>
      </c>
      <c r="AC27" s="15">
        <v>1888917</v>
      </c>
      <c r="AD27" s="15">
        <v>3</v>
      </c>
      <c r="AE27" s="2" t="s">
        <v>70</v>
      </c>
      <c r="AF27" s="15">
        <v>1</v>
      </c>
      <c r="AG27" s="15">
        <v>1</v>
      </c>
      <c r="AH27" s="15">
        <f t="shared" si="3"/>
        <v>145.16</v>
      </c>
      <c r="AI27" s="15">
        <f t="shared" si="4"/>
        <v>456.29</v>
      </c>
      <c r="AJ27" s="15">
        <f t="shared" si="5"/>
        <v>-86.73</v>
      </c>
      <c r="AK27" s="15">
        <f t="shared" si="6"/>
        <v>342.54</v>
      </c>
      <c r="AL27" s="15">
        <f t="shared" si="7"/>
        <v>177.74</v>
      </c>
      <c r="AM27" s="15">
        <f t="shared" si="8"/>
        <v>336.66</v>
      </c>
      <c r="AN27" s="15">
        <f t="shared" si="9"/>
        <v>361.61</v>
      </c>
      <c r="AO27" s="15">
        <f t="shared" si="10"/>
        <v>364.4</v>
      </c>
      <c r="AP27" s="15">
        <f t="shared" si="11"/>
        <v>285.56</v>
      </c>
      <c r="AQ27" s="15">
        <v>533.35</v>
      </c>
      <c r="AR27" s="15">
        <f t="shared" si="12"/>
        <v>533.35</v>
      </c>
      <c r="AS27" s="15">
        <f t="shared" si="13"/>
        <v>312.58999999999997</v>
      </c>
      <c r="AT27" s="15">
        <f t="shared" si="14"/>
        <v>552.78</v>
      </c>
      <c r="AU27" s="15">
        <f t="shared" si="15"/>
        <v>3781.95</v>
      </c>
    </row>
    <row r="28" spans="1:47">
      <c r="A28" s="8" t="s">
        <v>74</v>
      </c>
      <c r="B28" s="16">
        <v>2252.42</v>
      </c>
      <c r="C28" s="16">
        <v>2681.31</v>
      </c>
      <c r="D28" s="16">
        <v>5255.89</v>
      </c>
      <c r="E28" s="16">
        <v>5777.78</v>
      </c>
      <c r="F28" s="16">
        <v>6614.51</v>
      </c>
      <c r="G28" s="16">
        <v>7081.44</v>
      </c>
      <c r="H28" s="16">
        <v>9732.35</v>
      </c>
      <c r="I28" s="16">
        <v>15738.33</v>
      </c>
      <c r="J28" s="16">
        <v>11817.5</v>
      </c>
      <c r="K28" s="16">
        <v>15643.59</v>
      </c>
      <c r="L28" s="16">
        <v>15191.37</v>
      </c>
      <c r="M28" s="16">
        <v>17197.98</v>
      </c>
      <c r="N28" s="16">
        <v>114984.47</v>
      </c>
      <c r="P28" s="15">
        <v>4</v>
      </c>
      <c r="Q28" s="2" t="s">
        <v>1</v>
      </c>
      <c r="R28" s="2" t="s">
        <v>52</v>
      </c>
      <c r="T28" s="15">
        <v>14108</v>
      </c>
      <c r="U28" s="2" t="s">
        <v>1</v>
      </c>
      <c r="V28" s="15">
        <v>100029927</v>
      </c>
      <c r="W28" s="2" t="s">
        <v>68</v>
      </c>
      <c r="X28" s="2" t="s">
        <v>68</v>
      </c>
      <c r="Y28" s="2" t="s">
        <v>69</v>
      </c>
      <c r="Z28" s="2" t="s">
        <v>74</v>
      </c>
      <c r="AA28" s="15">
        <v>4205</v>
      </c>
      <c r="AB28" s="15">
        <v>1</v>
      </c>
      <c r="AC28" s="15">
        <v>1888918</v>
      </c>
      <c r="AD28" s="15">
        <v>4</v>
      </c>
      <c r="AE28" s="2" t="s">
        <v>70</v>
      </c>
      <c r="AF28" s="15">
        <v>1</v>
      </c>
      <c r="AG28" s="15">
        <v>1</v>
      </c>
      <c r="AH28" s="15">
        <f t="shared" si="3"/>
        <v>2252.42</v>
      </c>
      <c r="AI28" s="15">
        <f t="shared" si="4"/>
        <v>2681.31</v>
      </c>
      <c r="AJ28" s="15">
        <f t="shared" si="5"/>
        <v>5255.89</v>
      </c>
      <c r="AK28" s="15">
        <f t="shared" si="6"/>
        <v>5777.78</v>
      </c>
      <c r="AL28" s="15">
        <f t="shared" si="7"/>
        <v>6614.51</v>
      </c>
      <c r="AM28" s="15">
        <f t="shared" si="8"/>
        <v>7081.44</v>
      </c>
      <c r="AN28" s="15">
        <f t="shared" si="9"/>
        <v>9732.35</v>
      </c>
      <c r="AO28" s="15">
        <f t="shared" si="10"/>
        <v>15738.33</v>
      </c>
      <c r="AP28" s="15">
        <f t="shared" si="11"/>
        <v>11817.5</v>
      </c>
      <c r="AQ28" s="15">
        <v>15643.59</v>
      </c>
      <c r="AR28" s="15">
        <f t="shared" si="12"/>
        <v>15643.59</v>
      </c>
      <c r="AS28" s="15">
        <f t="shared" si="13"/>
        <v>15191.37</v>
      </c>
      <c r="AT28" s="15">
        <f t="shared" si="14"/>
        <v>17197.98</v>
      </c>
      <c r="AU28" s="15">
        <f t="shared" si="15"/>
        <v>114984.47</v>
      </c>
    </row>
    <row r="29" spans="1:47">
      <c r="A29" s="8" t="s">
        <v>75</v>
      </c>
      <c r="B29" s="16">
        <v>5</v>
      </c>
      <c r="C29" s="16">
        <v>355</v>
      </c>
      <c r="D29" s="16">
        <v>1030</v>
      </c>
      <c r="E29" s="16">
        <v>370</v>
      </c>
      <c r="F29" s="16">
        <v>455</v>
      </c>
      <c r="G29" s="16">
        <v>450</v>
      </c>
      <c r="H29" s="16">
        <v>1140</v>
      </c>
      <c r="I29" s="16">
        <v>1365</v>
      </c>
      <c r="J29" s="16">
        <v>1225</v>
      </c>
      <c r="K29" s="16">
        <v>2405</v>
      </c>
      <c r="L29" s="16">
        <v>1170</v>
      </c>
      <c r="M29" s="16">
        <v>1360</v>
      </c>
      <c r="N29" s="16">
        <v>11330</v>
      </c>
      <c r="P29" s="15">
        <v>4</v>
      </c>
      <c r="Q29" s="2" t="s">
        <v>1</v>
      </c>
      <c r="R29" s="2" t="s">
        <v>52</v>
      </c>
      <c r="T29" s="15">
        <v>14108</v>
      </c>
      <c r="U29" s="2" t="s">
        <v>1</v>
      </c>
      <c r="V29" s="15">
        <v>100029927</v>
      </c>
      <c r="W29" s="2" t="s">
        <v>68</v>
      </c>
      <c r="X29" s="2" t="s">
        <v>68</v>
      </c>
      <c r="Y29" s="2" t="s">
        <v>69</v>
      </c>
      <c r="Z29" s="2" t="s">
        <v>75</v>
      </c>
      <c r="AA29" s="15">
        <v>4207</v>
      </c>
      <c r="AB29" s="15">
        <v>1</v>
      </c>
      <c r="AC29" s="15">
        <v>1888920</v>
      </c>
      <c r="AD29" s="15">
        <v>5</v>
      </c>
      <c r="AE29" s="2" t="s">
        <v>70</v>
      </c>
      <c r="AF29" s="15">
        <v>1</v>
      </c>
      <c r="AG29" s="15">
        <v>1</v>
      </c>
      <c r="AH29" s="15">
        <f t="shared" si="3"/>
        <v>5</v>
      </c>
      <c r="AI29" s="15">
        <f t="shared" si="4"/>
        <v>355</v>
      </c>
      <c r="AJ29" s="15">
        <f t="shared" si="5"/>
        <v>1030</v>
      </c>
      <c r="AK29" s="15">
        <f t="shared" si="6"/>
        <v>370</v>
      </c>
      <c r="AL29" s="15">
        <f t="shared" si="7"/>
        <v>455</v>
      </c>
      <c r="AM29" s="15">
        <f t="shared" si="8"/>
        <v>450</v>
      </c>
      <c r="AN29" s="15">
        <f t="shared" si="9"/>
        <v>1140</v>
      </c>
      <c r="AO29" s="15">
        <f t="shared" si="10"/>
        <v>1365</v>
      </c>
      <c r="AP29" s="15">
        <f t="shared" si="11"/>
        <v>1225</v>
      </c>
      <c r="AQ29" s="15">
        <v>2405</v>
      </c>
      <c r="AR29" s="15">
        <f t="shared" si="12"/>
        <v>2405</v>
      </c>
      <c r="AS29" s="15">
        <f t="shared" si="13"/>
        <v>1170</v>
      </c>
      <c r="AT29" s="15">
        <f t="shared" si="14"/>
        <v>1360</v>
      </c>
      <c r="AU29" s="15">
        <f t="shared" si="15"/>
        <v>11330</v>
      </c>
    </row>
    <row r="30" spans="1:47">
      <c r="A30" s="8" t="s">
        <v>76</v>
      </c>
      <c r="B30" s="16">
        <v>0</v>
      </c>
      <c r="C30" s="16">
        <v>0</v>
      </c>
      <c r="D30" s="16">
        <v>750</v>
      </c>
      <c r="E30" s="16">
        <v>0</v>
      </c>
      <c r="F30" s="16">
        <v>361.29</v>
      </c>
      <c r="G30" s="16">
        <v>600</v>
      </c>
      <c r="H30" s="16">
        <v>866.13</v>
      </c>
      <c r="I30" s="16">
        <v>1175.81</v>
      </c>
      <c r="J30" s="16">
        <v>157.13999999999999</v>
      </c>
      <c r="K30" s="16">
        <v>788.71</v>
      </c>
      <c r="L30" s="16">
        <v>1136.6600000000001</v>
      </c>
      <c r="M30" s="16">
        <v>1535.48</v>
      </c>
      <c r="N30" s="16">
        <v>7371.22</v>
      </c>
      <c r="P30" s="15">
        <v>4</v>
      </c>
      <c r="Q30" s="2" t="s">
        <v>1</v>
      </c>
      <c r="R30" s="2" t="s">
        <v>52</v>
      </c>
      <c r="T30" s="15">
        <v>14108</v>
      </c>
      <c r="U30" s="2" t="s">
        <v>1</v>
      </c>
      <c r="V30" s="15">
        <v>100029927</v>
      </c>
      <c r="W30" s="2" t="s">
        <v>68</v>
      </c>
      <c r="X30" s="2" t="s">
        <v>68</v>
      </c>
      <c r="Y30" s="2" t="s">
        <v>69</v>
      </c>
      <c r="Z30" s="2" t="s">
        <v>76</v>
      </c>
      <c r="AA30" s="15">
        <v>4209</v>
      </c>
      <c r="AB30" s="15">
        <v>1</v>
      </c>
      <c r="AC30" s="15">
        <v>1888922</v>
      </c>
      <c r="AD30" s="15">
        <v>6</v>
      </c>
      <c r="AE30" s="2" t="s">
        <v>70</v>
      </c>
      <c r="AF30" s="15">
        <v>1</v>
      </c>
      <c r="AG30" s="15">
        <v>1</v>
      </c>
      <c r="AH30" s="15">
        <f t="shared" si="3"/>
        <v>0</v>
      </c>
      <c r="AI30" s="15">
        <f t="shared" si="4"/>
        <v>0</v>
      </c>
      <c r="AJ30" s="15">
        <f t="shared" si="5"/>
        <v>750</v>
      </c>
      <c r="AK30" s="15">
        <f t="shared" si="6"/>
        <v>0</v>
      </c>
      <c r="AL30" s="15">
        <f t="shared" si="7"/>
        <v>361.29</v>
      </c>
      <c r="AM30" s="15">
        <f t="shared" si="8"/>
        <v>600</v>
      </c>
      <c r="AN30" s="15">
        <f t="shared" si="9"/>
        <v>866.13</v>
      </c>
      <c r="AO30" s="15">
        <f t="shared" si="10"/>
        <v>1175.81</v>
      </c>
      <c r="AP30" s="15">
        <f t="shared" si="11"/>
        <v>157.13999999999999</v>
      </c>
      <c r="AQ30" s="15">
        <v>788.71</v>
      </c>
      <c r="AR30" s="15">
        <f t="shared" si="12"/>
        <v>788.71</v>
      </c>
      <c r="AS30" s="15">
        <f t="shared" si="13"/>
        <v>1136.6600000000001</v>
      </c>
      <c r="AT30" s="15">
        <f t="shared" si="14"/>
        <v>1535.48</v>
      </c>
      <c r="AU30" s="15">
        <f t="shared" si="15"/>
        <v>7371.22</v>
      </c>
    </row>
    <row r="31" spans="1:47">
      <c r="A31" s="8" t="s">
        <v>77</v>
      </c>
      <c r="B31" s="16">
        <v>3187.49</v>
      </c>
      <c r="C31" s="16">
        <v>3730.98</v>
      </c>
      <c r="D31" s="16">
        <v>4052.4</v>
      </c>
      <c r="E31" s="16">
        <v>4902.4799999999996</v>
      </c>
      <c r="F31" s="16">
        <v>5387.93</v>
      </c>
      <c r="G31" s="16">
        <v>6457.95</v>
      </c>
      <c r="H31" s="16">
        <v>9440.93</v>
      </c>
      <c r="I31" s="16">
        <v>7709.98</v>
      </c>
      <c r="J31" s="16">
        <v>6920.55</v>
      </c>
      <c r="K31" s="16">
        <v>7291.94</v>
      </c>
      <c r="L31" s="16">
        <v>8202.51</v>
      </c>
      <c r="M31" s="16">
        <v>8245.15</v>
      </c>
      <c r="N31" s="16">
        <v>75530.289999999994</v>
      </c>
      <c r="P31" s="15">
        <v>4</v>
      </c>
      <c r="Q31" s="2" t="s">
        <v>1</v>
      </c>
      <c r="R31" s="2" t="s">
        <v>52</v>
      </c>
      <c r="T31" s="15">
        <v>14108</v>
      </c>
      <c r="U31" s="2" t="s">
        <v>1</v>
      </c>
      <c r="V31" s="15">
        <v>100029927</v>
      </c>
      <c r="W31" s="2" t="s">
        <v>68</v>
      </c>
      <c r="X31" s="2" t="s">
        <v>68</v>
      </c>
      <c r="Y31" s="2" t="s">
        <v>69</v>
      </c>
      <c r="Z31" s="2" t="s">
        <v>77</v>
      </c>
      <c r="AA31" s="15">
        <v>4212</v>
      </c>
      <c r="AB31" s="15">
        <v>1</v>
      </c>
      <c r="AC31" s="15">
        <v>1888925</v>
      </c>
      <c r="AD31" s="15">
        <v>9</v>
      </c>
      <c r="AE31" s="2" t="s">
        <v>70</v>
      </c>
      <c r="AF31" s="15">
        <v>1</v>
      </c>
      <c r="AG31" s="15">
        <v>1</v>
      </c>
      <c r="AH31" s="15">
        <f t="shared" si="3"/>
        <v>3187.49</v>
      </c>
      <c r="AI31" s="15">
        <f t="shared" si="4"/>
        <v>3730.98</v>
      </c>
      <c r="AJ31" s="15">
        <f t="shared" si="5"/>
        <v>4052.4</v>
      </c>
      <c r="AK31" s="15">
        <f t="shared" si="6"/>
        <v>4902.4799999999996</v>
      </c>
      <c r="AL31" s="15">
        <f t="shared" si="7"/>
        <v>5387.93</v>
      </c>
      <c r="AM31" s="15">
        <f t="shared" si="8"/>
        <v>6457.95</v>
      </c>
      <c r="AN31" s="15">
        <f t="shared" si="9"/>
        <v>9440.93</v>
      </c>
      <c r="AO31" s="15">
        <f t="shared" si="10"/>
        <v>7709.98</v>
      </c>
      <c r="AP31" s="15">
        <f t="shared" si="11"/>
        <v>6920.55</v>
      </c>
      <c r="AQ31" s="15">
        <v>7291.94</v>
      </c>
      <c r="AR31" s="15">
        <f t="shared" si="12"/>
        <v>7291.94</v>
      </c>
      <c r="AS31" s="15">
        <f t="shared" si="13"/>
        <v>8202.51</v>
      </c>
      <c r="AT31" s="15">
        <f t="shared" si="14"/>
        <v>8245.15</v>
      </c>
      <c r="AU31" s="15">
        <f t="shared" si="15"/>
        <v>75530.289999999994</v>
      </c>
    </row>
    <row r="32" spans="1:47">
      <c r="A32" s="8" t="s">
        <v>78</v>
      </c>
      <c r="B32" s="16">
        <v>2050</v>
      </c>
      <c r="C32" s="16">
        <v>1950</v>
      </c>
      <c r="D32" s="16">
        <v>3150</v>
      </c>
      <c r="E32" s="16">
        <v>1850</v>
      </c>
      <c r="F32" s="16">
        <v>1500</v>
      </c>
      <c r="G32" s="16">
        <v>1250</v>
      </c>
      <c r="H32" s="16">
        <v>1250</v>
      </c>
      <c r="I32" s="16">
        <v>1700</v>
      </c>
      <c r="J32" s="16">
        <v>1350</v>
      </c>
      <c r="K32" s="16">
        <v>2400</v>
      </c>
      <c r="L32" s="16">
        <v>1000</v>
      </c>
      <c r="M32" s="16">
        <v>1700</v>
      </c>
      <c r="N32" s="16">
        <v>21150</v>
      </c>
      <c r="P32" s="15">
        <v>4</v>
      </c>
      <c r="Q32" s="2" t="s">
        <v>1</v>
      </c>
      <c r="R32" s="2" t="s">
        <v>52</v>
      </c>
      <c r="T32" s="15">
        <v>14108</v>
      </c>
      <c r="U32" s="2" t="s">
        <v>1</v>
      </c>
      <c r="V32" s="15">
        <v>100029927</v>
      </c>
      <c r="W32" s="2" t="s">
        <v>68</v>
      </c>
      <c r="X32" s="2" t="s">
        <v>68</v>
      </c>
      <c r="Y32" s="2" t="s">
        <v>69</v>
      </c>
      <c r="Z32" s="2" t="s">
        <v>78</v>
      </c>
      <c r="AA32" s="15">
        <v>4213</v>
      </c>
      <c r="AB32" s="15">
        <v>1</v>
      </c>
      <c r="AC32" s="15">
        <v>1888926</v>
      </c>
      <c r="AD32" s="15">
        <v>10</v>
      </c>
      <c r="AE32" s="2" t="s">
        <v>70</v>
      </c>
      <c r="AF32" s="15">
        <v>1</v>
      </c>
      <c r="AG32" s="15">
        <v>1</v>
      </c>
      <c r="AH32" s="15">
        <f t="shared" si="3"/>
        <v>2050</v>
      </c>
      <c r="AI32" s="15">
        <f t="shared" si="4"/>
        <v>1950</v>
      </c>
      <c r="AJ32" s="15">
        <f t="shared" si="5"/>
        <v>3150</v>
      </c>
      <c r="AK32" s="15">
        <f t="shared" si="6"/>
        <v>1850</v>
      </c>
      <c r="AL32" s="15">
        <f t="shared" si="7"/>
        <v>1500</v>
      </c>
      <c r="AM32" s="15">
        <f t="shared" si="8"/>
        <v>1250</v>
      </c>
      <c r="AN32" s="15">
        <f t="shared" si="9"/>
        <v>1250</v>
      </c>
      <c r="AO32" s="15">
        <f t="shared" si="10"/>
        <v>1700</v>
      </c>
      <c r="AP32" s="15">
        <f t="shared" si="11"/>
        <v>1350</v>
      </c>
      <c r="AQ32" s="15">
        <v>2400</v>
      </c>
      <c r="AR32" s="15">
        <f t="shared" si="12"/>
        <v>2400</v>
      </c>
      <c r="AS32" s="15">
        <f t="shared" si="13"/>
        <v>1000</v>
      </c>
      <c r="AT32" s="15">
        <f t="shared" si="14"/>
        <v>1700</v>
      </c>
      <c r="AU32" s="15">
        <f t="shared" si="15"/>
        <v>21150</v>
      </c>
    </row>
    <row r="33" spans="1:47">
      <c r="A33" s="8" t="s">
        <v>79</v>
      </c>
      <c r="B33" s="16">
        <v>-960.53</v>
      </c>
      <c r="C33" s="16">
        <v>-992.36</v>
      </c>
      <c r="D33" s="16">
        <v>-797.52</v>
      </c>
      <c r="E33" s="16">
        <v>-1174.0999999999999</v>
      </c>
      <c r="F33" s="16">
        <v>-960.53</v>
      </c>
      <c r="G33" s="16">
        <v>-441.78</v>
      </c>
      <c r="H33" s="16">
        <v>-619.4</v>
      </c>
      <c r="I33" s="16">
        <v>-618.86</v>
      </c>
      <c r="J33" s="16">
        <v>-522.96</v>
      </c>
      <c r="K33" s="16">
        <v>-838.08</v>
      </c>
      <c r="L33" s="16">
        <v>-865.92</v>
      </c>
      <c r="M33" s="16">
        <v>-532.16</v>
      </c>
      <c r="N33" s="16">
        <v>-9324.2000000000007</v>
      </c>
      <c r="P33" s="15">
        <v>4</v>
      </c>
      <c r="Q33" s="2" t="s">
        <v>1</v>
      </c>
      <c r="R33" s="2" t="s">
        <v>52</v>
      </c>
      <c r="T33" s="15">
        <v>14108</v>
      </c>
      <c r="U33" s="2" t="s">
        <v>1</v>
      </c>
      <c r="V33" s="15">
        <v>100029927</v>
      </c>
      <c r="W33" s="2" t="s">
        <v>68</v>
      </c>
      <c r="X33" s="2" t="s">
        <v>68</v>
      </c>
      <c r="Y33" s="2" t="s">
        <v>69</v>
      </c>
      <c r="Z33" s="2" t="s">
        <v>79</v>
      </c>
      <c r="AA33" s="15">
        <v>4214</v>
      </c>
      <c r="AB33" s="15">
        <v>1</v>
      </c>
      <c r="AC33" s="15">
        <v>1888927</v>
      </c>
      <c r="AD33" s="15">
        <v>11</v>
      </c>
      <c r="AE33" s="2" t="s">
        <v>70</v>
      </c>
      <c r="AF33" s="15">
        <v>1</v>
      </c>
      <c r="AG33" s="15">
        <v>1</v>
      </c>
      <c r="AH33" s="15">
        <f t="shared" si="3"/>
        <v>-960.53</v>
      </c>
      <c r="AI33" s="15">
        <f t="shared" si="4"/>
        <v>-992.36</v>
      </c>
      <c r="AJ33" s="15">
        <f t="shared" si="5"/>
        <v>-797.52</v>
      </c>
      <c r="AK33" s="15">
        <f t="shared" si="6"/>
        <v>-1174.0999999999999</v>
      </c>
      <c r="AL33" s="15">
        <f t="shared" si="7"/>
        <v>-960.53</v>
      </c>
      <c r="AM33" s="15">
        <f t="shared" si="8"/>
        <v>-441.78</v>
      </c>
      <c r="AN33" s="15">
        <f t="shared" si="9"/>
        <v>-619.4</v>
      </c>
      <c r="AO33" s="15">
        <f t="shared" si="10"/>
        <v>-618.86</v>
      </c>
      <c r="AP33" s="15">
        <f t="shared" si="11"/>
        <v>-522.96</v>
      </c>
      <c r="AQ33" s="15">
        <v>-838.08</v>
      </c>
      <c r="AR33" s="15">
        <f t="shared" si="12"/>
        <v>-838.08</v>
      </c>
      <c r="AS33" s="15">
        <f t="shared" si="13"/>
        <v>-865.92</v>
      </c>
      <c r="AT33" s="15">
        <f t="shared" si="14"/>
        <v>-532.16</v>
      </c>
      <c r="AU33" s="15">
        <f t="shared" si="15"/>
        <v>-9324.2000000000007</v>
      </c>
    </row>
    <row r="34" spans="1:47">
      <c r="A34" s="8" t="s">
        <v>80</v>
      </c>
      <c r="B34" s="16">
        <v>4600</v>
      </c>
      <c r="C34" s="16">
        <v>4200</v>
      </c>
      <c r="D34" s="16">
        <v>7200</v>
      </c>
      <c r="E34" s="16">
        <v>5200</v>
      </c>
      <c r="F34" s="16">
        <v>3400</v>
      </c>
      <c r="G34" s="16">
        <v>3000</v>
      </c>
      <c r="H34" s="16">
        <v>3400</v>
      </c>
      <c r="I34" s="16">
        <v>4000</v>
      </c>
      <c r="J34" s="16">
        <v>3200</v>
      </c>
      <c r="K34" s="16">
        <v>4600</v>
      </c>
      <c r="L34" s="16">
        <v>1800</v>
      </c>
      <c r="M34" s="16">
        <v>3600</v>
      </c>
      <c r="N34" s="16">
        <v>48200</v>
      </c>
      <c r="P34" s="15">
        <v>4</v>
      </c>
      <c r="Q34" s="2" t="s">
        <v>1</v>
      </c>
      <c r="R34" s="2" t="s">
        <v>52</v>
      </c>
      <c r="T34" s="15">
        <v>14108</v>
      </c>
      <c r="U34" s="2" t="s">
        <v>1</v>
      </c>
      <c r="V34" s="15">
        <v>100029927</v>
      </c>
      <c r="W34" s="2" t="s">
        <v>68</v>
      </c>
      <c r="X34" s="2" t="s">
        <v>68</v>
      </c>
      <c r="Y34" s="2" t="s">
        <v>69</v>
      </c>
      <c r="Z34" s="2" t="s">
        <v>80</v>
      </c>
      <c r="AA34" s="15">
        <v>4215</v>
      </c>
      <c r="AB34" s="15">
        <v>1</v>
      </c>
      <c r="AC34" s="15">
        <v>1888928</v>
      </c>
      <c r="AD34" s="15">
        <v>12</v>
      </c>
      <c r="AE34" s="2" t="s">
        <v>70</v>
      </c>
      <c r="AF34" s="15">
        <v>1</v>
      </c>
      <c r="AG34" s="15">
        <v>1</v>
      </c>
      <c r="AH34" s="15">
        <f t="shared" si="3"/>
        <v>4600</v>
      </c>
      <c r="AI34" s="15">
        <f t="shared" si="4"/>
        <v>4200</v>
      </c>
      <c r="AJ34" s="15">
        <f t="shared" si="5"/>
        <v>7200</v>
      </c>
      <c r="AK34" s="15">
        <f t="shared" si="6"/>
        <v>5200</v>
      </c>
      <c r="AL34" s="15">
        <f t="shared" si="7"/>
        <v>3400</v>
      </c>
      <c r="AM34" s="15">
        <f t="shared" si="8"/>
        <v>3000</v>
      </c>
      <c r="AN34" s="15">
        <f t="shared" si="9"/>
        <v>3400</v>
      </c>
      <c r="AO34" s="15">
        <f t="shared" si="10"/>
        <v>4000</v>
      </c>
      <c r="AP34" s="15">
        <f t="shared" si="11"/>
        <v>3200</v>
      </c>
      <c r="AQ34" s="15">
        <v>4600</v>
      </c>
      <c r="AR34" s="15">
        <f t="shared" si="12"/>
        <v>4600</v>
      </c>
      <c r="AS34" s="15">
        <f t="shared" si="13"/>
        <v>1800</v>
      </c>
      <c r="AT34" s="15">
        <f t="shared" si="14"/>
        <v>3600</v>
      </c>
      <c r="AU34" s="15">
        <f t="shared" si="15"/>
        <v>48200</v>
      </c>
    </row>
    <row r="35" spans="1:47">
      <c r="A35" s="8" t="s">
        <v>81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419.75</v>
      </c>
      <c r="K35" s="16">
        <v>0</v>
      </c>
      <c r="L35" s="16">
        <v>554.95000000000005</v>
      </c>
      <c r="M35" s="16">
        <v>0</v>
      </c>
      <c r="N35" s="16">
        <v>974.7</v>
      </c>
      <c r="P35" s="15">
        <v>4</v>
      </c>
      <c r="Q35" s="2" t="s">
        <v>1</v>
      </c>
      <c r="R35" s="2" t="s">
        <v>52</v>
      </c>
      <c r="T35" s="15">
        <v>14108</v>
      </c>
      <c r="U35" s="2" t="s">
        <v>1</v>
      </c>
      <c r="V35" s="15">
        <v>100029927</v>
      </c>
      <c r="W35" s="2" t="s">
        <v>68</v>
      </c>
      <c r="X35" s="2" t="s">
        <v>68</v>
      </c>
      <c r="Y35" s="2" t="s">
        <v>69</v>
      </c>
      <c r="Z35" s="2" t="s">
        <v>81</v>
      </c>
      <c r="AA35" s="15">
        <v>4218</v>
      </c>
      <c r="AB35" s="15">
        <v>1</v>
      </c>
      <c r="AC35" s="15">
        <v>1888931</v>
      </c>
      <c r="AD35" s="15">
        <v>15</v>
      </c>
      <c r="AE35" s="2" t="s">
        <v>70</v>
      </c>
      <c r="AF35" s="15">
        <v>0</v>
      </c>
      <c r="AG35" s="15">
        <v>0</v>
      </c>
      <c r="AH35" s="15">
        <f t="shared" si="3"/>
        <v>0</v>
      </c>
      <c r="AI35" s="15">
        <f t="shared" si="4"/>
        <v>0</v>
      </c>
      <c r="AJ35" s="15">
        <f t="shared" si="5"/>
        <v>0</v>
      </c>
      <c r="AK35" s="15">
        <f t="shared" si="6"/>
        <v>0</v>
      </c>
      <c r="AL35" s="15">
        <f t="shared" si="7"/>
        <v>0</v>
      </c>
      <c r="AM35" s="15">
        <f t="shared" si="8"/>
        <v>0</v>
      </c>
      <c r="AN35" s="15">
        <f t="shared" si="9"/>
        <v>0</v>
      </c>
      <c r="AO35" s="15">
        <f t="shared" si="10"/>
        <v>0</v>
      </c>
      <c r="AP35" s="15">
        <f t="shared" si="11"/>
        <v>419.75</v>
      </c>
      <c r="AQ35" s="15">
        <v>0</v>
      </c>
      <c r="AR35" s="15">
        <f t="shared" si="12"/>
        <v>0</v>
      </c>
      <c r="AS35" s="15">
        <f t="shared" si="13"/>
        <v>554.95000000000005</v>
      </c>
      <c r="AT35" s="15">
        <f t="shared" si="14"/>
        <v>0</v>
      </c>
      <c r="AU35" s="15">
        <f t="shared" si="15"/>
        <v>974.7</v>
      </c>
    </row>
    <row r="36" spans="1:47">
      <c r="A36" s="8" t="s">
        <v>82</v>
      </c>
      <c r="B36" s="16">
        <v>0</v>
      </c>
      <c r="C36" s="16">
        <v>100</v>
      </c>
      <c r="D36" s="16">
        <v>0</v>
      </c>
      <c r="E36" s="16">
        <v>0</v>
      </c>
      <c r="F36" s="16">
        <v>400</v>
      </c>
      <c r="G36" s="16">
        <v>200</v>
      </c>
      <c r="H36" s="16">
        <v>300</v>
      </c>
      <c r="I36" s="16">
        <v>400</v>
      </c>
      <c r="J36" s="16">
        <v>300</v>
      </c>
      <c r="K36" s="16">
        <v>0</v>
      </c>
      <c r="L36" s="16">
        <v>0</v>
      </c>
      <c r="M36" s="16">
        <v>300</v>
      </c>
      <c r="N36" s="16">
        <v>2000</v>
      </c>
      <c r="P36" s="15">
        <v>4</v>
      </c>
      <c r="Q36" s="2" t="s">
        <v>1</v>
      </c>
      <c r="R36" s="2" t="s">
        <v>52</v>
      </c>
      <c r="T36" s="15">
        <v>14108</v>
      </c>
      <c r="U36" s="2" t="s">
        <v>1</v>
      </c>
      <c r="V36" s="15">
        <v>100029927</v>
      </c>
      <c r="W36" s="2" t="s">
        <v>68</v>
      </c>
      <c r="X36" s="2" t="s">
        <v>68</v>
      </c>
      <c r="Y36" s="2" t="s">
        <v>69</v>
      </c>
      <c r="Z36" s="2" t="s">
        <v>82</v>
      </c>
      <c r="AA36" s="15">
        <v>4220</v>
      </c>
      <c r="AB36" s="15">
        <v>1</v>
      </c>
      <c r="AC36" s="15">
        <v>1888933</v>
      </c>
      <c r="AD36" s="15">
        <v>17</v>
      </c>
      <c r="AE36" s="2" t="s">
        <v>70</v>
      </c>
      <c r="AF36" s="15">
        <v>1</v>
      </c>
      <c r="AG36" s="15">
        <v>1</v>
      </c>
      <c r="AH36" s="15">
        <f t="shared" si="3"/>
        <v>0</v>
      </c>
      <c r="AI36" s="15">
        <f t="shared" si="4"/>
        <v>100</v>
      </c>
      <c r="AJ36" s="15">
        <f t="shared" si="5"/>
        <v>0</v>
      </c>
      <c r="AK36" s="15">
        <f t="shared" si="6"/>
        <v>0</v>
      </c>
      <c r="AL36" s="15">
        <f t="shared" si="7"/>
        <v>400</v>
      </c>
      <c r="AM36" s="15">
        <f t="shared" si="8"/>
        <v>200</v>
      </c>
      <c r="AN36" s="15">
        <f t="shared" si="9"/>
        <v>300</v>
      </c>
      <c r="AO36" s="15">
        <f t="shared" si="10"/>
        <v>400</v>
      </c>
      <c r="AP36" s="15">
        <f t="shared" si="11"/>
        <v>300</v>
      </c>
      <c r="AQ36" s="15">
        <v>0</v>
      </c>
      <c r="AR36" s="15">
        <f t="shared" si="12"/>
        <v>0</v>
      </c>
      <c r="AS36" s="15">
        <f t="shared" si="13"/>
        <v>0</v>
      </c>
      <c r="AT36" s="15">
        <f t="shared" si="14"/>
        <v>300</v>
      </c>
      <c r="AU36" s="15">
        <f t="shared" si="15"/>
        <v>2000</v>
      </c>
    </row>
    <row r="37" spans="1:47">
      <c r="A37" s="8" t="s">
        <v>83</v>
      </c>
      <c r="B37" s="16">
        <v>1386.77</v>
      </c>
      <c r="C37" s="16">
        <v>2194.16</v>
      </c>
      <c r="D37" s="16">
        <v>2438.35</v>
      </c>
      <c r="E37" s="16">
        <v>2086.17</v>
      </c>
      <c r="F37" s="16">
        <v>2477.8000000000002</v>
      </c>
      <c r="G37" s="16">
        <v>1993.8</v>
      </c>
      <c r="H37" s="16">
        <v>1192.8399999999999</v>
      </c>
      <c r="I37" s="16">
        <v>1600.91</v>
      </c>
      <c r="J37" s="16">
        <v>1700.82</v>
      </c>
      <c r="K37" s="16">
        <v>1857.52</v>
      </c>
      <c r="L37" s="16">
        <v>2329.67</v>
      </c>
      <c r="M37" s="16">
        <v>2724.78</v>
      </c>
      <c r="N37" s="16">
        <v>23983.59</v>
      </c>
      <c r="P37" s="15">
        <v>4</v>
      </c>
      <c r="Q37" s="2" t="s">
        <v>1</v>
      </c>
      <c r="R37" s="2" t="s">
        <v>52</v>
      </c>
      <c r="T37" s="15">
        <v>14108</v>
      </c>
      <c r="U37" s="2" t="s">
        <v>1</v>
      </c>
      <c r="V37" s="15">
        <v>100029927</v>
      </c>
      <c r="W37" s="2" t="s">
        <v>68</v>
      </c>
      <c r="X37" s="2" t="s">
        <v>68</v>
      </c>
      <c r="Y37" s="2" t="s">
        <v>69</v>
      </c>
      <c r="Z37" s="2" t="s">
        <v>83</v>
      </c>
      <c r="AA37" s="15">
        <v>4221</v>
      </c>
      <c r="AB37" s="15">
        <v>1</v>
      </c>
      <c r="AC37" s="15">
        <v>1888934</v>
      </c>
      <c r="AD37" s="15">
        <v>18</v>
      </c>
      <c r="AE37" s="2" t="s">
        <v>70</v>
      </c>
      <c r="AF37" s="15">
        <v>1</v>
      </c>
      <c r="AG37" s="15">
        <v>1</v>
      </c>
      <c r="AH37" s="15">
        <f t="shared" si="3"/>
        <v>1386.77</v>
      </c>
      <c r="AI37" s="15">
        <f t="shared" si="4"/>
        <v>2194.16</v>
      </c>
      <c r="AJ37" s="15">
        <f t="shared" si="5"/>
        <v>2438.35</v>
      </c>
      <c r="AK37" s="15">
        <f t="shared" si="6"/>
        <v>2086.17</v>
      </c>
      <c r="AL37" s="15">
        <f t="shared" si="7"/>
        <v>2477.8000000000002</v>
      </c>
      <c r="AM37" s="15">
        <f t="shared" si="8"/>
        <v>1993.8</v>
      </c>
      <c r="AN37" s="15">
        <f t="shared" si="9"/>
        <v>1192.8399999999999</v>
      </c>
      <c r="AO37" s="15">
        <f t="shared" si="10"/>
        <v>1600.91</v>
      </c>
      <c r="AP37" s="15">
        <f t="shared" si="11"/>
        <v>1700.82</v>
      </c>
      <c r="AQ37" s="15">
        <v>1857.52</v>
      </c>
      <c r="AR37" s="15">
        <f t="shared" si="12"/>
        <v>1857.52</v>
      </c>
      <c r="AS37" s="15">
        <f t="shared" si="13"/>
        <v>2329.67</v>
      </c>
      <c r="AT37" s="15">
        <f t="shared" si="14"/>
        <v>2724.78</v>
      </c>
      <c r="AU37" s="15">
        <f t="shared" si="15"/>
        <v>23983.59</v>
      </c>
    </row>
    <row r="38" spans="1:47">
      <c r="A38" s="8" t="s">
        <v>84</v>
      </c>
      <c r="B38" s="16">
        <v>4710</v>
      </c>
      <c r="C38" s="16">
        <v>0</v>
      </c>
      <c r="D38" s="16">
        <v>19168</v>
      </c>
      <c r="E38" s="16">
        <v>17730</v>
      </c>
      <c r="F38" s="16">
        <v>14930</v>
      </c>
      <c r="G38" s="16">
        <v>0</v>
      </c>
      <c r="H38" s="16">
        <v>7340</v>
      </c>
      <c r="I38" s="16">
        <v>0</v>
      </c>
      <c r="J38" s="16">
        <v>0</v>
      </c>
      <c r="K38" s="16">
        <v>6640</v>
      </c>
      <c r="L38" s="16">
        <v>3780</v>
      </c>
      <c r="M38" s="16">
        <v>3720</v>
      </c>
      <c r="N38" s="16">
        <v>78018</v>
      </c>
      <c r="P38" s="15">
        <v>4</v>
      </c>
      <c r="Q38" s="2" t="s">
        <v>1</v>
      </c>
      <c r="R38" s="2" t="s">
        <v>52</v>
      </c>
      <c r="T38" s="15">
        <v>14108</v>
      </c>
      <c r="U38" s="2" t="s">
        <v>1</v>
      </c>
      <c r="V38" s="15">
        <v>100029927</v>
      </c>
      <c r="W38" s="2" t="s">
        <v>68</v>
      </c>
      <c r="X38" s="2" t="s">
        <v>68</v>
      </c>
      <c r="Y38" s="2" t="s">
        <v>69</v>
      </c>
      <c r="Z38" s="2" t="s">
        <v>84</v>
      </c>
      <c r="AA38" s="15">
        <v>4224</v>
      </c>
      <c r="AB38" s="15">
        <v>1</v>
      </c>
      <c r="AC38" s="15">
        <v>1888937</v>
      </c>
      <c r="AD38" s="15">
        <v>20</v>
      </c>
      <c r="AE38" s="2" t="s">
        <v>70</v>
      </c>
      <c r="AF38" s="15">
        <v>1</v>
      </c>
      <c r="AG38" s="15">
        <v>1</v>
      </c>
      <c r="AH38" s="15">
        <f t="shared" si="3"/>
        <v>4710</v>
      </c>
      <c r="AI38" s="15">
        <f t="shared" si="4"/>
        <v>0</v>
      </c>
      <c r="AJ38" s="15">
        <f t="shared" si="5"/>
        <v>19168</v>
      </c>
      <c r="AK38" s="15">
        <f t="shared" si="6"/>
        <v>17730</v>
      </c>
      <c r="AL38" s="15">
        <f t="shared" si="7"/>
        <v>14930</v>
      </c>
      <c r="AM38" s="15">
        <f t="shared" si="8"/>
        <v>0</v>
      </c>
      <c r="AN38" s="15">
        <f t="shared" si="9"/>
        <v>7340</v>
      </c>
      <c r="AO38" s="15">
        <f t="shared" si="10"/>
        <v>0</v>
      </c>
      <c r="AP38" s="15">
        <f t="shared" si="11"/>
        <v>0</v>
      </c>
      <c r="AQ38" s="15">
        <v>6640</v>
      </c>
      <c r="AR38" s="15">
        <f t="shared" si="12"/>
        <v>6640</v>
      </c>
      <c r="AS38" s="15">
        <f t="shared" si="13"/>
        <v>3780</v>
      </c>
      <c r="AT38" s="15">
        <f t="shared" si="14"/>
        <v>3720</v>
      </c>
      <c r="AU38" s="15">
        <f t="shared" si="15"/>
        <v>78018</v>
      </c>
    </row>
    <row r="39" spans="1:47">
      <c r="A39" s="8" t="s">
        <v>85</v>
      </c>
      <c r="B39" s="16">
        <v>980</v>
      </c>
      <c r="C39" s="16">
        <v>0</v>
      </c>
      <c r="D39" s="16">
        <v>1410</v>
      </c>
      <c r="E39" s="16">
        <v>3220</v>
      </c>
      <c r="F39" s="16">
        <v>3314.43</v>
      </c>
      <c r="G39" s="16">
        <v>330</v>
      </c>
      <c r="H39" s="16">
        <v>2916.77</v>
      </c>
      <c r="I39" s="16">
        <v>1375</v>
      </c>
      <c r="J39" s="16">
        <v>930</v>
      </c>
      <c r="K39" s="16">
        <v>2283.7399999999998</v>
      </c>
      <c r="L39" s="16">
        <v>1930</v>
      </c>
      <c r="M39" s="16">
        <v>7789.51</v>
      </c>
      <c r="N39" s="16">
        <v>26479.45</v>
      </c>
      <c r="P39" s="15">
        <v>4</v>
      </c>
      <c r="Q39" s="2" t="s">
        <v>1</v>
      </c>
      <c r="R39" s="2" t="s">
        <v>52</v>
      </c>
      <c r="T39" s="15">
        <v>14108</v>
      </c>
      <c r="U39" s="2" t="s">
        <v>1</v>
      </c>
      <c r="V39" s="15">
        <v>100029927</v>
      </c>
      <c r="W39" s="2" t="s">
        <v>68</v>
      </c>
      <c r="X39" s="2" t="s">
        <v>68</v>
      </c>
      <c r="Y39" s="2" t="s">
        <v>69</v>
      </c>
      <c r="Z39" s="2" t="s">
        <v>85</v>
      </c>
      <c r="AA39" s="15">
        <v>4225</v>
      </c>
      <c r="AB39" s="15">
        <v>1</v>
      </c>
      <c r="AC39" s="15">
        <v>1888938</v>
      </c>
      <c r="AD39" s="15">
        <v>21</v>
      </c>
      <c r="AE39" s="2" t="s">
        <v>70</v>
      </c>
      <c r="AF39" s="15">
        <v>1</v>
      </c>
      <c r="AG39" s="15">
        <v>1</v>
      </c>
      <c r="AH39" s="15">
        <f t="shared" si="3"/>
        <v>980</v>
      </c>
      <c r="AI39" s="15">
        <f t="shared" si="4"/>
        <v>0</v>
      </c>
      <c r="AJ39" s="15">
        <f t="shared" si="5"/>
        <v>1410</v>
      </c>
      <c r="AK39" s="15">
        <f t="shared" si="6"/>
        <v>3220</v>
      </c>
      <c r="AL39" s="15">
        <f t="shared" si="7"/>
        <v>3314.43</v>
      </c>
      <c r="AM39" s="15">
        <f t="shared" si="8"/>
        <v>330</v>
      </c>
      <c r="AN39" s="15">
        <f t="shared" si="9"/>
        <v>2916.77</v>
      </c>
      <c r="AO39" s="15">
        <f t="shared" si="10"/>
        <v>1375</v>
      </c>
      <c r="AP39" s="15">
        <f t="shared" si="11"/>
        <v>930</v>
      </c>
      <c r="AQ39" s="15">
        <v>2283.7399999999998</v>
      </c>
      <c r="AR39" s="15">
        <f t="shared" si="12"/>
        <v>2283.7399999999998</v>
      </c>
      <c r="AS39" s="15">
        <f t="shared" si="13"/>
        <v>1930</v>
      </c>
      <c r="AT39" s="15">
        <f t="shared" si="14"/>
        <v>7789.51</v>
      </c>
      <c r="AU39" s="15">
        <f t="shared" si="15"/>
        <v>26479.45</v>
      </c>
    </row>
    <row r="40" spans="1:47">
      <c r="A40" s="8" t="s">
        <v>86</v>
      </c>
      <c r="B40" s="16">
        <v>12449.99</v>
      </c>
      <c r="C40" s="16">
        <v>14583.89</v>
      </c>
      <c r="D40" s="16">
        <v>16209.69</v>
      </c>
      <c r="E40" s="16">
        <v>19109.98</v>
      </c>
      <c r="F40" s="16">
        <v>20851.63</v>
      </c>
      <c r="G40" s="16">
        <v>22386.66</v>
      </c>
      <c r="H40" s="16">
        <v>24038.73</v>
      </c>
      <c r="I40" s="16">
        <v>25283.88</v>
      </c>
      <c r="J40" s="16">
        <v>26882.1</v>
      </c>
      <c r="K40" s="16">
        <v>27983.72</v>
      </c>
      <c r="L40" s="16">
        <v>28446.68</v>
      </c>
      <c r="M40" s="16">
        <v>28320</v>
      </c>
      <c r="N40" s="16">
        <v>266546.95</v>
      </c>
      <c r="P40" s="15">
        <v>4</v>
      </c>
      <c r="Q40" s="2" t="s">
        <v>1</v>
      </c>
      <c r="R40" s="2" t="s">
        <v>52</v>
      </c>
      <c r="T40" s="15">
        <v>14108</v>
      </c>
      <c r="U40" s="2" t="s">
        <v>1</v>
      </c>
      <c r="V40" s="15">
        <v>100029927</v>
      </c>
      <c r="W40" s="2" t="s">
        <v>68</v>
      </c>
      <c r="X40" s="2" t="s">
        <v>68</v>
      </c>
      <c r="Y40" s="2" t="s">
        <v>69</v>
      </c>
      <c r="Z40" s="2" t="s">
        <v>86</v>
      </c>
      <c r="AA40" s="15">
        <v>4229</v>
      </c>
      <c r="AB40" s="15">
        <v>1</v>
      </c>
      <c r="AC40" s="15">
        <v>2446261</v>
      </c>
      <c r="AD40" s="15">
        <v>23</v>
      </c>
      <c r="AE40" s="2" t="s">
        <v>70</v>
      </c>
      <c r="AF40" s="15">
        <v>1</v>
      </c>
      <c r="AG40" s="15">
        <v>1</v>
      </c>
      <c r="AH40" s="15">
        <f t="shared" si="3"/>
        <v>12449.99</v>
      </c>
      <c r="AI40" s="15">
        <f t="shared" si="4"/>
        <v>14583.89</v>
      </c>
      <c r="AJ40" s="15">
        <f t="shared" si="5"/>
        <v>16209.69</v>
      </c>
      <c r="AK40" s="15">
        <f t="shared" si="6"/>
        <v>19109.98</v>
      </c>
      <c r="AL40" s="15">
        <f t="shared" si="7"/>
        <v>20851.63</v>
      </c>
      <c r="AM40" s="15">
        <f t="shared" si="8"/>
        <v>22386.66</v>
      </c>
      <c r="AN40" s="15">
        <f t="shared" si="9"/>
        <v>24038.73</v>
      </c>
      <c r="AO40" s="15">
        <f t="shared" si="10"/>
        <v>25283.88</v>
      </c>
      <c r="AP40" s="15">
        <f t="shared" si="11"/>
        <v>26882.1</v>
      </c>
      <c r="AQ40" s="15">
        <v>27983.72</v>
      </c>
      <c r="AR40" s="15">
        <f t="shared" si="12"/>
        <v>27983.72</v>
      </c>
      <c r="AS40" s="15">
        <f t="shared" si="13"/>
        <v>28446.68</v>
      </c>
      <c r="AT40" s="15">
        <f t="shared" si="14"/>
        <v>28320</v>
      </c>
      <c r="AU40" s="15">
        <f t="shared" si="15"/>
        <v>266546.95</v>
      </c>
    </row>
    <row r="41" spans="1:47">
      <c r="A41" s="8" t="s">
        <v>87</v>
      </c>
      <c r="B41" s="16">
        <v>58.48</v>
      </c>
      <c r="C41" s="16">
        <v>35.99</v>
      </c>
      <c r="D41" s="16">
        <v>167.62</v>
      </c>
      <c r="E41" s="16">
        <v>-64.790000000000006</v>
      </c>
      <c r="F41" s="16">
        <v>149.51</v>
      </c>
      <c r="G41" s="16">
        <v>209.48</v>
      </c>
      <c r="H41" s="16">
        <v>118.81</v>
      </c>
      <c r="I41" s="16">
        <v>230.53</v>
      </c>
      <c r="J41" s="16">
        <v>427.98</v>
      </c>
      <c r="K41" s="16">
        <v>-53.65</v>
      </c>
      <c r="L41" s="16">
        <v>346.9</v>
      </c>
      <c r="M41" s="16">
        <v>128.41999999999999</v>
      </c>
      <c r="N41" s="16">
        <v>1755.28</v>
      </c>
      <c r="P41" s="15">
        <v>4</v>
      </c>
      <c r="Q41" s="2" t="s">
        <v>1</v>
      </c>
      <c r="R41" s="2" t="s">
        <v>52</v>
      </c>
      <c r="T41" s="15">
        <v>14108</v>
      </c>
      <c r="U41" s="2" t="s">
        <v>1</v>
      </c>
      <c r="V41" s="15">
        <v>100029927</v>
      </c>
      <c r="W41" s="2" t="s">
        <v>68</v>
      </c>
      <c r="X41" s="2" t="s">
        <v>68</v>
      </c>
      <c r="Y41" s="2" t="s">
        <v>69</v>
      </c>
      <c r="Z41" s="2" t="s">
        <v>87</v>
      </c>
      <c r="AA41" s="15">
        <v>4231</v>
      </c>
      <c r="AB41" s="15">
        <v>1</v>
      </c>
      <c r="AC41" s="15">
        <v>2479012</v>
      </c>
      <c r="AD41" s="15">
        <v>24</v>
      </c>
      <c r="AE41" s="2" t="s">
        <v>70</v>
      </c>
      <c r="AF41" s="15">
        <v>1</v>
      </c>
      <c r="AG41" s="15">
        <v>1</v>
      </c>
      <c r="AH41" s="15">
        <f t="shared" si="3"/>
        <v>58.48</v>
      </c>
      <c r="AI41" s="15">
        <f t="shared" si="4"/>
        <v>35.99</v>
      </c>
      <c r="AJ41" s="15">
        <f t="shared" si="5"/>
        <v>167.62</v>
      </c>
      <c r="AK41" s="15">
        <f t="shared" si="6"/>
        <v>-64.790000000000006</v>
      </c>
      <c r="AL41" s="15">
        <f t="shared" si="7"/>
        <v>149.51</v>
      </c>
      <c r="AM41" s="15">
        <f t="shared" si="8"/>
        <v>209.48</v>
      </c>
      <c r="AN41" s="15">
        <f t="shared" si="9"/>
        <v>118.81</v>
      </c>
      <c r="AO41" s="15">
        <f t="shared" si="10"/>
        <v>230.53</v>
      </c>
      <c r="AP41" s="15">
        <f t="shared" si="11"/>
        <v>427.98</v>
      </c>
      <c r="AQ41" s="15">
        <v>-53.65</v>
      </c>
      <c r="AR41" s="15">
        <f t="shared" si="12"/>
        <v>-53.65</v>
      </c>
      <c r="AS41" s="15">
        <f t="shared" si="13"/>
        <v>346.9</v>
      </c>
      <c r="AT41" s="15">
        <f t="shared" si="14"/>
        <v>128.41999999999999</v>
      </c>
      <c r="AU41" s="15">
        <f t="shared" si="15"/>
        <v>1755.28</v>
      </c>
    </row>
    <row r="42" spans="1:47">
      <c r="A42" s="8" t="s">
        <v>88</v>
      </c>
      <c r="B42" s="16">
        <v>-5841.95</v>
      </c>
      <c r="C42" s="16">
        <v>-325</v>
      </c>
      <c r="D42" s="16">
        <v>-7266.63</v>
      </c>
      <c r="E42" s="16">
        <v>-3786.55</v>
      </c>
      <c r="F42" s="16">
        <v>-3911.25</v>
      </c>
      <c r="G42" s="16">
        <v>930</v>
      </c>
      <c r="H42" s="16">
        <v>0</v>
      </c>
      <c r="I42" s="16">
        <v>-1149.58</v>
      </c>
      <c r="J42" s="16">
        <v>0</v>
      </c>
      <c r="K42" s="16">
        <v>-737.03</v>
      </c>
      <c r="L42" s="16">
        <v>-1334.14</v>
      </c>
      <c r="M42" s="16">
        <v>-2939.28</v>
      </c>
      <c r="N42" s="16">
        <v>-26361.41</v>
      </c>
      <c r="P42" s="15">
        <v>4</v>
      </c>
      <c r="Q42" s="2" t="s">
        <v>1</v>
      </c>
      <c r="R42" s="2" t="s">
        <v>52</v>
      </c>
      <c r="T42" s="15">
        <v>14108</v>
      </c>
      <c r="U42" s="2" t="s">
        <v>1</v>
      </c>
      <c r="V42" s="15">
        <v>100029927</v>
      </c>
      <c r="W42" s="2" t="s">
        <v>68</v>
      </c>
      <c r="X42" s="2" t="s">
        <v>68</v>
      </c>
      <c r="Y42" s="2" t="s">
        <v>69</v>
      </c>
      <c r="Z42" s="2" t="s">
        <v>88</v>
      </c>
      <c r="AA42" s="15">
        <v>4226</v>
      </c>
      <c r="AB42" s="15">
        <v>1</v>
      </c>
      <c r="AC42" s="15">
        <v>1888939</v>
      </c>
      <c r="AD42" s="15">
        <v>28</v>
      </c>
      <c r="AE42" s="2" t="s">
        <v>70</v>
      </c>
      <c r="AF42" s="15">
        <v>1</v>
      </c>
      <c r="AG42" s="15">
        <v>1</v>
      </c>
      <c r="AH42" s="15">
        <f t="shared" si="3"/>
        <v>-5841.95</v>
      </c>
      <c r="AI42" s="15">
        <f t="shared" si="4"/>
        <v>-325</v>
      </c>
      <c r="AJ42" s="15">
        <f t="shared" si="5"/>
        <v>-7266.63</v>
      </c>
      <c r="AK42" s="15">
        <f t="shared" si="6"/>
        <v>-3786.55</v>
      </c>
      <c r="AL42" s="15">
        <f t="shared" si="7"/>
        <v>-3911.25</v>
      </c>
      <c r="AM42" s="15">
        <f t="shared" si="8"/>
        <v>930</v>
      </c>
      <c r="AN42" s="15">
        <f t="shared" si="9"/>
        <v>0</v>
      </c>
      <c r="AO42" s="15">
        <f t="shared" si="10"/>
        <v>-1149.58</v>
      </c>
      <c r="AP42" s="15">
        <f t="shared" si="11"/>
        <v>0</v>
      </c>
      <c r="AQ42" s="15">
        <v>-737.03</v>
      </c>
      <c r="AR42" s="15">
        <f t="shared" si="12"/>
        <v>-737.03</v>
      </c>
      <c r="AS42" s="15">
        <f t="shared" si="13"/>
        <v>-1334.14</v>
      </c>
      <c r="AT42" s="15">
        <f t="shared" si="14"/>
        <v>-2939.28</v>
      </c>
      <c r="AU42" s="15">
        <f t="shared" si="15"/>
        <v>-26361.41</v>
      </c>
    </row>
    <row r="43" spans="1:47">
      <c r="A43" s="9" t="s">
        <v>66</v>
      </c>
      <c r="B43" s="11">
        <f>IF(5 = P43, AH43 * -1, AH43)</f>
        <v>29898.930000000004</v>
      </c>
      <c r="C43" s="11">
        <f>IF(5 = P43, AI43 * -1, AI43)</f>
        <v>34233.96</v>
      </c>
      <c r="D43" s="11">
        <f>IF(5 = P43, AJ43 * -1, AJ43)</f>
        <v>59024.959999999999</v>
      </c>
      <c r="E43" s="11">
        <f>IF(5 = P43, AK43 * -1, AK43)</f>
        <v>62712.510000000009</v>
      </c>
      <c r="F43" s="11">
        <f>IF(5 = P43, AL43 * -1, AL43)</f>
        <v>61383.220000000008</v>
      </c>
      <c r="G43" s="11">
        <f>IF(5 = P43, AM43 * -1, AM43)</f>
        <v>52112.700000000004</v>
      </c>
      <c r="H43" s="11">
        <f>IF(5 = P43, AN43 * -1, AN43)</f>
        <v>69678.78</v>
      </c>
      <c r="I43" s="11">
        <f>IF(5 = P43, AO43 * -1, AO43)</f>
        <v>67646.2</v>
      </c>
      <c r="J43" s="11">
        <f>IF(5 = P43, AP43 * -1, AP43)</f>
        <v>63939.519999999997</v>
      </c>
      <c r="K43" s="11">
        <f>IF(5 = P43, AR43 * -1, AR43)</f>
        <v>83989.41</v>
      </c>
      <c r="L43" s="11">
        <f>IF(5 = P43, AS43 * -1, AS43)</f>
        <v>74865.439999999988</v>
      </c>
      <c r="M43" s="11">
        <f>IF(5 = P43, AT43 * -1, AT43)</f>
        <v>84507.58</v>
      </c>
      <c r="N43" s="11">
        <f>IF(5 = P43, AU43 * -1, AU43)</f>
        <v>743993.21000000008</v>
      </c>
      <c r="P43" s="10">
        <v>4</v>
      </c>
      <c r="Q43" s="17" t="str">
        <f>Q42</f>
        <v>Canyon Ridge</v>
      </c>
      <c r="R43" s="12" t="str">
        <f>R42</f>
        <v>9521</v>
      </c>
      <c r="S43" s="10">
        <f>S42</f>
        <v>0</v>
      </c>
      <c r="T43" s="15"/>
      <c r="U43" s="2"/>
      <c r="V43" s="15"/>
      <c r="W43" s="2"/>
      <c r="X43" s="2"/>
      <c r="Y43" s="2"/>
      <c r="Z43" s="2"/>
      <c r="AA43" s="15"/>
      <c r="AB43" s="15"/>
      <c r="AC43" s="15"/>
      <c r="AD43" s="15"/>
      <c r="AE43" s="2"/>
      <c r="AF43" s="15"/>
      <c r="AG43" s="15"/>
      <c r="AH43" s="10">
        <f t="shared" ref="AH43:AP43" si="16">SUM(AH24:AH42)</f>
        <v>29898.930000000004</v>
      </c>
      <c r="AI43" s="10">
        <f t="shared" si="16"/>
        <v>34233.96</v>
      </c>
      <c r="AJ43" s="10">
        <f t="shared" si="16"/>
        <v>59024.959999999999</v>
      </c>
      <c r="AK43" s="10">
        <f t="shared" si="16"/>
        <v>62712.510000000009</v>
      </c>
      <c r="AL43" s="10">
        <f t="shared" si="16"/>
        <v>61383.220000000008</v>
      </c>
      <c r="AM43" s="10">
        <f t="shared" si="16"/>
        <v>52112.700000000004</v>
      </c>
      <c r="AN43" s="10">
        <f t="shared" si="16"/>
        <v>69678.78</v>
      </c>
      <c r="AO43" s="10">
        <f t="shared" si="16"/>
        <v>67646.2</v>
      </c>
      <c r="AP43" s="10">
        <f t="shared" si="16"/>
        <v>63939.519999999997</v>
      </c>
      <c r="AQ43" s="15"/>
      <c r="AR43" s="10">
        <f>SUM(AR24:AR42)</f>
        <v>83989.41</v>
      </c>
      <c r="AS43" s="10">
        <f>SUM(AS24:AS42)</f>
        <v>74865.439999999988</v>
      </c>
      <c r="AT43" s="10">
        <f>SUM(AT24:AT42)</f>
        <v>84507.58</v>
      </c>
      <c r="AU43" s="10">
        <f>SUM(AU24:AU42)</f>
        <v>743993.21000000008</v>
      </c>
    </row>
    <row r="44" spans="1:47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P44" s="15"/>
      <c r="Q44" s="2"/>
      <c r="T44" s="15"/>
      <c r="U44" s="2"/>
      <c r="V44" s="15"/>
      <c r="W44" s="2"/>
      <c r="X44" s="2"/>
      <c r="Y44" s="2"/>
      <c r="Z44" s="2"/>
      <c r="AA44" s="15"/>
      <c r="AB44" s="15"/>
      <c r="AC44" s="15"/>
      <c r="AD44" s="15"/>
      <c r="AE44" s="2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 spans="1:47">
      <c r="A45" s="7" t="s">
        <v>89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P45" s="15"/>
      <c r="Q45" s="2"/>
      <c r="T45" s="15"/>
      <c r="U45" s="2"/>
      <c r="V45" s="15"/>
      <c r="W45" s="2"/>
      <c r="X45" s="2"/>
      <c r="Y45" s="2"/>
      <c r="Z45" s="2"/>
      <c r="AA45" s="15"/>
      <c r="AB45" s="15"/>
      <c r="AC45" s="15"/>
      <c r="AD45" s="15"/>
      <c r="AE45" s="2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 spans="1:47">
      <c r="A46" s="8" t="s">
        <v>90</v>
      </c>
      <c r="B46" s="16">
        <v>-382.17</v>
      </c>
      <c r="C46" s="16">
        <v>0</v>
      </c>
      <c r="D46" s="16">
        <v>-59.68</v>
      </c>
      <c r="E46" s="16">
        <v>0</v>
      </c>
      <c r="F46" s="16">
        <v>0</v>
      </c>
      <c r="G46" s="16">
        <v>0</v>
      </c>
      <c r="H46" s="16">
        <v>0</v>
      </c>
      <c r="I46" s="16">
        <v>-1571</v>
      </c>
      <c r="J46" s="16">
        <v>0</v>
      </c>
      <c r="K46" s="16">
        <v>0</v>
      </c>
      <c r="L46" s="16">
        <v>-95.1</v>
      </c>
      <c r="M46" s="16">
        <v>-647.09</v>
      </c>
      <c r="N46" s="16">
        <v>-2755.04</v>
      </c>
      <c r="P46" s="15">
        <v>4</v>
      </c>
      <c r="Q46" s="2" t="s">
        <v>1</v>
      </c>
      <c r="R46" s="2" t="s">
        <v>52</v>
      </c>
      <c r="T46" s="15">
        <v>14108</v>
      </c>
      <c r="U46" s="2" t="s">
        <v>1</v>
      </c>
      <c r="V46" s="15">
        <v>100029927</v>
      </c>
      <c r="W46" s="2" t="s">
        <v>91</v>
      </c>
      <c r="X46" s="2" t="s">
        <v>91</v>
      </c>
      <c r="Y46" s="2" t="s">
        <v>92</v>
      </c>
      <c r="Z46" s="2" t="s">
        <v>90</v>
      </c>
      <c r="AA46" s="15">
        <v>4034</v>
      </c>
      <c r="AB46" s="15">
        <v>1</v>
      </c>
      <c r="AC46" s="15">
        <v>1888762</v>
      </c>
      <c r="AD46" s="15">
        <v>1</v>
      </c>
      <c r="AE46" s="2" t="s">
        <v>70</v>
      </c>
      <c r="AF46" s="15">
        <v>0</v>
      </c>
      <c r="AG46" s="15">
        <v>1</v>
      </c>
      <c r="AH46" s="15">
        <f>IF(5 = P46, B46 * -1, B46)</f>
        <v>-382.17</v>
      </c>
      <c r="AI46" s="15">
        <f>IF(5 = P46, C46 * -1, C46)</f>
        <v>0</v>
      </c>
      <c r="AJ46" s="15">
        <f>IF(5 = P46, D46 * -1, D46)</f>
        <v>-59.68</v>
      </c>
      <c r="AK46" s="15">
        <f>IF(5 = P46, E46 * -1, E46)</f>
        <v>0</v>
      </c>
      <c r="AL46" s="15">
        <f>IF(5 = P46, F46 * -1, F46)</f>
        <v>0</v>
      </c>
      <c r="AM46" s="15">
        <f>IF(5 = P46, G46 * -1, G46)</f>
        <v>0</v>
      </c>
      <c r="AN46" s="15">
        <f>IF(5 = P46, H46 * -1, H46)</f>
        <v>0</v>
      </c>
      <c r="AO46" s="15">
        <f>IF(5 = P46, I46 * -1, I46)</f>
        <v>-1571</v>
      </c>
      <c r="AP46" s="15">
        <f>IF(5 = P46, J46 * -1, J46)</f>
        <v>0</v>
      </c>
      <c r="AQ46" s="15">
        <v>0</v>
      </c>
      <c r="AR46" s="15">
        <f>IF(5 = P46, K46 * -1, K46)</f>
        <v>0</v>
      </c>
      <c r="AS46" s="15">
        <f>IF(5 = P46, L46 * -1, L46)</f>
        <v>-95.1</v>
      </c>
      <c r="AT46" s="15">
        <f>IF(5 = P46, M46 * -1, M46)</f>
        <v>-647.09</v>
      </c>
      <c r="AU46" s="15">
        <f>IF(5 = P46, N46 * -1, N46)</f>
        <v>-2755.04</v>
      </c>
    </row>
    <row r="47" spans="1:47">
      <c r="A47" s="8" t="s">
        <v>93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305</v>
      </c>
      <c r="J47" s="16">
        <v>0</v>
      </c>
      <c r="K47" s="16">
        <v>2405.6</v>
      </c>
      <c r="L47" s="16">
        <v>537.03</v>
      </c>
      <c r="M47" s="16">
        <v>779.39</v>
      </c>
      <c r="N47" s="16">
        <v>4027.02</v>
      </c>
      <c r="P47" s="15">
        <v>4</v>
      </c>
      <c r="Q47" s="2" t="s">
        <v>1</v>
      </c>
      <c r="R47" s="2" t="s">
        <v>52</v>
      </c>
      <c r="T47" s="15">
        <v>14108</v>
      </c>
      <c r="U47" s="2" t="s">
        <v>1</v>
      </c>
      <c r="V47" s="15">
        <v>100029927</v>
      </c>
      <c r="W47" s="2" t="s">
        <v>91</v>
      </c>
      <c r="X47" s="2" t="s">
        <v>91</v>
      </c>
      <c r="Y47" s="2" t="s">
        <v>92</v>
      </c>
      <c r="Z47" s="2" t="s">
        <v>93</v>
      </c>
      <c r="AA47" s="15">
        <v>4035</v>
      </c>
      <c r="AB47" s="15">
        <v>1</v>
      </c>
      <c r="AC47" s="15">
        <v>1888763</v>
      </c>
      <c r="AD47" s="15">
        <v>2</v>
      </c>
      <c r="AE47" s="2" t="s">
        <v>70</v>
      </c>
      <c r="AF47" s="15">
        <v>1</v>
      </c>
      <c r="AG47" s="15">
        <v>1</v>
      </c>
      <c r="AH47" s="15">
        <f>IF(5 = P47, B47 * -1, B47)</f>
        <v>0</v>
      </c>
      <c r="AI47" s="15">
        <f>IF(5 = P47, C47 * -1, C47)</f>
        <v>0</v>
      </c>
      <c r="AJ47" s="15">
        <f>IF(5 = P47, D47 * -1, D47)</f>
        <v>0</v>
      </c>
      <c r="AK47" s="15">
        <f>IF(5 = P47, E47 * -1, E47)</f>
        <v>0</v>
      </c>
      <c r="AL47" s="15">
        <f>IF(5 = P47, F47 * -1, F47)</f>
        <v>0</v>
      </c>
      <c r="AM47" s="15">
        <f>IF(5 = P47, G47 * -1, G47)</f>
        <v>0</v>
      </c>
      <c r="AN47" s="15">
        <f>IF(5 = P47, H47 * -1, H47)</f>
        <v>0</v>
      </c>
      <c r="AO47" s="15">
        <f>IF(5 = P47, I47 * -1, I47)</f>
        <v>305</v>
      </c>
      <c r="AP47" s="15">
        <f>IF(5 = P47, J47 * -1, J47)</f>
        <v>0</v>
      </c>
      <c r="AQ47" s="15">
        <v>2405.6</v>
      </c>
      <c r="AR47" s="15">
        <f>IF(5 = P47, K47 * -1, K47)</f>
        <v>2405.6</v>
      </c>
      <c r="AS47" s="15">
        <f>IF(5 = P47, L47 * -1, L47)</f>
        <v>537.03</v>
      </c>
      <c r="AT47" s="15">
        <f>IF(5 = P47, M47 * -1, M47)</f>
        <v>779.39</v>
      </c>
      <c r="AU47" s="15">
        <f>IF(5 = P47, N47 * -1, N47)</f>
        <v>4027.02</v>
      </c>
    </row>
    <row r="48" spans="1:47">
      <c r="A48" s="9" t="s">
        <v>89</v>
      </c>
      <c r="B48" s="11">
        <f>IF(5 = P48, AH48 * -1, AH48)</f>
        <v>-382.17</v>
      </c>
      <c r="C48" s="11">
        <f>IF(5 = P48, AI48 * -1, AI48)</f>
        <v>0</v>
      </c>
      <c r="D48" s="11">
        <f>IF(5 = P48, AJ48 * -1, AJ48)</f>
        <v>-59.68</v>
      </c>
      <c r="E48" s="11">
        <f>IF(5 = P48, AK48 * -1, AK48)</f>
        <v>0</v>
      </c>
      <c r="F48" s="11">
        <f>IF(5 = P48, AL48 * -1, AL48)</f>
        <v>0</v>
      </c>
      <c r="G48" s="11">
        <f>IF(5 = P48, AM48 * -1, AM48)</f>
        <v>0</v>
      </c>
      <c r="H48" s="11">
        <f>IF(5 = P48, AN48 * -1, AN48)</f>
        <v>0</v>
      </c>
      <c r="I48" s="11">
        <f>IF(5 = P48, AO48 * -1, AO48)</f>
        <v>-1266</v>
      </c>
      <c r="J48" s="11">
        <f>IF(5 = P48, AP48 * -1, AP48)</f>
        <v>0</v>
      </c>
      <c r="K48" s="11">
        <f>IF(5 = P48, AR48 * -1, AR48)</f>
        <v>2405.6</v>
      </c>
      <c r="L48" s="11">
        <f>IF(5 = P48, AS48 * -1, AS48)</f>
        <v>441.92999999999995</v>
      </c>
      <c r="M48" s="11">
        <f>IF(5 = P48, AT48 * -1, AT48)</f>
        <v>132.29999999999995</v>
      </c>
      <c r="N48" s="11">
        <f>IF(5 = P48, AU48 * -1, AU48)</f>
        <v>1271.98</v>
      </c>
      <c r="P48" s="10">
        <v>4</v>
      </c>
      <c r="Q48" s="17" t="str">
        <f>Q47</f>
        <v>Canyon Ridge</v>
      </c>
      <c r="R48" s="12" t="str">
        <f>R47</f>
        <v>9521</v>
      </c>
      <c r="S48" s="10">
        <f>S47</f>
        <v>0</v>
      </c>
      <c r="T48" s="15"/>
      <c r="U48" s="2"/>
      <c r="V48" s="15"/>
      <c r="W48" s="2"/>
      <c r="X48" s="2"/>
      <c r="Y48" s="2"/>
      <c r="Z48" s="2"/>
      <c r="AA48" s="15"/>
      <c r="AB48" s="15"/>
      <c r="AC48" s="15"/>
      <c r="AD48" s="15"/>
      <c r="AE48" s="2"/>
      <c r="AF48" s="15"/>
      <c r="AG48" s="15"/>
      <c r="AH48" s="10">
        <f t="shared" ref="AH48:AP48" si="17">SUM(AH46:AH47)</f>
        <v>-382.17</v>
      </c>
      <c r="AI48" s="10">
        <f t="shared" si="17"/>
        <v>0</v>
      </c>
      <c r="AJ48" s="10">
        <f t="shared" si="17"/>
        <v>-59.68</v>
      </c>
      <c r="AK48" s="10">
        <f t="shared" si="17"/>
        <v>0</v>
      </c>
      <c r="AL48" s="10">
        <f t="shared" si="17"/>
        <v>0</v>
      </c>
      <c r="AM48" s="10">
        <f t="shared" si="17"/>
        <v>0</v>
      </c>
      <c r="AN48" s="10">
        <f t="shared" si="17"/>
        <v>0</v>
      </c>
      <c r="AO48" s="10">
        <f t="shared" si="17"/>
        <v>-1266</v>
      </c>
      <c r="AP48" s="10">
        <f t="shared" si="17"/>
        <v>0</v>
      </c>
      <c r="AQ48" s="15"/>
      <c r="AR48" s="10">
        <f>SUM(AR46:AR47)</f>
        <v>2405.6</v>
      </c>
      <c r="AS48" s="10">
        <f>SUM(AS46:AS47)</f>
        <v>441.92999999999995</v>
      </c>
      <c r="AT48" s="10">
        <f>SUM(AT46:AT47)</f>
        <v>132.29999999999995</v>
      </c>
      <c r="AU48" s="10">
        <f>SUM(AU46:AU47)</f>
        <v>1271.98</v>
      </c>
    </row>
    <row r="49" spans="1:47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P49" s="15"/>
      <c r="Q49" s="2"/>
      <c r="T49" s="15"/>
      <c r="U49" s="2"/>
      <c r="V49" s="15"/>
      <c r="W49" s="2"/>
      <c r="X49" s="2"/>
      <c r="Y49" s="2"/>
      <c r="Z49" s="2"/>
      <c r="AA49" s="15"/>
      <c r="AB49" s="15"/>
      <c r="AC49" s="15"/>
      <c r="AD49" s="15"/>
      <c r="AE49" s="2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 spans="1:47">
      <c r="A50" s="9" t="s">
        <v>94</v>
      </c>
      <c r="B50" s="11">
        <f>IF(5 = P50, AH50 * -1, AH50)</f>
        <v>219905.27999999994</v>
      </c>
      <c r="C50" s="11">
        <f>IF(5 = P50, AI50 * -1, AI50)</f>
        <v>251609.93999999997</v>
      </c>
      <c r="D50" s="11">
        <f>IF(5 = P50, AJ50 * -1, AJ50)</f>
        <v>329865.89999999997</v>
      </c>
      <c r="E50" s="11">
        <f>IF(5 = P50, AK50 * -1, AK50)</f>
        <v>385916.29</v>
      </c>
      <c r="F50" s="11">
        <f>IF(5 = P50, AL50 * -1, AL50)</f>
        <v>412335.74</v>
      </c>
      <c r="G50" s="11">
        <f>IF(5 = P50, AM50 * -1, AM50)</f>
        <v>444057.71000000008</v>
      </c>
      <c r="H50" s="11">
        <f>IF(5 = P50, AN50 * -1, AN50)</f>
        <v>499607.4</v>
      </c>
      <c r="I50" s="11">
        <f>IF(5 = P50, AO50 * -1, AO50)</f>
        <v>525491.78</v>
      </c>
      <c r="J50" s="11">
        <f>IF(5 = P50, AP50 * -1, AP50)</f>
        <v>550059.14</v>
      </c>
      <c r="K50" s="11">
        <f>IF(5 = P50, AR50 * -1, AR50)</f>
        <v>581622.01</v>
      </c>
      <c r="L50" s="11">
        <f>IF(5 = P50, AS50 * -1, AS50)</f>
        <v>600197.07000000007</v>
      </c>
      <c r="M50" s="11">
        <f>IF(5 = P50, AT50 * -1, AT50)</f>
        <v>638975.15</v>
      </c>
      <c r="N50" s="11">
        <f>IF(5 = P50, AU50 * -1, AU50)</f>
        <v>5439643.4100000001</v>
      </c>
      <c r="P50" s="10">
        <v>4</v>
      </c>
      <c r="Q50" s="17" t="str">
        <f>Q47</f>
        <v>Canyon Ridge</v>
      </c>
      <c r="R50" s="12" t="str">
        <f>R47</f>
        <v>9521</v>
      </c>
      <c r="S50" s="10">
        <f>S47</f>
        <v>0</v>
      </c>
      <c r="T50" s="15"/>
      <c r="U50" s="2"/>
      <c r="V50" s="15"/>
      <c r="W50" s="2"/>
      <c r="X50" s="2"/>
      <c r="Y50" s="2"/>
      <c r="Z50" s="2"/>
      <c r="AA50" s="15"/>
      <c r="AB50" s="15"/>
      <c r="AC50" s="15"/>
      <c r="AD50" s="15"/>
      <c r="AE50" s="2"/>
      <c r="AF50" s="15"/>
      <c r="AG50" s="15"/>
      <c r="AH50" s="10">
        <f t="shared" ref="AH50:AP50" si="18">SUM(AH9:AH10)+SUM(AH14:AH18)+SUM(AH24:AH42)+SUM(AH46:AH47)</f>
        <v>219905.27999999994</v>
      </c>
      <c r="AI50" s="10">
        <f t="shared" si="18"/>
        <v>251609.93999999997</v>
      </c>
      <c r="AJ50" s="10">
        <f t="shared" si="18"/>
        <v>329865.89999999997</v>
      </c>
      <c r="AK50" s="10">
        <f t="shared" si="18"/>
        <v>385916.29</v>
      </c>
      <c r="AL50" s="10">
        <f t="shared" si="18"/>
        <v>412335.74</v>
      </c>
      <c r="AM50" s="10">
        <f t="shared" si="18"/>
        <v>444057.71000000008</v>
      </c>
      <c r="AN50" s="10">
        <f t="shared" si="18"/>
        <v>499607.4</v>
      </c>
      <c r="AO50" s="10">
        <f t="shared" si="18"/>
        <v>525491.78</v>
      </c>
      <c r="AP50" s="10">
        <f t="shared" si="18"/>
        <v>550059.14</v>
      </c>
      <c r="AQ50" s="15"/>
      <c r="AR50" s="10">
        <f>SUM(AR9:AR10)+SUM(AR14:AR18)+SUM(AR24:AR42)+SUM(AR46:AR47)</f>
        <v>581622.01</v>
      </c>
      <c r="AS50" s="10">
        <f>SUM(AS9:AS10)+SUM(AS14:AS18)+SUM(AS24:AS42)+SUM(AS46:AS47)</f>
        <v>600197.07000000007</v>
      </c>
      <c r="AT50" s="10">
        <f>SUM(AT9:AT10)+SUM(AT14:AT18)+SUM(AT24:AT42)+SUM(AT46:AT47)</f>
        <v>638975.15</v>
      </c>
      <c r="AU50" s="10">
        <f>SUM(AU9:AU10)+SUM(AU14:AU18)+SUM(AU24:AU42)+SUM(AU46:AU47)</f>
        <v>5439643.4100000001</v>
      </c>
    </row>
    <row r="51" spans="1:47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P51" s="15"/>
      <c r="Q51" s="2"/>
      <c r="T51" s="15"/>
      <c r="U51" s="2"/>
      <c r="V51" s="15"/>
      <c r="W51" s="2"/>
      <c r="X51" s="2"/>
      <c r="Y51" s="2"/>
      <c r="Z51" s="2"/>
      <c r="AA51" s="15"/>
      <c r="AB51" s="15"/>
      <c r="AC51" s="15"/>
      <c r="AD51" s="15"/>
      <c r="AE51" s="2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 spans="1:47">
      <c r="A52" s="7" t="s">
        <v>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P52" s="15"/>
      <c r="Q52" s="2"/>
      <c r="T52" s="15"/>
      <c r="U52" s="2"/>
      <c r="V52" s="15"/>
      <c r="W52" s="2"/>
      <c r="X52" s="2"/>
      <c r="Y52" s="2"/>
      <c r="Z52" s="2"/>
      <c r="AA52" s="15"/>
      <c r="AB52" s="15"/>
      <c r="AC52" s="15"/>
      <c r="AD52" s="15"/>
      <c r="AE52" s="2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1:47">
      <c r="A53" s="13" t="s">
        <v>96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P53" s="15"/>
      <c r="Q53" s="2"/>
      <c r="T53" s="15"/>
      <c r="U53" s="2"/>
      <c r="V53" s="15"/>
      <c r="W53" s="2"/>
      <c r="X53" s="2"/>
      <c r="Y53" s="2"/>
      <c r="Z53" s="2"/>
      <c r="AA53" s="15"/>
      <c r="AB53" s="15"/>
      <c r="AC53" s="15"/>
      <c r="AD53" s="15"/>
      <c r="AE53" s="2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spans="1:47">
      <c r="A54" s="14" t="s">
        <v>97</v>
      </c>
      <c r="B54" s="16">
        <v>6865.39</v>
      </c>
      <c r="C54" s="16">
        <v>7519.23</v>
      </c>
      <c r="D54" s="16">
        <v>6865.38</v>
      </c>
      <c r="E54" s="16">
        <v>7192.3</v>
      </c>
      <c r="F54" s="16">
        <v>7519.23</v>
      </c>
      <c r="G54" s="16">
        <v>6538.46</v>
      </c>
      <c r="H54" s="16">
        <v>7519.22</v>
      </c>
      <c r="I54" s="16">
        <v>7296.91</v>
      </c>
      <c r="J54" s="16">
        <v>6669.23</v>
      </c>
      <c r="K54" s="16">
        <v>7336.17</v>
      </c>
      <c r="L54" s="16">
        <v>7336.16</v>
      </c>
      <c r="M54" s="16">
        <v>7002.7</v>
      </c>
      <c r="N54" s="16">
        <v>85660.38</v>
      </c>
      <c r="P54" s="15">
        <v>5</v>
      </c>
      <c r="Q54" s="2" t="s">
        <v>1</v>
      </c>
      <c r="R54" s="2" t="s">
        <v>52</v>
      </c>
      <c r="T54" s="15">
        <v>14108</v>
      </c>
      <c r="U54" s="2" t="s">
        <v>1</v>
      </c>
      <c r="V54" s="15">
        <v>100029927</v>
      </c>
      <c r="W54" s="2" t="s">
        <v>98</v>
      </c>
      <c r="X54" s="2" t="s">
        <v>98</v>
      </c>
      <c r="Y54" s="2" t="s">
        <v>99</v>
      </c>
      <c r="Z54" s="2" t="s">
        <v>97</v>
      </c>
      <c r="AA54" s="15">
        <v>5006</v>
      </c>
      <c r="AB54" s="15">
        <v>1</v>
      </c>
      <c r="AC54" s="15">
        <v>1888359</v>
      </c>
      <c r="AD54" s="15">
        <v>0</v>
      </c>
      <c r="AE54" s="2" t="s">
        <v>100</v>
      </c>
      <c r="AF54" s="15">
        <v>1</v>
      </c>
      <c r="AG54" s="15">
        <v>1</v>
      </c>
      <c r="AH54" s="15">
        <f t="shared" ref="AH54:AH68" si="19">IF(5 = P54, B54 * -1, B54)</f>
        <v>-6865.39</v>
      </c>
      <c r="AI54" s="15">
        <f t="shared" ref="AI54:AI68" si="20">IF(5 = P54, C54 * -1, C54)</f>
        <v>-7519.23</v>
      </c>
      <c r="AJ54" s="15">
        <f t="shared" ref="AJ54:AJ68" si="21">IF(5 = P54, D54 * -1, D54)</f>
        <v>-6865.38</v>
      </c>
      <c r="AK54" s="15">
        <f t="shared" ref="AK54:AK68" si="22">IF(5 = P54, E54 * -1, E54)</f>
        <v>-7192.3</v>
      </c>
      <c r="AL54" s="15">
        <f t="shared" ref="AL54:AL68" si="23">IF(5 = P54, F54 * -1, F54)</f>
        <v>-7519.23</v>
      </c>
      <c r="AM54" s="15">
        <f t="shared" ref="AM54:AM68" si="24">IF(5 = P54, G54 * -1, G54)</f>
        <v>-6538.46</v>
      </c>
      <c r="AN54" s="15">
        <f t="shared" ref="AN54:AN68" si="25">IF(5 = P54, H54 * -1, H54)</f>
        <v>-7519.22</v>
      </c>
      <c r="AO54" s="15">
        <f t="shared" ref="AO54:AO68" si="26">IF(5 = P54, I54 * -1, I54)</f>
        <v>-7296.91</v>
      </c>
      <c r="AP54" s="15">
        <f t="shared" ref="AP54:AP68" si="27">IF(5 = P54, J54 * -1, J54)</f>
        <v>-6669.23</v>
      </c>
      <c r="AQ54" s="15">
        <v>-7336.17</v>
      </c>
      <c r="AR54" s="15">
        <f t="shared" ref="AR54:AR68" si="28">IF(5 = P54, K54 * -1, K54)</f>
        <v>-7336.17</v>
      </c>
      <c r="AS54" s="15">
        <f t="shared" ref="AS54:AS68" si="29">IF(5 = P54, L54 * -1, L54)</f>
        <v>-7336.16</v>
      </c>
      <c r="AT54" s="15">
        <f t="shared" ref="AT54:AT68" si="30">IF(5 = P54, M54 * -1, M54)</f>
        <v>-7002.7</v>
      </c>
      <c r="AU54" s="15">
        <f t="shared" ref="AU54:AU68" si="31">IF(5 = P54, N54 * -1, N54)</f>
        <v>-85660.38</v>
      </c>
    </row>
    <row r="55" spans="1:47">
      <c r="A55" s="14" t="s">
        <v>101</v>
      </c>
      <c r="B55" s="16">
        <v>700</v>
      </c>
      <c r="C55" s="16">
        <v>1899.38</v>
      </c>
      <c r="D55" s="16">
        <v>2400</v>
      </c>
      <c r="E55" s="16">
        <v>1300</v>
      </c>
      <c r="F55" s="16">
        <v>726.67</v>
      </c>
      <c r="G55" s="16">
        <v>2773.33</v>
      </c>
      <c r="H55" s="16">
        <v>1186.67</v>
      </c>
      <c r="I55" s="16">
        <v>2519.4</v>
      </c>
      <c r="J55" s="16">
        <v>23.33</v>
      </c>
      <c r="K55" s="16">
        <v>0</v>
      </c>
      <c r="L55" s="16">
        <v>1239.8800000000001</v>
      </c>
      <c r="M55" s="16">
        <v>4001.42</v>
      </c>
      <c r="N55" s="16">
        <v>18770.080000000002</v>
      </c>
      <c r="P55" s="15">
        <v>5</v>
      </c>
      <c r="Q55" s="2" t="s">
        <v>1</v>
      </c>
      <c r="R55" s="2" t="s">
        <v>52</v>
      </c>
      <c r="T55" s="15">
        <v>14108</v>
      </c>
      <c r="U55" s="2" t="s">
        <v>1</v>
      </c>
      <c r="V55" s="15">
        <v>100029927</v>
      </c>
      <c r="W55" s="2" t="s">
        <v>98</v>
      </c>
      <c r="X55" s="2" t="s">
        <v>98</v>
      </c>
      <c r="Y55" s="2" t="s">
        <v>99</v>
      </c>
      <c r="Z55" s="2" t="s">
        <v>101</v>
      </c>
      <c r="AA55" s="15">
        <v>5009</v>
      </c>
      <c r="AB55" s="15">
        <v>1</v>
      </c>
      <c r="AC55" s="15">
        <v>1888360</v>
      </c>
      <c r="AD55" s="15">
        <v>1</v>
      </c>
      <c r="AE55" s="2" t="s">
        <v>100</v>
      </c>
      <c r="AF55" s="15">
        <v>1</v>
      </c>
      <c r="AG55" s="15">
        <v>1</v>
      </c>
      <c r="AH55" s="15">
        <f t="shared" si="19"/>
        <v>-700</v>
      </c>
      <c r="AI55" s="15">
        <f t="shared" si="20"/>
        <v>-1899.38</v>
      </c>
      <c r="AJ55" s="15">
        <f t="shared" si="21"/>
        <v>-2400</v>
      </c>
      <c r="AK55" s="15">
        <f t="shared" si="22"/>
        <v>-1300</v>
      </c>
      <c r="AL55" s="15">
        <f t="shared" si="23"/>
        <v>-726.67</v>
      </c>
      <c r="AM55" s="15">
        <f t="shared" si="24"/>
        <v>-2773.33</v>
      </c>
      <c r="AN55" s="15">
        <f t="shared" si="25"/>
        <v>-1186.67</v>
      </c>
      <c r="AO55" s="15">
        <f t="shared" si="26"/>
        <v>-2519.4</v>
      </c>
      <c r="AP55" s="15">
        <f t="shared" si="27"/>
        <v>-23.33</v>
      </c>
      <c r="AQ55" s="15">
        <v>0</v>
      </c>
      <c r="AR55" s="15">
        <f t="shared" si="28"/>
        <v>0</v>
      </c>
      <c r="AS55" s="15">
        <f t="shared" si="29"/>
        <v>-1239.8800000000001</v>
      </c>
      <c r="AT55" s="15">
        <f t="shared" si="30"/>
        <v>-4001.42</v>
      </c>
      <c r="AU55" s="15">
        <f t="shared" si="31"/>
        <v>-18770.080000000002</v>
      </c>
    </row>
    <row r="56" spans="1:47">
      <c r="A56" s="14" t="s">
        <v>102</v>
      </c>
      <c r="B56" s="16">
        <v>0</v>
      </c>
      <c r="C56" s="16">
        <v>0</v>
      </c>
      <c r="D56" s="16">
        <v>0</v>
      </c>
      <c r="E56" s="16">
        <v>0</v>
      </c>
      <c r="F56" s="16">
        <v>2947.1</v>
      </c>
      <c r="G56" s="16">
        <v>3457.12</v>
      </c>
      <c r="H56" s="16">
        <v>4376.1899999999996</v>
      </c>
      <c r="I56" s="16">
        <v>3554.1</v>
      </c>
      <c r="J56" s="16">
        <v>3924.44</v>
      </c>
      <c r="K56" s="16">
        <v>3729.5</v>
      </c>
      <c r="L56" s="16">
        <v>1900.35</v>
      </c>
      <c r="M56" s="16">
        <v>1997.94</v>
      </c>
      <c r="N56" s="16">
        <v>25886.74</v>
      </c>
      <c r="P56" s="15">
        <v>5</v>
      </c>
      <c r="Q56" s="2" t="s">
        <v>1</v>
      </c>
      <c r="R56" s="2" t="s">
        <v>52</v>
      </c>
      <c r="T56" s="15">
        <v>14108</v>
      </c>
      <c r="U56" s="2" t="s">
        <v>1</v>
      </c>
      <c r="V56" s="15">
        <v>100029927</v>
      </c>
      <c r="W56" s="2" t="s">
        <v>98</v>
      </c>
      <c r="X56" s="2" t="s">
        <v>98</v>
      </c>
      <c r="Y56" s="2" t="s">
        <v>99</v>
      </c>
      <c r="Z56" s="2" t="s">
        <v>102</v>
      </c>
      <c r="AA56" s="15">
        <v>5018</v>
      </c>
      <c r="AB56" s="15">
        <v>1</v>
      </c>
      <c r="AC56" s="15">
        <v>1888362</v>
      </c>
      <c r="AD56" s="15">
        <v>2</v>
      </c>
      <c r="AE56" s="2" t="s">
        <v>100</v>
      </c>
      <c r="AF56" s="15">
        <v>1</v>
      </c>
      <c r="AG56" s="15">
        <v>1</v>
      </c>
      <c r="AH56" s="15">
        <f t="shared" si="19"/>
        <v>0</v>
      </c>
      <c r="AI56" s="15">
        <f t="shared" si="20"/>
        <v>0</v>
      </c>
      <c r="AJ56" s="15">
        <f t="shared" si="21"/>
        <v>0</v>
      </c>
      <c r="AK56" s="15">
        <f t="shared" si="22"/>
        <v>0</v>
      </c>
      <c r="AL56" s="15">
        <f t="shared" si="23"/>
        <v>-2947.1</v>
      </c>
      <c r="AM56" s="15">
        <f t="shared" si="24"/>
        <v>-3457.12</v>
      </c>
      <c r="AN56" s="15">
        <f t="shared" si="25"/>
        <v>-4376.1899999999996</v>
      </c>
      <c r="AO56" s="15">
        <f t="shared" si="26"/>
        <v>-3554.1</v>
      </c>
      <c r="AP56" s="15">
        <f t="shared" si="27"/>
        <v>-3924.44</v>
      </c>
      <c r="AQ56" s="15">
        <v>-3729.5</v>
      </c>
      <c r="AR56" s="15">
        <f t="shared" si="28"/>
        <v>-3729.5</v>
      </c>
      <c r="AS56" s="15">
        <f t="shared" si="29"/>
        <v>-1900.35</v>
      </c>
      <c r="AT56" s="15">
        <f t="shared" si="30"/>
        <v>-1997.94</v>
      </c>
      <c r="AU56" s="15">
        <f t="shared" si="31"/>
        <v>-25886.74</v>
      </c>
    </row>
    <row r="57" spans="1:47">
      <c r="A57" s="14" t="s">
        <v>103</v>
      </c>
      <c r="B57" s="16">
        <v>0</v>
      </c>
      <c r="C57" s="16">
        <v>0</v>
      </c>
      <c r="D57" s="16">
        <v>0</v>
      </c>
      <c r="E57" s="16">
        <v>0</v>
      </c>
      <c r="F57" s="16">
        <v>3780.09</v>
      </c>
      <c r="G57" s="16">
        <v>1573.33</v>
      </c>
      <c r="H57" s="16">
        <v>2019.27</v>
      </c>
      <c r="I57" s="16">
        <v>2040</v>
      </c>
      <c r="J57" s="16">
        <v>2523.33</v>
      </c>
      <c r="K57" s="16">
        <v>0</v>
      </c>
      <c r="L57" s="16">
        <v>4045.25</v>
      </c>
      <c r="M57" s="16">
        <v>1741.67</v>
      </c>
      <c r="N57" s="16">
        <v>17722.939999999999</v>
      </c>
      <c r="P57" s="15">
        <v>5</v>
      </c>
      <c r="Q57" s="2" t="s">
        <v>1</v>
      </c>
      <c r="R57" s="2" t="s">
        <v>52</v>
      </c>
      <c r="T57" s="15">
        <v>14108</v>
      </c>
      <c r="U57" s="2" t="s">
        <v>1</v>
      </c>
      <c r="V57" s="15">
        <v>100029927</v>
      </c>
      <c r="W57" s="2" t="s">
        <v>98</v>
      </c>
      <c r="X57" s="2" t="s">
        <v>98</v>
      </c>
      <c r="Y57" s="2" t="s">
        <v>99</v>
      </c>
      <c r="Z57" s="2" t="s">
        <v>103</v>
      </c>
      <c r="AA57" s="15">
        <v>5021</v>
      </c>
      <c r="AB57" s="15">
        <v>1</v>
      </c>
      <c r="AC57" s="15">
        <v>1888363</v>
      </c>
      <c r="AD57" s="15">
        <v>3</v>
      </c>
      <c r="AE57" s="2" t="s">
        <v>100</v>
      </c>
      <c r="AF57" s="15">
        <v>1</v>
      </c>
      <c r="AG57" s="15">
        <v>1</v>
      </c>
      <c r="AH57" s="15">
        <f t="shared" si="19"/>
        <v>0</v>
      </c>
      <c r="AI57" s="15">
        <f t="shared" si="20"/>
        <v>0</v>
      </c>
      <c r="AJ57" s="15">
        <f t="shared" si="21"/>
        <v>0</v>
      </c>
      <c r="AK57" s="15">
        <f t="shared" si="22"/>
        <v>0</v>
      </c>
      <c r="AL57" s="15">
        <f t="shared" si="23"/>
        <v>-3780.09</v>
      </c>
      <c r="AM57" s="15">
        <f t="shared" si="24"/>
        <v>-1573.33</v>
      </c>
      <c r="AN57" s="15">
        <f t="shared" si="25"/>
        <v>-2019.27</v>
      </c>
      <c r="AO57" s="15">
        <f t="shared" si="26"/>
        <v>-2040</v>
      </c>
      <c r="AP57" s="15">
        <f t="shared" si="27"/>
        <v>-2523.33</v>
      </c>
      <c r="AQ57" s="15">
        <v>0</v>
      </c>
      <c r="AR57" s="15">
        <f t="shared" si="28"/>
        <v>0</v>
      </c>
      <c r="AS57" s="15">
        <f t="shared" si="29"/>
        <v>-4045.25</v>
      </c>
      <c r="AT57" s="15">
        <f t="shared" si="30"/>
        <v>-1741.67</v>
      </c>
      <c r="AU57" s="15">
        <f t="shared" si="31"/>
        <v>-17722.939999999999</v>
      </c>
    </row>
    <row r="58" spans="1:47">
      <c r="A58" s="14" t="s">
        <v>104</v>
      </c>
      <c r="B58" s="16">
        <v>6152.21</v>
      </c>
      <c r="C58" s="16">
        <v>5280.1</v>
      </c>
      <c r="D58" s="16">
        <v>5438.58</v>
      </c>
      <c r="E58" s="16">
        <v>5317.13</v>
      </c>
      <c r="F58" s="16">
        <v>4074.66</v>
      </c>
      <c r="G58" s="16">
        <v>2729.33</v>
      </c>
      <c r="H58" s="16">
        <v>3150.46</v>
      </c>
      <c r="I58" s="16">
        <v>2970.33</v>
      </c>
      <c r="J58" s="16">
        <v>2793.87</v>
      </c>
      <c r="K58" s="16">
        <v>2946.86</v>
      </c>
      <c r="L58" s="16">
        <v>3062.32</v>
      </c>
      <c r="M58" s="16">
        <v>2760.45</v>
      </c>
      <c r="N58" s="16">
        <v>46676.3</v>
      </c>
      <c r="P58" s="15">
        <v>5</v>
      </c>
      <c r="Q58" s="2" t="s">
        <v>1</v>
      </c>
      <c r="R58" s="2" t="s">
        <v>52</v>
      </c>
      <c r="T58" s="15">
        <v>14108</v>
      </c>
      <c r="U58" s="2" t="s">
        <v>1</v>
      </c>
      <c r="V58" s="15">
        <v>100029927</v>
      </c>
      <c r="W58" s="2" t="s">
        <v>98</v>
      </c>
      <c r="X58" s="2" t="s">
        <v>98</v>
      </c>
      <c r="Y58" s="2" t="s">
        <v>99</v>
      </c>
      <c r="Z58" s="2" t="s">
        <v>104</v>
      </c>
      <c r="AA58" s="15">
        <v>5027</v>
      </c>
      <c r="AB58" s="15">
        <v>1</v>
      </c>
      <c r="AC58" s="15">
        <v>1888364</v>
      </c>
      <c r="AD58" s="15">
        <v>4</v>
      </c>
      <c r="AE58" s="2" t="s">
        <v>100</v>
      </c>
      <c r="AF58" s="15">
        <v>1</v>
      </c>
      <c r="AG58" s="15">
        <v>1</v>
      </c>
      <c r="AH58" s="15">
        <f t="shared" si="19"/>
        <v>-6152.21</v>
      </c>
      <c r="AI58" s="15">
        <f t="shared" si="20"/>
        <v>-5280.1</v>
      </c>
      <c r="AJ58" s="15">
        <f t="shared" si="21"/>
        <v>-5438.58</v>
      </c>
      <c r="AK58" s="15">
        <f t="shared" si="22"/>
        <v>-5317.13</v>
      </c>
      <c r="AL58" s="15">
        <f t="shared" si="23"/>
        <v>-4074.66</v>
      </c>
      <c r="AM58" s="15">
        <f t="shared" si="24"/>
        <v>-2729.33</v>
      </c>
      <c r="AN58" s="15">
        <f t="shared" si="25"/>
        <v>-3150.46</v>
      </c>
      <c r="AO58" s="15">
        <f t="shared" si="26"/>
        <v>-2970.33</v>
      </c>
      <c r="AP58" s="15">
        <f t="shared" si="27"/>
        <v>-2793.87</v>
      </c>
      <c r="AQ58" s="15">
        <v>-2946.86</v>
      </c>
      <c r="AR58" s="15">
        <f t="shared" si="28"/>
        <v>-2946.86</v>
      </c>
      <c r="AS58" s="15">
        <f t="shared" si="29"/>
        <v>-3062.32</v>
      </c>
      <c r="AT58" s="15">
        <f t="shared" si="30"/>
        <v>-2760.45</v>
      </c>
      <c r="AU58" s="15">
        <f t="shared" si="31"/>
        <v>-46676.3</v>
      </c>
    </row>
    <row r="59" spans="1:47">
      <c r="A59" s="14" t="s">
        <v>105</v>
      </c>
      <c r="B59" s="16">
        <v>5391.08</v>
      </c>
      <c r="C59" s="16">
        <v>6459.91</v>
      </c>
      <c r="D59" s="16">
        <v>2800</v>
      </c>
      <c r="E59" s="16">
        <v>4242.76</v>
      </c>
      <c r="F59" s="16">
        <v>3530.75</v>
      </c>
      <c r="G59" s="16">
        <v>1553.31</v>
      </c>
      <c r="H59" s="16">
        <v>1686.67</v>
      </c>
      <c r="I59" s="16">
        <v>1340</v>
      </c>
      <c r="J59" s="16">
        <v>1338.53</v>
      </c>
      <c r="K59" s="16">
        <v>0</v>
      </c>
      <c r="L59" s="16">
        <v>2045</v>
      </c>
      <c r="M59" s="16">
        <v>741.67</v>
      </c>
      <c r="N59" s="16">
        <v>31129.68</v>
      </c>
      <c r="P59" s="15">
        <v>5</v>
      </c>
      <c r="Q59" s="2" t="s">
        <v>1</v>
      </c>
      <c r="R59" s="2" t="s">
        <v>52</v>
      </c>
      <c r="T59" s="15">
        <v>14108</v>
      </c>
      <c r="U59" s="2" t="s">
        <v>1</v>
      </c>
      <c r="V59" s="15">
        <v>100029927</v>
      </c>
      <c r="W59" s="2" t="s">
        <v>98</v>
      </c>
      <c r="X59" s="2" t="s">
        <v>98</v>
      </c>
      <c r="Y59" s="2" t="s">
        <v>99</v>
      </c>
      <c r="Z59" s="2" t="s">
        <v>105</v>
      </c>
      <c r="AA59" s="15">
        <v>5030</v>
      </c>
      <c r="AB59" s="15">
        <v>1</v>
      </c>
      <c r="AC59" s="15">
        <v>1888365</v>
      </c>
      <c r="AD59" s="15">
        <v>5</v>
      </c>
      <c r="AE59" s="2" t="s">
        <v>100</v>
      </c>
      <c r="AF59" s="15">
        <v>1</v>
      </c>
      <c r="AG59" s="15">
        <v>1</v>
      </c>
      <c r="AH59" s="15">
        <f t="shared" si="19"/>
        <v>-5391.08</v>
      </c>
      <c r="AI59" s="15">
        <f t="shared" si="20"/>
        <v>-6459.91</v>
      </c>
      <c r="AJ59" s="15">
        <f t="shared" si="21"/>
        <v>-2800</v>
      </c>
      <c r="AK59" s="15">
        <f t="shared" si="22"/>
        <v>-4242.76</v>
      </c>
      <c r="AL59" s="15">
        <f t="shared" si="23"/>
        <v>-3530.75</v>
      </c>
      <c r="AM59" s="15">
        <f t="shared" si="24"/>
        <v>-1553.31</v>
      </c>
      <c r="AN59" s="15">
        <f t="shared" si="25"/>
        <v>-1686.67</v>
      </c>
      <c r="AO59" s="15">
        <f t="shared" si="26"/>
        <v>-1340</v>
      </c>
      <c r="AP59" s="15">
        <f t="shared" si="27"/>
        <v>-1338.53</v>
      </c>
      <c r="AQ59" s="15">
        <v>0</v>
      </c>
      <c r="AR59" s="15">
        <f t="shared" si="28"/>
        <v>0</v>
      </c>
      <c r="AS59" s="15">
        <f t="shared" si="29"/>
        <v>-2045</v>
      </c>
      <c r="AT59" s="15">
        <f t="shared" si="30"/>
        <v>-741.67</v>
      </c>
      <c r="AU59" s="15">
        <f t="shared" si="31"/>
        <v>-31129.68</v>
      </c>
    </row>
    <row r="60" spans="1:47">
      <c r="A60" s="14" t="s">
        <v>106</v>
      </c>
      <c r="B60" s="16">
        <v>5328.75</v>
      </c>
      <c r="C60" s="16">
        <v>6442.6</v>
      </c>
      <c r="D60" s="16">
        <v>5207.4799999999996</v>
      </c>
      <c r="E60" s="16">
        <v>5582.5</v>
      </c>
      <c r="F60" s="16">
        <v>5836.25</v>
      </c>
      <c r="G60" s="16">
        <v>5075</v>
      </c>
      <c r="H60" s="16">
        <v>5836.25</v>
      </c>
      <c r="I60" s="16">
        <v>5780.43</v>
      </c>
      <c r="J60" s="16">
        <v>5227.26</v>
      </c>
      <c r="K60" s="16">
        <v>5749.98</v>
      </c>
      <c r="L60" s="16">
        <v>5749.99</v>
      </c>
      <c r="M60" s="16">
        <v>5488.62</v>
      </c>
      <c r="N60" s="16">
        <v>67305.11</v>
      </c>
      <c r="P60" s="15">
        <v>5</v>
      </c>
      <c r="Q60" s="2" t="s">
        <v>1</v>
      </c>
      <c r="R60" s="2" t="s">
        <v>52</v>
      </c>
      <c r="T60" s="15">
        <v>14108</v>
      </c>
      <c r="U60" s="2" t="s">
        <v>1</v>
      </c>
      <c r="V60" s="15">
        <v>100029927</v>
      </c>
      <c r="W60" s="2" t="s">
        <v>98</v>
      </c>
      <c r="X60" s="2" t="s">
        <v>98</v>
      </c>
      <c r="Y60" s="2" t="s">
        <v>99</v>
      </c>
      <c r="Z60" s="2" t="s">
        <v>106</v>
      </c>
      <c r="AA60" s="15">
        <v>5042</v>
      </c>
      <c r="AB60" s="15">
        <v>1</v>
      </c>
      <c r="AC60" s="15">
        <v>1888368</v>
      </c>
      <c r="AD60" s="15">
        <v>8</v>
      </c>
      <c r="AE60" s="2" t="s">
        <v>100</v>
      </c>
      <c r="AF60" s="15">
        <v>1</v>
      </c>
      <c r="AG60" s="15">
        <v>1</v>
      </c>
      <c r="AH60" s="15">
        <f t="shared" si="19"/>
        <v>-5328.75</v>
      </c>
      <c r="AI60" s="15">
        <f t="shared" si="20"/>
        <v>-6442.6</v>
      </c>
      <c r="AJ60" s="15">
        <f t="shared" si="21"/>
        <v>-5207.4799999999996</v>
      </c>
      <c r="AK60" s="15">
        <f t="shared" si="22"/>
        <v>-5582.5</v>
      </c>
      <c r="AL60" s="15">
        <f t="shared" si="23"/>
        <v>-5836.25</v>
      </c>
      <c r="AM60" s="15">
        <f t="shared" si="24"/>
        <v>-5075</v>
      </c>
      <c r="AN60" s="15">
        <f t="shared" si="25"/>
        <v>-5836.25</v>
      </c>
      <c r="AO60" s="15">
        <f t="shared" si="26"/>
        <v>-5780.43</v>
      </c>
      <c r="AP60" s="15">
        <f t="shared" si="27"/>
        <v>-5227.26</v>
      </c>
      <c r="AQ60" s="15">
        <v>-5749.98</v>
      </c>
      <c r="AR60" s="15">
        <f t="shared" si="28"/>
        <v>-5749.98</v>
      </c>
      <c r="AS60" s="15">
        <f t="shared" si="29"/>
        <v>-5749.99</v>
      </c>
      <c r="AT60" s="15">
        <f t="shared" si="30"/>
        <v>-5488.62</v>
      </c>
      <c r="AU60" s="15">
        <f t="shared" si="31"/>
        <v>-67305.11</v>
      </c>
    </row>
    <row r="61" spans="1:47">
      <c r="A61" s="14" t="s">
        <v>107</v>
      </c>
      <c r="B61" s="16">
        <v>3953.23</v>
      </c>
      <c r="C61" s="16">
        <v>3978.58</v>
      </c>
      <c r="D61" s="16">
        <v>3673.98</v>
      </c>
      <c r="E61" s="16">
        <v>7957.86</v>
      </c>
      <c r="F61" s="16">
        <v>7835.41</v>
      </c>
      <c r="G61" s="16">
        <v>4960.78</v>
      </c>
      <c r="H61" s="16">
        <v>4117.1899999999996</v>
      </c>
      <c r="I61" s="16">
        <v>3796.57</v>
      </c>
      <c r="J61" s="16">
        <v>3454.41</v>
      </c>
      <c r="K61" s="16">
        <v>3764.66</v>
      </c>
      <c r="L61" s="16">
        <v>8431.9699999999993</v>
      </c>
      <c r="M61" s="16">
        <v>7921.26</v>
      </c>
      <c r="N61" s="16">
        <v>63845.9</v>
      </c>
      <c r="P61" s="15">
        <v>5</v>
      </c>
      <c r="Q61" s="2" t="s">
        <v>1</v>
      </c>
      <c r="R61" s="2" t="s">
        <v>52</v>
      </c>
      <c r="T61" s="15">
        <v>14108</v>
      </c>
      <c r="U61" s="2" t="s">
        <v>1</v>
      </c>
      <c r="V61" s="15">
        <v>100029927</v>
      </c>
      <c r="W61" s="2" t="s">
        <v>98</v>
      </c>
      <c r="X61" s="2" t="s">
        <v>98</v>
      </c>
      <c r="Y61" s="2" t="s">
        <v>99</v>
      </c>
      <c r="Z61" s="2" t="s">
        <v>107</v>
      </c>
      <c r="AA61" s="15">
        <v>5048</v>
      </c>
      <c r="AB61" s="15">
        <v>1</v>
      </c>
      <c r="AC61" s="15">
        <v>1888369</v>
      </c>
      <c r="AD61" s="15">
        <v>9</v>
      </c>
      <c r="AE61" s="2" t="s">
        <v>100</v>
      </c>
      <c r="AF61" s="15">
        <v>1</v>
      </c>
      <c r="AG61" s="15">
        <v>1</v>
      </c>
      <c r="AH61" s="15">
        <f t="shared" si="19"/>
        <v>-3953.23</v>
      </c>
      <c r="AI61" s="15">
        <f t="shared" si="20"/>
        <v>-3978.58</v>
      </c>
      <c r="AJ61" s="15">
        <f t="shared" si="21"/>
        <v>-3673.98</v>
      </c>
      <c r="AK61" s="15">
        <f t="shared" si="22"/>
        <v>-7957.86</v>
      </c>
      <c r="AL61" s="15">
        <f t="shared" si="23"/>
        <v>-7835.41</v>
      </c>
      <c r="AM61" s="15">
        <f t="shared" si="24"/>
        <v>-4960.78</v>
      </c>
      <c r="AN61" s="15">
        <f t="shared" si="25"/>
        <v>-4117.1899999999996</v>
      </c>
      <c r="AO61" s="15">
        <f t="shared" si="26"/>
        <v>-3796.57</v>
      </c>
      <c r="AP61" s="15">
        <f t="shared" si="27"/>
        <v>-3454.41</v>
      </c>
      <c r="AQ61" s="15">
        <v>-3764.66</v>
      </c>
      <c r="AR61" s="15">
        <f t="shared" si="28"/>
        <v>-3764.66</v>
      </c>
      <c r="AS61" s="15">
        <f t="shared" si="29"/>
        <v>-8431.9699999999993</v>
      </c>
      <c r="AT61" s="15">
        <f t="shared" si="30"/>
        <v>-7921.26</v>
      </c>
      <c r="AU61" s="15">
        <f t="shared" si="31"/>
        <v>-63845.9</v>
      </c>
    </row>
    <row r="62" spans="1:47">
      <c r="A62" s="14" t="s">
        <v>108</v>
      </c>
      <c r="B62" s="16">
        <v>700</v>
      </c>
      <c r="C62" s="16">
        <v>1900</v>
      </c>
      <c r="D62" s="16">
        <v>715</v>
      </c>
      <c r="E62" s="16">
        <v>625</v>
      </c>
      <c r="F62" s="16">
        <v>999.99</v>
      </c>
      <c r="G62" s="16">
        <v>1285</v>
      </c>
      <c r="H62" s="16">
        <v>785</v>
      </c>
      <c r="I62" s="16">
        <v>1135</v>
      </c>
      <c r="J62" s="16">
        <v>520</v>
      </c>
      <c r="K62" s="16">
        <v>0</v>
      </c>
      <c r="L62" s="16">
        <v>1275</v>
      </c>
      <c r="M62" s="16">
        <v>1675</v>
      </c>
      <c r="N62" s="16">
        <v>11614.99</v>
      </c>
      <c r="P62" s="15">
        <v>5</v>
      </c>
      <c r="Q62" s="2" t="s">
        <v>1</v>
      </c>
      <c r="R62" s="2" t="s">
        <v>52</v>
      </c>
      <c r="T62" s="15">
        <v>14108</v>
      </c>
      <c r="U62" s="2" t="s">
        <v>1</v>
      </c>
      <c r="V62" s="15">
        <v>100029927</v>
      </c>
      <c r="W62" s="2" t="s">
        <v>98</v>
      </c>
      <c r="X62" s="2" t="s">
        <v>98</v>
      </c>
      <c r="Y62" s="2" t="s">
        <v>99</v>
      </c>
      <c r="Z62" s="2" t="s">
        <v>108</v>
      </c>
      <c r="AA62" s="15">
        <v>5060</v>
      </c>
      <c r="AB62" s="15">
        <v>1</v>
      </c>
      <c r="AC62" s="15">
        <v>1888373</v>
      </c>
      <c r="AD62" s="15">
        <v>14</v>
      </c>
      <c r="AE62" s="2" t="s">
        <v>100</v>
      </c>
      <c r="AF62" s="15">
        <v>1</v>
      </c>
      <c r="AG62" s="15">
        <v>1</v>
      </c>
      <c r="AH62" s="15">
        <f t="shared" si="19"/>
        <v>-700</v>
      </c>
      <c r="AI62" s="15">
        <f t="shared" si="20"/>
        <v>-1900</v>
      </c>
      <c r="AJ62" s="15">
        <f t="shared" si="21"/>
        <v>-715</v>
      </c>
      <c r="AK62" s="15">
        <f t="shared" si="22"/>
        <v>-625</v>
      </c>
      <c r="AL62" s="15">
        <f t="shared" si="23"/>
        <v>-999.99</v>
      </c>
      <c r="AM62" s="15">
        <f t="shared" si="24"/>
        <v>-1285</v>
      </c>
      <c r="AN62" s="15">
        <f t="shared" si="25"/>
        <v>-785</v>
      </c>
      <c r="AO62" s="15">
        <f t="shared" si="26"/>
        <v>-1135</v>
      </c>
      <c r="AP62" s="15">
        <f t="shared" si="27"/>
        <v>-520</v>
      </c>
      <c r="AQ62" s="15">
        <v>0</v>
      </c>
      <c r="AR62" s="15">
        <f t="shared" si="28"/>
        <v>0</v>
      </c>
      <c r="AS62" s="15">
        <f t="shared" si="29"/>
        <v>-1275</v>
      </c>
      <c r="AT62" s="15">
        <f t="shared" si="30"/>
        <v>-1675</v>
      </c>
      <c r="AU62" s="15">
        <f t="shared" si="31"/>
        <v>-11614.99</v>
      </c>
    </row>
    <row r="63" spans="1:47">
      <c r="A63" s="14" t="s">
        <v>109</v>
      </c>
      <c r="B63" s="16">
        <v>415</v>
      </c>
      <c r="C63" s="16">
        <v>415</v>
      </c>
      <c r="D63" s="16">
        <v>415</v>
      </c>
      <c r="E63" s="16">
        <v>415</v>
      </c>
      <c r="F63" s="16">
        <v>415</v>
      </c>
      <c r="G63" s="16">
        <v>415</v>
      </c>
      <c r="H63" s="16">
        <v>415</v>
      </c>
      <c r="I63" s="16">
        <v>415</v>
      </c>
      <c r="J63" s="16">
        <v>415</v>
      </c>
      <c r="K63" s="16">
        <v>415</v>
      </c>
      <c r="L63" s="16">
        <v>415</v>
      </c>
      <c r="M63" s="16">
        <v>415</v>
      </c>
      <c r="N63" s="16">
        <v>4980</v>
      </c>
      <c r="P63" s="15">
        <v>5</v>
      </c>
      <c r="Q63" s="2" t="s">
        <v>1</v>
      </c>
      <c r="R63" s="2" t="s">
        <v>52</v>
      </c>
      <c r="T63" s="15">
        <v>14108</v>
      </c>
      <c r="U63" s="2" t="s">
        <v>1</v>
      </c>
      <c r="V63" s="15">
        <v>100029927</v>
      </c>
      <c r="W63" s="2" t="s">
        <v>98</v>
      </c>
      <c r="X63" s="2" t="s">
        <v>98</v>
      </c>
      <c r="Y63" s="2" t="s">
        <v>99</v>
      </c>
      <c r="Z63" s="2" t="s">
        <v>109</v>
      </c>
      <c r="AA63" s="15">
        <v>5069</v>
      </c>
      <c r="AB63" s="15">
        <v>1</v>
      </c>
      <c r="AC63" s="15">
        <v>1888375</v>
      </c>
      <c r="AD63" s="15">
        <v>15</v>
      </c>
      <c r="AE63" s="2" t="s">
        <v>100</v>
      </c>
      <c r="AF63" s="15">
        <v>1</v>
      </c>
      <c r="AG63" s="15">
        <v>1</v>
      </c>
      <c r="AH63" s="15">
        <f t="shared" si="19"/>
        <v>-415</v>
      </c>
      <c r="AI63" s="15">
        <f t="shared" si="20"/>
        <v>-415</v>
      </c>
      <c r="AJ63" s="15">
        <f t="shared" si="21"/>
        <v>-415</v>
      </c>
      <c r="AK63" s="15">
        <f t="shared" si="22"/>
        <v>-415</v>
      </c>
      <c r="AL63" s="15">
        <f t="shared" si="23"/>
        <v>-415</v>
      </c>
      <c r="AM63" s="15">
        <f t="shared" si="24"/>
        <v>-415</v>
      </c>
      <c r="AN63" s="15">
        <f t="shared" si="25"/>
        <v>-415</v>
      </c>
      <c r="AO63" s="15">
        <f t="shared" si="26"/>
        <v>-415</v>
      </c>
      <c r="AP63" s="15">
        <f t="shared" si="27"/>
        <v>-415</v>
      </c>
      <c r="AQ63" s="15">
        <v>-415</v>
      </c>
      <c r="AR63" s="15">
        <f t="shared" si="28"/>
        <v>-415</v>
      </c>
      <c r="AS63" s="15">
        <f t="shared" si="29"/>
        <v>-415</v>
      </c>
      <c r="AT63" s="15">
        <f t="shared" si="30"/>
        <v>-415</v>
      </c>
      <c r="AU63" s="15">
        <f t="shared" si="31"/>
        <v>-4980</v>
      </c>
    </row>
    <row r="64" spans="1:47">
      <c r="A64" s="14" t="s">
        <v>110</v>
      </c>
      <c r="B64" s="16">
        <v>0</v>
      </c>
      <c r="C64" s="16">
        <v>0</v>
      </c>
      <c r="D64" s="16">
        <v>100.11</v>
      </c>
      <c r="E64" s="16">
        <v>49.05</v>
      </c>
      <c r="F64" s="16">
        <v>331.98</v>
      </c>
      <c r="G64" s="16">
        <v>0</v>
      </c>
      <c r="H64" s="16">
        <v>0</v>
      </c>
      <c r="I64" s="16">
        <v>0</v>
      </c>
      <c r="J64" s="16">
        <v>215.48</v>
      </c>
      <c r="K64" s="16">
        <v>0</v>
      </c>
      <c r="L64" s="16">
        <v>0</v>
      </c>
      <c r="M64" s="16">
        <v>0</v>
      </c>
      <c r="N64" s="16">
        <v>696.62</v>
      </c>
      <c r="P64" s="15">
        <v>5</v>
      </c>
      <c r="Q64" s="2" t="s">
        <v>1</v>
      </c>
      <c r="R64" s="2" t="s">
        <v>52</v>
      </c>
      <c r="T64" s="15">
        <v>14108</v>
      </c>
      <c r="U64" s="2" t="s">
        <v>1</v>
      </c>
      <c r="V64" s="15">
        <v>100029927</v>
      </c>
      <c r="W64" s="2" t="s">
        <v>98</v>
      </c>
      <c r="X64" s="2" t="s">
        <v>98</v>
      </c>
      <c r="Y64" s="2" t="s">
        <v>99</v>
      </c>
      <c r="Z64" s="2" t="s">
        <v>110</v>
      </c>
      <c r="AA64" s="15">
        <v>5070</v>
      </c>
      <c r="AB64" s="15">
        <v>1</v>
      </c>
      <c r="AC64" s="15">
        <v>1888376</v>
      </c>
      <c r="AD64" s="15">
        <v>16</v>
      </c>
      <c r="AE64" s="2" t="s">
        <v>100</v>
      </c>
      <c r="AF64" s="15">
        <v>0</v>
      </c>
      <c r="AG64" s="15">
        <v>0</v>
      </c>
      <c r="AH64" s="15">
        <f t="shared" si="19"/>
        <v>0</v>
      </c>
      <c r="AI64" s="15">
        <f t="shared" si="20"/>
        <v>0</v>
      </c>
      <c r="AJ64" s="15">
        <f t="shared" si="21"/>
        <v>-100.11</v>
      </c>
      <c r="AK64" s="15">
        <f t="shared" si="22"/>
        <v>-49.05</v>
      </c>
      <c r="AL64" s="15">
        <f t="shared" si="23"/>
        <v>-331.98</v>
      </c>
      <c r="AM64" s="15">
        <f t="shared" si="24"/>
        <v>0</v>
      </c>
      <c r="AN64" s="15">
        <f t="shared" si="25"/>
        <v>0</v>
      </c>
      <c r="AO64" s="15">
        <f t="shared" si="26"/>
        <v>0</v>
      </c>
      <c r="AP64" s="15">
        <f t="shared" si="27"/>
        <v>-215.48</v>
      </c>
      <c r="AQ64" s="15">
        <v>0</v>
      </c>
      <c r="AR64" s="15">
        <f t="shared" si="28"/>
        <v>0</v>
      </c>
      <c r="AS64" s="15">
        <f t="shared" si="29"/>
        <v>0</v>
      </c>
      <c r="AT64" s="15">
        <f t="shared" si="30"/>
        <v>0</v>
      </c>
      <c r="AU64" s="15">
        <f t="shared" si="31"/>
        <v>-696.62</v>
      </c>
    </row>
    <row r="65" spans="1:47">
      <c r="A65" s="14" t="s">
        <v>111</v>
      </c>
      <c r="B65" s="16">
        <v>2313.38</v>
      </c>
      <c r="C65" s="16">
        <v>2631.39</v>
      </c>
      <c r="D65" s="16">
        <v>2167.6</v>
      </c>
      <c r="E65" s="16">
        <v>2936.41</v>
      </c>
      <c r="F65" s="16">
        <v>2667.82</v>
      </c>
      <c r="G65" s="16">
        <v>2118.91</v>
      </c>
      <c r="H65" s="16">
        <v>2490.41</v>
      </c>
      <c r="I65" s="16">
        <v>2681.24</v>
      </c>
      <c r="J65" s="16">
        <v>2152.86</v>
      </c>
      <c r="K65" s="16">
        <v>1551.32</v>
      </c>
      <c r="L65" s="16">
        <v>3043.45</v>
      </c>
      <c r="M65" s="16">
        <v>2670.85</v>
      </c>
      <c r="N65" s="16">
        <v>29425.64</v>
      </c>
      <c r="P65" s="15">
        <v>5</v>
      </c>
      <c r="Q65" s="2" t="s">
        <v>1</v>
      </c>
      <c r="R65" s="2" t="s">
        <v>52</v>
      </c>
      <c r="T65" s="15">
        <v>14108</v>
      </c>
      <c r="U65" s="2" t="s">
        <v>1</v>
      </c>
      <c r="V65" s="15">
        <v>100029927</v>
      </c>
      <c r="W65" s="2" t="s">
        <v>98</v>
      </c>
      <c r="X65" s="2" t="s">
        <v>98</v>
      </c>
      <c r="Y65" s="2" t="s">
        <v>99</v>
      </c>
      <c r="Z65" s="2" t="s">
        <v>111</v>
      </c>
      <c r="AA65" s="15">
        <v>5072</v>
      </c>
      <c r="AB65" s="15">
        <v>1</v>
      </c>
      <c r="AC65" s="15">
        <v>1888377</v>
      </c>
      <c r="AD65" s="15">
        <v>17</v>
      </c>
      <c r="AE65" s="2" t="s">
        <v>100</v>
      </c>
      <c r="AF65" s="15">
        <v>1</v>
      </c>
      <c r="AG65" s="15">
        <v>1</v>
      </c>
      <c r="AH65" s="15">
        <f t="shared" si="19"/>
        <v>-2313.38</v>
      </c>
      <c r="AI65" s="15">
        <f t="shared" si="20"/>
        <v>-2631.39</v>
      </c>
      <c r="AJ65" s="15">
        <f t="shared" si="21"/>
        <v>-2167.6</v>
      </c>
      <c r="AK65" s="15">
        <f t="shared" si="22"/>
        <v>-2936.41</v>
      </c>
      <c r="AL65" s="15">
        <f t="shared" si="23"/>
        <v>-2667.82</v>
      </c>
      <c r="AM65" s="15">
        <f t="shared" si="24"/>
        <v>-2118.91</v>
      </c>
      <c r="AN65" s="15">
        <f t="shared" si="25"/>
        <v>-2490.41</v>
      </c>
      <c r="AO65" s="15">
        <f t="shared" si="26"/>
        <v>-2681.24</v>
      </c>
      <c r="AP65" s="15">
        <f t="shared" si="27"/>
        <v>-2152.86</v>
      </c>
      <c r="AQ65" s="15">
        <v>-1551.32</v>
      </c>
      <c r="AR65" s="15">
        <f t="shared" si="28"/>
        <v>-1551.32</v>
      </c>
      <c r="AS65" s="15">
        <f t="shared" si="29"/>
        <v>-3043.45</v>
      </c>
      <c r="AT65" s="15">
        <f t="shared" si="30"/>
        <v>-2670.85</v>
      </c>
      <c r="AU65" s="15">
        <f t="shared" si="31"/>
        <v>-29425.64</v>
      </c>
    </row>
    <row r="66" spans="1:47">
      <c r="A66" s="14" t="s">
        <v>112</v>
      </c>
      <c r="B66" s="16">
        <v>3022.37</v>
      </c>
      <c r="C66" s="16">
        <v>3382.72</v>
      </c>
      <c r="D66" s="16">
        <v>4046.27</v>
      </c>
      <c r="E66" s="16">
        <v>3277.68</v>
      </c>
      <c r="F66" s="16">
        <v>3955</v>
      </c>
      <c r="G66" s="16">
        <v>3875.28</v>
      </c>
      <c r="H66" s="16">
        <v>3828.22</v>
      </c>
      <c r="I66" s="16">
        <v>4129.3100000000004</v>
      </c>
      <c r="J66" s="16">
        <v>3750.83</v>
      </c>
      <c r="K66" s="16">
        <v>3578.51</v>
      </c>
      <c r="L66" s="16">
        <v>4131.47</v>
      </c>
      <c r="M66" s="16">
        <v>4095.35</v>
      </c>
      <c r="N66" s="16">
        <v>45073.01</v>
      </c>
      <c r="P66" s="15">
        <v>5</v>
      </c>
      <c r="Q66" s="2" t="s">
        <v>1</v>
      </c>
      <c r="R66" s="2" t="s">
        <v>52</v>
      </c>
      <c r="T66" s="15">
        <v>14108</v>
      </c>
      <c r="U66" s="2" t="s">
        <v>1</v>
      </c>
      <c r="V66" s="15">
        <v>100029927</v>
      </c>
      <c r="W66" s="2" t="s">
        <v>98</v>
      </c>
      <c r="X66" s="2" t="s">
        <v>98</v>
      </c>
      <c r="Y66" s="2" t="s">
        <v>99</v>
      </c>
      <c r="Z66" s="2" t="s">
        <v>112</v>
      </c>
      <c r="AA66" s="15">
        <v>5078</v>
      </c>
      <c r="AB66" s="15">
        <v>1</v>
      </c>
      <c r="AC66" s="15">
        <v>1888378</v>
      </c>
      <c r="AD66" s="15">
        <v>18</v>
      </c>
      <c r="AE66" s="2" t="s">
        <v>100</v>
      </c>
      <c r="AF66" s="15">
        <v>1</v>
      </c>
      <c r="AG66" s="15">
        <v>1</v>
      </c>
      <c r="AH66" s="15">
        <f t="shared" si="19"/>
        <v>-3022.37</v>
      </c>
      <c r="AI66" s="15">
        <f t="shared" si="20"/>
        <v>-3382.72</v>
      </c>
      <c r="AJ66" s="15">
        <f t="shared" si="21"/>
        <v>-4046.27</v>
      </c>
      <c r="AK66" s="15">
        <f t="shared" si="22"/>
        <v>-3277.68</v>
      </c>
      <c r="AL66" s="15">
        <f t="shared" si="23"/>
        <v>-3955</v>
      </c>
      <c r="AM66" s="15">
        <f t="shared" si="24"/>
        <v>-3875.28</v>
      </c>
      <c r="AN66" s="15">
        <f t="shared" si="25"/>
        <v>-3828.22</v>
      </c>
      <c r="AO66" s="15">
        <f t="shared" si="26"/>
        <v>-4129.3100000000004</v>
      </c>
      <c r="AP66" s="15">
        <f t="shared" si="27"/>
        <v>-3750.83</v>
      </c>
      <c r="AQ66" s="15">
        <v>-3578.51</v>
      </c>
      <c r="AR66" s="15">
        <f t="shared" si="28"/>
        <v>-3578.51</v>
      </c>
      <c r="AS66" s="15">
        <f t="shared" si="29"/>
        <v>-4131.47</v>
      </c>
      <c r="AT66" s="15">
        <f t="shared" si="30"/>
        <v>-4095.35</v>
      </c>
      <c r="AU66" s="15">
        <f t="shared" si="31"/>
        <v>-45073.01</v>
      </c>
    </row>
    <row r="67" spans="1:47">
      <c r="A67" s="14" t="s">
        <v>113</v>
      </c>
      <c r="B67" s="16">
        <v>132.34</v>
      </c>
      <c r="C67" s="16">
        <v>206.17</v>
      </c>
      <c r="D67" s="16">
        <v>206.17</v>
      </c>
      <c r="E67" s="16">
        <v>206.17</v>
      </c>
      <c r="F67" s="16">
        <v>206.17</v>
      </c>
      <c r="G67" s="16">
        <v>-495.46</v>
      </c>
      <c r="H67" s="16">
        <v>206.17</v>
      </c>
      <c r="I67" s="16">
        <v>206.17</v>
      </c>
      <c r="J67" s="16">
        <v>206.17</v>
      </c>
      <c r="K67" s="16">
        <v>206.17</v>
      </c>
      <c r="L67" s="16">
        <v>206.2</v>
      </c>
      <c r="M67" s="16">
        <v>216.48</v>
      </c>
      <c r="N67" s="16">
        <v>1708.92</v>
      </c>
      <c r="P67" s="15">
        <v>5</v>
      </c>
      <c r="Q67" s="2" t="s">
        <v>1</v>
      </c>
      <c r="R67" s="2" t="s">
        <v>52</v>
      </c>
      <c r="T67" s="15">
        <v>14108</v>
      </c>
      <c r="U67" s="2" t="s">
        <v>1</v>
      </c>
      <c r="V67" s="15">
        <v>100029927</v>
      </c>
      <c r="W67" s="2" t="s">
        <v>98</v>
      </c>
      <c r="X67" s="2" t="s">
        <v>98</v>
      </c>
      <c r="Y67" s="2" t="s">
        <v>99</v>
      </c>
      <c r="Z67" s="2" t="s">
        <v>113</v>
      </c>
      <c r="AA67" s="15">
        <v>5084</v>
      </c>
      <c r="AB67" s="15">
        <v>1</v>
      </c>
      <c r="AC67" s="15">
        <v>1888379</v>
      </c>
      <c r="AD67" s="15">
        <v>20</v>
      </c>
      <c r="AE67" s="2" t="s">
        <v>100</v>
      </c>
      <c r="AF67" s="15">
        <v>1</v>
      </c>
      <c r="AG67" s="15">
        <v>1</v>
      </c>
      <c r="AH67" s="15">
        <f t="shared" si="19"/>
        <v>-132.34</v>
      </c>
      <c r="AI67" s="15">
        <f t="shared" si="20"/>
        <v>-206.17</v>
      </c>
      <c r="AJ67" s="15">
        <f t="shared" si="21"/>
        <v>-206.17</v>
      </c>
      <c r="AK67" s="15">
        <f t="shared" si="22"/>
        <v>-206.17</v>
      </c>
      <c r="AL67" s="15">
        <f t="shared" si="23"/>
        <v>-206.17</v>
      </c>
      <c r="AM67" s="15">
        <f t="shared" si="24"/>
        <v>495.46</v>
      </c>
      <c r="AN67" s="15">
        <f t="shared" si="25"/>
        <v>-206.17</v>
      </c>
      <c r="AO67" s="15">
        <f t="shared" si="26"/>
        <v>-206.17</v>
      </c>
      <c r="AP67" s="15">
        <f t="shared" si="27"/>
        <v>-206.17</v>
      </c>
      <c r="AQ67" s="15">
        <v>-206.17</v>
      </c>
      <c r="AR67" s="15">
        <f t="shared" si="28"/>
        <v>-206.17</v>
      </c>
      <c r="AS67" s="15">
        <f t="shared" si="29"/>
        <v>-206.2</v>
      </c>
      <c r="AT67" s="15">
        <f t="shared" si="30"/>
        <v>-216.48</v>
      </c>
      <c r="AU67" s="15">
        <f t="shared" si="31"/>
        <v>-1708.92</v>
      </c>
    </row>
    <row r="68" spans="1:47">
      <c r="A68" s="14" t="s">
        <v>114</v>
      </c>
      <c r="B68" s="16">
        <v>636.37</v>
      </c>
      <c r="C68" s="16">
        <v>390.64</v>
      </c>
      <c r="D68" s="16">
        <v>360.17</v>
      </c>
      <c r="E68" s="16">
        <v>494.25</v>
      </c>
      <c r="F68" s="16">
        <v>337.02</v>
      </c>
      <c r="G68" s="16">
        <v>415.56</v>
      </c>
      <c r="H68" s="16">
        <v>402.68</v>
      </c>
      <c r="I68" s="16">
        <v>299.48</v>
      </c>
      <c r="J68" s="16">
        <v>635.59</v>
      </c>
      <c r="K68" s="16">
        <v>296.79000000000002</v>
      </c>
      <c r="L68" s="16">
        <v>295.89</v>
      </c>
      <c r="M68" s="16">
        <v>359.19</v>
      </c>
      <c r="N68" s="16">
        <v>4923.63</v>
      </c>
      <c r="P68" s="15">
        <v>5</v>
      </c>
      <c r="Q68" s="2" t="s">
        <v>1</v>
      </c>
      <c r="R68" s="2" t="s">
        <v>52</v>
      </c>
      <c r="T68" s="15">
        <v>14108</v>
      </c>
      <c r="U68" s="2" t="s">
        <v>1</v>
      </c>
      <c r="V68" s="15">
        <v>100029927</v>
      </c>
      <c r="W68" s="2" t="s">
        <v>98</v>
      </c>
      <c r="X68" s="2" t="s">
        <v>98</v>
      </c>
      <c r="Y68" s="2" t="s">
        <v>99</v>
      </c>
      <c r="Z68" s="2" t="s">
        <v>114</v>
      </c>
      <c r="AA68" s="15">
        <v>5090</v>
      </c>
      <c r="AB68" s="15">
        <v>1</v>
      </c>
      <c r="AC68" s="15">
        <v>1888380</v>
      </c>
      <c r="AD68" s="15">
        <v>21</v>
      </c>
      <c r="AE68" s="2" t="s">
        <v>100</v>
      </c>
      <c r="AF68" s="15">
        <v>1</v>
      </c>
      <c r="AG68" s="15">
        <v>1</v>
      </c>
      <c r="AH68" s="15">
        <f t="shared" si="19"/>
        <v>-636.37</v>
      </c>
      <c r="AI68" s="15">
        <f t="shared" si="20"/>
        <v>-390.64</v>
      </c>
      <c r="AJ68" s="15">
        <f t="shared" si="21"/>
        <v>-360.17</v>
      </c>
      <c r="AK68" s="15">
        <f t="shared" si="22"/>
        <v>-494.25</v>
      </c>
      <c r="AL68" s="15">
        <f t="shared" si="23"/>
        <v>-337.02</v>
      </c>
      <c r="AM68" s="15">
        <f t="shared" si="24"/>
        <v>-415.56</v>
      </c>
      <c r="AN68" s="15">
        <f t="shared" si="25"/>
        <v>-402.68</v>
      </c>
      <c r="AO68" s="15">
        <f t="shared" si="26"/>
        <v>-299.48</v>
      </c>
      <c r="AP68" s="15">
        <f t="shared" si="27"/>
        <v>-635.59</v>
      </c>
      <c r="AQ68" s="15">
        <v>-296.79000000000002</v>
      </c>
      <c r="AR68" s="15">
        <f t="shared" si="28"/>
        <v>-296.79000000000002</v>
      </c>
      <c r="AS68" s="15">
        <f t="shared" si="29"/>
        <v>-295.89</v>
      </c>
      <c r="AT68" s="15">
        <f t="shared" si="30"/>
        <v>-359.19</v>
      </c>
      <c r="AU68" s="15">
        <f t="shared" si="31"/>
        <v>-4923.63</v>
      </c>
    </row>
    <row r="69" spans="1:47">
      <c r="A69" s="9" t="s">
        <v>96</v>
      </c>
      <c r="B69" s="11">
        <f>IF(5 = P69, AH69 * -1, AH69)</f>
        <v>35610.120000000003</v>
      </c>
      <c r="C69" s="11">
        <f>IF(5 = P69, AI69 * -1, AI69)</f>
        <v>40505.72</v>
      </c>
      <c r="D69" s="11">
        <f>IF(5 = P69, AJ69 * -1, AJ69)</f>
        <v>34395.739999999991</v>
      </c>
      <c r="E69" s="11">
        <f>IF(5 = P69, AK69 * -1, AK69)</f>
        <v>39596.11</v>
      </c>
      <c r="F69" s="11">
        <f>IF(5 = P69, AL69 * -1, AL69)</f>
        <v>45163.14</v>
      </c>
      <c r="G69" s="11">
        <f>IF(5 = P69, AM69 * -1, AM69)</f>
        <v>36274.949999999997</v>
      </c>
      <c r="H69" s="11">
        <f>IF(5 = P69, AN69 * -1, AN69)</f>
        <v>38019.399999999994</v>
      </c>
      <c r="I69" s="11">
        <f>IF(5 = P69, AO69 * -1, AO69)</f>
        <v>38163.939999999995</v>
      </c>
      <c r="J69" s="11">
        <f>IF(5 = P69, AP69 * -1, AP69)</f>
        <v>33850.329999999994</v>
      </c>
      <c r="K69" s="11">
        <f>IF(5 = P69, AR69 * -1, AR69)</f>
        <v>29574.959999999999</v>
      </c>
      <c r="L69" s="11">
        <f>IF(5 = P69, AS69 * -1, AS69)</f>
        <v>43177.93</v>
      </c>
      <c r="M69" s="11">
        <f>IF(5 = P69, AT69 * -1, AT69)</f>
        <v>41087.599999999999</v>
      </c>
      <c r="N69" s="11">
        <f>IF(5 = P69, AU69 * -1, AU69)</f>
        <v>455419.94</v>
      </c>
      <c r="P69" s="10">
        <v>5</v>
      </c>
      <c r="Q69" s="17" t="str">
        <f>Q68</f>
        <v>Canyon Ridge</v>
      </c>
      <c r="R69" s="12" t="str">
        <f>R68</f>
        <v>9521</v>
      </c>
      <c r="S69" s="10">
        <f>S68</f>
        <v>0</v>
      </c>
      <c r="T69" s="15"/>
      <c r="U69" s="2"/>
      <c r="V69" s="15"/>
      <c r="W69" s="2"/>
      <c r="X69" s="2"/>
      <c r="Y69" s="2"/>
      <c r="Z69" s="2"/>
      <c r="AA69" s="15"/>
      <c r="AB69" s="15"/>
      <c r="AC69" s="15"/>
      <c r="AD69" s="15"/>
      <c r="AE69" s="2"/>
      <c r="AF69" s="15"/>
      <c r="AG69" s="15"/>
      <c r="AH69" s="10">
        <f t="shared" ref="AH69:AP69" si="32">SUM(AH54:AH68)</f>
        <v>-35610.120000000003</v>
      </c>
      <c r="AI69" s="10">
        <f t="shared" si="32"/>
        <v>-40505.72</v>
      </c>
      <c r="AJ69" s="10">
        <f t="shared" si="32"/>
        <v>-34395.739999999991</v>
      </c>
      <c r="AK69" s="10">
        <f t="shared" si="32"/>
        <v>-39596.11</v>
      </c>
      <c r="AL69" s="10">
        <f t="shared" si="32"/>
        <v>-45163.14</v>
      </c>
      <c r="AM69" s="10">
        <f t="shared" si="32"/>
        <v>-36274.949999999997</v>
      </c>
      <c r="AN69" s="10">
        <f t="shared" si="32"/>
        <v>-38019.399999999994</v>
      </c>
      <c r="AO69" s="10">
        <f t="shared" si="32"/>
        <v>-38163.939999999995</v>
      </c>
      <c r="AP69" s="10">
        <f t="shared" si="32"/>
        <v>-33850.329999999994</v>
      </c>
      <c r="AQ69" s="15"/>
      <c r="AR69" s="10">
        <f>SUM(AR54:AR68)</f>
        <v>-29574.959999999999</v>
      </c>
      <c r="AS69" s="10">
        <f>SUM(AS54:AS68)</f>
        <v>-43177.93</v>
      </c>
      <c r="AT69" s="10">
        <f>SUM(AT54:AT68)</f>
        <v>-41087.599999999999</v>
      </c>
      <c r="AU69" s="10">
        <f>SUM(AU54:AU68)</f>
        <v>-455419.94</v>
      </c>
    </row>
    <row r="70" spans="1:47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P70" s="15"/>
      <c r="Q70" s="2"/>
      <c r="T70" s="15"/>
      <c r="U70" s="2"/>
      <c r="V70" s="15"/>
      <c r="W70" s="2"/>
      <c r="X70" s="2"/>
      <c r="Y70" s="2"/>
      <c r="Z70" s="2"/>
      <c r="AA70" s="15"/>
      <c r="AB70" s="15"/>
      <c r="AC70" s="15"/>
      <c r="AD70" s="15"/>
      <c r="AE70" s="2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>
      <c r="A71" s="13" t="s">
        <v>115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P71" s="15"/>
      <c r="Q71" s="2"/>
      <c r="T71" s="15"/>
      <c r="U71" s="2"/>
      <c r="V71" s="15"/>
      <c r="W71" s="2"/>
      <c r="X71" s="2"/>
      <c r="Y71" s="2"/>
      <c r="Z71" s="2"/>
      <c r="AA71" s="15"/>
      <c r="AB71" s="15"/>
      <c r="AC71" s="15"/>
      <c r="AD71" s="15"/>
      <c r="AE71" s="2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>
      <c r="A72" s="14" t="s">
        <v>116</v>
      </c>
      <c r="B72" s="16">
        <v>2432.5</v>
      </c>
      <c r="C72" s="16">
        <v>129.5</v>
      </c>
      <c r="D72" s="16">
        <v>2321.02</v>
      </c>
      <c r="E72" s="16">
        <v>629.13</v>
      </c>
      <c r="F72" s="16">
        <v>252</v>
      </c>
      <c r="G72" s="16">
        <v>0</v>
      </c>
      <c r="H72" s="16">
        <v>378.23</v>
      </c>
      <c r="I72" s="16">
        <v>148.4</v>
      </c>
      <c r="J72" s="16">
        <v>0</v>
      </c>
      <c r="K72" s="16">
        <v>2158.2800000000002</v>
      </c>
      <c r="L72" s="16">
        <v>125.1</v>
      </c>
      <c r="M72" s="16">
        <v>5.85</v>
      </c>
      <c r="N72" s="16">
        <v>8580.01</v>
      </c>
      <c r="P72" s="15">
        <v>5</v>
      </c>
      <c r="Q72" s="2" t="s">
        <v>1</v>
      </c>
      <c r="R72" s="2" t="s">
        <v>52</v>
      </c>
      <c r="T72" s="15">
        <v>14108</v>
      </c>
      <c r="U72" s="2" t="s">
        <v>1</v>
      </c>
      <c r="V72" s="15">
        <v>100029927</v>
      </c>
      <c r="W72" s="2" t="s">
        <v>117</v>
      </c>
      <c r="X72" s="2" t="s">
        <v>117</v>
      </c>
      <c r="Y72" s="2" t="s">
        <v>118</v>
      </c>
      <c r="Z72" s="2" t="s">
        <v>116</v>
      </c>
      <c r="AA72" s="15">
        <v>5503</v>
      </c>
      <c r="AB72" s="15">
        <v>1</v>
      </c>
      <c r="AC72" s="15">
        <v>1888664</v>
      </c>
      <c r="AD72" s="15">
        <v>0</v>
      </c>
      <c r="AE72" s="2" t="s">
        <v>100</v>
      </c>
      <c r="AF72" s="15">
        <v>1</v>
      </c>
      <c r="AG72" s="15">
        <v>1</v>
      </c>
      <c r="AH72" s="15">
        <f t="shared" ref="AH72:AH79" si="33">IF(5 = P72, B72 * -1, B72)</f>
        <v>-2432.5</v>
      </c>
      <c r="AI72" s="15">
        <f t="shared" ref="AI72:AI79" si="34">IF(5 = P72, C72 * -1, C72)</f>
        <v>-129.5</v>
      </c>
      <c r="AJ72" s="15">
        <f t="shared" ref="AJ72:AJ79" si="35">IF(5 = P72, D72 * -1, D72)</f>
        <v>-2321.02</v>
      </c>
      <c r="AK72" s="15">
        <f t="shared" ref="AK72:AK79" si="36">IF(5 = P72, E72 * -1, E72)</f>
        <v>-629.13</v>
      </c>
      <c r="AL72" s="15">
        <f t="shared" ref="AL72:AL79" si="37">IF(5 = P72, F72 * -1, F72)</f>
        <v>-252</v>
      </c>
      <c r="AM72" s="15">
        <f t="shared" ref="AM72:AM79" si="38">IF(5 = P72, G72 * -1, G72)</f>
        <v>0</v>
      </c>
      <c r="AN72" s="15">
        <f t="shared" ref="AN72:AN79" si="39">IF(5 = P72, H72 * -1, H72)</f>
        <v>-378.23</v>
      </c>
      <c r="AO72" s="15">
        <f t="shared" ref="AO72:AO79" si="40">IF(5 = P72, I72 * -1, I72)</f>
        <v>-148.4</v>
      </c>
      <c r="AP72" s="15">
        <f t="shared" ref="AP72:AP79" si="41">IF(5 = P72, J72 * -1, J72)</f>
        <v>0</v>
      </c>
      <c r="AQ72" s="15">
        <v>-2158.2800000000002</v>
      </c>
      <c r="AR72" s="15">
        <f t="shared" ref="AR72:AR79" si="42">IF(5 = P72, K72 * -1, K72)</f>
        <v>-2158.2800000000002</v>
      </c>
      <c r="AS72" s="15">
        <f t="shared" ref="AS72:AS79" si="43">IF(5 = P72, L72 * -1, L72)</f>
        <v>-125.1</v>
      </c>
      <c r="AT72" s="15">
        <f t="shared" ref="AT72:AT79" si="44">IF(5 = P72, M72 * -1, M72)</f>
        <v>-5.85</v>
      </c>
      <c r="AU72" s="15">
        <f t="shared" ref="AU72:AU79" si="45">IF(5 = P72, N72 * -1, N72)</f>
        <v>-8580.01</v>
      </c>
    </row>
    <row r="73" spans="1:47">
      <c r="A73" s="14" t="s">
        <v>119</v>
      </c>
      <c r="B73" s="16">
        <v>0</v>
      </c>
      <c r="C73" s="16">
        <v>33.9</v>
      </c>
      <c r="D73" s="16">
        <v>605.89</v>
      </c>
      <c r="E73" s="16">
        <v>176.43</v>
      </c>
      <c r="F73" s="16">
        <v>141.91</v>
      </c>
      <c r="G73" s="16">
        <v>246.81</v>
      </c>
      <c r="H73" s="16">
        <v>157.26</v>
      </c>
      <c r="I73" s="16">
        <v>199.69</v>
      </c>
      <c r="J73" s="16">
        <v>203.25</v>
      </c>
      <c r="K73" s="16">
        <v>68.81</v>
      </c>
      <c r="L73" s="16">
        <v>130.29</v>
      </c>
      <c r="M73" s="16">
        <v>179.51</v>
      </c>
      <c r="N73" s="16">
        <v>2143.75</v>
      </c>
      <c r="P73" s="15">
        <v>5</v>
      </c>
      <c r="Q73" s="2" t="s">
        <v>1</v>
      </c>
      <c r="R73" s="2" t="s">
        <v>52</v>
      </c>
      <c r="T73" s="15">
        <v>14108</v>
      </c>
      <c r="U73" s="2" t="s">
        <v>1</v>
      </c>
      <c r="V73" s="15">
        <v>100029927</v>
      </c>
      <c r="W73" s="2" t="s">
        <v>117</v>
      </c>
      <c r="X73" s="2" t="s">
        <v>117</v>
      </c>
      <c r="Y73" s="2" t="s">
        <v>118</v>
      </c>
      <c r="Z73" s="2" t="s">
        <v>119</v>
      </c>
      <c r="AA73" s="15">
        <v>5509</v>
      </c>
      <c r="AB73" s="15">
        <v>1</v>
      </c>
      <c r="AC73" s="15">
        <v>1888666</v>
      </c>
      <c r="AD73" s="15">
        <v>1</v>
      </c>
      <c r="AE73" s="2" t="s">
        <v>100</v>
      </c>
      <c r="AF73" s="15">
        <v>1</v>
      </c>
      <c r="AG73" s="15">
        <v>1</v>
      </c>
      <c r="AH73" s="15">
        <f t="shared" si="33"/>
        <v>0</v>
      </c>
      <c r="AI73" s="15">
        <f t="shared" si="34"/>
        <v>-33.9</v>
      </c>
      <c r="AJ73" s="15">
        <f t="shared" si="35"/>
        <v>-605.89</v>
      </c>
      <c r="AK73" s="15">
        <f t="shared" si="36"/>
        <v>-176.43</v>
      </c>
      <c r="AL73" s="15">
        <f t="shared" si="37"/>
        <v>-141.91</v>
      </c>
      <c r="AM73" s="15">
        <f t="shared" si="38"/>
        <v>-246.81</v>
      </c>
      <c r="AN73" s="15">
        <f t="shared" si="39"/>
        <v>-157.26</v>
      </c>
      <c r="AO73" s="15">
        <f t="shared" si="40"/>
        <v>-199.69</v>
      </c>
      <c r="AP73" s="15">
        <f t="shared" si="41"/>
        <v>-203.25</v>
      </c>
      <c r="AQ73" s="15">
        <v>-68.81</v>
      </c>
      <c r="AR73" s="15">
        <f t="shared" si="42"/>
        <v>-68.81</v>
      </c>
      <c r="AS73" s="15">
        <f t="shared" si="43"/>
        <v>-130.29</v>
      </c>
      <c r="AT73" s="15">
        <f t="shared" si="44"/>
        <v>-179.51</v>
      </c>
      <c r="AU73" s="15">
        <f t="shared" si="45"/>
        <v>-2143.75</v>
      </c>
    </row>
    <row r="74" spans="1:47">
      <c r="A74" s="14" t="s">
        <v>120</v>
      </c>
      <c r="B74" s="16">
        <v>6483.45</v>
      </c>
      <c r="C74" s="16">
        <v>9479</v>
      </c>
      <c r="D74" s="16">
        <v>8036.11</v>
      </c>
      <c r="E74" s="16">
        <v>11635.9</v>
      </c>
      <c r="F74" s="16">
        <v>8114.45</v>
      </c>
      <c r="G74" s="16">
        <v>7839.45</v>
      </c>
      <c r="H74" s="16">
        <v>7837.51</v>
      </c>
      <c r="I74" s="16">
        <v>5753.08</v>
      </c>
      <c r="J74" s="16">
        <v>7957.27</v>
      </c>
      <c r="K74" s="16">
        <v>7460.5</v>
      </c>
      <c r="L74" s="16">
        <v>7460.5</v>
      </c>
      <c r="M74" s="16">
        <v>6960.5</v>
      </c>
      <c r="N74" s="16">
        <v>95017.72</v>
      </c>
      <c r="P74" s="15">
        <v>5</v>
      </c>
      <c r="Q74" s="2" t="s">
        <v>1</v>
      </c>
      <c r="R74" s="2" t="s">
        <v>52</v>
      </c>
      <c r="T74" s="15">
        <v>14108</v>
      </c>
      <c r="U74" s="2" t="s">
        <v>1</v>
      </c>
      <c r="V74" s="15">
        <v>100029927</v>
      </c>
      <c r="W74" s="2" t="s">
        <v>117</v>
      </c>
      <c r="X74" s="2" t="s">
        <v>117</v>
      </c>
      <c r="Y74" s="2" t="s">
        <v>118</v>
      </c>
      <c r="Z74" s="2" t="s">
        <v>120</v>
      </c>
      <c r="AA74" s="15">
        <v>5512</v>
      </c>
      <c r="AB74" s="15">
        <v>1</v>
      </c>
      <c r="AC74" s="15">
        <v>1888667</v>
      </c>
      <c r="AD74" s="15">
        <v>2</v>
      </c>
      <c r="AE74" s="2" t="s">
        <v>100</v>
      </c>
      <c r="AF74" s="15">
        <v>2</v>
      </c>
      <c r="AG74" s="15">
        <v>2</v>
      </c>
      <c r="AH74" s="15">
        <f t="shared" si="33"/>
        <v>-6483.45</v>
      </c>
      <c r="AI74" s="15">
        <f t="shared" si="34"/>
        <v>-9479</v>
      </c>
      <c r="AJ74" s="15">
        <f t="shared" si="35"/>
        <v>-8036.11</v>
      </c>
      <c r="AK74" s="15">
        <f t="shared" si="36"/>
        <v>-11635.9</v>
      </c>
      <c r="AL74" s="15">
        <f t="shared" si="37"/>
        <v>-8114.45</v>
      </c>
      <c r="AM74" s="15">
        <f t="shared" si="38"/>
        <v>-7839.45</v>
      </c>
      <c r="AN74" s="15">
        <f t="shared" si="39"/>
        <v>-7837.51</v>
      </c>
      <c r="AO74" s="15">
        <f t="shared" si="40"/>
        <v>-5753.08</v>
      </c>
      <c r="AP74" s="15">
        <f t="shared" si="41"/>
        <v>-7957.27</v>
      </c>
      <c r="AQ74" s="15">
        <v>-7460.5</v>
      </c>
      <c r="AR74" s="15">
        <f t="shared" si="42"/>
        <v>-7460.5</v>
      </c>
      <c r="AS74" s="15">
        <f t="shared" si="43"/>
        <v>-7460.5</v>
      </c>
      <c r="AT74" s="15">
        <f t="shared" si="44"/>
        <v>-6960.5</v>
      </c>
      <c r="AU74" s="15">
        <f t="shared" si="45"/>
        <v>-95017.72</v>
      </c>
    </row>
    <row r="75" spans="1:47">
      <c r="A75" s="14" t="s">
        <v>121</v>
      </c>
      <c r="B75" s="16">
        <v>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1959</v>
      </c>
      <c r="N75" s="16">
        <v>1959</v>
      </c>
      <c r="P75" s="15">
        <v>5</v>
      </c>
      <c r="Q75" s="2" t="s">
        <v>1</v>
      </c>
      <c r="R75" s="2" t="s">
        <v>52</v>
      </c>
      <c r="T75" s="15">
        <v>14108</v>
      </c>
      <c r="U75" s="2" t="s">
        <v>1</v>
      </c>
      <c r="V75" s="15">
        <v>100029927</v>
      </c>
      <c r="W75" s="2" t="s">
        <v>117</v>
      </c>
      <c r="X75" s="2" t="s">
        <v>117</v>
      </c>
      <c r="Y75" s="2" t="s">
        <v>118</v>
      </c>
      <c r="Z75" s="2" t="s">
        <v>121</v>
      </c>
      <c r="AA75" s="15">
        <v>5518</v>
      </c>
      <c r="AB75" s="15">
        <v>1</v>
      </c>
      <c r="AC75" s="15">
        <v>1888668</v>
      </c>
      <c r="AD75" s="15">
        <v>3</v>
      </c>
      <c r="AE75" s="2" t="s">
        <v>100</v>
      </c>
      <c r="AF75" s="15">
        <v>0</v>
      </c>
      <c r="AG75" s="15">
        <v>1</v>
      </c>
      <c r="AH75" s="15">
        <f t="shared" si="33"/>
        <v>0</v>
      </c>
      <c r="AI75" s="15">
        <f t="shared" si="34"/>
        <v>0</v>
      </c>
      <c r="AJ75" s="15">
        <f t="shared" si="35"/>
        <v>0</v>
      </c>
      <c r="AK75" s="15">
        <f t="shared" si="36"/>
        <v>0</v>
      </c>
      <c r="AL75" s="15">
        <f t="shared" si="37"/>
        <v>0</v>
      </c>
      <c r="AM75" s="15">
        <f t="shared" si="38"/>
        <v>0</v>
      </c>
      <c r="AN75" s="15">
        <f t="shared" si="39"/>
        <v>0</v>
      </c>
      <c r="AO75" s="15">
        <f t="shared" si="40"/>
        <v>0</v>
      </c>
      <c r="AP75" s="15">
        <f t="shared" si="41"/>
        <v>0</v>
      </c>
      <c r="AQ75" s="15">
        <v>0</v>
      </c>
      <c r="AR75" s="15">
        <f t="shared" si="42"/>
        <v>0</v>
      </c>
      <c r="AS75" s="15">
        <f t="shared" si="43"/>
        <v>0</v>
      </c>
      <c r="AT75" s="15">
        <f t="shared" si="44"/>
        <v>-1959</v>
      </c>
      <c r="AU75" s="15">
        <f t="shared" si="45"/>
        <v>-1959</v>
      </c>
    </row>
    <row r="76" spans="1:47">
      <c r="A76" s="14" t="s">
        <v>122</v>
      </c>
      <c r="B76" s="16">
        <v>0</v>
      </c>
      <c r="C76" s="16">
        <v>98.01</v>
      </c>
      <c r="D76" s="16">
        <v>0</v>
      </c>
      <c r="E76" s="16">
        <v>445</v>
      </c>
      <c r="F76" s="16">
        <v>113.04</v>
      </c>
      <c r="G76" s="16">
        <v>19.57</v>
      </c>
      <c r="H76" s="16">
        <v>0</v>
      </c>
      <c r="I76" s="16">
        <v>0</v>
      </c>
      <c r="J76" s="16">
        <v>0</v>
      </c>
      <c r="K76" s="16">
        <v>0</v>
      </c>
      <c r="L76" s="16">
        <v>134.88</v>
      </c>
      <c r="M76" s="16">
        <v>0</v>
      </c>
      <c r="N76" s="16">
        <v>810.5</v>
      </c>
      <c r="P76" s="15">
        <v>5</v>
      </c>
      <c r="Q76" s="2" t="s">
        <v>1</v>
      </c>
      <c r="R76" s="2" t="s">
        <v>52</v>
      </c>
      <c r="T76" s="15">
        <v>14108</v>
      </c>
      <c r="U76" s="2" t="s">
        <v>1</v>
      </c>
      <c r="V76" s="15">
        <v>100029927</v>
      </c>
      <c r="W76" s="2" t="s">
        <v>117</v>
      </c>
      <c r="X76" s="2" t="s">
        <v>117</v>
      </c>
      <c r="Y76" s="2" t="s">
        <v>118</v>
      </c>
      <c r="Z76" s="2" t="s">
        <v>122</v>
      </c>
      <c r="AA76" s="15">
        <v>5524</v>
      </c>
      <c r="AB76" s="15">
        <v>1</v>
      </c>
      <c r="AC76" s="15">
        <v>1888670</v>
      </c>
      <c r="AD76" s="15">
        <v>5</v>
      </c>
      <c r="AE76" s="2" t="s">
        <v>100</v>
      </c>
      <c r="AF76" s="15">
        <v>1</v>
      </c>
      <c r="AG76" s="15">
        <v>0</v>
      </c>
      <c r="AH76" s="15">
        <f t="shared" si="33"/>
        <v>0</v>
      </c>
      <c r="AI76" s="15">
        <f t="shared" si="34"/>
        <v>-98.01</v>
      </c>
      <c r="AJ76" s="15">
        <f t="shared" si="35"/>
        <v>0</v>
      </c>
      <c r="AK76" s="15">
        <f t="shared" si="36"/>
        <v>-445</v>
      </c>
      <c r="AL76" s="15">
        <f t="shared" si="37"/>
        <v>-113.04</v>
      </c>
      <c r="AM76" s="15">
        <f t="shared" si="38"/>
        <v>-19.57</v>
      </c>
      <c r="AN76" s="15">
        <f t="shared" si="39"/>
        <v>0</v>
      </c>
      <c r="AO76" s="15">
        <f t="shared" si="40"/>
        <v>0</v>
      </c>
      <c r="AP76" s="15">
        <f t="shared" si="41"/>
        <v>0</v>
      </c>
      <c r="AQ76" s="15">
        <v>0</v>
      </c>
      <c r="AR76" s="15">
        <f t="shared" si="42"/>
        <v>0</v>
      </c>
      <c r="AS76" s="15">
        <f t="shared" si="43"/>
        <v>-134.88</v>
      </c>
      <c r="AT76" s="15">
        <f t="shared" si="44"/>
        <v>0</v>
      </c>
      <c r="AU76" s="15">
        <f t="shared" si="45"/>
        <v>-810.5</v>
      </c>
    </row>
    <row r="77" spans="1:47">
      <c r="A77" s="14" t="s">
        <v>123</v>
      </c>
      <c r="B77" s="16">
        <v>0</v>
      </c>
      <c r="C77" s="16">
        <v>0</v>
      </c>
      <c r="D77" s="16">
        <v>0</v>
      </c>
      <c r="E77" s="16">
        <v>0</v>
      </c>
      <c r="F77" s="16">
        <v>547.20000000000005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48.72</v>
      </c>
      <c r="M77" s="16">
        <v>0</v>
      </c>
      <c r="N77" s="16">
        <v>595.91999999999996</v>
      </c>
      <c r="P77" s="15">
        <v>5</v>
      </c>
      <c r="Q77" s="2" t="s">
        <v>1</v>
      </c>
      <c r="R77" s="2" t="s">
        <v>52</v>
      </c>
      <c r="T77" s="15">
        <v>14108</v>
      </c>
      <c r="U77" s="2" t="s">
        <v>1</v>
      </c>
      <c r="V77" s="15">
        <v>100029927</v>
      </c>
      <c r="W77" s="2" t="s">
        <v>117</v>
      </c>
      <c r="X77" s="2" t="s">
        <v>117</v>
      </c>
      <c r="Y77" s="2" t="s">
        <v>118</v>
      </c>
      <c r="Z77" s="2" t="s">
        <v>123</v>
      </c>
      <c r="AA77" s="15">
        <v>5533</v>
      </c>
      <c r="AB77" s="15">
        <v>1</v>
      </c>
      <c r="AC77" s="15">
        <v>1888671</v>
      </c>
      <c r="AD77" s="15">
        <v>6</v>
      </c>
      <c r="AE77" s="2" t="s">
        <v>100</v>
      </c>
      <c r="AF77" s="15">
        <v>0</v>
      </c>
      <c r="AG77" s="15">
        <v>0</v>
      </c>
      <c r="AH77" s="15">
        <f t="shared" si="33"/>
        <v>0</v>
      </c>
      <c r="AI77" s="15">
        <f t="shared" si="34"/>
        <v>0</v>
      </c>
      <c r="AJ77" s="15">
        <f t="shared" si="35"/>
        <v>0</v>
      </c>
      <c r="AK77" s="15">
        <f t="shared" si="36"/>
        <v>0</v>
      </c>
      <c r="AL77" s="15">
        <f t="shared" si="37"/>
        <v>-547.20000000000005</v>
      </c>
      <c r="AM77" s="15">
        <f t="shared" si="38"/>
        <v>0</v>
      </c>
      <c r="AN77" s="15">
        <f t="shared" si="39"/>
        <v>0</v>
      </c>
      <c r="AO77" s="15">
        <f t="shared" si="40"/>
        <v>0</v>
      </c>
      <c r="AP77" s="15">
        <f t="shared" si="41"/>
        <v>0</v>
      </c>
      <c r="AQ77" s="15">
        <v>0</v>
      </c>
      <c r="AR77" s="15">
        <f t="shared" si="42"/>
        <v>0</v>
      </c>
      <c r="AS77" s="15">
        <f t="shared" si="43"/>
        <v>-48.72</v>
      </c>
      <c r="AT77" s="15">
        <f t="shared" si="44"/>
        <v>0</v>
      </c>
      <c r="AU77" s="15">
        <f t="shared" si="45"/>
        <v>-595.91999999999996</v>
      </c>
    </row>
    <row r="78" spans="1:47">
      <c r="A78" s="14" t="s">
        <v>124</v>
      </c>
      <c r="B78" s="16">
        <v>1500</v>
      </c>
      <c r="C78" s="16">
        <v>0</v>
      </c>
      <c r="D78" s="16">
        <v>2500</v>
      </c>
      <c r="E78" s="16">
        <v>1000</v>
      </c>
      <c r="F78" s="16">
        <v>1500</v>
      </c>
      <c r="G78" s="16">
        <v>3000</v>
      </c>
      <c r="H78" s="16">
        <v>3500</v>
      </c>
      <c r="I78" s="16">
        <v>2000</v>
      </c>
      <c r="J78" s="16">
        <v>1500</v>
      </c>
      <c r="K78" s="16">
        <v>500</v>
      </c>
      <c r="L78" s="16">
        <v>1000</v>
      </c>
      <c r="M78" s="16">
        <v>1000</v>
      </c>
      <c r="N78" s="16">
        <v>19000</v>
      </c>
      <c r="P78" s="15">
        <v>5</v>
      </c>
      <c r="Q78" s="2" t="s">
        <v>1</v>
      </c>
      <c r="R78" s="2" t="s">
        <v>52</v>
      </c>
      <c r="T78" s="15">
        <v>14108</v>
      </c>
      <c r="U78" s="2" t="s">
        <v>1</v>
      </c>
      <c r="V78" s="15">
        <v>100029927</v>
      </c>
      <c r="W78" s="2" t="s">
        <v>117</v>
      </c>
      <c r="X78" s="2" t="s">
        <v>117</v>
      </c>
      <c r="Y78" s="2" t="s">
        <v>118</v>
      </c>
      <c r="Z78" s="2" t="s">
        <v>124</v>
      </c>
      <c r="AA78" s="15">
        <v>5539</v>
      </c>
      <c r="AB78" s="15">
        <v>1</v>
      </c>
      <c r="AC78" s="15">
        <v>1888672</v>
      </c>
      <c r="AD78" s="15">
        <v>7</v>
      </c>
      <c r="AE78" s="2" t="s">
        <v>100</v>
      </c>
      <c r="AF78" s="15">
        <v>1</v>
      </c>
      <c r="AG78" s="15">
        <v>1</v>
      </c>
      <c r="AH78" s="15">
        <f t="shared" si="33"/>
        <v>-1500</v>
      </c>
      <c r="AI78" s="15">
        <f t="shared" si="34"/>
        <v>0</v>
      </c>
      <c r="AJ78" s="15">
        <f t="shared" si="35"/>
        <v>-2500</v>
      </c>
      <c r="AK78" s="15">
        <f t="shared" si="36"/>
        <v>-1000</v>
      </c>
      <c r="AL78" s="15">
        <f t="shared" si="37"/>
        <v>-1500</v>
      </c>
      <c r="AM78" s="15">
        <f t="shared" si="38"/>
        <v>-3000</v>
      </c>
      <c r="AN78" s="15">
        <f t="shared" si="39"/>
        <v>-3500</v>
      </c>
      <c r="AO78" s="15">
        <f t="shared" si="40"/>
        <v>-2000</v>
      </c>
      <c r="AP78" s="15">
        <f t="shared" si="41"/>
        <v>-1500</v>
      </c>
      <c r="AQ78" s="15">
        <v>-500</v>
      </c>
      <c r="AR78" s="15">
        <f t="shared" si="42"/>
        <v>-500</v>
      </c>
      <c r="AS78" s="15">
        <f t="shared" si="43"/>
        <v>-1000</v>
      </c>
      <c r="AT78" s="15">
        <f t="shared" si="44"/>
        <v>-1000</v>
      </c>
      <c r="AU78" s="15">
        <f t="shared" si="45"/>
        <v>-19000</v>
      </c>
    </row>
    <row r="79" spans="1:47">
      <c r="A79" s="14" t="s">
        <v>125</v>
      </c>
      <c r="B79" s="16">
        <v>67.08</v>
      </c>
      <c r="C79" s="16">
        <v>180.13</v>
      </c>
      <c r="D79" s="16">
        <v>174.98</v>
      </c>
      <c r="E79" s="16">
        <v>291.58999999999997</v>
      </c>
      <c r="F79" s="16">
        <v>24.02</v>
      </c>
      <c r="G79" s="16">
        <v>1926.48</v>
      </c>
      <c r="H79" s="16">
        <v>123.81</v>
      </c>
      <c r="I79" s="16">
        <v>117.95</v>
      </c>
      <c r="J79" s="16">
        <v>0</v>
      </c>
      <c r="K79" s="16">
        <v>0</v>
      </c>
      <c r="L79" s="16">
        <v>60.45</v>
      </c>
      <c r="M79" s="16">
        <v>22.53</v>
      </c>
      <c r="N79" s="16">
        <v>2989.02</v>
      </c>
      <c r="P79" s="15">
        <v>5</v>
      </c>
      <c r="Q79" s="2" t="s">
        <v>1</v>
      </c>
      <c r="R79" s="2" t="s">
        <v>52</v>
      </c>
      <c r="T79" s="15">
        <v>14108</v>
      </c>
      <c r="U79" s="2" t="s">
        <v>1</v>
      </c>
      <c r="V79" s="15">
        <v>100029927</v>
      </c>
      <c r="W79" s="2" t="s">
        <v>117</v>
      </c>
      <c r="X79" s="2" t="s">
        <v>117</v>
      </c>
      <c r="Y79" s="2" t="s">
        <v>118</v>
      </c>
      <c r="Z79" s="2" t="s">
        <v>125</v>
      </c>
      <c r="AA79" s="15">
        <v>5542</v>
      </c>
      <c r="AB79" s="15">
        <v>1</v>
      </c>
      <c r="AC79" s="15">
        <v>1888673</v>
      </c>
      <c r="AD79" s="15">
        <v>8</v>
      </c>
      <c r="AE79" s="2" t="s">
        <v>100</v>
      </c>
      <c r="AF79" s="15">
        <v>1</v>
      </c>
      <c r="AG79" s="15">
        <v>1</v>
      </c>
      <c r="AH79" s="15">
        <f t="shared" si="33"/>
        <v>-67.08</v>
      </c>
      <c r="AI79" s="15">
        <f t="shared" si="34"/>
        <v>-180.13</v>
      </c>
      <c r="AJ79" s="15">
        <f t="shared" si="35"/>
        <v>-174.98</v>
      </c>
      <c r="AK79" s="15">
        <f t="shared" si="36"/>
        <v>-291.58999999999997</v>
      </c>
      <c r="AL79" s="15">
        <f t="shared" si="37"/>
        <v>-24.02</v>
      </c>
      <c r="AM79" s="15">
        <f t="shared" si="38"/>
        <v>-1926.48</v>
      </c>
      <c r="AN79" s="15">
        <f t="shared" si="39"/>
        <v>-123.81</v>
      </c>
      <c r="AO79" s="15">
        <f t="shared" si="40"/>
        <v>-117.95</v>
      </c>
      <c r="AP79" s="15">
        <f t="shared" si="41"/>
        <v>0</v>
      </c>
      <c r="AQ79" s="15">
        <v>0</v>
      </c>
      <c r="AR79" s="15">
        <f t="shared" si="42"/>
        <v>0</v>
      </c>
      <c r="AS79" s="15">
        <f t="shared" si="43"/>
        <v>-60.45</v>
      </c>
      <c r="AT79" s="15">
        <f t="shared" si="44"/>
        <v>-22.53</v>
      </c>
      <c r="AU79" s="15">
        <f t="shared" si="45"/>
        <v>-2989.02</v>
      </c>
    </row>
    <row r="80" spans="1:47">
      <c r="A80" s="9" t="s">
        <v>115</v>
      </c>
      <c r="B80" s="11">
        <f>IF(5 = P80, AH80 * -1, AH80)</f>
        <v>10483.030000000001</v>
      </c>
      <c r="C80" s="11">
        <f>IF(5 = P80, AI80 * -1, AI80)</f>
        <v>9920.5399999999991</v>
      </c>
      <c r="D80" s="11">
        <f>IF(5 = P80, AJ80 * -1, AJ80)</f>
        <v>13638</v>
      </c>
      <c r="E80" s="11">
        <f>IF(5 = P80, AK80 * -1, AK80)</f>
        <v>14178.05</v>
      </c>
      <c r="F80" s="11">
        <f>IF(5 = P80, AL80 * -1, AL80)</f>
        <v>10692.620000000003</v>
      </c>
      <c r="G80" s="11">
        <f>IF(5 = P80, AM80 * -1, AM80)</f>
        <v>13032.31</v>
      </c>
      <c r="H80" s="11">
        <f>IF(5 = P80, AN80 * -1, AN80)</f>
        <v>11996.81</v>
      </c>
      <c r="I80" s="11">
        <f>IF(5 = P80, AO80 * -1, AO80)</f>
        <v>8219.1200000000008</v>
      </c>
      <c r="J80" s="11">
        <f>IF(5 = P80, AP80 * -1, AP80)</f>
        <v>9660.52</v>
      </c>
      <c r="K80" s="11">
        <f>IF(5 = P80, AR80 * -1, AR80)</f>
        <v>10187.59</v>
      </c>
      <c r="L80" s="11">
        <f>IF(5 = P80, AS80 * -1, AS80)</f>
        <v>8959.9400000000023</v>
      </c>
      <c r="M80" s="11">
        <f>IF(5 = P80, AT80 * -1, AT80)</f>
        <v>10127.390000000001</v>
      </c>
      <c r="N80" s="11">
        <f>IF(5 = P80, AU80 * -1, AU80)</f>
        <v>131095.91999999998</v>
      </c>
      <c r="P80" s="10">
        <v>5</v>
      </c>
      <c r="Q80" s="17" t="str">
        <f>Q79</f>
        <v>Canyon Ridge</v>
      </c>
      <c r="R80" s="12" t="str">
        <f>R79</f>
        <v>9521</v>
      </c>
      <c r="S80" s="10">
        <f>S79</f>
        <v>0</v>
      </c>
      <c r="T80" s="15"/>
      <c r="U80" s="2"/>
      <c r="V80" s="15"/>
      <c r="W80" s="2"/>
      <c r="X80" s="2"/>
      <c r="Y80" s="2"/>
      <c r="Z80" s="2"/>
      <c r="AA80" s="15"/>
      <c r="AB80" s="15"/>
      <c r="AC80" s="15"/>
      <c r="AD80" s="15"/>
      <c r="AE80" s="2"/>
      <c r="AF80" s="15"/>
      <c r="AG80" s="15"/>
      <c r="AH80" s="10">
        <f t="shared" ref="AH80:AP80" si="46">SUM(AH72:AH79)</f>
        <v>-10483.030000000001</v>
      </c>
      <c r="AI80" s="10">
        <f t="shared" si="46"/>
        <v>-9920.5399999999991</v>
      </c>
      <c r="AJ80" s="10">
        <f t="shared" si="46"/>
        <v>-13638</v>
      </c>
      <c r="AK80" s="10">
        <f t="shared" si="46"/>
        <v>-14178.05</v>
      </c>
      <c r="AL80" s="10">
        <f t="shared" si="46"/>
        <v>-10692.620000000003</v>
      </c>
      <c r="AM80" s="10">
        <f t="shared" si="46"/>
        <v>-13032.31</v>
      </c>
      <c r="AN80" s="10">
        <f t="shared" si="46"/>
        <v>-11996.81</v>
      </c>
      <c r="AO80" s="10">
        <f t="shared" si="46"/>
        <v>-8219.1200000000008</v>
      </c>
      <c r="AP80" s="10">
        <f t="shared" si="46"/>
        <v>-9660.52</v>
      </c>
      <c r="AQ80" s="15"/>
      <c r="AR80" s="10">
        <f>SUM(AR72:AR79)</f>
        <v>-10187.59</v>
      </c>
      <c r="AS80" s="10">
        <f>SUM(AS72:AS79)</f>
        <v>-8959.9400000000023</v>
      </c>
      <c r="AT80" s="10">
        <f>SUM(AT72:AT79)</f>
        <v>-10127.390000000001</v>
      </c>
      <c r="AU80" s="10">
        <f>SUM(AU72:AU79)</f>
        <v>-131095.91999999998</v>
      </c>
    </row>
    <row r="81" spans="1:47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P81" s="15"/>
      <c r="Q81" s="2"/>
      <c r="T81" s="15"/>
      <c r="U81" s="2"/>
      <c r="V81" s="15"/>
      <c r="W81" s="2"/>
      <c r="X81" s="2"/>
      <c r="Y81" s="2"/>
      <c r="Z81" s="2"/>
      <c r="AA81" s="15"/>
      <c r="AB81" s="15"/>
      <c r="AC81" s="15"/>
      <c r="AD81" s="15"/>
      <c r="AE81" s="2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1:47">
      <c r="A82" s="13" t="s">
        <v>126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P82" s="15"/>
      <c r="Q82" s="2"/>
      <c r="T82" s="15"/>
      <c r="U82" s="2"/>
      <c r="V82" s="15"/>
      <c r="W82" s="2"/>
      <c r="X82" s="2"/>
      <c r="Y82" s="2"/>
      <c r="Z82" s="2"/>
      <c r="AA82" s="15"/>
      <c r="AB82" s="15"/>
      <c r="AC82" s="15"/>
      <c r="AD82" s="15"/>
      <c r="AE82" s="2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1:47">
      <c r="A83" s="14" t="s">
        <v>127</v>
      </c>
      <c r="B83" s="16">
        <v>296.45999999999998</v>
      </c>
      <c r="C83" s="16">
        <v>291.67</v>
      </c>
      <c r="D83" s="16">
        <v>349.08</v>
      </c>
      <c r="E83" s="16">
        <v>438.09</v>
      </c>
      <c r="F83" s="16">
        <v>394.57</v>
      </c>
      <c r="G83" s="16">
        <v>403.86</v>
      </c>
      <c r="H83" s="16">
        <v>393.42</v>
      </c>
      <c r="I83" s="16">
        <v>387.52</v>
      </c>
      <c r="J83" s="16">
        <v>536.23</v>
      </c>
      <c r="K83" s="16">
        <v>812.71</v>
      </c>
      <c r="L83" s="16">
        <v>374.79</v>
      </c>
      <c r="M83" s="16">
        <v>324.74</v>
      </c>
      <c r="N83" s="16">
        <v>5003.1400000000003</v>
      </c>
      <c r="P83" s="15">
        <v>5</v>
      </c>
      <c r="Q83" s="2" t="s">
        <v>1</v>
      </c>
      <c r="R83" s="2" t="s">
        <v>52</v>
      </c>
      <c r="T83" s="15">
        <v>14108</v>
      </c>
      <c r="U83" s="2" t="s">
        <v>1</v>
      </c>
      <c r="V83" s="15">
        <v>100029927</v>
      </c>
      <c r="W83" s="2" t="s">
        <v>128</v>
      </c>
      <c r="X83" s="2" t="s">
        <v>128</v>
      </c>
      <c r="Y83" s="2" t="s">
        <v>129</v>
      </c>
      <c r="Z83" s="2" t="s">
        <v>127</v>
      </c>
      <c r="AA83" s="15">
        <v>6007</v>
      </c>
      <c r="AB83" s="15">
        <v>1</v>
      </c>
      <c r="AC83" s="15">
        <v>2111808</v>
      </c>
      <c r="AD83" s="15">
        <v>1</v>
      </c>
      <c r="AE83" s="2" t="s">
        <v>100</v>
      </c>
      <c r="AF83" s="15">
        <v>1</v>
      </c>
      <c r="AG83" s="15">
        <v>1</v>
      </c>
      <c r="AH83" s="15">
        <f t="shared" ref="AH83:AH98" si="47">IF(5 = P83, B83 * -1, B83)</f>
        <v>-296.45999999999998</v>
      </c>
      <c r="AI83" s="15">
        <f t="shared" ref="AI83:AI98" si="48">IF(5 = P83, C83 * -1, C83)</f>
        <v>-291.67</v>
      </c>
      <c r="AJ83" s="15">
        <f t="shared" ref="AJ83:AJ98" si="49">IF(5 = P83, D83 * -1, D83)</f>
        <v>-349.08</v>
      </c>
      <c r="AK83" s="15">
        <f t="shared" ref="AK83:AK98" si="50">IF(5 = P83, E83 * -1, E83)</f>
        <v>-438.09</v>
      </c>
      <c r="AL83" s="15">
        <f t="shared" ref="AL83:AL98" si="51">IF(5 = P83, F83 * -1, F83)</f>
        <v>-394.57</v>
      </c>
      <c r="AM83" s="15">
        <f t="shared" ref="AM83:AM98" si="52">IF(5 = P83, G83 * -1, G83)</f>
        <v>-403.86</v>
      </c>
      <c r="AN83" s="15">
        <f t="shared" ref="AN83:AN98" si="53">IF(5 = P83, H83 * -1, H83)</f>
        <v>-393.42</v>
      </c>
      <c r="AO83" s="15">
        <f t="shared" ref="AO83:AO98" si="54">IF(5 = P83, I83 * -1, I83)</f>
        <v>-387.52</v>
      </c>
      <c r="AP83" s="15">
        <f t="shared" ref="AP83:AP98" si="55">IF(5 = P83, J83 * -1, J83)</f>
        <v>-536.23</v>
      </c>
      <c r="AQ83" s="15">
        <v>-812.71</v>
      </c>
      <c r="AR83" s="15">
        <f t="shared" ref="AR83:AR98" si="56">IF(5 = P83, K83 * -1, K83)</f>
        <v>-812.71</v>
      </c>
      <c r="AS83" s="15">
        <f t="shared" ref="AS83:AS98" si="57">IF(5 = P83, L83 * -1, L83)</f>
        <v>-374.79</v>
      </c>
      <c r="AT83" s="15">
        <f t="shared" ref="AT83:AT98" si="58">IF(5 = P83, M83 * -1, M83)</f>
        <v>-324.74</v>
      </c>
      <c r="AU83" s="15">
        <f t="shared" ref="AU83:AU98" si="59">IF(5 = P83, N83 * -1, N83)</f>
        <v>-5003.1400000000003</v>
      </c>
    </row>
    <row r="84" spans="1:47">
      <c r="A84" s="14" t="s">
        <v>75</v>
      </c>
      <c r="B84" s="16">
        <v>0</v>
      </c>
      <c r="C84" s="16">
        <v>119.1</v>
      </c>
      <c r="D84" s="16">
        <v>0</v>
      </c>
      <c r="E84" s="16">
        <v>28.02</v>
      </c>
      <c r="F84" s="16">
        <v>21.34</v>
      </c>
      <c r="G84" s="16">
        <v>74.95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243.41</v>
      </c>
      <c r="P84" s="15">
        <v>5</v>
      </c>
      <c r="Q84" s="2" t="s">
        <v>1</v>
      </c>
      <c r="R84" s="2" t="s">
        <v>52</v>
      </c>
      <c r="T84" s="15">
        <v>14108</v>
      </c>
      <c r="U84" s="2" t="s">
        <v>1</v>
      </c>
      <c r="V84" s="15">
        <v>100029927</v>
      </c>
      <c r="W84" s="2" t="s">
        <v>128</v>
      </c>
      <c r="X84" s="2" t="s">
        <v>128</v>
      </c>
      <c r="Y84" s="2" t="s">
        <v>129</v>
      </c>
      <c r="Z84" s="2" t="s">
        <v>75</v>
      </c>
      <c r="AA84" s="15">
        <v>6008</v>
      </c>
      <c r="AB84" s="15">
        <v>1</v>
      </c>
      <c r="AC84" s="15">
        <v>1888767</v>
      </c>
      <c r="AD84" s="15">
        <v>2</v>
      </c>
      <c r="AE84" s="2" t="s">
        <v>100</v>
      </c>
      <c r="AF84" s="15">
        <v>0</v>
      </c>
      <c r="AG84" s="15">
        <v>0</v>
      </c>
      <c r="AH84" s="15">
        <f t="shared" si="47"/>
        <v>0</v>
      </c>
      <c r="AI84" s="15">
        <f t="shared" si="48"/>
        <v>-119.1</v>
      </c>
      <c r="AJ84" s="15">
        <f t="shared" si="49"/>
        <v>0</v>
      </c>
      <c r="AK84" s="15">
        <f t="shared" si="50"/>
        <v>-28.02</v>
      </c>
      <c r="AL84" s="15">
        <f t="shared" si="51"/>
        <v>-21.34</v>
      </c>
      <c r="AM84" s="15">
        <f t="shared" si="52"/>
        <v>-74.95</v>
      </c>
      <c r="AN84" s="15">
        <f t="shared" si="53"/>
        <v>0</v>
      </c>
      <c r="AO84" s="15">
        <f t="shared" si="54"/>
        <v>0</v>
      </c>
      <c r="AP84" s="15">
        <f t="shared" si="55"/>
        <v>0</v>
      </c>
      <c r="AQ84" s="15">
        <v>0</v>
      </c>
      <c r="AR84" s="15">
        <f t="shared" si="56"/>
        <v>0</v>
      </c>
      <c r="AS84" s="15">
        <f t="shared" si="57"/>
        <v>0</v>
      </c>
      <c r="AT84" s="15">
        <f t="shared" si="58"/>
        <v>0</v>
      </c>
      <c r="AU84" s="15">
        <f t="shared" si="59"/>
        <v>-243.41</v>
      </c>
    </row>
    <row r="85" spans="1:47">
      <c r="A85" s="14" t="s">
        <v>130</v>
      </c>
      <c r="B85" s="16">
        <v>23.03</v>
      </c>
      <c r="C85" s="16">
        <v>8.4600000000000009</v>
      </c>
      <c r="D85" s="16">
        <v>0</v>
      </c>
      <c r="E85" s="16">
        <v>0</v>
      </c>
      <c r="F85" s="16">
        <v>23.53</v>
      </c>
      <c r="G85" s="16">
        <v>0</v>
      </c>
      <c r="H85" s="16">
        <v>14.35</v>
      </c>
      <c r="I85" s="16">
        <v>30.86</v>
      </c>
      <c r="J85" s="16">
        <v>0</v>
      </c>
      <c r="K85" s="16">
        <v>0</v>
      </c>
      <c r="L85" s="16">
        <v>34.46</v>
      </c>
      <c r="M85" s="16">
        <v>18.760000000000002</v>
      </c>
      <c r="N85" s="16">
        <v>153.44999999999999</v>
      </c>
      <c r="P85" s="15">
        <v>5</v>
      </c>
      <c r="Q85" s="2" t="s">
        <v>1</v>
      </c>
      <c r="R85" s="2" t="s">
        <v>52</v>
      </c>
      <c r="T85" s="15">
        <v>14108</v>
      </c>
      <c r="U85" s="2" t="s">
        <v>1</v>
      </c>
      <c r="V85" s="15">
        <v>100029927</v>
      </c>
      <c r="W85" s="2" t="s">
        <v>128</v>
      </c>
      <c r="X85" s="2" t="s">
        <v>128</v>
      </c>
      <c r="Y85" s="2" t="s">
        <v>129</v>
      </c>
      <c r="Z85" s="2" t="s">
        <v>130</v>
      </c>
      <c r="AA85" s="15">
        <v>6009</v>
      </c>
      <c r="AB85" s="15">
        <v>1</v>
      </c>
      <c r="AC85" s="15">
        <v>1888766</v>
      </c>
      <c r="AD85" s="15">
        <v>3</v>
      </c>
      <c r="AE85" s="2" t="s">
        <v>100</v>
      </c>
      <c r="AF85" s="15">
        <v>1</v>
      </c>
      <c r="AG85" s="15">
        <v>1</v>
      </c>
      <c r="AH85" s="15">
        <f t="shared" si="47"/>
        <v>-23.03</v>
      </c>
      <c r="AI85" s="15">
        <f t="shared" si="48"/>
        <v>-8.4600000000000009</v>
      </c>
      <c r="AJ85" s="15">
        <f t="shared" si="49"/>
        <v>0</v>
      </c>
      <c r="AK85" s="15">
        <f t="shared" si="50"/>
        <v>0</v>
      </c>
      <c r="AL85" s="15">
        <f t="shared" si="51"/>
        <v>-23.53</v>
      </c>
      <c r="AM85" s="15">
        <f t="shared" si="52"/>
        <v>0</v>
      </c>
      <c r="AN85" s="15">
        <f t="shared" si="53"/>
        <v>-14.35</v>
      </c>
      <c r="AO85" s="15">
        <f t="shared" si="54"/>
        <v>-30.86</v>
      </c>
      <c r="AP85" s="15">
        <f t="shared" si="55"/>
        <v>0</v>
      </c>
      <c r="AQ85" s="15">
        <v>0</v>
      </c>
      <c r="AR85" s="15">
        <f t="shared" si="56"/>
        <v>0</v>
      </c>
      <c r="AS85" s="15">
        <f t="shared" si="57"/>
        <v>-34.46</v>
      </c>
      <c r="AT85" s="15">
        <f t="shared" si="58"/>
        <v>-18.760000000000002</v>
      </c>
      <c r="AU85" s="15">
        <f t="shared" si="59"/>
        <v>-153.44999999999999</v>
      </c>
    </row>
    <row r="86" spans="1:47">
      <c r="A86" s="14" t="s">
        <v>131</v>
      </c>
      <c r="B86" s="16">
        <v>0</v>
      </c>
      <c r="C86" s="16">
        <v>172.76</v>
      </c>
      <c r="D86" s="16">
        <v>229.6</v>
      </c>
      <c r="E86" s="16">
        <v>213.68</v>
      </c>
      <c r="F86" s="16">
        <v>202.32</v>
      </c>
      <c r="G86" s="16">
        <v>222.78</v>
      </c>
      <c r="H86" s="16">
        <v>213.68</v>
      </c>
      <c r="I86" s="16">
        <v>441.02</v>
      </c>
      <c r="J86" s="16">
        <v>388.74</v>
      </c>
      <c r="K86" s="16">
        <v>434.2</v>
      </c>
      <c r="L86" s="16">
        <v>472.84</v>
      </c>
      <c r="M86" s="16">
        <v>460</v>
      </c>
      <c r="N86" s="16">
        <v>3451.62</v>
      </c>
      <c r="P86" s="15">
        <v>5</v>
      </c>
      <c r="Q86" s="2" t="s">
        <v>1</v>
      </c>
      <c r="R86" s="2" t="s">
        <v>52</v>
      </c>
      <c r="T86" s="15">
        <v>14108</v>
      </c>
      <c r="U86" s="2" t="s">
        <v>1</v>
      </c>
      <c r="V86" s="15">
        <v>100029927</v>
      </c>
      <c r="W86" s="2" t="s">
        <v>128</v>
      </c>
      <c r="X86" s="2" t="s">
        <v>128</v>
      </c>
      <c r="Y86" s="2" t="s">
        <v>129</v>
      </c>
      <c r="Z86" s="2" t="s">
        <v>131</v>
      </c>
      <c r="AA86" s="15">
        <v>6012</v>
      </c>
      <c r="AB86" s="15">
        <v>1</v>
      </c>
      <c r="AC86" s="15">
        <v>1888768</v>
      </c>
      <c r="AD86" s="15">
        <v>5</v>
      </c>
      <c r="AE86" s="2" t="s">
        <v>100</v>
      </c>
      <c r="AF86" s="15">
        <v>2</v>
      </c>
      <c r="AG86" s="15">
        <v>2</v>
      </c>
      <c r="AH86" s="15">
        <f t="shared" si="47"/>
        <v>0</v>
      </c>
      <c r="AI86" s="15">
        <f t="shared" si="48"/>
        <v>-172.76</v>
      </c>
      <c r="AJ86" s="15">
        <f t="shared" si="49"/>
        <v>-229.6</v>
      </c>
      <c r="AK86" s="15">
        <f t="shared" si="50"/>
        <v>-213.68</v>
      </c>
      <c r="AL86" s="15">
        <f t="shared" si="51"/>
        <v>-202.32</v>
      </c>
      <c r="AM86" s="15">
        <f t="shared" si="52"/>
        <v>-222.78</v>
      </c>
      <c r="AN86" s="15">
        <f t="shared" si="53"/>
        <v>-213.68</v>
      </c>
      <c r="AO86" s="15">
        <f t="shared" si="54"/>
        <v>-441.02</v>
      </c>
      <c r="AP86" s="15">
        <f t="shared" si="55"/>
        <v>-388.74</v>
      </c>
      <c r="AQ86" s="15">
        <v>-434.2</v>
      </c>
      <c r="AR86" s="15">
        <f t="shared" si="56"/>
        <v>-434.2</v>
      </c>
      <c r="AS86" s="15">
        <f t="shared" si="57"/>
        <v>-472.84</v>
      </c>
      <c r="AT86" s="15">
        <f t="shared" si="58"/>
        <v>-460</v>
      </c>
      <c r="AU86" s="15">
        <f t="shared" si="59"/>
        <v>-3451.62</v>
      </c>
    </row>
    <row r="87" spans="1:47">
      <c r="A87" s="14" t="s">
        <v>132</v>
      </c>
      <c r="B87" s="16">
        <v>0</v>
      </c>
      <c r="C87" s="16">
        <v>0</v>
      </c>
      <c r="D87" s="16">
        <v>0</v>
      </c>
      <c r="E87" s="16">
        <v>0</v>
      </c>
      <c r="F87" s="16">
        <v>-75</v>
      </c>
      <c r="G87" s="16">
        <v>-125</v>
      </c>
      <c r="H87" s="16">
        <v>-729.28</v>
      </c>
      <c r="I87" s="16">
        <v>-250</v>
      </c>
      <c r="J87" s="16">
        <v>-50</v>
      </c>
      <c r="K87" s="16">
        <v>-1272.1600000000001</v>
      </c>
      <c r="L87" s="16">
        <v>0</v>
      </c>
      <c r="M87" s="16">
        <v>-813.98</v>
      </c>
      <c r="N87" s="16">
        <v>-3315.42</v>
      </c>
      <c r="P87" s="15">
        <v>5</v>
      </c>
      <c r="Q87" s="2" t="s">
        <v>1</v>
      </c>
      <c r="R87" s="2" t="s">
        <v>52</v>
      </c>
      <c r="T87" s="15">
        <v>14108</v>
      </c>
      <c r="U87" s="2" t="s">
        <v>1</v>
      </c>
      <c r="V87" s="15">
        <v>100029927</v>
      </c>
      <c r="W87" s="2" t="s">
        <v>128</v>
      </c>
      <c r="X87" s="2" t="s">
        <v>128</v>
      </c>
      <c r="Y87" s="2" t="s">
        <v>129</v>
      </c>
      <c r="Z87" s="2" t="s">
        <v>132</v>
      </c>
      <c r="AA87" s="15">
        <v>6018</v>
      </c>
      <c r="AB87" s="15">
        <v>1</v>
      </c>
      <c r="AC87" s="15">
        <v>1888770</v>
      </c>
      <c r="AD87" s="15">
        <v>6</v>
      </c>
      <c r="AE87" s="2" t="s">
        <v>100</v>
      </c>
      <c r="AF87" s="15">
        <v>1</v>
      </c>
      <c r="AG87" s="15">
        <v>1</v>
      </c>
      <c r="AH87" s="15">
        <f t="shared" si="47"/>
        <v>0</v>
      </c>
      <c r="AI87" s="15">
        <f t="shared" si="48"/>
        <v>0</v>
      </c>
      <c r="AJ87" s="15">
        <f t="shared" si="49"/>
        <v>0</v>
      </c>
      <c r="AK87" s="15">
        <f t="shared" si="50"/>
        <v>0</v>
      </c>
      <c r="AL87" s="15">
        <f t="shared" si="51"/>
        <v>75</v>
      </c>
      <c r="AM87" s="15">
        <f t="shared" si="52"/>
        <v>125</v>
      </c>
      <c r="AN87" s="15">
        <f t="shared" si="53"/>
        <v>729.28</v>
      </c>
      <c r="AO87" s="15">
        <f t="shared" si="54"/>
        <v>250</v>
      </c>
      <c r="AP87" s="15">
        <f t="shared" si="55"/>
        <v>50</v>
      </c>
      <c r="AQ87" s="15">
        <v>1272.1600000000001</v>
      </c>
      <c r="AR87" s="15">
        <f t="shared" si="56"/>
        <v>1272.1600000000001</v>
      </c>
      <c r="AS87" s="15">
        <f t="shared" si="57"/>
        <v>0</v>
      </c>
      <c r="AT87" s="15">
        <f t="shared" si="58"/>
        <v>813.98</v>
      </c>
      <c r="AU87" s="15">
        <f t="shared" si="59"/>
        <v>3315.42</v>
      </c>
    </row>
    <row r="88" spans="1:47">
      <c r="A88" s="14" t="s">
        <v>133</v>
      </c>
      <c r="B88" s="16">
        <v>687.18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629.28</v>
      </c>
      <c r="I88" s="16">
        <v>1452.33</v>
      </c>
      <c r="J88" s="16">
        <v>0</v>
      </c>
      <c r="K88" s="16">
        <v>1197.1600000000001</v>
      </c>
      <c r="L88" s="16">
        <v>689.18</v>
      </c>
      <c r="M88" s="16">
        <v>637.28</v>
      </c>
      <c r="N88" s="16">
        <v>5292.41</v>
      </c>
      <c r="P88" s="15">
        <v>5</v>
      </c>
      <c r="Q88" s="2" t="s">
        <v>1</v>
      </c>
      <c r="R88" s="2" t="s">
        <v>52</v>
      </c>
      <c r="T88" s="15">
        <v>14108</v>
      </c>
      <c r="U88" s="2" t="s">
        <v>1</v>
      </c>
      <c r="V88" s="15">
        <v>100029927</v>
      </c>
      <c r="W88" s="2" t="s">
        <v>128</v>
      </c>
      <c r="X88" s="2" t="s">
        <v>128</v>
      </c>
      <c r="Y88" s="2" t="s">
        <v>129</v>
      </c>
      <c r="Z88" s="2" t="s">
        <v>133</v>
      </c>
      <c r="AA88" s="15">
        <v>6021</v>
      </c>
      <c r="AB88" s="15">
        <v>1</v>
      </c>
      <c r="AC88" s="15">
        <v>1888771</v>
      </c>
      <c r="AD88" s="15">
        <v>7</v>
      </c>
      <c r="AE88" s="2" t="s">
        <v>100</v>
      </c>
      <c r="AF88" s="15">
        <v>1</v>
      </c>
      <c r="AG88" s="15">
        <v>1</v>
      </c>
      <c r="AH88" s="15">
        <f t="shared" si="47"/>
        <v>-687.18</v>
      </c>
      <c r="AI88" s="15">
        <f t="shared" si="48"/>
        <v>0</v>
      </c>
      <c r="AJ88" s="15">
        <f t="shared" si="49"/>
        <v>0</v>
      </c>
      <c r="AK88" s="15">
        <f t="shared" si="50"/>
        <v>0</v>
      </c>
      <c r="AL88" s="15">
        <f t="shared" si="51"/>
        <v>0</v>
      </c>
      <c r="AM88" s="15">
        <f t="shared" si="52"/>
        <v>0</v>
      </c>
      <c r="AN88" s="15">
        <f t="shared" si="53"/>
        <v>-629.28</v>
      </c>
      <c r="AO88" s="15">
        <f t="shared" si="54"/>
        <v>-1452.33</v>
      </c>
      <c r="AP88" s="15">
        <f t="shared" si="55"/>
        <v>0</v>
      </c>
      <c r="AQ88" s="15">
        <v>-1197.1600000000001</v>
      </c>
      <c r="AR88" s="15">
        <f t="shared" si="56"/>
        <v>-1197.1600000000001</v>
      </c>
      <c r="AS88" s="15">
        <f t="shared" si="57"/>
        <v>-689.18</v>
      </c>
      <c r="AT88" s="15">
        <f t="shared" si="58"/>
        <v>-637.28</v>
      </c>
      <c r="AU88" s="15">
        <f t="shared" si="59"/>
        <v>-5292.41</v>
      </c>
    </row>
    <row r="89" spans="1:47">
      <c r="A89" s="14" t="s">
        <v>134</v>
      </c>
      <c r="B89" s="16">
        <v>458.37</v>
      </c>
      <c r="C89" s="16">
        <v>461.79</v>
      </c>
      <c r="D89" s="16">
        <v>476.56</v>
      </c>
      <c r="E89" s="16">
        <v>457.68</v>
      </c>
      <c r="F89" s="16">
        <v>492.64</v>
      </c>
      <c r="G89" s="16">
        <v>510.06</v>
      </c>
      <c r="H89" s="16">
        <v>461.61</v>
      </c>
      <c r="I89" s="16">
        <v>458.17</v>
      </c>
      <c r="J89" s="16">
        <v>615.21</v>
      </c>
      <c r="K89" s="16">
        <v>545.15</v>
      </c>
      <c r="L89" s="16">
        <v>544.6</v>
      </c>
      <c r="M89" s="16">
        <v>590.54</v>
      </c>
      <c r="N89" s="16">
        <v>6072.38</v>
      </c>
      <c r="P89" s="15">
        <v>5</v>
      </c>
      <c r="Q89" s="2" t="s">
        <v>1</v>
      </c>
      <c r="R89" s="2" t="s">
        <v>52</v>
      </c>
      <c r="T89" s="15">
        <v>14108</v>
      </c>
      <c r="U89" s="2" t="s">
        <v>1</v>
      </c>
      <c r="V89" s="15">
        <v>100029927</v>
      </c>
      <c r="W89" s="2" t="s">
        <v>128</v>
      </c>
      <c r="X89" s="2" t="s">
        <v>128</v>
      </c>
      <c r="Y89" s="2" t="s">
        <v>129</v>
      </c>
      <c r="Z89" s="2" t="s">
        <v>134</v>
      </c>
      <c r="AA89" s="15">
        <v>6030</v>
      </c>
      <c r="AB89" s="15">
        <v>1</v>
      </c>
      <c r="AC89" s="15">
        <v>1888773</v>
      </c>
      <c r="AD89" s="15">
        <v>9</v>
      </c>
      <c r="AE89" s="2" t="s">
        <v>100</v>
      </c>
      <c r="AF89" s="15">
        <v>1</v>
      </c>
      <c r="AG89" s="15">
        <v>1</v>
      </c>
      <c r="AH89" s="15">
        <f t="shared" si="47"/>
        <v>-458.37</v>
      </c>
      <c r="AI89" s="15">
        <f t="shared" si="48"/>
        <v>-461.79</v>
      </c>
      <c r="AJ89" s="15">
        <f t="shared" si="49"/>
        <v>-476.56</v>
      </c>
      <c r="AK89" s="15">
        <f t="shared" si="50"/>
        <v>-457.68</v>
      </c>
      <c r="AL89" s="15">
        <f t="shared" si="51"/>
        <v>-492.64</v>
      </c>
      <c r="AM89" s="15">
        <f t="shared" si="52"/>
        <v>-510.06</v>
      </c>
      <c r="AN89" s="15">
        <f t="shared" si="53"/>
        <v>-461.61</v>
      </c>
      <c r="AO89" s="15">
        <f t="shared" si="54"/>
        <v>-458.17</v>
      </c>
      <c r="AP89" s="15">
        <f t="shared" si="55"/>
        <v>-615.21</v>
      </c>
      <c r="AQ89" s="15">
        <v>-545.15</v>
      </c>
      <c r="AR89" s="15">
        <f t="shared" si="56"/>
        <v>-545.15</v>
      </c>
      <c r="AS89" s="15">
        <f t="shared" si="57"/>
        <v>-544.6</v>
      </c>
      <c r="AT89" s="15">
        <f t="shared" si="58"/>
        <v>-590.54</v>
      </c>
      <c r="AU89" s="15">
        <f t="shared" si="59"/>
        <v>-6072.38</v>
      </c>
    </row>
    <row r="90" spans="1:47">
      <c r="A90" s="14" t="s">
        <v>135</v>
      </c>
      <c r="B90" s="16">
        <v>1232.1600000000001</v>
      </c>
      <c r="C90" s="16">
        <v>1285</v>
      </c>
      <c r="D90" s="16">
        <v>1265.6400000000001</v>
      </c>
      <c r="E90" s="16">
        <v>1265.81</v>
      </c>
      <c r="F90" s="16">
        <v>1714.43</v>
      </c>
      <c r="G90" s="16">
        <v>1420.88</v>
      </c>
      <c r="H90" s="16">
        <v>1881.5</v>
      </c>
      <c r="I90" s="16">
        <v>1768.77</v>
      </c>
      <c r="J90" s="16">
        <v>1955.48</v>
      </c>
      <c r="K90" s="16">
        <v>2293.9499999999998</v>
      </c>
      <c r="L90" s="16">
        <v>2128.08</v>
      </c>
      <c r="M90" s="16">
        <v>2127.2800000000002</v>
      </c>
      <c r="N90" s="16">
        <v>20338.98</v>
      </c>
      <c r="P90" s="15">
        <v>5</v>
      </c>
      <c r="Q90" s="2" t="s">
        <v>1</v>
      </c>
      <c r="R90" s="2" t="s">
        <v>52</v>
      </c>
      <c r="T90" s="15">
        <v>14108</v>
      </c>
      <c r="U90" s="2" t="s">
        <v>1</v>
      </c>
      <c r="V90" s="15">
        <v>100029927</v>
      </c>
      <c r="W90" s="2" t="s">
        <v>128</v>
      </c>
      <c r="X90" s="2" t="s">
        <v>128</v>
      </c>
      <c r="Y90" s="2" t="s">
        <v>129</v>
      </c>
      <c r="Z90" s="2" t="s">
        <v>135</v>
      </c>
      <c r="AA90" s="15">
        <v>6042</v>
      </c>
      <c r="AB90" s="15">
        <v>1</v>
      </c>
      <c r="AC90" s="15">
        <v>1888776</v>
      </c>
      <c r="AD90" s="15">
        <v>12</v>
      </c>
      <c r="AE90" s="2" t="s">
        <v>100</v>
      </c>
      <c r="AF90" s="15">
        <v>2</v>
      </c>
      <c r="AG90" s="15">
        <v>2</v>
      </c>
      <c r="AH90" s="15">
        <f t="shared" si="47"/>
        <v>-1232.1600000000001</v>
      </c>
      <c r="AI90" s="15">
        <f t="shared" si="48"/>
        <v>-1285</v>
      </c>
      <c r="AJ90" s="15">
        <f t="shared" si="49"/>
        <v>-1265.6400000000001</v>
      </c>
      <c r="AK90" s="15">
        <f t="shared" si="50"/>
        <v>-1265.81</v>
      </c>
      <c r="AL90" s="15">
        <f t="shared" si="51"/>
        <v>-1714.43</v>
      </c>
      <c r="AM90" s="15">
        <f t="shared" si="52"/>
        <v>-1420.88</v>
      </c>
      <c r="AN90" s="15">
        <f t="shared" si="53"/>
        <v>-1881.5</v>
      </c>
      <c r="AO90" s="15">
        <f t="shared" si="54"/>
        <v>-1768.77</v>
      </c>
      <c r="AP90" s="15">
        <f t="shared" si="55"/>
        <v>-1955.48</v>
      </c>
      <c r="AQ90" s="15">
        <v>-2293.9499999999998</v>
      </c>
      <c r="AR90" s="15">
        <f t="shared" si="56"/>
        <v>-2293.9499999999998</v>
      </c>
      <c r="AS90" s="15">
        <f t="shared" si="57"/>
        <v>-2128.08</v>
      </c>
      <c r="AT90" s="15">
        <f t="shared" si="58"/>
        <v>-2127.2800000000002</v>
      </c>
      <c r="AU90" s="15">
        <f t="shared" si="59"/>
        <v>-20338.98</v>
      </c>
    </row>
    <row r="91" spans="1:47">
      <c r="A91" s="14" t="s">
        <v>136</v>
      </c>
      <c r="B91" s="16">
        <v>0</v>
      </c>
      <c r="C91" s="16">
        <v>0</v>
      </c>
      <c r="D91" s="16">
        <v>0</v>
      </c>
      <c r="E91" s="16">
        <v>0</v>
      </c>
      <c r="F91" s="16">
        <v>1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</v>
      </c>
      <c r="P91" s="15">
        <v>5</v>
      </c>
      <c r="Q91" s="2" t="s">
        <v>1</v>
      </c>
      <c r="R91" s="2" t="s">
        <v>52</v>
      </c>
      <c r="T91" s="15">
        <v>14108</v>
      </c>
      <c r="U91" s="2" t="s">
        <v>1</v>
      </c>
      <c r="V91" s="15">
        <v>100029927</v>
      </c>
      <c r="W91" s="2" t="s">
        <v>128</v>
      </c>
      <c r="X91" s="2" t="s">
        <v>128</v>
      </c>
      <c r="Y91" s="2" t="s">
        <v>129</v>
      </c>
      <c r="Z91" s="2" t="s">
        <v>136</v>
      </c>
      <c r="AA91" s="15">
        <v>6045</v>
      </c>
      <c r="AB91" s="15">
        <v>1</v>
      </c>
      <c r="AC91" s="15">
        <v>1888777</v>
      </c>
      <c r="AD91" s="15">
        <v>13</v>
      </c>
      <c r="AE91" s="2" t="s">
        <v>100</v>
      </c>
      <c r="AF91" s="15">
        <v>0</v>
      </c>
      <c r="AG91" s="15">
        <v>0</v>
      </c>
      <c r="AH91" s="15">
        <f t="shared" si="47"/>
        <v>0</v>
      </c>
      <c r="AI91" s="15">
        <f t="shared" si="48"/>
        <v>0</v>
      </c>
      <c r="AJ91" s="15">
        <f t="shared" si="49"/>
        <v>0</v>
      </c>
      <c r="AK91" s="15">
        <f t="shared" si="50"/>
        <v>0</v>
      </c>
      <c r="AL91" s="15">
        <f t="shared" si="51"/>
        <v>-1</v>
      </c>
      <c r="AM91" s="15">
        <f t="shared" si="52"/>
        <v>0</v>
      </c>
      <c r="AN91" s="15">
        <f t="shared" si="53"/>
        <v>0</v>
      </c>
      <c r="AO91" s="15">
        <f t="shared" si="54"/>
        <v>0</v>
      </c>
      <c r="AP91" s="15">
        <f t="shared" si="55"/>
        <v>0</v>
      </c>
      <c r="AQ91" s="15">
        <v>0</v>
      </c>
      <c r="AR91" s="15">
        <f t="shared" si="56"/>
        <v>0</v>
      </c>
      <c r="AS91" s="15">
        <f t="shared" si="57"/>
        <v>0</v>
      </c>
      <c r="AT91" s="15">
        <f t="shared" si="58"/>
        <v>0</v>
      </c>
      <c r="AU91" s="15">
        <f t="shared" si="59"/>
        <v>-1</v>
      </c>
    </row>
    <row r="92" spans="1:47">
      <c r="A92" s="14" t="s">
        <v>137</v>
      </c>
      <c r="B92" s="16">
        <v>225.68</v>
      </c>
      <c r="C92" s="16">
        <v>116.78</v>
      </c>
      <c r="D92" s="16">
        <v>94.25</v>
      </c>
      <c r="E92" s="16">
        <v>302.64</v>
      </c>
      <c r="F92" s="16">
        <v>304.69</v>
      </c>
      <c r="G92" s="16">
        <v>100.64</v>
      </c>
      <c r="H92" s="16">
        <v>237.64</v>
      </c>
      <c r="I92" s="16">
        <v>297.62</v>
      </c>
      <c r="J92" s="16">
        <v>199.05</v>
      </c>
      <c r="K92" s="16">
        <v>179.91</v>
      </c>
      <c r="L92" s="16">
        <v>307.13</v>
      </c>
      <c r="M92" s="16">
        <v>82.46</v>
      </c>
      <c r="N92" s="16">
        <v>2448.4899999999998</v>
      </c>
      <c r="P92" s="15">
        <v>5</v>
      </c>
      <c r="Q92" s="2" t="s">
        <v>1</v>
      </c>
      <c r="R92" s="2" t="s">
        <v>52</v>
      </c>
      <c r="T92" s="15">
        <v>14108</v>
      </c>
      <c r="U92" s="2" t="s">
        <v>1</v>
      </c>
      <c r="V92" s="15">
        <v>100029927</v>
      </c>
      <c r="W92" s="2" t="s">
        <v>128</v>
      </c>
      <c r="X92" s="2" t="s">
        <v>128</v>
      </c>
      <c r="Y92" s="2" t="s">
        <v>129</v>
      </c>
      <c r="Z92" s="2" t="s">
        <v>137</v>
      </c>
      <c r="AA92" s="15">
        <v>6054</v>
      </c>
      <c r="AB92" s="15">
        <v>1</v>
      </c>
      <c r="AC92" s="15">
        <v>1888778</v>
      </c>
      <c r="AD92" s="15">
        <v>14</v>
      </c>
      <c r="AE92" s="2" t="s">
        <v>100</v>
      </c>
      <c r="AF92" s="15">
        <v>1</v>
      </c>
      <c r="AG92" s="15">
        <v>1</v>
      </c>
      <c r="AH92" s="15">
        <f t="shared" si="47"/>
        <v>-225.68</v>
      </c>
      <c r="AI92" s="15">
        <f t="shared" si="48"/>
        <v>-116.78</v>
      </c>
      <c r="AJ92" s="15">
        <f t="shared" si="49"/>
        <v>-94.25</v>
      </c>
      <c r="AK92" s="15">
        <f t="shared" si="50"/>
        <v>-302.64</v>
      </c>
      <c r="AL92" s="15">
        <f t="shared" si="51"/>
        <v>-304.69</v>
      </c>
      <c r="AM92" s="15">
        <f t="shared" si="52"/>
        <v>-100.64</v>
      </c>
      <c r="AN92" s="15">
        <f t="shared" si="53"/>
        <v>-237.64</v>
      </c>
      <c r="AO92" s="15">
        <f t="shared" si="54"/>
        <v>-297.62</v>
      </c>
      <c r="AP92" s="15">
        <f t="shared" si="55"/>
        <v>-199.05</v>
      </c>
      <c r="AQ92" s="15">
        <v>-179.91</v>
      </c>
      <c r="AR92" s="15">
        <f t="shared" si="56"/>
        <v>-179.91</v>
      </c>
      <c r="AS92" s="15">
        <f t="shared" si="57"/>
        <v>-307.13</v>
      </c>
      <c r="AT92" s="15">
        <f t="shared" si="58"/>
        <v>-82.46</v>
      </c>
      <c r="AU92" s="15">
        <f t="shared" si="59"/>
        <v>-2448.4899999999998</v>
      </c>
    </row>
    <row r="93" spans="1:47">
      <c r="A93" s="14" t="s">
        <v>138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156.88</v>
      </c>
      <c r="L93" s="16">
        <v>0</v>
      </c>
      <c r="M93" s="16">
        <v>0</v>
      </c>
      <c r="N93" s="16">
        <v>156.88</v>
      </c>
      <c r="P93" s="15">
        <v>5</v>
      </c>
      <c r="Q93" s="2" t="s">
        <v>1</v>
      </c>
      <c r="R93" s="2" t="s">
        <v>52</v>
      </c>
      <c r="T93" s="15">
        <v>14108</v>
      </c>
      <c r="U93" s="2" t="s">
        <v>1</v>
      </c>
      <c r="V93" s="15">
        <v>100029927</v>
      </c>
      <c r="W93" s="2" t="s">
        <v>128</v>
      </c>
      <c r="X93" s="2" t="s">
        <v>128</v>
      </c>
      <c r="Y93" s="2" t="s">
        <v>129</v>
      </c>
      <c r="Z93" s="2" t="s">
        <v>138</v>
      </c>
      <c r="AA93" s="15">
        <v>6066</v>
      </c>
      <c r="AB93" s="15">
        <v>1</v>
      </c>
      <c r="AC93" s="15">
        <v>1888779</v>
      </c>
      <c r="AD93" s="15">
        <v>15</v>
      </c>
      <c r="AE93" s="2" t="s">
        <v>100</v>
      </c>
      <c r="AF93" s="15">
        <v>0</v>
      </c>
      <c r="AG93" s="15">
        <v>0</v>
      </c>
      <c r="AH93" s="15">
        <f t="shared" si="47"/>
        <v>0</v>
      </c>
      <c r="AI93" s="15">
        <f t="shared" si="48"/>
        <v>0</v>
      </c>
      <c r="AJ93" s="15">
        <f t="shared" si="49"/>
        <v>0</v>
      </c>
      <c r="AK93" s="15">
        <f t="shared" si="50"/>
        <v>0</v>
      </c>
      <c r="AL93" s="15">
        <f t="shared" si="51"/>
        <v>0</v>
      </c>
      <c r="AM93" s="15">
        <f t="shared" si="52"/>
        <v>0</v>
      </c>
      <c r="AN93" s="15">
        <f t="shared" si="53"/>
        <v>0</v>
      </c>
      <c r="AO93" s="15">
        <f t="shared" si="54"/>
        <v>0</v>
      </c>
      <c r="AP93" s="15">
        <f t="shared" si="55"/>
        <v>0</v>
      </c>
      <c r="AQ93" s="15">
        <v>-156.88</v>
      </c>
      <c r="AR93" s="15">
        <f t="shared" si="56"/>
        <v>-156.88</v>
      </c>
      <c r="AS93" s="15">
        <f t="shared" si="57"/>
        <v>0</v>
      </c>
      <c r="AT93" s="15">
        <f t="shared" si="58"/>
        <v>0</v>
      </c>
      <c r="AU93" s="15">
        <f t="shared" si="59"/>
        <v>-156.88</v>
      </c>
    </row>
    <row r="94" spans="1:47">
      <c r="A94" s="14" t="s">
        <v>139</v>
      </c>
      <c r="B94" s="16">
        <v>442.59</v>
      </c>
      <c r="C94" s="16">
        <v>794.77</v>
      </c>
      <c r="D94" s="16">
        <v>1446.18</v>
      </c>
      <c r="E94" s="16">
        <v>1324.67</v>
      </c>
      <c r="F94" s="16">
        <v>152.71</v>
      </c>
      <c r="G94" s="16">
        <v>152.71</v>
      </c>
      <c r="H94" s="16">
        <v>1650.41</v>
      </c>
      <c r="I94" s="16">
        <v>1089.94</v>
      </c>
      <c r="J94" s="16">
        <v>121.83</v>
      </c>
      <c r="K94" s="16">
        <v>121.83</v>
      </c>
      <c r="L94" s="16">
        <v>121.83</v>
      </c>
      <c r="M94" s="16">
        <v>121.83</v>
      </c>
      <c r="N94" s="16">
        <v>7541.3</v>
      </c>
      <c r="P94" s="15">
        <v>5</v>
      </c>
      <c r="Q94" s="2" t="s">
        <v>1</v>
      </c>
      <c r="R94" s="2" t="s">
        <v>52</v>
      </c>
      <c r="T94" s="15">
        <v>14108</v>
      </c>
      <c r="U94" s="2" t="s">
        <v>1</v>
      </c>
      <c r="V94" s="15">
        <v>100029927</v>
      </c>
      <c r="W94" s="2" t="s">
        <v>128</v>
      </c>
      <c r="X94" s="2" t="s">
        <v>128</v>
      </c>
      <c r="Y94" s="2" t="s">
        <v>129</v>
      </c>
      <c r="Z94" s="2" t="s">
        <v>139</v>
      </c>
      <c r="AA94" s="15">
        <v>6069</v>
      </c>
      <c r="AB94" s="15">
        <v>1</v>
      </c>
      <c r="AC94" s="15">
        <v>1888780</v>
      </c>
      <c r="AD94" s="15">
        <v>16</v>
      </c>
      <c r="AE94" s="2" t="s">
        <v>100</v>
      </c>
      <c r="AF94" s="15">
        <v>1</v>
      </c>
      <c r="AG94" s="15">
        <v>1</v>
      </c>
      <c r="AH94" s="15">
        <f t="shared" si="47"/>
        <v>-442.59</v>
      </c>
      <c r="AI94" s="15">
        <f t="shared" si="48"/>
        <v>-794.77</v>
      </c>
      <c r="AJ94" s="15">
        <f t="shared" si="49"/>
        <v>-1446.18</v>
      </c>
      <c r="AK94" s="15">
        <f t="shared" si="50"/>
        <v>-1324.67</v>
      </c>
      <c r="AL94" s="15">
        <f t="shared" si="51"/>
        <v>-152.71</v>
      </c>
      <c r="AM94" s="15">
        <f t="shared" si="52"/>
        <v>-152.71</v>
      </c>
      <c r="AN94" s="15">
        <f t="shared" si="53"/>
        <v>-1650.41</v>
      </c>
      <c r="AO94" s="15">
        <f t="shared" si="54"/>
        <v>-1089.94</v>
      </c>
      <c r="AP94" s="15">
        <f t="shared" si="55"/>
        <v>-121.83</v>
      </c>
      <c r="AQ94" s="15">
        <v>-121.83</v>
      </c>
      <c r="AR94" s="15">
        <f t="shared" si="56"/>
        <v>-121.83</v>
      </c>
      <c r="AS94" s="15">
        <f t="shared" si="57"/>
        <v>-121.83</v>
      </c>
      <c r="AT94" s="15">
        <f t="shared" si="58"/>
        <v>-121.83</v>
      </c>
      <c r="AU94" s="15">
        <f t="shared" si="59"/>
        <v>-7541.3</v>
      </c>
    </row>
    <row r="95" spans="1:47">
      <c r="A95" s="14" t="s">
        <v>140</v>
      </c>
      <c r="B95" s="16">
        <v>89.07</v>
      </c>
      <c r="C95" s="16">
        <v>359.84</v>
      </c>
      <c r="D95" s="16">
        <v>132.97999999999999</v>
      </c>
      <c r="E95" s="16">
        <v>143.58000000000001</v>
      </c>
      <c r="F95" s="16">
        <v>946.46</v>
      </c>
      <c r="G95" s="16">
        <v>174.3</v>
      </c>
      <c r="H95" s="16">
        <v>852.49</v>
      </c>
      <c r="I95" s="16">
        <v>571.52</v>
      </c>
      <c r="J95" s="16">
        <v>103.87</v>
      </c>
      <c r="K95" s="16">
        <v>1073.8800000000001</v>
      </c>
      <c r="L95" s="16">
        <v>127.13</v>
      </c>
      <c r="M95" s="16">
        <v>207.65</v>
      </c>
      <c r="N95" s="16">
        <v>4782.7700000000004</v>
      </c>
      <c r="P95" s="15">
        <v>5</v>
      </c>
      <c r="Q95" s="2" t="s">
        <v>1</v>
      </c>
      <c r="R95" s="2" t="s">
        <v>52</v>
      </c>
      <c r="T95" s="15">
        <v>14108</v>
      </c>
      <c r="U95" s="2" t="s">
        <v>1</v>
      </c>
      <c r="V95" s="15">
        <v>100029927</v>
      </c>
      <c r="W95" s="2" t="s">
        <v>128</v>
      </c>
      <c r="X95" s="2" t="s">
        <v>128</v>
      </c>
      <c r="Y95" s="2" t="s">
        <v>129</v>
      </c>
      <c r="Z95" s="2" t="s">
        <v>140</v>
      </c>
      <c r="AA95" s="15">
        <v>6072</v>
      </c>
      <c r="AB95" s="15">
        <v>1</v>
      </c>
      <c r="AC95" s="15">
        <v>1888781</v>
      </c>
      <c r="AD95" s="15">
        <v>17</v>
      </c>
      <c r="AE95" s="2" t="s">
        <v>100</v>
      </c>
      <c r="AF95" s="15">
        <v>1</v>
      </c>
      <c r="AG95" s="15">
        <v>1</v>
      </c>
      <c r="AH95" s="15">
        <f t="shared" si="47"/>
        <v>-89.07</v>
      </c>
      <c r="AI95" s="15">
        <f t="shared" si="48"/>
        <v>-359.84</v>
      </c>
      <c r="AJ95" s="15">
        <f t="shared" si="49"/>
        <v>-132.97999999999999</v>
      </c>
      <c r="AK95" s="15">
        <f t="shared" si="50"/>
        <v>-143.58000000000001</v>
      </c>
      <c r="AL95" s="15">
        <f t="shared" si="51"/>
        <v>-946.46</v>
      </c>
      <c r="AM95" s="15">
        <f t="shared" si="52"/>
        <v>-174.3</v>
      </c>
      <c r="AN95" s="15">
        <f t="shared" si="53"/>
        <v>-852.49</v>
      </c>
      <c r="AO95" s="15">
        <f t="shared" si="54"/>
        <v>-571.52</v>
      </c>
      <c r="AP95" s="15">
        <f t="shared" si="55"/>
        <v>-103.87</v>
      </c>
      <c r="AQ95" s="15">
        <v>-1073.8800000000001</v>
      </c>
      <c r="AR95" s="15">
        <f t="shared" si="56"/>
        <v>-1073.8800000000001</v>
      </c>
      <c r="AS95" s="15">
        <f t="shared" si="57"/>
        <v>-127.13</v>
      </c>
      <c r="AT95" s="15">
        <f t="shared" si="58"/>
        <v>-207.65</v>
      </c>
      <c r="AU95" s="15">
        <f t="shared" si="59"/>
        <v>-4782.7700000000004</v>
      </c>
    </row>
    <row r="96" spans="1:47">
      <c r="A96" s="14" t="s">
        <v>141</v>
      </c>
      <c r="B96" s="16">
        <v>4376.6099999999997</v>
      </c>
      <c r="C96" s="16">
        <v>5223.09</v>
      </c>
      <c r="D96" s="16">
        <v>6714.4</v>
      </c>
      <c r="E96" s="16">
        <v>5947.4</v>
      </c>
      <c r="F96" s="16">
        <v>5898.97</v>
      </c>
      <c r="G96" s="16">
        <v>5898.97</v>
      </c>
      <c r="H96" s="16">
        <v>7432.97</v>
      </c>
      <c r="I96" s="16">
        <v>6665.97</v>
      </c>
      <c r="J96" s="16">
        <v>6665.97</v>
      </c>
      <c r="K96" s="16">
        <v>6665.97</v>
      </c>
      <c r="L96" s="16">
        <v>6665.97</v>
      </c>
      <c r="M96" s="16">
        <v>6665.97</v>
      </c>
      <c r="N96" s="16">
        <v>74822.259999999995</v>
      </c>
      <c r="P96" s="15">
        <v>5</v>
      </c>
      <c r="Q96" s="2" t="s">
        <v>1</v>
      </c>
      <c r="R96" s="2" t="s">
        <v>52</v>
      </c>
      <c r="T96" s="15">
        <v>14108</v>
      </c>
      <c r="U96" s="2" t="s">
        <v>1</v>
      </c>
      <c r="V96" s="15">
        <v>100029927</v>
      </c>
      <c r="W96" s="2" t="s">
        <v>128</v>
      </c>
      <c r="X96" s="2" t="s">
        <v>128</v>
      </c>
      <c r="Y96" s="2" t="s">
        <v>129</v>
      </c>
      <c r="Z96" s="2" t="s">
        <v>141</v>
      </c>
      <c r="AA96" s="15">
        <v>6074</v>
      </c>
      <c r="AB96" s="15">
        <v>1</v>
      </c>
      <c r="AC96" s="15">
        <v>2446268</v>
      </c>
      <c r="AD96" s="15">
        <v>18</v>
      </c>
      <c r="AE96" s="2" t="s">
        <v>100</v>
      </c>
      <c r="AF96" s="15">
        <v>2</v>
      </c>
      <c r="AG96" s="15">
        <v>2</v>
      </c>
      <c r="AH96" s="15">
        <f t="shared" si="47"/>
        <v>-4376.6099999999997</v>
      </c>
      <c r="AI96" s="15">
        <f t="shared" si="48"/>
        <v>-5223.09</v>
      </c>
      <c r="AJ96" s="15">
        <f t="shared" si="49"/>
        <v>-6714.4</v>
      </c>
      <c r="AK96" s="15">
        <f t="shared" si="50"/>
        <v>-5947.4</v>
      </c>
      <c r="AL96" s="15">
        <f t="shared" si="51"/>
        <v>-5898.97</v>
      </c>
      <c r="AM96" s="15">
        <f t="shared" si="52"/>
        <v>-5898.97</v>
      </c>
      <c r="AN96" s="15">
        <f t="shared" si="53"/>
        <v>-7432.97</v>
      </c>
      <c r="AO96" s="15">
        <f t="shared" si="54"/>
        <v>-6665.97</v>
      </c>
      <c r="AP96" s="15">
        <f t="shared" si="55"/>
        <v>-6665.97</v>
      </c>
      <c r="AQ96" s="15">
        <v>-6665.97</v>
      </c>
      <c r="AR96" s="15">
        <f t="shared" si="56"/>
        <v>-6665.97</v>
      </c>
      <c r="AS96" s="15">
        <f t="shared" si="57"/>
        <v>-6665.97</v>
      </c>
      <c r="AT96" s="15">
        <f t="shared" si="58"/>
        <v>-6665.97</v>
      </c>
      <c r="AU96" s="15">
        <f t="shared" si="59"/>
        <v>-74822.259999999995</v>
      </c>
    </row>
    <row r="97" spans="1:47">
      <c r="A97" s="14" t="s">
        <v>142</v>
      </c>
      <c r="B97" s="16">
        <v>0</v>
      </c>
      <c r="C97" s="16">
        <v>238.5</v>
      </c>
      <c r="D97" s="16">
        <v>119.24</v>
      </c>
      <c r="E97" s="16">
        <v>0</v>
      </c>
      <c r="F97" s="16">
        <v>242.3</v>
      </c>
      <c r="G97" s="16">
        <v>121.15</v>
      </c>
      <c r="H97" s="16">
        <v>121.15</v>
      </c>
      <c r="I97" s="16">
        <v>0</v>
      </c>
      <c r="J97" s="16">
        <v>347.82</v>
      </c>
      <c r="K97" s="16">
        <v>145.43</v>
      </c>
      <c r="L97" s="16">
        <v>104.68</v>
      </c>
      <c r="M97" s="16">
        <v>118.49</v>
      </c>
      <c r="N97" s="16">
        <v>1558.76</v>
      </c>
      <c r="P97" s="15">
        <v>5</v>
      </c>
      <c r="Q97" s="2" t="s">
        <v>1</v>
      </c>
      <c r="R97" s="2" t="s">
        <v>52</v>
      </c>
      <c r="T97" s="15">
        <v>14108</v>
      </c>
      <c r="U97" s="2" t="s">
        <v>1</v>
      </c>
      <c r="V97" s="15">
        <v>100029927</v>
      </c>
      <c r="W97" s="2" t="s">
        <v>128</v>
      </c>
      <c r="X97" s="2" t="s">
        <v>128</v>
      </c>
      <c r="Y97" s="2" t="s">
        <v>129</v>
      </c>
      <c r="Z97" s="2" t="s">
        <v>142</v>
      </c>
      <c r="AA97" s="15">
        <v>6075</v>
      </c>
      <c r="AB97" s="15">
        <v>1</v>
      </c>
      <c r="AC97" s="15">
        <v>1888782</v>
      </c>
      <c r="AD97" s="15">
        <v>19</v>
      </c>
      <c r="AE97" s="2" t="s">
        <v>100</v>
      </c>
      <c r="AF97" s="15">
        <v>1</v>
      </c>
      <c r="AG97" s="15">
        <v>1</v>
      </c>
      <c r="AH97" s="15">
        <f t="shared" si="47"/>
        <v>0</v>
      </c>
      <c r="AI97" s="15">
        <f t="shared" si="48"/>
        <v>-238.5</v>
      </c>
      <c r="AJ97" s="15">
        <f t="shared" si="49"/>
        <v>-119.24</v>
      </c>
      <c r="AK97" s="15">
        <f t="shared" si="50"/>
        <v>0</v>
      </c>
      <c r="AL97" s="15">
        <f t="shared" si="51"/>
        <v>-242.3</v>
      </c>
      <c r="AM97" s="15">
        <f t="shared" si="52"/>
        <v>-121.15</v>
      </c>
      <c r="AN97" s="15">
        <f t="shared" si="53"/>
        <v>-121.15</v>
      </c>
      <c r="AO97" s="15">
        <f t="shared" si="54"/>
        <v>0</v>
      </c>
      <c r="AP97" s="15">
        <f t="shared" si="55"/>
        <v>-347.82</v>
      </c>
      <c r="AQ97" s="15">
        <v>-145.43</v>
      </c>
      <c r="AR97" s="15">
        <f t="shared" si="56"/>
        <v>-145.43</v>
      </c>
      <c r="AS97" s="15">
        <f t="shared" si="57"/>
        <v>-104.68</v>
      </c>
      <c r="AT97" s="15">
        <f t="shared" si="58"/>
        <v>-118.49</v>
      </c>
      <c r="AU97" s="15">
        <f t="shared" si="59"/>
        <v>-1558.76</v>
      </c>
    </row>
    <row r="98" spans="1:47">
      <c r="A98" s="14" t="s">
        <v>143</v>
      </c>
      <c r="B98" s="16">
        <v>0</v>
      </c>
      <c r="C98" s="16">
        <v>395</v>
      </c>
      <c r="D98" s="16">
        <v>173</v>
      </c>
      <c r="E98" s="16">
        <v>173</v>
      </c>
      <c r="F98" s="16">
        <v>0</v>
      </c>
      <c r="G98" s="16">
        <v>173</v>
      </c>
      <c r="H98" s="16">
        <v>602.70000000000005</v>
      </c>
      <c r="I98" s="16">
        <v>100.45</v>
      </c>
      <c r="J98" s="16">
        <v>100.45</v>
      </c>
      <c r="K98" s="16">
        <v>100.45</v>
      </c>
      <c r="L98" s="16">
        <v>446.45</v>
      </c>
      <c r="M98" s="16">
        <v>172.2</v>
      </c>
      <c r="N98" s="16">
        <v>2436.6999999999998</v>
      </c>
      <c r="P98" s="15">
        <v>5</v>
      </c>
      <c r="Q98" s="2" t="s">
        <v>1</v>
      </c>
      <c r="R98" s="2" t="s">
        <v>52</v>
      </c>
      <c r="T98" s="15">
        <v>14108</v>
      </c>
      <c r="U98" s="2" t="s">
        <v>1</v>
      </c>
      <c r="V98" s="15">
        <v>100029927</v>
      </c>
      <c r="W98" s="2" t="s">
        <v>128</v>
      </c>
      <c r="X98" s="2" t="s">
        <v>128</v>
      </c>
      <c r="Y98" s="2" t="s">
        <v>129</v>
      </c>
      <c r="Z98" s="2" t="s">
        <v>143</v>
      </c>
      <c r="AA98" s="15">
        <v>6081</v>
      </c>
      <c r="AB98" s="15">
        <v>1</v>
      </c>
      <c r="AC98" s="15">
        <v>1888783</v>
      </c>
      <c r="AD98" s="15">
        <v>20</v>
      </c>
      <c r="AE98" s="2" t="s">
        <v>100</v>
      </c>
      <c r="AF98" s="15">
        <v>2</v>
      </c>
      <c r="AG98" s="15">
        <v>2</v>
      </c>
      <c r="AH98" s="15">
        <f t="shared" si="47"/>
        <v>0</v>
      </c>
      <c r="AI98" s="15">
        <f t="shared" si="48"/>
        <v>-395</v>
      </c>
      <c r="AJ98" s="15">
        <f t="shared" si="49"/>
        <v>-173</v>
      </c>
      <c r="AK98" s="15">
        <f t="shared" si="50"/>
        <v>-173</v>
      </c>
      <c r="AL98" s="15">
        <f t="shared" si="51"/>
        <v>0</v>
      </c>
      <c r="AM98" s="15">
        <f t="shared" si="52"/>
        <v>-173</v>
      </c>
      <c r="AN98" s="15">
        <f t="shared" si="53"/>
        <v>-602.70000000000005</v>
      </c>
      <c r="AO98" s="15">
        <f t="shared" si="54"/>
        <v>-100.45</v>
      </c>
      <c r="AP98" s="15">
        <f t="shared" si="55"/>
        <v>-100.45</v>
      </c>
      <c r="AQ98" s="15">
        <v>-100.45</v>
      </c>
      <c r="AR98" s="15">
        <f t="shared" si="56"/>
        <v>-100.45</v>
      </c>
      <c r="AS98" s="15">
        <f t="shared" si="57"/>
        <v>-446.45</v>
      </c>
      <c r="AT98" s="15">
        <f t="shared" si="58"/>
        <v>-172.2</v>
      </c>
      <c r="AU98" s="15">
        <f t="shared" si="59"/>
        <v>-2436.6999999999998</v>
      </c>
    </row>
    <row r="99" spans="1:47">
      <c r="A99" s="9" t="s">
        <v>126</v>
      </c>
      <c r="B99" s="11">
        <f>IF(5 = P99, AH99 * -1, AH99)</f>
        <v>7831.15</v>
      </c>
      <c r="C99" s="11">
        <f>IF(5 = P99, AI99 * -1, AI99)</f>
        <v>9466.76</v>
      </c>
      <c r="D99" s="11">
        <f>IF(5 = P99, AJ99 * -1, AJ99)</f>
        <v>11000.93</v>
      </c>
      <c r="E99" s="11">
        <f>IF(5 = P99, AK99 * -1, AK99)</f>
        <v>10294.57</v>
      </c>
      <c r="F99" s="11">
        <f>IF(5 = P99, AL99 * -1, AL99)</f>
        <v>10319.959999999999</v>
      </c>
      <c r="G99" s="11">
        <f>IF(5 = P99, AM99 * -1, AM99)</f>
        <v>9128.3000000000011</v>
      </c>
      <c r="H99" s="11">
        <f>IF(5 = P99, AN99 * -1, AN99)</f>
        <v>13761.92</v>
      </c>
      <c r="I99" s="11">
        <f>IF(5 = P99, AO99 * -1, AO99)</f>
        <v>13014.170000000002</v>
      </c>
      <c r="J99" s="11">
        <f>IF(5 = P99, AP99 * -1, AP99)</f>
        <v>10984.650000000001</v>
      </c>
      <c r="K99" s="11">
        <f>IF(5 = P99, AR99 * -1, AR99)</f>
        <v>12455.36</v>
      </c>
      <c r="L99" s="11">
        <f>IF(5 = P99, AS99 * -1, AS99)</f>
        <v>12017.140000000001</v>
      </c>
      <c r="M99" s="11">
        <f>IF(5 = P99, AT99 * -1, AT99)</f>
        <v>10713.220000000001</v>
      </c>
      <c r="N99" s="11">
        <f>IF(5 = P99, AU99 * -1, AU99)</f>
        <v>130988.12999999999</v>
      </c>
      <c r="P99" s="10">
        <v>5</v>
      </c>
      <c r="Q99" s="17" t="str">
        <f>Q98</f>
        <v>Canyon Ridge</v>
      </c>
      <c r="R99" s="12" t="str">
        <f>R98</f>
        <v>9521</v>
      </c>
      <c r="S99" s="10">
        <f>S98</f>
        <v>0</v>
      </c>
      <c r="T99" s="15"/>
      <c r="U99" s="2"/>
      <c r="V99" s="15"/>
      <c r="W99" s="2"/>
      <c r="X99" s="2"/>
      <c r="Y99" s="2"/>
      <c r="Z99" s="2"/>
      <c r="AA99" s="15"/>
      <c r="AB99" s="15"/>
      <c r="AC99" s="15"/>
      <c r="AD99" s="15"/>
      <c r="AE99" s="2"/>
      <c r="AF99" s="15"/>
      <c r="AG99" s="15"/>
      <c r="AH99" s="10">
        <f t="shared" ref="AH99:AP99" si="60">SUM(AH83:AH98)</f>
        <v>-7831.15</v>
      </c>
      <c r="AI99" s="10">
        <f t="shared" si="60"/>
        <v>-9466.76</v>
      </c>
      <c r="AJ99" s="10">
        <f t="shared" si="60"/>
        <v>-11000.93</v>
      </c>
      <c r="AK99" s="10">
        <f t="shared" si="60"/>
        <v>-10294.57</v>
      </c>
      <c r="AL99" s="10">
        <f t="shared" si="60"/>
        <v>-10319.959999999999</v>
      </c>
      <c r="AM99" s="10">
        <f t="shared" si="60"/>
        <v>-9128.3000000000011</v>
      </c>
      <c r="AN99" s="10">
        <f t="shared" si="60"/>
        <v>-13761.92</v>
      </c>
      <c r="AO99" s="10">
        <f t="shared" si="60"/>
        <v>-13014.170000000002</v>
      </c>
      <c r="AP99" s="10">
        <f t="shared" si="60"/>
        <v>-10984.650000000001</v>
      </c>
      <c r="AQ99" s="15"/>
      <c r="AR99" s="10">
        <f>SUM(AR83:AR98)</f>
        <v>-12455.36</v>
      </c>
      <c r="AS99" s="10">
        <f>SUM(AS83:AS98)</f>
        <v>-12017.140000000001</v>
      </c>
      <c r="AT99" s="10">
        <f>SUM(AT83:AT98)</f>
        <v>-10713.220000000001</v>
      </c>
      <c r="AU99" s="10">
        <f>SUM(AU83:AU98)</f>
        <v>-130988.12999999999</v>
      </c>
    </row>
    <row r="100" spans="1:47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P100" s="15"/>
      <c r="Q100" s="2"/>
      <c r="T100" s="15"/>
      <c r="U100" s="2"/>
      <c r="V100" s="15"/>
      <c r="W100" s="2"/>
      <c r="X100" s="2"/>
      <c r="Y100" s="2"/>
      <c r="Z100" s="2"/>
      <c r="AA100" s="15"/>
      <c r="AB100" s="15"/>
      <c r="AC100" s="15"/>
      <c r="AD100" s="15"/>
      <c r="AE100" s="2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1:47">
      <c r="A101" s="13" t="s">
        <v>144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P101" s="15"/>
      <c r="Q101" s="2"/>
      <c r="T101" s="15"/>
      <c r="U101" s="2"/>
      <c r="V101" s="15"/>
      <c r="W101" s="2"/>
      <c r="X101" s="2"/>
      <c r="Y101" s="2"/>
      <c r="Z101" s="2"/>
      <c r="AA101" s="15"/>
      <c r="AB101" s="15"/>
      <c r="AC101" s="15"/>
      <c r="AD101" s="15"/>
      <c r="AE101" s="2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1:47">
      <c r="A102" s="14" t="s">
        <v>145</v>
      </c>
      <c r="B102" s="16">
        <v>1717.55</v>
      </c>
      <c r="C102" s="16">
        <v>2486.1999999999998</v>
      </c>
      <c r="D102" s="16">
        <v>1436.76</v>
      </c>
      <c r="E102" s="16">
        <v>1550.89</v>
      </c>
      <c r="F102" s="16">
        <v>27.35</v>
      </c>
      <c r="G102" s="16">
        <v>863.35</v>
      </c>
      <c r="H102" s="16">
        <v>2709.39</v>
      </c>
      <c r="I102" s="16">
        <v>2714.13</v>
      </c>
      <c r="J102" s="16">
        <v>2639.67</v>
      </c>
      <c r="K102" s="16">
        <v>2808.91</v>
      </c>
      <c r="L102" s="16">
        <v>2406.3000000000002</v>
      </c>
      <c r="M102" s="16">
        <v>2094.9899999999998</v>
      </c>
      <c r="N102" s="16">
        <v>23455.49</v>
      </c>
      <c r="P102" s="15">
        <v>5</v>
      </c>
      <c r="Q102" s="2" t="s">
        <v>1</v>
      </c>
      <c r="R102" s="2" t="s">
        <v>52</v>
      </c>
      <c r="T102" s="15">
        <v>14108</v>
      </c>
      <c r="U102" s="2" t="s">
        <v>1</v>
      </c>
      <c r="V102" s="15">
        <v>100029927</v>
      </c>
      <c r="W102" s="2" t="s">
        <v>146</v>
      </c>
      <c r="X102" s="2" t="s">
        <v>146</v>
      </c>
      <c r="Y102" s="2" t="s">
        <v>147</v>
      </c>
      <c r="Z102" s="2" t="s">
        <v>145</v>
      </c>
      <c r="AA102" s="15">
        <v>6504</v>
      </c>
      <c r="AB102" s="15">
        <v>1</v>
      </c>
      <c r="AC102" s="15">
        <v>1888849</v>
      </c>
      <c r="AD102" s="15">
        <v>2</v>
      </c>
      <c r="AE102" s="2" t="s">
        <v>100</v>
      </c>
      <c r="AF102" s="15">
        <v>2</v>
      </c>
      <c r="AG102" s="15">
        <v>2</v>
      </c>
      <c r="AH102" s="15">
        <f t="shared" ref="AH102:AH107" si="61">IF(5 = P102, B102 * -1, B102)</f>
        <v>-1717.55</v>
      </c>
      <c r="AI102" s="15">
        <f t="shared" ref="AI102:AI107" si="62">IF(5 = P102, C102 * -1, C102)</f>
        <v>-2486.1999999999998</v>
      </c>
      <c r="AJ102" s="15">
        <f t="shared" ref="AJ102:AJ107" si="63">IF(5 = P102, D102 * -1, D102)</f>
        <v>-1436.76</v>
      </c>
      <c r="AK102" s="15">
        <f t="shared" ref="AK102:AK107" si="64">IF(5 = P102, E102 * -1, E102)</f>
        <v>-1550.89</v>
      </c>
      <c r="AL102" s="15">
        <f t="shared" ref="AL102:AL107" si="65">IF(5 = P102, F102 * -1, F102)</f>
        <v>-27.35</v>
      </c>
      <c r="AM102" s="15">
        <f t="shared" ref="AM102:AM107" si="66">IF(5 = P102, G102 * -1, G102)</f>
        <v>-863.35</v>
      </c>
      <c r="AN102" s="15">
        <f t="shared" ref="AN102:AN107" si="67">IF(5 = P102, H102 * -1, H102)</f>
        <v>-2709.39</v>
      </c>
      <c r="AO102" s="15">
        <f t="shared" ref="AO102:AO107" si="68">IF(5 = P102, I102 * -1, I102)</f>
        <v>-2714.13</v>
      </c>
      <c r="AP102" s="15">
        <f t="shared" ref="AP102:AP107" si="69">IF(5 = P102, J102 * -1, J102)</f>
        <v>-2639.67</v>
      </c>
      <c r="AQ102" s="15">
        <v>-2808.91</v>
      </c>
      <c r="AR102" s="15">
        <f t="shared" ref="AR102:AR107" si="70">IF(5 = P102, K102 * -1, K102)</f>
        <v>-2808.91</v>
      </c>
      <c r="AS102" s="15">
        <f t="shared" ref="AS102:AS107" si="71">IF(5 = P102, L102 * -1, L102)</f>
        <v>-2406.3000000000002</v>
      </c>
      <c r="AT102" s="15">
        <f t="shared" ref="AT102:AT107" si="72">IF(5 = P102, M102 * -1, M102)</f>
        <v>-2094.9899999999998</v>
      </c>
      <c r="AU102" s="15">
        <f t="shared" ref="AU102:AU107" si="73">IF(5 = P102, N102 * -1, N102)</f>
        <v>-23455.49</v>
      </c>
    </row>
    <row r="103" spans="1:47">
      <c r="A103" s="14" t="s">
        <v>148</v>
      </c>
      <c r="B103" s="16">
        <v>4948.25</v>
      </c>
      <c r="C103" s="16">
        <v>1914.66</v>
      </c>
      <c r="D103" s="16">
        <v>1082.07</v>
      </c>
      <c r="E103" s="16">
        <v>3178.08</v>
      </c>
      <c r="F103" s="16">
        <v>5733.89</v>
      </c>
      <c r="G103" s="16">
        <v>-4330.21</v>
      </c>
      <c r="H103" s="16">
        <v>4798.79</v>
      </c>
      <c r="I103" s="16">
        <v>4202.8999999999996</v>
      </c>
      <c r="J103" s="16">
        <v>3508.78</v>
      </c>
      <c r="K103" s="16">
        <v>-379.82</v>
      </c>
      <c r="L103" s="16">
        <v>-1104.81</v>
      </c>
      <c r="M103" s="16">
        <v>260.87</v>
      </c>
      <c r="N103" s="16">
        <v>23813.45</v>
      </c>
      <c r="P103" s="15">
        <v>5</v>
      </c>
      <c r="Q103" s="2" t="s">
        <v>1</v>
      </c>
      <c r="R103" s="2" t="s">
        <v>52</v>
      </c>
      <c r="T103" s="15">
        <v>14108</v>
      </c>
      <c r="U103" s="2" t="s">
        <v>1</v>
      </c>
      <c r="V103" s="15">
        <v>100029927</v>
      </c>
      <c r="W103" s="2" t="s">
        <v>146</v>
      </c>
      <c r="X103" s="2" t="s">
        <v>146</v>
      </c>
      <c r="Y103" s="2" t="s">
        <v>147</v>
      </c>
      <c r="Z103" s="2" t="s">
        <v>148</v>
      </c>
      <c r="AA103" s="15">
        <v>6506</v>
      </c>
      <c r="AB103" s="15">
        <v>1</v>
      </c>
      <c r="AC103" s="15">
        <v>1888850</v>
      </c>
      <c r="AD103" s="15">
        <v>3</v>
      </c>
      <c r="AE103" s="2" t="s">
        <v>100</v>
      </c>
      <c r="AF103" s="15">
        <v>2</v>
      </c>
      <c r="AG103" s="15">
        <v>2</v>
      </c>
      <c r="AH103" s="15">
        <f t="shared" si="61"/>
        <v>-4948.25</v>
      </c>
      <c r="AI103" s="15">
        <f t="shared" si="62"/>
        <v>-1914.66</v>
      </c>
      <c r="AJ103" s="15">
        <f t="shared" si="63"/>
        <v>-1082.07</v>
      </c>
      <c r="AK103" s="15">
        <f t="shared" si="64"/>
        <v>-3178.08</v>
      </c>
      <c r="AL103" s="15">
        <f t="shared" si="65"/>
        <v>-5733.89</v>
      </c>
      <c r="AM103" s="15">
        <f t="shared" si="66"/>
        <v>4330.21</v>
      </c>
      <c r="AN103" s="15">
        <f t="shared" si="67"/>
        <v>-4798.79</v>
      </c>
      <c r="AO103" s="15">
        <f t="shared" si="68"/>
        <v>-4202.8999999999996</v>
      </c>
      <c r="AP103" s="15">
        <f t="shared" si="69"/>
        <v>-3508.78</v>
      </c>
      <c r="AQ103" s="15">
        <v>379.82</v>
      </c>
      <c r="AR103" s="15">
        <f t="shared" si="70"/>
        <v>379.82</v>
      </c>
      <c r="AS103" s="15">
        <f t="shared" si="71"/>
        <v>1104.81</v>
      </c>
      <c r="AT103" s="15">
        <f t="shared" si="72"/>
        <v>-260.87</v>
      </c>
      <c r="AU103" s="15">
        <f t="shared" si="73"/>
        <v>-23813.45</v>
      </c>
    </row>
    <row r="104" spans="1:47">
      <c r="A104" s="14" t="s">
        <v>149</v>
      </c>
      <c r="B104" s="16">
        <v>451.8</v>
      </c>
      <c r="C104" s="16">
        <v>244.02</v>
      </c>
      <c r="D104" s="16">
        <v>297.51</v>
      </c>
      <c r="E104" s="16">
        <v>879.39</v>
      </c>
      <c r="F104" s="16">
        <v>654.55999999999995</v>
      </c>
      <c r="G104" s="16">
        <v>767.41</v>
      </c>
      <c r="H104" s="16">
        <v>1089.71</v>
      </c>
      <c r="I104" s="16">
        <v>1149.1400000000001</v>
      </c>
      <c r="J104" s="16">
        <v>959.65</v>
      </c>
      <c r="K104" s="16">
        <v>677.12</v>
      </c>
      <c r="L104" s="16">
        <v>574.84</v>
      </c>
      <c r="M104" s="16">
        <v>562.87</v>
      </c>
      <c r="N104" s="16">
        <v>8308.02</v>
      </c>
      <c r="P104" s="15">
        <v>5</v>
      </c>
      <c r="Q104" s="2" t="s">
        <v>1</v>
      </c>
      <c r="R104" s="2" t="s">
        <v>52</v>
      </c>
      <c r="T104" s="15">
        <v>14108</v>
      </c>
      <c r="U104" s="2" t="s">
        <v>1</v>
      </c>
      <c r="V104" s="15">
        <v>100029927</v>
      </c>
      <c r="W104" s="2" t="s">
        <v>146</v>
      </c>
      <c r="X104" s="2" t="s">
        <v>146</v>
      </c>
      <c r="Y104" s="2" t="s">
        <v>147</v>
      </c>
      <c r="Z104" s="2" t="s">
        <v>149</v>
      </c>
      <c r="AA104" s="15">
        <v>6507</v>
      </c>
      <c r="AB104" s="15">
        <v>1</v>
      </c>
      <c r="AC104" s="15">
        <v>1888851</v>
      </c>
      <c r="AD104" s="15">
        <v>4</v>
      </c>
      <c r="AE104" s="2" t="s">
        <v>100</v>
      </c>
      <c r="AF104" s="15">
        <v>2</v>
      </c>
      <c r="AG104" s="15">
        <v>2</v>
      </c>
      <c r="AH104" s="15">
        <f t="shared" si="61"/>
        <v>-451.8</v>
      </c>
      <c r="AI104" s="15">
        <f t="shared" si="62"/>
        <v>-244.02</v>
      </c>
      <c r="AJ104" s="15">
        <f t="shared" si="63"/>
        <v>-297.51</v>
      </c>
      <c r="AK104" s="15">
        <f t="shared" si="64"/>
        <v>-879.39</v>
      </c>
      <c r="AL104" s="15">
        <f t="shared" si="65"/>
        <v>-654.55999999999995</v>
      </c>
      <c r="AM104" s="15">
        <f t="shared" si="66"/>
        <v>-767.41</v>
      </c>
      <c r="AN104" s="15">
        <f t="shared" si="67"/>
        <v>-1089.71</v>
      </c>
      <c r="AO104" s="15">
        <f t="shared" si="68"/>
        <v>-1149.1400000000001</v>
      </c>
      <c r="AP104" s="15">
        <f t="shared" si="69"/>
        <v>-959.65</v>
      </c>
      <c r="AQ104" s="15">
        <v>-677.12</v>
      </c>
      <c r="AR104" s="15">
        <f t="shared" si="70"/>
        <v>-677.12</v>
      </c>
      <c r="AS104" s="15">
        <f t="shared" si="71"/>
        <v>-574.84</v>
      </c>
      <c r="AT104" s="15">
        <f t="shared" si="72"/>
        <v>-562.87</v>
      </c>
      <c r="AU104" s="15">
        <f t="shared" si="73"/>
        <v>-8308.02</v>
      </c>
    </row>
    <row r="105" spans="1:47">
      <c r="A105" s="14" t="s">
        <v>150</v>
      </c>
      <c r="B105" s="16">
        <v>5342.5</v>
      </c>
      <c r="C105" s="16">
        <v>5457.18</v>
      </c>
      <c r="D105" s="16">
        <v>4721.03</v>
      </c>
      <c r="E105" s="16">
        <v>11313.59</v>
      </c>
      <c r="F105" s="16">
        <v>7950.26</v>
      </c>
      <c r="G105" s="16">
        <v>7927.87</v>
      </c>
      <c r="H105" s="16">
        <v>8443.02</v>
      </c>
      <c r="I105" s="16">
        <v>3424.13</v>
      </c>
      <c r="J105" s="16">
        <v>5539.2</v>
      </c>
      <c r="K105" s="16">
        <v>7176.23</v>
      </c>
      <c r="L105" s="16">
        <v>6277.21</v>
      </c>
      <c r="M105" s="16">
        <v>6335.05</v>
      </c>
      <c r="N105" s="16">
        <v>79907.27</v>
      </c>
      <c r="P105" s="15">
        <v>5</v>
      </c>
      <c r="Q105" s="2" t="s">
        <v>1</v>
      </c>
      <c r="R105" s="2" t="s">
        <v>52</v>
      </c>
      <c r="T105" s="15">
        <v>14108</v>
      </c>
      <c r="U105" s="2" t="s">
        <v>1</v>
      </c>
      <c r="V105" s="15">
        <v>100029927</v>
      </c>
      <c r="W105" s="2" t="s">
        <v>146</v>
      </c>
      <c r="X105" s="2" t="s">
        <v>146</v>
      </c>
      <c r="Y105" s="2" t="s">
        <v>147</v>
      </c>
      <c r="Z105" s="2" t="s">
        <v>150</v>
      </c>
      <c r="AA105" s="15">
        <v>6510</v>
      </c>
      <c r="AB105" s="15">
        <v>1</v>
      </c>
      <c r="AC105" s="15">
        <v>1888852</v>
      </c>
      <c r="AD105" s="15">
        <v>5</v>
      </c>
      <c r="AE105" s="2" t="s">
        <v>100</v>
      </c>
      <c r="AF105" s="15">
        <v>2</v>
      </c>
      <c r="AG105" s="15">
        <v>2</v>
      </c>
      <c r="AH105" s="15">
        <f t="shared" si="61"/>
        <v>-5342.5</v>
      </c>
      <c r="AI105" s="15">
        <f t="shared" si="62"/>
        <v>-5457.18</v>
      </c>
      <c r="AJ105" s="15">
        <f t="shared" si="63"/>
        <v>-4721.03</v>
      </c>
      <c r="AK105" s="15">
        <f t="shared" si="64"/>
        <v>-11313.59</v>
      </c>
      <c r="AL105" s="15">
        <f t="shared" si="65"/>
        <v>-7950.26</v>
      </c>
      <c r="AM105" s="15">
        <f t="shared" si="66"/>
        <v>-7927.87</v>
      </c>
      <c r="AN105" s="15">
        <f t="shared" si="67"/>
        <v>-8443.02</v>
      </c>
      <c r="AO105" s="15">
        <f t="shared" si="68"/>
        <v>-3424.13</v>
      </c>
      <c r="AP105" s="15">
        <f t="shared" si="69"/>
        <v>-5539.2</v>
      </c>
      <c r="AQ105" s="15">
        <v>-7176.23</v>
      </c>
      <c r="AR105" s="15">
        <f t="shared" si="70"/>
        <v>-7176.23</v>
      </c>
      <c r="AS105" s="15">
        <f t="shared" si="71"/>
        <v>-6277.21</v>
      </c>
      <c r="AT105" s="15">
        <f t="shared" si="72"/>
        <v>-6335.05</v>
      </c>
      <c r="AU105" s="15">
        <f t="shared" si="73"/>
        <v>-79907.27</v>
      </c>
    </row>
    <row r="106" spans="1:47">
      <c r="A106" s="14" t="s">
        <v>151</v>
      </c>
      <c r="B106" s="16">
        <v>3135.89</v>
      </c>
      <c r="C106" s="16">
        <v>3253.53</v>
      </c>
      <c r="D106" s="16">
        <v>4966.08</v>
      </c>
      <c r="E106" s="16">
        <v>4989.83</v>
      </c>
      <c r="F106" s="16">
        <v>4258.03</v>
      </c>
      <c r="G106" s="16">
        <v>5359.08</v>
      </c>
      <c r="H106" s="16">
        <v>6348.23</v>
      </c>
      <c r="I106" s="16">
        <v>8153.37</v>
      </c>
      <c r="J106" s="16">
        <v>7568.32</v>
      </c>
      <c r="K106" s="16">
        <v>7820.55</v>
      </c>
      <c r="L106" s="16">
        <v>7695.04</v>
      </c>
      <c r="M106" s="16">
        <v>7882.66</v>
      </c>
      <c r="N106" s="16">
        <v>71430.61</v>
      </c>
      <c r="P106" s="15">
        <v>5</v>
      </c>
      <c r="Q106" s="2" t="s">
        <v>1</v>
      </c>
      <c r="R106" s="2" t="s">
        <v>52</v>
      </c>
      <c r="T106" s="15">
        <v>14108</v>
      </c>
      <c r="U106" s="2" t="s">
        <v>1</v>
      </c>
      <c r="V106" s="15">
        <v>100029927</v>
      </c>
      <c r="W106" s="2" t="s">
        <v>146</v>
      </c>
      <c r="X106" s="2" t="s">
        <v>146</v>
      </c>
      <c r="Y106" s="2" t="s">
        <v>147</v>
      </c>
      <c r="Z106" s="2" t="s">
        <v>151</v>
      </c>
      <c r="AA106" s="15">
        <v>6513</v>
      </c>
      <c r="AB106" s="15">
        <v>1</v>
      </c>
      <c r="AC106" s="15">
        <v>1888854</v>
      </c>
      <c r="AD106" s="15">
        <v>6</v>
      </c>
      <c r="AE106" s="2" t="s">
        <v>100</v>
      </c>
      <c r="AF106" s="15">
        <v>1</v>
      </c>
      <c r="AG106" s="15">
        <v>1</v>
      </c>
      <c r="AH106" s="15">
        <f t="shared" si="61"/>
        <v>-3135.89</v>
      </c>
      <c r="AI106" s="15">
        <f t="shared" si="62"/>
        <v>-3253.53</v>
      </c>
      <c r="AJ106" s="15">
        <f t="shared" si="63"/>
        <v>-4966.08</v>
      </c>
      <c r="AK106" s="15">
        <f t="shared" si="64"/>
        <v>-4989.83</v>
      </c>
      <c r="AL106" s="15">
        <f t="shared" si="65"/>
        <v>-4258.03</v>
      </c>
      <c r="AM106" s="15">
        <f t="shared" si="66"/>
        <v>-5359.08</v>
      </c>
      <c r="AN106" s="15">
        <f t="shared" si="67"/>
        <v>-6348.23</v>
      </c>
      <c r="AO106" s="15">
        <f t="shared" si="68"/>
        <v>-8153.37</v>
      </c>
      <c r="AP106" s="15">
        <f t="shared" si="69"/>
        <v>-7568.32</v>
      </c>
      <c r="AQ106" s="15">
        <v>-7820.55</v>
      </c>
      <c r="AR106" s="15">
        <f t="shared" si="70"/>
        <v>-7820.55</v>
      </c>
      <c r="AS106" s="15">
        <f t="shared" si="71"/>
        <v>-7695.04</v>
      </c>
      <c r="AT106" s="15">
        <f t="shared" si="72"/>
        <v>-7882.66</v>
      </c>
      <c r="AU106" s="15">
        <f t="shared" si="73"/>
        <v>-71430.61</v>
      </c>
    </row>
    <row r="107" spans="1:47">
      <c r="A107" s="14" t="s">
        <v>152</v>
      </c>
      <c r="B107" s="16">
        <v>510.5</v>
      </c>
      <c r="C107" s="16">
        <v>505</v>
      </c>
      <c r="D107" s="16">
        <v>603</v>
      </c>
      <c r="E107" s="16">
        <v>649.5</v>
      </c>
      <c r="F107" s="16">
        <v>751</v>
      </c>
      <c r="G107" s="16">
        <v>901.5</v>
      </c>
      <c r="H107" s="16">
        <v>880.5</v>
      </c>
      <c r="I107" s="16">
        <v>907.5</v>
      </c>
      <c r="J107" s="16">
        <v>978.5</v>
      </c>
      <c r="K107" s="16">
        <v>995</v>
      </c>
      <c r="L107" s="16">
        <v>1101</v>
      </c>
      <c r="M107" s="16">
        <v>1069.5</v>
      </c>
      <c r="N107" s="16">
        <v>9852.5</v>
      </c>
      <c r="P107" s="15">
        <v>5</v>
      </c>
      <c r="Q107" s="2" t="s">
        <v>1</v>
      </c>
      <c r="R107" s="2" t="s">
        <v>52</v>
      </c>
      <c r="T107" s="15">
        <v>14108</v>
      </c>
      <c r="U107" s="2" t="s">
        <v>1</v>
      </c>
      <c r="V107" s="15">
        <v>100029927</v>
      </c>
      <c r="W107" s="2" t="s">
        <v>146</v>
      </c>
      <c r="X107" s="2" t="s">
        <v>146</v>
      </c>
      <c r="Y107" s="2" t="s">
        <v>147</v>
      </c>
      <c r="Z107" s="2" t="s">
        <v>152</v>
      </c>
      <c r="AA107" s="15">
        <v>6515</v>
      </c>
      <c r="AB107" s="15">
        <v>1</v>
      </c>
      <c r="AC107" s="15">
        <v>1888855</v>
      </c>
      <c r="AD107" s="15">
        <v>7</v>
      </c>
      <c r="AE107" s="2" t="s">
        <v>100</v>
      </c>
      <c r="AF107" s="15">
        <v>1</v>
      </c>
      <c r="AG107" s="15">
        <v>1</v>
      </c>
      <c r="AH107" s="15">
        <f t="shared" si="61"/>
        <v>-510.5</v>
      </c>
      <c r="AI107" s="15">
        <f t="shared" si="62"/>
        <v>-505</v>
      </c>
      <c r="AJ107" s="15">
        <f t="shared" si="63"/>
        <v>-603</v>
      </c>
      <c r="AK107" s="15">
        <f t="shared" si="64"/>
        <v>-649.5</v>
      </c>
      <c r="AL107" s="15">
        <f t="shared" si="65"/>
        <v>-751</v>
      </c>
      <c r="AM107" s="15">
        <f t="shared" si="66"/>
        <v>-901.5</v>
      </c>
      <c r="AN107" s="15">
        <f t="shared" si="67"/>
        <v>-880.5</v>
      </c>
      <c r="AO107" s="15">
        <f t="shared" si="68"/>
        <v>-907.5</v>
      </c>
      <c r="AP107" s="15">
        <f t="shared" si="69"/>
        <v>-978.5</v>
      </c>
      <c r="AQ107" s="15">
        <v>-995</v>
      </c>
      <c r="AR107" s="15">
        <f t="shared" si="70"/>
        <v>-995</v>
      </c>
      <c r="AS107" s="15">
        <f t="shared" si="71"/>
        <v>-1101</v>
      </c>
      <c r="AT107" s="15">
        <f t="shared" si="72"/>
        <v>-1069.5</v>
      </c>
      <c r="AU107" s="15">
        <f t="shared" si="73"/>
        <v>-9852.5</v>
      </c>
    </row>
    <row r="108" spans="1:47">
      <c r="A108" s="9" t="s">
        <v>144</v>
      </c>
      <c r="B108" s="11">
        <f>IF(5 = P108, AH108 * -1, AH108)</f>
        <v>16106.49</v>
      </c>
      <c r="C108" s="11">
        <f>IF(5 = P108, AI108 * -1, AI108)</f>
        <v>13860.590000000002</v>
      </c>
      <c r="D108" s="11">
        <f>IF(5 = P108, AJ108 * -1, AJ108)</f>
        <v>13106.45</v>
      </c>
      <c r="E108" s="11">
        <f>IF(5 = P108, AK108 * -1, AK108)</f>
        <v>22561.279999999999</v>
      </c>
      <c r="F108" s="11">
        <f>IF(5 = P108, AL108 * -1, AL108)</f>
        <v>19375.09</v>
      </c>
      <c r="G108" s="11">
        <f>IF(5 = P108, AM108 * -1, AM108)</f>
        <v>11489</v>
      </c>
      <c r="H108" s="11">
        <f>IF(5 = P108, AN108 * -1, AN108)</f>
        <v>24269.64</v>
      </c>
      <c r="I108" s="11">
        <f>IF(5 = P108, AO108 * -1, AO108)</f>
        <v>20551.169999999998</v>
      </c>
      <c r="J108" s="11">
        <f>IF(5 = P108, AP108 * -1, AP108)</f>
        <v>21194.12</v>
      </c>
      <c r="K108" s="11">
        <f>IF(5 = P108, AR108 * -1, AR108)</f>
        <v>19097.989999999998</v>
      </c>
      <c r="L108" s="11">
        <f>IF(5 = P108, AS108 * -1, AS108)</f>
        <v>16949.580000000002</v>
      </c>
      <c r="M108" s="11">
        <f>IF(5 = P108, AT108 * -1, AT108)</f>
        <v>18205.939999999999</v>
      </c>
      <c r="N108" s="11">
        <f>IF(5 = P108, AU108 * -1, AU108)</f>
        <v>216767.34000000003</v>
      </c>
      <c r="P108" s="10">
        <v>5</v>
      </c>
      <c r="Q108" s="17" t="str">
        <f>Q107</f>
        <v>Canyon Ridge</v>
      </c>
      <c r="R108" s="12" t="str">
        <f>R107</f>
        <v>9521</v>
      </c>
      <c r="S108" s="10">
        <f>S107</f>
        <v>0</v>
      </c>
      <c r="T108" s="15"/>
      <c r="U108" s="2"/>
      <c r="V108" s="15"/>
      <c r="W108" s="2"/>
      <c r="X108" s="2"/>
      <c r="Y108" s="2"/>
      <c r="Z108" s="2"/>
      <c r="AA108" s="15"/>
      <c r="AB108" s="15"/>
      <c r="AC108" s="15"/>
      <c r="AD108" s="15"/>
      <c r="AE108" s="2"/>
      <c r="AF108" s="15"/>
      <c r="AG108" s="15"/>
      <c r="AH108" s="10">
        <f t="shared" ref="AH108:AP108" si="74">SUM(AH102:AH107)</f>
        <v>-16106.49</v>
      </c>
      <c r="AI108" s="10">
        <f t="shared" si="74"/>
        <v>-13860.590000000002</v>
      </c>
      <c r="AJ108" s="10">
        <f t="shared" si="74"/>
        <v>-13106.45</v>
      </c>
      <c r="AK108" s="10">
        <f t="shared" si="74"/>
        <v>-22561.279999999999</v>
      </c>
      <c r="AL108" s="10">
        <f t="shared" si="74"/>
        <v>-19375.09</v>
      </c>
      <c r="AM108" s="10">
        <f t="shared" si="74"/>
        <v>-11489</v>
      </c>
      <c r="AN108" s="10">
        <f t="shared" si="74"/>
        <v>-24269.64</v>
      </c>
      <c r="AO108" s="10">
        <f t="shared" si="74"/>
        <v>-20551.169999999998</v>
      </c>
      <c r="AP108" s="10">
        <f t="shared" si="74"/>
        <v>-21194.12</v>
      </c>
      <c r="AQ108" s="15"/>
      <c r="AR108" s="10">
        <f>SUM(AR102:AR107)</f>
        <v>-19097.989999999998</v>
      </c>
      <c r="AS108" s="10">
        <f>SUM(AS102:AS107)</f>
        <v>-16949.580000000002</v>
      </c>
      <c r="AT108" s="10">
        <f>SUM(AT102:AT107)</f>
        <v>-18205.939999999999</v>
      </c>
      <c r="AU108" s="10">
        <f>SUM(AU102:AU107)</f>
        <v>-216767.34000000003</v>
      </c>
    </row>
    <row r="109" spans="1:47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P109" s="15"/>
      <c r="Q109" s="2"/>
      <c r="T109" s="15"/>
      <c r="U109" s="2"/>
      <c r="V109" s="15"/>
      <c r="W109" s="2"/>
      <c r="X109" s="2"/>
      <c r="Y109" s="2"/>
      <c r="Z109" s="2"/>
      <c r="AA109" s="15"/>
      <c r="AB109" s="15"/>
      <c r="AC109" s="15"/>
      <c r="AD109" s="15"/>
      <c r="AE109" s="2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 spans="1:47">
      <c r="A110" s="13" t="s">
        <v>153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P110" s="15"/>
      <c r="Q110" s="2"/>
      <c r="T110" s="15"/>
      <c r="U110" s="2"/>
      <c r="V110" s="15"/>
      <c r="W110" s="2"/>
      <c r="X110" s="2"/>
      <c r="Y110" s="2"/>
      <c r="Z110" s="2"/>
      <c r="AA110" s="15"/>
      <c r="AB110" s="15"/>
      <c r="AC110" s="15"/>
      <c r="AD110" s="15"/>
      <c r="AE110" s="2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spans="1:47">
      <c r="A111" s="14" t="s">
        <v>154</v>
      </c>
      <c r="B111" s="16">
        <v>0</v>
      </c>
      <c r="C111" s="16">
        <v>0</v>
      </c>
      <c r="D111" s="16">
        <v>135.91</v>
      </c>
      <c r="E111" s="16">
        <v>804.79</v>
      </c>
      <c r="F111" s="16">
        <v>0</v>
      </c>
      <c r="G111" s="16">
        <v>493.4</v>
      </c>
      <c r="H111" s="16">
        <v>57.14</v>
      </c>
      <c r="I111" s="16">
        <v>117.44</v>
      </c>
      <c r="J111" s="16">
        <v>101.1</v>
      </c>
      <c r="K111" s="16">
        <v>0</v>
      </c>
      <c r="L111" s="16">
        <v>11.11</v>
      </c>
      <c r="M111" s="16">
        <v>815.51</v>
      </c>
      <c r="N111" s="16">
        <v>2536.4</v>
      </c>
      <c r="P111" s="15">
        <v>5</v>
      </c>
      <c r="Q111" s="2" t="s">
        <v>1</v>
      </c>
      <c r="R111" s="2" t="s">
        <v>52</v>
      </c>
      <c r="T111" s="15">
        <v>14108</v>
      </c>
      <c r="U111" s="2" t="s">
        <v>1</v>
      </c>
      <c r="V111" s="15">
        <v>100029927</v>
      </c>
      <c r="W111" s="2" t="s">
        <v>155</v>
      </c>
      <c r="X111" s="2" t="s">
        <v>155</v>
      </c>
      <c r="Y111" s="2" t="s">
        <v>156</v>
      </c>
      <c r="Z111" s="2" t="s">
        <v>154</v>
      </c>
      <c r="AA111" s="15">
        <v>7024</v>
      </c>
      <c r="AB111" s="15">
        <v>1</v>
      </c>
      <c r="AC111" s="15">
        <v>1888868</v>
      </c>
      <c r="AD111" s="15">
        <v>3</v>
      </c>
      <c r="AE111" s="2" t="s">
        <v>100</v>
      </c>
      <c r="AF111" s="15">
        <v>1</v>
      </c>
      <c r="AG111" s="15">
        <v>1</v>
      </c>
      <c r="AH111" s="15">
        <f t="shared" ref="AH111:AH133" si="75">IF(5 = P111, B111 * -1, B111)</f>
        <v>0</v>
      </c>
      <c r="AI111" s="15">
        <f t="shared" ref="AI111:AI133" si="76">IF(5 = P111, C111 * -1, C111)</f>
        <v>0</v>
      </c>
      <c r="AJ111" s="15">
        <f t="shared" ref="AJ111:AJ133" si="77">IF(5 = P111, D111 * -1, D111)</f>
        <v>-135.91</v>
      </c>
      <c r="AK111" s="15">
        <f t="shared" ref="AK111:AK133" si="78">IF(5 = P111, E111 * -1, E111)</f>
        <v>-804.79</v>
      </c>
      <c r="AL111" s="15">
        <f t="shared" ref="AL111:AL133" si="79">IF(5 = P111, F111 * -1, F111)</f>
        <v>0</v>
      </c>
      <c r="AM111" s="15">
        <f t="shared" ref="AM111:AM133" si="80">IF(5 = P111, G111 * -1, G111)</f>
        <v>-493.4</v>
      </c>
      <c r="AN111" s="15">
        <f t="shared" ref="AN111:AN133" si="81">IF(5 = P111, H111 * -1, H111)</f>
        <v>-57.14</v>
      </c>
      <c r="AO111" s="15">
        <f t="shared" ref="AO111:AO133" si="82">IF(5 = P111, I111 * -1, I111)</f>
        <v>-117.44</v>
      </c>
      <c r="AP111" s="15">
        <f t="shared" ref="AP111:AP133" si="83">IF(5 = P111, J111 * -1, J111)</f>
        <v>-101.1</v>
      </c>
      <c r="AQ111" s="15">
        <v>0</v>
      </c>
      <c r="AR111" s="15">
        <f t="shared" ref="AR111:AR133" si="84">IF(5 = P111, K111 * -1, K111)</f>
        <v>0</v>
      </c>
      <c r="AS111" s="15">
        <f t="shared" ref="AS111:AS133" si="85">IF(5 = P111, L111 * -1, L111)</f>
        <v>-11.11</v>
      </c>
      <c r="AT111" s="15">
        <f t="shared" ref="AT111:AT133" si="86">IF(5 = P111, M111 * -1, M111)</f>
        <v>-815.51</v>
      </c>
      <c r="AU111" s="15">
        <f t="shared" ref="AU111:AU133" si="87">IF(5 = P111, N111 * -1, N111)</f>
        <v>-2536.4</v>
      </c>
    </row>
    <row r="112" spans="1:47">
      <c r="A112" s="14" t="s">
        <v>157</v>
      </c>
      <c r="B112" s="16">
        <v>1684.5</v>
      </c>
      <c r="C112" s="16">
        <v>1517</v>
      </c>
      <c r="D112" s="16">
        <v>1425</v>
      </c>
      <c r="E112" s="16">
        <v>1574</v>
      </c>
      <c r="F112" s="16">
        <v>1334.5</v>
      </c>
      <c r="G112" s="16">
        <v>1034.1400000000001</v>
      </c>
      <c r="H112" s="16">
        <v>1349</v>
      </c>
      <c r="I112" s="16">
        <v>1051.19</v>
      </c>
      <c r="J112" s="16">
        <v>674.5</v>
      </c>
      <c r="K112" s="16">
        <v>796.96</v>
      </c>
      <c r="L112" s="16">
        <v>1284.5</v>
      </c>
      <c r="M112" s="16">
        <v>1409.6</v>
      </c>
      <c r="N112" s="16">
        <v>15134.89</v>
      </c>
      <c r="P112" s="15">
        <v>5</v>
      </c>
      <c r="Q112" s="2" t="s">
        <v>1</v>
      </c>
      <c r="R112" s="2" t="s">
        <v>52</v>
      </c>
      <c r="T112" s="15">
        <v>14108</v>
      </c>
      <c r="U112" s="2" t="s">
        <v>1</v>
      </c>
      <c r="V112" s="15">
        <v>100029927</v>
      </c>
      <c r="W112" s="2" t="s">
        <v>155</v>
      </c>
      <c r="X112" s="2" t="s">
        <v>155</v>
      </c>
      <c r="Y112" s="2" t="s">
        <v>156</v>
      </c>
      <c r="Z112" s="2" t="s">
        <v>157</v>
      </c>
      <c r="AA112" s="15">
        <v>7027</v>
      </c>
      <c r="AB112" s="15">
        <v>1</v>
      </c>
      <c r="AC112" s="15">
        <v>1888869</v>
      </c>
      <c r="AD112" s="15">
        <v>4</v>
      </c>
      <c r="AE112" s="2" t="s">
        <v>100</v>
      </c>
      <c r="AF112" s="15">
        <v>2</v>
      </c>
      <c r="AG112" s="15">
        <v>2</v>
      </c>
      <c r="AH112" s="15">
        <f t="shared" si="75"/>
        <v>-1684.5</v>
      </c>
      <c r="AI112" s="15">
        <f t="shared" si="76"/>
        <v>-1517</v>
      </c>
      <c r="AJ112" s="15">
        <f t="shared" si="77"/>
        <v>-1425</v>
      </c>
      <c r="AK112" s="15">
        <f t="shared" si="78"/>
        <v>-1574</v>
      </c>
      <c r="AL112" s="15">
        <f t="shared" si="79"/>
        <v>-1334.5</v>
      </c>
      <c r="AM112" s="15">
        <f t="shared" si="80"/>
        <v>-1034.1400000000001</v>
      </c>
      <c r="AN112" s="15">
        <f t="shared" si="81"/>
        <v>-1349</v>
      </c>
      <c r="AO112" s="15">
        <f t="shared" si="82"/>
        <v>-1051.19</v>
      </c>
      <c r="AP112" s="15">
        <f t="shared" si="83"/>
        <v>-674.5</v>
      </c>
      <c r="AQ112" s="15">
        <v>-796.96</v>
      </c>
      <c r="AR112" s="15">
        <f t="shared" si="84"/>
        <v>-796.96</v>
      </c>
      <c r="AS112" s="15">
        <f t="shared" si="85"/>
        <v>-1284.5</v>
      </c>
      <c r="AT112" s="15">
        <f t="shared" si="86"/>
        <v>-1409.6</v>
      </c>
      <c r="AU112" s="15">
        <f t="shared" si="87"/>
        <v>-15134.89</v>
      </c>
    </row>
    <row r="113" spans="1:47">
      <c r="A113" s="14" t="s">
        <v>158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750</v>
      </c>
      <c r="M113" s="16">
        <v>0</v>
      </c>
      <c r="N113" s="16">
        <v>750</v>
      </c>
      <c r="P113" s="15">
        <v>5</v>
      </c>
      <c r="Q113" s="2" t="s">
        <v>1</v>
      </c>
      <c r="R113" s="2" t="s">
        <v>52</v>
      </c>
      <c r="T113" s="15">
        <v>14108</v>
      </c>
      <c r="U113" s="2" t="s">
        <v>1</v>
      </c>
      <c r="V113" s="15">
        <v>100029927</v>
      </c>
      <c r="W113" s="2" t="s">
        <v>155</v>
      </c>
      <c r="X113" s="2" t="s">
        <v>155</v>
      </c>
      <c r="Y113" s="2" t="s">
        <v>156</v>
      </c>
      <c r="Z113" s="2" t="s">
        <v>158</v>
      </c>
      <c r="AA113" s="15">
        <v>7033</v>
      </c>
      <c r="AB113" s="15">
        <v>1</v>
      </c>
      <c r="AC113" s="15">
        <v>1888871</v>
      </c>
      <c r="AD113" s="15">
        <v>5</v>
      </c>
      <c r="AE113" s="2" t="s">
        <v>100</v>
      </c>
      <c r="AF113" s="15">
        <v>0</v>
      </c>
      <c r="AG113" s="15">
        <v>2</v>
      </c>
      <c r="AH113" s="15">
        <f t="shared" si="75"/>
        <v>0</v>
      </c>
      <c r="AI113" s="15">
        <f t="shared" si="76"/>
        <v>0</v>
      </c>
      <c r="AJ113" s="15">
        <f t="shared" si="77"/>
        <v>0</v>
      </c>
      <c r="AK113" s="15">
        <f t="shared" si="78"/>
        <v>0</v>
      </c>
      <c r="AL113" s="15">
        <f t="shared" si="79"/>
        <v>0</v>
      </c>
      <c r="AM113" s="15">
        <f t="shared" si="80"/>
        <v>0</v>
      </c>
      <c r="AN113" s="15">
        <f t="shared" si="81"/>
        <v>0</v>
      </c>
      <c r="AO113" s="15">
        <f t="shared" si="82"/>
        <v>0</v>
      </c>
      <c r="AP113" s="15">
        <f t="shared" si="83"/>
        <v>0</v>
      </c>
      <c r="AQ113" s="15">
        <v>0</v>
      </c>
      <c r="AR113" s="15">
        <f t="shared" si="84"/>
        <v>0</v>
      </c>
      <c r="AS113" s="15">
        <f t="shared" si="85"/>
        <v>-750</v>
      </c>
      <c r="AT113" s="15">
        <f t="shared" si="86"/>
        <v>0</v>
      </c>
      <c r="AU113" s="15">
        <f t="shared" si="87"/>
        <v>-750</v>
      </c>
    </row>
    <row r="114" spans="1:47">
      <c r="A114" s="14" t="s">
        <v>159</v>
      </c>
      <c r="B114" s="16">
        <v>137.57</v>
      </c>
      <c r="C114" s="16">
        <v>167.75</v>
      </c>
      <c r="D114" s="16">
        <v>261.02</v>
      </c>
      <c r="E114" s="16">
        <v>240.1</v>
      </c>
      <c r="F114" s="16">
        <v>29.02</v>
      </c>
      <c r="G114" s="16">
        <v>350.18</v>
      </c>
      <c r="H114" s="16">
        <v>206.76</v>
      </c>
      <c r="I114" s="16">
        <v>42.46</v>
      </c>
      <c r="J114" s="16">
        <v>231.92</v>
      </c>
      <c r="K114" s="16">
        <v>0</v>
      </c>
      <c r="L114" s="16">
        <v>0</v>
      </c>
      <c r="M114" s="16">
        <v>192.2</v>
      </c>
      <c r="N114" s="16">
        <v>1858.98</v>
      </c>
      <c r="P114" s="15">
        <v>5</v>
      </c>
      <c r="Q114" s="2" t="s">
        <v>1</v>
      </c>
      <c r="R114" s="2" t="s">
        <v>52</v>
      </c>
      <c r="T114" s="15">
        <v>14108</v>
      </c>
      <c r="U114" s="2" t="s">
        <v>1</v>
      </c>
      <c r="V114" s="15">
        <v>100029927</v>
      </c>
      <c r="W114" s="2" t="s">
        <v>155</v>
      </c>
      <c r="X114" s="2" t="s">
        <v>155</v>
      </c>
      <c r="Y114" s="2" t="s">
        <v>156</v>
      </c>
      <c r="Z114" s="2" t="s">
        <v>159</v>
      </c>
      <c r="AA114" s="15">
        <v>7034</v>
      </c>
      <c r="AB114" s="15">
        <v>1</v>
      </c>
      <c r="AC114" s="15">
        <v>1888872</v>
      </c>
      <c r="AD114" s="15">
        <v>6</v>
      </c>
      <c r="AE114" s="2" t="s">
        <v>100</v>
      </c>
      <c r="AF114" s="15">
        <v>2</v>
      </c>
      <c r="AG114" s="15">
        <v>1</v>
      </c>
      <c r="AH114" s="15">
        <f t="shared" si="75"/>
        <v>-137.57</v>
      </c>
      <c r="AI114" s="15">
        <f t="shared" si="76"/>
        <v>-167.75</v>
      </c>
      <c r="AJ114" s="15">
        <f t="shared" si="77"/>
        <v>-261.02</v>
      </c>
      <c r="AK114" s="15">
        <f t="shared" si="78"/>
        <v>-240.1</v>
      </c>
      <c r="AL114" s="15">
        <f t="shared" si="79"/>
        <v>-29.02</v>
      </c>
      <c r="AM114" s="15">
        <f t="shared" si="80"/>
        <v>-350.18</v>
      </c>
      <c r="AN114" s="15">
        <f t="shared" si="81"/>
        <v>-206.76</v>
      </c>
      <c r="AO114" s="15">
        <f t="shared" si="82"/>
        <v>-42.46</v>
      </c>
      <c r="AP114" s="15">
        <f t="shared" si="83"/>
        <v>-231.92</v>
      </c>
      <c r="AQ114" s="15">
        <v>0</v>
      </c>
      <c r="AR114" s="15">
        <f t="shared" si="84"/>
        <v>0</v>
      </c>
      <c r="AS114" s="15">
        <f t="shared" si="85"/>
        <v>0</v>
      </c>
      <c r="AT114" s="15">
        <f t="shared" si="86"/>
        <v>-192.2</v>
      </c>
      <c r="AU114" s="15">
        <f t="shared" si="87"/>
        <v>-1858.98</v>
      </c>
    </row>
    <row r="115" spans="1:47">
      <c r="A115" s="14" t="s">
        <v>160</v>
      </c>
      <c r="B115" s="16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10.59</v>
      </c>
      <c r="H115" s="16">
        <v>10.59</v>
      </c>
      <c r="I115" s="16">
        <v>19.41</v>
      </c>
      <c r="J115" s="16">
        <v>129.08000000000001</v>
      </c>
      <c r="K115" s="16">
        <v>13.66</v>
      </c>
      <c r="L115" s="16">
        <v>394.5</v>
      </c>
      <c r="M115" s="16">
        <v>25.03</v>
      </c>
      <c r="N115" s="16">
        <v>602.86</v>
      </c>
      <c r="P115" s="15">
        <v>5</v>
      </c>
      <c r="Q115" s="2" t="s">
        <v>1</v>
      </c>
      <c r="R115" s="2" t="s">
        <v>52</v>
      </c>
      <c r="T115" s="15">
        <v>14108</v>
      </c>
      <c r="U115" s="2" t="s">
        <v>1</v>
      </c>
      <c r="V115" s="15">
        <v>100029927</v>
      </c>
      <c r="W115" s="2" t="s">
        <v>155</v>
      </c>
      <c r="X115" s="2" t="s">
        <v>155</v>
      </c>
      <c r="Y115" s="2" t="s">
        <v>156</v>
      </c>
      <c r="Z115" s="2" t="s">
        <v>160</v>
      </c>
      <c r="AA115" s="15">
        <v>7035</v>
      </c>
      <c r="AB115" s="15">
        <v>1</v>
      </c>
      <c r="AC115" s="15">
        <v>1888862</v>
      </c>
      <c r="AD115" s="15">
        <v>8</v>
      </c>
      <c r="AE115" s="2" t="s">
        <v>100</v>
      </c>
      <c r="AF115" s="15">
        <v>1</v>
      </c>
      <c r="AG115" s="15">
        <v>1</v>
      </c>
      <c r="AH115" s="15">
        <f t="shared" si="75"/>
        <v>0</v>
      </c>
      <c r="AI115" s="15">
        <f t="shared" si="76"/>
        <v>0</v>
      </c>
      <c r="AJ115" s="15">
        <f t="shared" si="77"/>
        <v>0</v>
      </c>
      <c r="AK115" s="15">
        <f t="shared" si="78"/>
        <v>0</v>
      </c>
      <c r="AL115" s="15">
        <f t="shared" si="79"/>
        <v>0</v>
      </c>
      <c r="AM115" s="15">
        <f t="shared" si="80"/>
        <v>-10.59</v>
      </c>
      <c r="AN115" s="15">
        <f t="shared" si="81"/>
        <v>-10.59</v>
      </c>
      <c r="AO115" s="15">
        <f t="shared" si="82"/>
        <v>-19.41</v>
      </c>
      <c r="AP115" s="15">
        <f t="shared" si="83"/>
        <v>-129.08000000000001</v>
      </c>
      <c r="AQ115" s="15">
        <v>-13.66</v>
      </c>
      <c r="AR115" s="15">
        <f t="shared" si="84"/>
        <v>-13.66</v>
      </c>
      <c r="AS115" s="15">
        <f t="shared" si="85"/>
        <v>-394.5</v>
      </c>
      <c r="AT115" s="15">
        <f t="shared" si="86"/>
        <v>-25.03</v>
      </c>
      <c r="AU115" s="15">
        <f t="shared" si="87"/>
        <v>-602.86</v>
      </c>
    </row>
    <row r="116" spans="1:47">
      <c r="A116" s="14" t="s">
        <v>161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2581.2600000000002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2581.2600000000002</v>
      </c>
      <c r="P116" s="15">
        <v>5</v>
      </c>
      <c r="Q116" s="2" t="s">
        <v>1</v>
      </c>
      <c r="R116" s="2" t="s">
        <v>52</v>
      </c>
      <c r="T116" s="15">
        <v>14108</v>
      </c>
      <c r="U116" s="2" t="s">
        <v>1</v>
      </c>
      <c r="V116" s="15">
        <v>100029927</v>
      </c>
      <c r="W116" s="2" t="s">
        <v>155</v>
      </c>
      <c r="X116" s="2" t="s">
        <v>155</v>
      </c>
      <c r="Y116" s="2" t="s">
        <v>156</v>
      </c>
      <c r="Z116" s="2" t="s">
        <v>161</v>
      </c>
      <c r="AA116" s="15">
        <v>7039</v>
      </c>
      <c r="AB116" s="15">
        <v>1</v>
      </c>
      <c r="AC116" s="15">
        <v>1888873</v>
      </c>
      <c r="AD116" s="15">
        <v>9</v>
      </c>
      <c r="AE116" s="2" t="s">
        <v>100</v>
      </c>
      <c r="AF116" s="15">
        <v>1</v>
      </c>
      <c r="AG116" s="15">
        <v>0</v>
      </c>
      <c r="AH116" s="15">
        <f t="shared" si="75"/>
        <v>0</v>
      </c>
      <c r="AI116" s="15">
        <f t="shared" si="76"/>
        <v>0</v>
      </c>
      <c r="AJ116" s="15">
        <f t="shared" si="77"/>
        <v>0</v>
      </c>
      <c r="AK116" s="15">
        <f t="shared" si="78"/>
        <v>0</v>
      </c>
      <c r="AL116" s="15">
        <f t="shared" si="79"/>
        <v>0</v>
      </c>
      <c r="AM116" s="15">
        <f t="shared" si="80"/>
        <v>0</v>
      </c>
      <c r="AN116" s="15">
        <f t="shared" si="81"/>
        <v>-2581.2600000000002</v>
      </c>
      <c r="AO116" s="15">
        <f t="shared" si="82"/>
        <v>0</v>
      </c>
      <c r="AP116" s="15">
        <f t="shared" si="83"/>
        <v>0</v>
      </c>
      <c r="AQ116" s="15">
        <v>0</v>
      </c>
      <c r="AR116" s="15">
        <f t="shared" si="84"/>
        <v>0</v>
      </c>
      <c r="AS116" s="15">
        <f t="shared" si="85"/>
        <v>0</v>
      </c>
      <c r="AT116" s="15">
        <f t="shared" si="86"/>
        <v>0</v>
      </c>
      <c r="AU116" s="15">
        <f t="shared" si="87"/>
        <v>-2581.2600000000002</v>
      </c>
    </row>
    <row r="117" spans="1:47">
      <c r="A117" s="14" t="s">
        <v>162</v>
      </c>
      <c r="B117" s="16">
        <v>0</v>
      </c>
      <c r="C117" s="16">
        <v>0</v>
      </c>
      <c r="D117" s="16">
        <v>0</v>
      </c>
      <c r="E117" s="16">
        <v>0</v>
      </c>
      <c r="F117" s="16">
        <v>0</v>
      </c>
      <c r="G117" s="16">
        <v>233.29</v>
      </c>
      <c r="H117" s="16">
        <v>133.13999999999999</v>
      </c>
      <c r="I117" s="16">
        <v>0</v>
      </c>
      <c r="J117" s="16">
        <v>0</v>
      </c>
      <c r="K117" s="16">
        <v>0</v>
      </c>
      <c r="L117" s="16">
        <v>218.31</v>
      </c>
      <c r="M117" s="16">
        <v>70.66</v>
      </c>
      <c r="N117" s="16">
        <v>655.4</v>
      </c>
      <c r="P117" s="15">
        <v>5</v>
      </c>
      <c r="Q117" s="2" t="s">
        <v>1</v>
      </c>
      <c r="R117" s="2" t="s">
        <v>52</v>
      </c>
      <c r="T117" s="15">
        <v>14108</v>
      </c>
      <c r="U117" s="2" t="s">
        <v>1</v>
      </c>
      <c r="V117" s="15">
        <v>100029927</v>
      </c>
      <c r="W117" s="2" t="s">
        <v>155</v>
      </c>
      <c r="X117" s="2" t="s">
        <v>155</v>
      </c>
      <c r="Y117" s="2" t="s">
        <v>156</v>
      </c>
      <c r="Z117" s="2" t="s">
        <v>162</v>
      </c>
      <c r="AA117" s="15">
        <v>7042</v>
      </c>
      <c r="AB117" s="15">
        <v>1</v>
      </c>
      <c r="AC117" s="15">
        <v>1888874</v>
      </c>
      <c r="AD117" s="15">
        <v>10</v>
      </c>
      <c r="AE117" s="2" t="s">
        <v>100</v>
      </c>
      <c r="AF117" s="15">
        <v>1</v>
      </c>
      <c r="AG117" s="15">
        <v>1</v>
      </c>
      <c r="AH117" s="15">
        <f t="shared" si="75"/>
        <v>0</v>
      </c>
      <c r="AI117" s="15">
        <f t="shared" si="76"/>
        <v>0</v>
      </c>
      <c r="AJ117" s="15">
        <f t="shared" si="77"/>
        <v>0</v>
      </c>
      <c r="AK117" s="15">
        <f t="shared" si="78"/>
        <v>0</v>
      </c>
      <c r="AL117" s="15">
        <f t="shared" si="79"/>
        <v>0</v>
      </c>
      <c r="AM117" s="15">
        <f t="shared" si="80"/>
        <v>-233.29</v>
      </c>
      <c r="AN117" s="15">
        <f t="shared" si="81"/>
        <v>-133.13999999999999</v>
      </c>
      <c r="AO117" s="15">
        <f t="shared" si="82"/>
        <v>0</v>
      </c>
      <c r="AP117" s="15">
        <f t="shared" si="83"/>
        <v>0</v>
      </c>
      <c r="AQ117" s="15">
        <v>0</v>
      </c>
      <c r="AR117" s="15">
        <f t="shared" si="84"/>
        <v>0</v>
      </c>
      <c r="AS117" s="15">
        <f t="shared" si="85"/>
        <v>-218.31</v>
      </c>
      <c r="AT117" s="15">
        <f t="shared" si="86"/>
        <v>-70.66</v>
      </c>
      <c r="AU117" s="15">
        <f t="shared" si="87"/>
        <v>-655.4</v>
      </c>
    </row>
    <row r="118" spans="1:47">
      <c r="A118" s="14" t="s">
        <v>163</v>
      </c>
      <c r="B118" s="16">
        <v>0</v>
      </c>
      <c r="C118" s="16">
        <v>0</v>
      </c>
      <c r="D118" s="16">
        <v>0</v>
      </c>
      <c r="E118" s="16">
        <v>0</v>
      </c>
      <c r="F118" s="16">
        <v>1553.44</v>
      </c>
      <c r="G118" s="16">
        <v>506.56</v>
      </c>
      <c r="H118" s="16">
        <v>515</v>
      </c>
      <c r="I118" s="16">
        <v>515</v>
      </c>
      <c r="J118" s="16">
        <v>30</v>
      </c>
      <c r="K118" s="16">
        <v>1000</v>
      </c>
      <c r="L118" s="16">
        <v>515</v>
      </c>
      <c r="M118" s="16">
        <v>1165</v>
      </c>
      <c r="N118" s="16">
        <v>5800</v>
      </c>
      <c r="P118" s="15">
        <v>5</v>
      </c>
      <c r="Q118" s="2" t="s">
        <v>1</v>
      </c>
      <c r="R118" s="2" t="s">
        <v>52</v>
      </c>
      <c r="T118" s="15">
        <v>14108</v>
      </c>
      <c r="U118" s="2" t="s">
        <v>1</v>
      </c>
      <c r="V118" s="15">
        <v>100029927</v>
      </c>
      <c r="W118" s="2" t="s">
        <v>155</v>
      </c>
      <c r="X118" s="2" t="s">
        <v>155</v>
      </c>
      <c r="Y118" s="2" t="s">
        <v>156</v>
      </c>
      <c r="Z118" s="2" t="s">
        <v>163</v>
      </c>
      <c r="AA118" s="15">
        <v>7045</v>
      </c>
      <c r="AB118" s="15">
        <v>1</v>
      </c>
      <c r="AC118" s="15">
        <v>1888875</v>
      </c>
      <c r="AD118" s="15">
        <v>11</v>
      </c>
      <c r="AE118" s="2" t="s">
        <v>100</v>
      </c>
      <c r="AF118" s="15">
        <v>2</v>
      </c>
      <c r="AG118" s="15">
        <v>1</v>
      </c>
      <c r="AH118" s="15">
        <f t="shared" si="75"/>
        <v>0</v>
      </c>
      <c r="AI118" s="15">
        <f t="shared" si="76"/>
        <v>0</v>
      </c>
      <c r="AJ118" s="15">
        <f t="shared" si="77"/>
        <v>0</v>
      </c>
      <c r="AK118" s="15">
        <f t="shared" si="78"/>
        <v>0</v>
      </c>
      <c r="AL118" s="15">
        <f t="shared" si="79"/>
        <v>-1553.44</v>
      </c>
      <c r="AM118" s="15">
        <f t="shared" si="80"/>
        <v>-506.56</v>
      </c>
      <c r="AN118" s="15">
        <f t="shared" si="81"/>
        <v>-515</v>
      </c>
      <c r="AO118" s="15">
        <f t="shared" si="82"/>
        <v>-515</v>
      </c>
      <c r="AP118" s="15">
        <f t="shared" si="83"/>
        <v>-30</v>
      </c>
      <c r="AQ118" s="15">
        <v>-1000</v>
      </c>
      <c r="AR118" s="15">
        <f t="shared" si="84"/>
        <v>-1000</v>
      </c>
      <c r="AS118" s="15">
        <f t="shared" si="85"/>
        <v>-515</v>
      </c>
      <c r="AT118" s="15">
        <f t="shared" si="86"/>
        <v>-1165</v>
      </c>
      <c r="AU118" s="15">
        <f t="shared" si="87"/>
        <v>-5800</v>
      </c>
    </row>
    <row r="119" spans="1:47">
      <c r="A119" s="14" t="s">
        <v>164</v>
      </c>
      <c r="B119" s="16">
        <v>0</v>
      </c>
      <c r="C119" s="16">
        <v>100.52</v>
      </c>
      <c r="D119" s="16">
        <v>142.15</v>
      </c>
      <c r="E119" s="16">
        <v>361.97</v>
      </c>
      <c r="F119" s="16">
        <v>214.58</v>
      </c>
      <c r="G119" s="16">
        <v>73.010000000000005</v>
      </c>
      <c r="H119" s="16">
        <v>471.06</v>
      </c>
      <c r="I119" s="16">
        <v>567.54</v>
      </c>
      <c r="J119" s="16">
        <v>14.06</v>
      </c>
      <c r="K119" s="16">
        <v>78.39</v>
      </c>
      <c r="L119" s="16">
        <v>112.6</v>
      </c>
      <c r="M119" s="16">
        <v>30.47</v>
      </c>
      <c r="N119" s="16">
        <v>2166.35</v>
      </c>
      <c r="P119" s="15">
        <v>5</v>
      </c>
      <c r="Q119" s="2" t="s">
        <v>1</v>
      </c>
      <c r="R119" s="2" t="s">
        <v>52</v>
      </c>
      <c r="T119" s="15">
        <v>14108</v>
      </c>
      <c r="U119" s="2" t="s">
        <v>1</v>
      </c>
      <c r="V119" s="15">
        <v>100029927</v>
      </c>
      <c r="W119" s="2" t="s">
        <v>155</v>
      </c>
      <c r="X119" s="2" t="s">
        <v>155</v>
      </c>
      <c r="Y119" s="2" t="s">
        <v>156</v>
      </c>
      <c r="Z119" s="2" t="s">
        <v>164</v>
      </c>
      <c r="AA119" s="15">
        <v>7051</v>
      </c>
      <c r="AB119" s="15">
        <v>1</v>
      </c>
      <c r="AC119" s="15">
        <v>1888877</v>
      </c>
      <c r="AD119" s="15">
        <v>12</v>
      </c>
      <c r="AE119" s="2" t="s">
        <v>100</v>
      </c>
      <c r="AF119" s="15">
        <v>2</v>
      </c>
      <c r="AG119" s="15">
        <v>1</v>
      </c>
      <c r="AH119" s="15">
        <f t="shared" si="75"/>
        <v>0</v>
      </c>
      <c r="AI119" s="15">
        <f t="shared" si="76"/>
        <v>-100.52</v>
      </c>
      <c r="AJ119" s="15">
        <f t="shared" si="77"/>
        <v>-142.15</v>
      </c>
      <c r="AK119" s="15">
        <f t="shared" si="78"/>
        <v>-361.97</v>
      </c>
      <c r="AL119" s="15">
        <f t="shared" si="79"/>
        <v>-214.58</v>
      </c>
      <c r="AM119" s="15">
        <f t="shared" si="80"/>
        <v>-73.010000000000005</v>
      </c>
      <c r="AN119" s="15">
        <f t="shared" si="81"/>
        <v>-471.06</v>
      </c>
      <c r="AO119" s="15">
        <f t="shared" si="82"/>
        <v>-567.54</v>
      </c>
      <c r="AP119" s="15">
        <f t="shared" si="83"/>
        <v>-14.06</v>
      </c>
      <c r="AQ119" s="15">
        <v>-78.39</v>
      </c>
      <c r="AR119" s="15">
        <f t="shared" si="84"/>
        <v>-78.39</v>
      </c>
      <c r="AS119" s="15">
        <f t="shared" si="85"/>
        <v>-112.6</v>
      </c>
      <c r="AT119" s="15">
        <f t="shared" si="86"/>
        <v>-30.47</v>
      </c>
      <c r="AU119" s="15">
        <f t="shared" si="87"/>
        <v>-2166.35</v>
      </c>
    </row>
    <row r="120" spans="1:47">
      <c r="A120" s="14" t="s">
        <v>165</v>
      </c>
      <c r="B120" s="16">
        <v>0</v>
      </c>
      <c r="C120" s="16">
        <v>340</v>
      </c>
      <c r="D120" s="16">
        <v>500</v>
      </c>
      <c r="E120" s="16">
        <v>160</v>
      </c>
      <c r="F120" s="16">
        <v>500</v>
      </c>
      <c r="G120" s="16">
        <v>500</v>
      </c>
      <c r="H120" s="16">
        <v>1239</v>
      </c>
      <c r="I120" s="16">
        <v>589</v>
      </c>
      <c r="J120" s="16">
        <v>500</v>
      </c>
      <c r="K120" s="16">
        <v>500</v>
      </c>
      <c r="L120" s="16">
        <v>500</v>
      </c>
      <c r="M120" s="16">
        <v>560</v>
      </c>
      <c r="N120" s="16">
        <v>5888</v>
      </c>
      <c r="P120" s="15">
        <v>5</v>
      </c>
      <c r="Q120" s="2" t="s">
        <v>1</v>
      </c>
      <c r="R120" s="2" t="s">
        <v>52</v>
      </c>
      <c r="T120" s="15">
        <v>14108</v>
      </c>
      <c r="U120" s="2" t="s">
        <v>1</v>
      </c>
      <c r="V120" s="15">
        <v>100029927</v>
      </c>
      <c r="W120" s="2" t="s">
        <v>155</v>
      </c>
      <c r="X120" s="2" t="s">
        <v>155</v>
      </c>
      <c r="Y120" s="2" t="s">
        <v>156</v>
      </c>
      <c r="Z120" s="2" t="s">
        <v>165</v>
      </c>
      <c r="AA120" s="15">
        <v>7054</v>
      </c>
      <c r="AB120" s="15">
        <v>1</v>
      </c>
      <c r="AC120" s="15">
        <v>1888878</v>
      </c>
      <c r="AD120" s="15">
        <v>13</v>
      </c>
      <c r="AE120" s="2" t="s">
        <v>100</v>
      </c>
      <c r="AF120" s="15">
        <v>1</v>
      </c>
      <c r="AG120" s="15">
        <v>1</v>
      </c>
      <c r="AH120" s="15">
        <f t="shared" si="75"/>
        <v>0</v>
      </c>
      <c r="AI120" s="15">
        <f t="shared" si="76"/>
        <v>-340</v>
      </c>
      <c r="AJ120" s="15">
        <f t="shared" si="77"/>
        <v>-500</v>
      </c>
      <c r="AK120" s="15">
        <f t="shared" si="78"/>
        <v>-160</v>
      </c>
      <c r="AL120" s="15">
        <f t="shared" si="79"/>
        <v>-500</v>
      </c>
      <c r="AM120" s="15">
        <f t="shared" si="80"/>
        <v>-500</v>
      </c>
      <c r="AN120" s="15">
        <f t="shared" si="81"/>
        <v>-1239</v>
      </c>
      <c r="AO120" s="15">
        <f t="shared" si="82"/>
        <v>-589</v>
      </c>
      <c r="AP120" s="15">
        <f t="shared" si="83"/>
        <v>-500</v>
      </c>
      <c r="AQ120" s="15">
        <v>-500</v>
      </c>
      <c r="AR120" s="15">
        <f t="shared" si="84"/>
        <v>-500</v>
      </c>
      <c r="AS120" s="15">
        <f t="shared" si="85"/>
        <v>-500</v>
      </c>
      <c r="AT120" s="15">
        <f t="shared" si="86"/>
        <v>-560</v>
      </c>
      <c r="AU120" s="15">
        <f t="shared" si="87"/>
        <v>-5888</v>
      </c>
    </row>
    <row r="121" spans="1:47">
      <c r="A121" s="14" t="s">
        <v>166</v>
      </c>
      <c r="B121" s="16">
        <v>0</v>
      </c>
      <c r="C121" s="16">
        <v>0</v>
      </c>
      <c r="D121" s="16">
        <v>0</v>
      </c>
      <c r="E121" s="16">
        <v>4467.1099999999997</v>
      </c>
      <c r="F121" s="16">
        <v>87.69</v>
      </c>
      <c r="G121" s="16">
        <v>87.69</v>
      </c>
      <c r="H121" s="16">
        <v>87.69</v>
      </c>
      <c r="I121" s="16">
        <v>87.69</v>
      </c>
      <c r="J121" s="16">
        <v>87.69</v>
      </c>
      <c r="K121" s="16">
        <v>87.69</v>
      </c>
      <c r="L121" s="16">
        <v>87.69</v>
      </c>
      <c r="M121" s="16">
        <v>6983.69</v>
      </c>
      <c r="N121" s="16">
        <v>12064.63</v>
      </c>
      <c r="P121" s="15">
        <v>5</v>
      </c>
      <c r="Q121" s="2" t="s">
        <v>1</v>
      </c>
      <c r="R121" s="2" t="s">
        <v>52</v>
      </c>
      <c r="T121" s="15">
        <v>14108</v>
      </c>
      <c r="U121" s="2" t="s">
        <v>1</v>
      </c>
      <c r="V121" s="15">
        <v>100029927</v>
      </c>
      <c r="W121" s="2" t="s">
        <v>155</v>
      </c>
      <c r="X121" s="2" t="s">
        <v>155</v>
      </c>
      <c r="Y121" s="2" t="s">
        <v>156</v>
      </c>
      <c r="Z121" s="2" t="s">
        <v>166</v>
      </c>
      <c r="AA121" s="15">
        <v>7060</v>
      </c>
      <c r="AB121" s="15">
        <v>1</v>
      </c>
      <c r="AC121" s="15">
        <v>1888880</v>
      </c>
      <c r="AD121" s="15">
        <v>15</v>
      </c>
      <c r="AE121" s="2" t="s">
        <v>100</v>
      </c>
      <c r="AF121" s="15">
        <v>1</v>
      </c>
      <c r="AG121" s="15">
        <v>2</v>
      </c>
      <c r="AH121" s="15">
        <f t="shared" si="75"/>
        <v>0</v>
      </c>
      <c r="AI121" s="15">
        <f t="shared" si="76"/>
        <v>0</v>
      </c>
      <c r="AJ121" s="15">
        <f t="shared" si="77"/>
        <v>0</v>
      </c>
      <c r="AK121" s="15">
        <f t="shared" si="78"/>
        <v>-4467.1099999999997</v>
      </c>
      <c r="AL121" s="15">
        <f t="shared" si="79"/>
        <v>-87.69</v>
      </c>
      <c r="AM121" s="15">
        <f t="shared" si="80"/>
        <v>-87.69</v>
      </c>
      <c r="AN121" s="15">
        <f t="shared" si="81"/>
        <v>-87.69</v>
      </c>
      <c r="AO121" s="15">
        <f t="shared" si="82"/>
        <v>-87.69</v>
      </c>
      <c r="AP121" s="15">
        <f t="shared" si="83"/>
        <v>-87.69</v>
      </c>
      <c r="AQ121" s="15">
        <v>-87.69</v>
      </c>
      <c r="AR121" s="15">
        <f t="shared" si="84"/>
        <v>-87.69</v>
      </c>
      <c r="AS121" s="15">
        <f t="shared" si="85"/>
        <v>-87.69</v>
      </c>
      <c r="AT121" s="15">
        <f t="shared" si="86"/>
        <v>-6983.69</v>
      </c>
      <c r="AU121" s="15">
        <f t="shared" si="87"/>
        <v>-12064.63</v>
      </c>
    </row>
    <row r="122" spans="1:47">
      <c r="A122" s="14" t="s">
        <v>167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613.74</v>
      </c>
      <c r="L122" s="16">
        <v>0</v>
      </c>
      <c r="M122" s="16">
        <v>-613.74</v>
      </c>
      <c r="N122" s="16">
        <v>0</v>
      </c>
      <c r="P122" s="15">
        <v>5</v>
      </c>
      <c r="Q122" s="2" t="s">
        <v>1</v>
      </c>
      <c r="R122" s="2" t="s">
        <v>52</v>
      </c>
      <c r="T122" s="15">
        <v>14108</v>
      </c>
      <c r="U122" s="2" t="s">
        <v>1</v>
      </c>
      <c r="V122" s="15">
        <v>100029927</v>
      </c>
      <c r="W122" s="2" t="s">
        <v>155</v>
      </c>
      <c r="X122" s="2" t="s">
        <v>155</v>
      </c>
      <c r="Y122" s="2" t="s">
        <v>156</v>
      </c>
      <c r="Z122" s="2" t="s">
        <v>167</v>
      </c>
      <c r="AA122" s="15">
        <v>7069</v>
      </c>
      <c r="AB122" s="15">
        <v>1</v>
      </c>
      <c r="AC122" s="15">
        <v>1888881</v>
      </c>
      <c r="AD122" s="15">
        <v>16</v>
      </c>
      <c r="AE122" s="2" t="s">
        <v>100</v>
      </c>
      <c r="AF122" s="15">
        <v>0</v>
      </c>
      <c r="AG122" s="15">
        <v>2</v>
      </c>
      <c r="AH122" s="15">
        <f t="shared" si="75"/>
        <v>0</v>
      </c>
      <c r="AI122" s="15">
        <f t="shared" si="76"/>
        <v>0</v>
      </c>
      <c r="AJ122" s="15">
        <f t="shared" si="77"/>
        <v>0</v>
      </c>
      <c r="AK122" s="15">
        <f t="shared" si="78"/>
        <v>0</v>
      </c>
      <c r="AL122" s="15">
        <f t="shared" si="79"/>
        <v>0</v>
      </c>
      <c r="AM122" s="15">
        <f t="shared" si="80"/>
        <v>0</v>
      </c>
      <c r="AN122" s="15">
        <f t="shared" si="81"/>
        <v>0</v>
      </c>
      <c r="AO122" s="15">
        <f t="shared" si="82"/>
        <v>0</v>
      </c>
      <c r="AP122" s="15">
        <f t="shared" si="83"/>
        <v>0</v>
      </c>
      <c r="AQ122" s="15">
        <v>-613.74</v>
      </c>
      <c r="AR122" s="15">
        <f t="shared" si="84"/>
        <v>-613.74</v>
      </c>
      <c r="AS122" s="15">
        <f t="shared" si="85"/>
        <v>0</v>
      </c>
      <c r="AT122" s="15">
        <f t="shared" si="86"/>
        <v>613.74</v>
      </c>
      <c r="AU122" s="15">
        <f t="shared" si="87"/>
        <v>0</v>
      </c>
    </row>
    <row r="123" spans="1:47">
      <c r="A123" s="14" t="s">
        <v>168</v>
      </c>
      <c r="B123" s="16">
        <v>0</v>
      </c>
      <c r="C123" s="16">
        <v>312.37</v>
      </c>
      <c r="D123" s="16">
        <v>0</v>
      </c>
      <c r="E123" s="16">
        <v>0</v>
      </c>
      <c r="F123" s="16">
        <v>66.12</v>
      </c>
      <c r="G123" s="16">
        <v>1103.0899999999999</v>
      </c>
      <c r="H123" s="16">
        <v>1025.25</v>
      </c>
      <c r="I123" s="16">
        <v>0</v>
      </c>
      <c r="J123" s="16">
        <v>0</v>
      </c>
      <c r="K123" s="16">
        <v>193.27</v>
      </c>
      <c r="L123" s="16">
        <v>1151.3</v>
      </c>
      <c r="M123" s="16">
        <v>0</v>
      </c>
      <c r="N123" s="16">
        <v>3851.4</v>
      </c>
      <c r="P123" s="15">
        <v>5</v>
      </c>
      <c r="Q123" s="2" t="s">
        <v>1</v>
      </c>
      <c r="R123" s="2" t="s">
        <v>52</v>
      </c>
      <c r="T123" s="15">
        <v>14108</v>
      </c>
      <c r="U123" s="2" t="s">
        <v>1</v>
      </c>
      <c r="V123" s="15">
        <v>100029927</v>
      </c>
      <c r="W123" s="2" t="s">
        <v>155</v>
      </c>
      <c r="X123" s="2" t="s">
        <v>155</v>
      </c>
      <c r="Y123" s="2" t="s">
        <v>156</v>
      </c>
      <c r="Z123" s="2" t="s">
        <v>168</v>
      </c>
      <c r="AA123" s="15">
        <v>7072</v>
      </c>
      <c r="AB123" s="15">
        <v>1</v>
      </c>
      <c r="AC123" s="15">
        <v>1888882</v>
      </c>
      <c r="AD123" s="15">
        <v>17</v>
      </c>
      <c r="AE123" s="2" t="s">
        <v>100</v>
      </c>
      <c r="AF123" s="15">
        <v>2</v>
      </c>
      <c r="AG123" s="15">
        <v>0</v>
      </c>
      <c r="AH123" s="15">
        <f t="shared" si="75"/>
        <v>0</v>
      </c>
      <c r="AI123" s="15">
        <f t="shared" si="76"/>
        <v>-312.37</v>
      </c>
      <c r="AJ123" s="15">
        <f t="shared" si="77"/>
        <v>0</v>
      </c>
      <c r="AK123" s="15">
        <f t="shared" si="78"/>
        <v>0</v>
      </c>
      <c r="AL123" s="15">
        <f t="shared" si="79"/>
        <v>-66.12</v>
      </c>
      <c r="AM123" s="15">
        <f t="shared" si="80"/>
        <v>-1103.0899999999999</v>
      </c>
      <c r="AN123" s="15">
        <f t="shared" si="81"/>
        <v>-1025.25</v>
      </c>
      <c r="AO123" s="15">
        <f t="shared" si="82"/>
        <v>0</v>
      </c>
      <c r="AP123" s="15">
        <f t="shared" si="83"/>
        <v>0</v>
      </c>
      <c r="AQ123" s="15">
        <v>-193.27</v>
      </c>
      <c r="AR123" s="15">
        <f t="shared" si="84"/>
        <v>-193.27</v>
      </c>
      <c r="AS123" s="15">
        <f t="shared" si="85"/>
        <v>-1151.3</v>
      </c>
      <c r="AT123" s="15">
        <f t="shared" si="86"/>
        <v>0</v>
      </c>
      <c r="AU123" s="15">
        <f t="shared" si="87"/>
        <v>-3851.4</v>
      </c>
    </row>
    <row r="124" spans="1:47">
      <c r="A124" s="14" t="s">
        <v>169</v>
      </c>
      <c r="B124" s="16">
        <v>0</v>
      </c>
      <c r="C124" s="16">
        <v>0</v>
      </c>
      <c r="D124" s="16">
        <v>53.41</v>
      </c>
      <c r="E124" s="16">
        <v>60.93</v>
      </c>
      <c r="F124" s="16">
        <v>351.52</v>
      </c>
      <c r="G124" s="16">
        <v>120</v>
      </c>
      <c r="H124" s="16">
        <v>108.9</v>
      </c>
      <c r="I124" s="16">
        <v>246.69</v>
      </c>
      <c r="J124" s="16">
        <v>134.12</v>
      </c>
      <c r="K124" s="16">
        <v>-14.17</v>
      </c>
      <c r="L124" s="16">
        <v>0</v>
      </c>
      <c r="M124" s="16">
        <v>0</v>
      </c>
      <c r="N124" s="16">
        <v>1061.4000000000001</v>
      </c>
      <c r="P124" s="15">
        <v>5</v>
      </c>
      <c r="Q124" s="2" t="s">
        <v>1</v>
      </c>
      <c r="R124" s="2" t="s">
        <v>52</v>
      </c>
      <c r="T124" s="15">
        <v>14108</v>
      </c>
      <c r="U124" s="2" t="s">
        <v>1</v>
      </c>
      <c r="V124" s="15">
        <v>100029927</v>
      </c>
      <c r="W124" s="2" t="s">
        <v>155</v>
      </c>
      <c r="X124" s="2" t="s">
        <v>155</v>
      </c>
      <c r="Y124" s="2" t="s">
        <v>156</v>
      </c>
      <c r="Z124" s="2" t="s">
        <v>169</v>
      </c>
      <c r="AA124" s="15">
        <v>7078</v>
      </c>
      <c r="AB124" s="15">
        <v>1</v>
      </c>
      <c r="AC124" s="15">
        <v>1888883</v>
      </c>
      <c r="AD124" s="15">
        <v>18</v>
      </c>
      <c r="AE124" s="2" t="s">
        <v>100</v>
      </c>
      <c r="AF124" s="15">
        <v>1</v>
      </c>
      <c r="AG124" s="15">
        <v>0</v>
      </c>
      <c r="AH124" s="15">
        <f t="shared" si="75"/>
        <v>0</v>
      </c>
      <c r="AI124" s="15">
        <f t="shared" si="76"/>
        <v>0</v>
      </c>
      <c r="AJ124" s="15">
        <f t="shared" si="77"/>
        <v>-53.41</v>
      </c>
      <c r="AK124" s="15">
        <f t="shared" si="78"/>
        <v>-60.93</v>
      </c>
      <c r="AL124" s="15">
        <f t="shared" si="79"/>
        <v>-351.52</v>
      </c>
      <c r="AM124" s="15">
        <f t="shared" si="80"/>
        <v>-120</v>
      </c>
      <c r="AN124" s="15">
        <f t="shared" si="81"/>
        <v>-108.9</v>
      </c>
      <c r="AO124" s="15">
        <f t="shared" si="82"/>
        <v>-246.69</v>
      </c>
      <c r="AP124" s="15">
        <f t="shared" si="83"/>
        <v>-134.12</v>
      </c>
      <c r="AQ124" s="15">
        <v>14.17</v>
      </c>
      <c r="AR124" s="15">
        <f t="shared" si="84"/>
        <v>14.17</v>
      </c>
      <c r="AS124" s="15">
        <f t="shared" si="85"/>
        <v>0</v>
      </c>
      <c r="AT124" s="15">
        <f t="shared" si="86"/>
        <v>0</v>
      </c>
      <c r="AU124" s="15">
        <f t="shared" si="87"/>
        <v>-1061.4000000000001</v>
      </c>
    </row>
    <row r="125" spans="1:47">
      <c r="A125" s="14" t="s">
        <v>170</v>
      </c>
      <c r="B125" s="16">
        <v>0</v>
      </c>
      <c r="C125" s="16">
        <v>0</v>
      </c>
      <c r="D125" s="16">
        <v>965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513</v>
      </c>
      <c r="L125" s="16">
        <v>0</v>
      </c>
      <c r="M125" s="16">
        <v>0</v>
      </c>
      <c r="N125" s="16">
        <v>1478</v>
      </c>
      <c r="P125" s="15">
        <v>5</v>
      </c>
      <c r="Q125" s="2" t="s">
        <v>1</v>
      </c>
      <c r="R125" s="2" t="s">
        <v>52</v>
      </c>
      <c r="T125" s="15">
        <v>14108</v>
      </c>
      <c r="U125" s="2" t="s">
        <v>1</v>
      </c>
      <c r="V125" s="15">
        <v>100029927</v>
      </c>
      <c r="W125" s="2" t="s">
        <v>155</v>
      </c>
      <c r="X125" s="2" t="s">
        <v>155</v>
      </c>
      <c r="Y125" s="2" t="s">
        <v>156</v>
      </c>
      <c r="Z125" s="2" t="s">
        <v>170</v>
      </c>
      <c r="AA125" s="15">
        <v>7081</v>
      </c>
      <c r="AB125" s="15">
        <v>1</v>
      </c>
      <c r="AC125" s="15">
        <v>1888884</v>
      </c>
      <c r="AD125" s="15">
        <v>19</v>
      </c>
      <c r="AE125" s="2" t="s">
        <v>100</v>
      </c>
      <c r="AF125" s="15">
        <v>0</v>
      </c>
      <c r="AG125" s="15">
        <v>0</v>
      </c>
      <c r="AH125" s="15">
        <f t="shared" si="75"/>
        <v>0</v>
      </c>
      <c r="AI125" s="15">
        <f t="shared" si="76"/>
        <v>0</v>
      </c>
      <c r="AJ125" s="15">
        <f t="shared" si="77"/>
        <v>-965</v>
      </c>
      <c r="AK125" s="15">
        <f t="shared" si="78"/>
        <v>0</v>
      </c>
      <c r="AL125" s="15">
        <f t="shared" si="79"/>
        <v>0</v>
      </c>
      <c r="AM125" s="15">
        <f t="shared" si="80"/>
        <v>0</v>
      </c>
      <c r="AN125" s="15">
        <f t="shared" si="81"/>
        <v>0</v>
      </c>
      <c r="AO125" s="15">
        <f t="shared" si="82"/>
        <v>0</v>
      </c>
      <c r="AP125" s="15">
        <f t="shared" si="83"/>
        <v>0</v>
      </c>
      <c r="AQ125" s="15">
        <v>-513</v>
      </c>
      <c r="AR125" s="15">
        <f t="shared" si="84"/>
        <v>-513</v>
      </c>
      <c r="AS125" s="15">
        <f t="shared" si="85"/>
        <v>0</v>
      </c>
      <c r="AT125" s="15">
        <f t="shared" si="86"/>
        <v>0</v>
      </c>
      <c r="AU125" s="15">
        <f t="shared" si="87"/>
        <v>-1478</v>
      </c>
    </row>
    <row r="126" spans="1:47">
      <c r="A126" s="14" t="s">
        <v>171</v>
      </c>
      <c r="B126" s="16">
        <v>334.28</v>
      </c>
      <c r="C126" s="16">
        <v>0</v>
      </c>
      <c r="D126" s="16">
        <v>7432.88</v>
      </c>
      <c r="E126" s="16">
        <v>524.4</v>
      </c>
      <c r="F126" s="16">
        <v>85</v>
      </c>
      <c r="G126" s="16">
        <v>0</v>
      </c>
      <c r="H126" s="16">
        <v>0</v>
      </c>
      <c r="I126" s="16">
        <v>153</v>
      </c>
      <c r="J126" s="16">
        <v>0</v>
      </c>
      <c r="K126" s="16">
        <v>0</v>
      </c>
      <c r="L126" s="16">
        <v>0</v>
      </c>
      <c r="M126" s="16">
        <v>488.5</v>
      </c>
      <c r="N126" s="16">
        <v>9018.06</v>
      </c>
      <c r="P126" s="15">
        <v>5</v>
      </c>
      <c r="Q126" s="2" t="s">
        <v>1</v>
      </c>
      <c r="R126" s="2" t="s">
        <v>52</v>
      </c>
      <c r="T126" s="15">
        <v>14108</v>
      </c>
      <c r="U126" s="2" t="s">
        <v>1</v>
      </c>
      <c r="V126" s="15">
        <v>100029927</v>
      </c>
      <c r="W126" s="2" t="s">
        <v>155</v>
      </c>
      <c r="X126" s="2" t="s">
        <v>155</v>
      </c>
      <c r="Y126" s="2" t="s">
        <v>156</v>
      </c>
      <c r="Z126" s="2" t="s">
        <v>171</v>
      </c>
      <c r="AA126" s="15">
        <v>7084</v>
      </c>
      <c r="AB126" s="15">
        <v>1</v>
      </c>
      <c r="AC126" s="15">
        <v>1888885</v>
      </c>
      <c r="AD126" s="15">
        <v>20</v>
      </c>
      <c r="AE126" s="2" t="s">
        <v>100</v>
      </c>
      <c r="AF126" s="15">
        <v>0</v>
      </c>
      <c r="AG126" s="15">
        <v>1</v>
      </c>
      <c r="AH126" s="15">
        <f t="shared" si="75"/>
        <v>-334.28</v>
      </c>
      <c r="AI126" s="15">
        <f t="shared" si="76"/>
        <v>0</v>
      </c>
      <c r="AJ126" s="15">
        <f t="shared" si="77"/>
        <v>-7432.88</v>
      </c>
      <c r="AK126" s="15">
        <f t="shared" si="78"/>
        <v>-524.4</v>
      </c>
      <c r="AL126" s="15">
        <f t="shared" si="79"/>
        <v>-85</v>
      </c>
      <c r="AM126" s="15">
        <f t="shared" si="80"/>
        <v>0</v>
      </c>
      <c r="AN126" s="15">
        <f t="shared" si="81"/>
        <v>0</v>
      </c>
      <c r="AO126" s="15">
        <f t="shared" si="82"/>
        <v>-153</v>
      </c>
      <c r="AP126" s="15">
        <f t="shared" si="83"/>
        <v>0</v>
      </c>
      <c r="AQ126" s="15">
        <v>0</v>
      </c>
      <c r="AR126" s="15">
        <f t="shared" si="84"/>
        <v>0</v>
      </c>
      <c r="AS126" s="15">
        <f t="shared" si="85"/>
        <v>0</v>
      </c>
      <c r="AT126" s="15">
        <f t="shared" si="86"/>
        <v>-488.5</v>
      </c>
      <c r="AU126" s="15">
        <f t="shared" si="87"/>
        <v>-9018.06</v>
      </c>
    </row>
    <row r="127" spans="1:47">
      <c r="A127" s="14" t="s">
        <v>172</v>
      </c>
      <c r="B127" s="16">
        <v>6909.11</v>
      </c>
      <c r="C127" s="16">
        <v>4021.67</v>
      </c>
      <c r="D127" s="16">
        <v>3985.67</v>
      </c>
      <c r="E127" s="16">
        <v>4329.67</v>
      </c>
      <c r="F127" s="16">
        <v>4021.67</v>
      </c>
      <c r="G127" s="16">
        <v>4021.67</v>
      </c>
      <c r="H127" s="16">
        <v>4021.77</v>
      </c>
      <c r="I127" s="16">
        <v>5858.33</v>
      </c>
      <c r="J127" s="16">
        <v>5858.33</v>
      </c>
      <c r="K127" s="16">
        <v>5858.33</v>
      </c>
      <c r="L127" s="16">
        <v>5858.33</v>
      </c>
      <c r="M127" s="16">
        <v>5858.33</v>
      </c>
      <c r="N127" s="16">
        <v>60602.879999999997</v>
      </c>
      <c r="P127" s="15">
        <v>5</v>
      </c>
      <c r="Q127" s="2" t="s">
        <v>1</v>
      </c>
      <c r="R127" s="2" t="s">
        <v>52</v>
      </c>
      <c r="T127" s="15">
        <v>14108</v>
      </c>
      <c r="U127" s="2" t="s">
        <v>1</v>
      </c>
      <c r="V127" s="15">
        <v>100029927</v>
      </c>
      <c r="W127" s="2" t="s">
        <v>155</v>
      </c>
      <c r="X127" s="2" t="s">
        <v>155</v>
      </c>
      <c r="Y127" s="2" t="s">
        <v>156</v>
      </c>
      <c r="Z127" s="2" t="s">
        <v>172</v>
      </c>
      <c r="AA127" s="15">
        <v>7087</v>
      </c>
      <c r="AB127" s="15">
        <v>1</v>
      </c>
      <c r="AC127" s="15">
        <v>1888886</v>
      </c>
      <c r="AD127" s="15">
        <v>21</v>
      </c>
      <c r="AE127" s="2" t="s">
        <v>100</v>
      </c>
      <c r="AF127" s="15">
        <v>1</v>
      </c>
      <c r="AG127" s="15">
        <v>1</v>
      </c>
      <c r="AH127" s="15">
        <f t="shared" si="75"/>
        <v>-6909.11</v>
      </c>
      <c r="AI127" s="15">
        <f t="shared" si="76"/>
        <v>-4021.67</v>
      </c>
      <c r="AJ127" s="15">
        <f t="shared" si="77"/>
        <v>-3985.67</v>
      </c>
      <c r="AK127" s="15">
        <f t="shared" si="78"/>
        <v>-4329.67</v>
      </c>
      <c r="AL127" s="15">
        <f t="shared" si="79"/>
        <v>-4021.67</v>
      </c>
      <c r="AM127" s="15">
        <f t="shared" si="80"/>
        <v>-4021.67</v>
      </c>
      <c r="AN127" s="15">
        <f t="shared" si="81"/>
        <v>-4021.77</v>
      </c>
      <c r="AO127" s="15">
        <f t="shared" si="82"/>
        <v>-5858.33</v>
      </c>
      <c r="AP127" s="15">
        <f t="shared" si="83"/>
        <v>-5858.33</v>
      </c>
      <c r="AQ127" s="15">
        <v>-5858.33</v>
      </c>
      <c r="AR127" s="15">
        <f t="shared" si="84"/>
        <v>-5858.33</v>
      </c>
      <c r="AS127" s="15">
        <f t="shared" si="85"/>
        <v>-5858.33</v>
      </c>
      <c r="AT127" s="15">
        <f t="shared" si="86"/>
        <v>-5858.33</v>
      </c>
      <c r="AU127" s="15">
        <f t="shared" si="87"/>
        <v>-60602.879999999997</v>
      </c>
    </row>
    <row r="128" spans="1:47">
      <c r="A128" s="14" t="s">
        <v>173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67.88</v>
      </c>
      <c r="J128" s="16">
        <v>0</v>
      </c>
      <c r="K128" s="16">
        <v>38.299999999999997</v>
      </c>
      <c r="L128" s="16">
        <v>53.23</v>
      </c>
      <c r="M128" s="16">
        <v>55.06</v>
      </c>
      <c r="N128" s="16">
        <v>214.47</v>
      </c>
      <c r="P128" s="15">
        <v>5</v>
      </c>
      <c r="Q128" s="2" t="s">
        <v>1</v>
      </c>
      <c r="R128" s="2" t="s">
        <v>52</v>
      </c>
      <c r="T128" s="15">
        <v>14108</v>
      </c>
      <c r="U128" s="2" t="s">
        <v>1</v>
      </c>
      <c r="V128" s="15">
        <v>100029927</v>
      </c>
      <c r="W128" s="2" t="s">
        <v>155</v>
      </c>
      <c r="X128" s="2" t="s">
        <v>155</v>
      </c>
      <c r="Y128" s="2" t="s">
        <v>156</v>
      </c>
      <c r="Z128" s="2" t="s">
        <v>173</v>
      </c>
      <c r="AA128" s="15">
        <v>7102</v>
      </c>
      <c r="AB128" s="15">
        <v>1</v>
      </c>
      <c r="AC128" s="15">
        <v>1888888</v>
      </c>
      <c r="AD128" s="15">
        <v>23</v>
      </c>
      <c r="AE128" s="2" t="s">
        <v>100</v>
      </c>
      <c r="AF128" s="15">
        <v>0</v>
      </c>
      <c r="AG128" s="15">
        <v>1</v>
      </c>
      <c r="AH128" s="15">
        <f t="shared" si="75"/>
        <v>0</v>
      </c>
      <c r="AI128" s="15">
        <f t="shared" si="76"/>
        <v>0</v>
      </c>
      <c r="AJ128" s="15">
        <f t="shared" si="77"/>
        <v>0</v>
      </c>
      <c r="AK128" s="15">
        <f t="shared" si="78"/>
        <v>0</v>
      </c>
      <c r="AL128" s="15">
        <f t="shared" si="79"/>
        <v>0</v>
      </c>
      <c r="AM128" s="15">
        <f t="shared" si="80"/>
        <v>0</v>
      </c>
      <c r="AN128" s="15">
        <f t="shared" si="81"/>
        <v>0</v>
      </c>
      <c r="AO128" s="15">
        <f t="shared" si="82"/>
        <v>-67.88</v>
      </c>
      <c r="AP128" s="15">
        <f t="shared" si="83"/>
        <v>0</v>
      </c>
      <c r="AQ128" s="15">
        <v>-38.299999999999997</v>
      </c>
      <c r="AR128" s="15">
        <f t="shared" si="84"/>
        <v>-38.299999999999997</v>
      </c>
      <c r="AS128" s="15">
        <f t="shared" si="85"/>
        <v>-53.23</v>
      </c>
      <c r="AT128" s="15">
        <f t="shared" si="86"/>
        <v>-55.06</v>
      </c>
      <c r="AU128" s="15">
        <f t="shared" si="87"/>
        <v>-214.47</v>
      </c>
    </row>
    <row r="129" spans="1:47">
      <c r="A129" s="14" t="s">
        <v>174</v>
      </c>
      <c r="B129" s="16">
        <v>1729.58</v>
      </c>
      <c r="C129" s="16">
        <v>1174.98</v>
      </c>
      <c r="D129" s="16">
        <v>555.33000000000004</v>
      </c>
      <c r="E129" s="16">
        <v>788.21</v>
      </c>
      <c r="F129" s="16">
        <v>1659.56</v>
      </c>
      <c r="G129" s="16">
        <v>99.21</v>
      </c>
      <c r="H129" s="16">
        <v>613.58000000000004</v>
      </c>
      <c r="I129" s="16">
        <v>405.65</v>
      </c>
      <c r="J129" s="16">
        <v>95.88</v>
      </c>
      <c r="K129" s="16">
        <v>42.38</v>
      </c>
      <c r="L129" s="16">
        <v>43.42</v>
      </c>
      <c r="M129" s="16">
        <v>0</v>
      </c>
      <c r="N129" s="16">
        <v>7207.78</v>
      </c>
      <c r="P129" s="15">
        <v>5</v>
      </c>
      <c r="Q129" s="2" t="s">
        <v>1</v>
      </c>
      <c r="R129" s="2" t="s">
        <v>52</v>
      </c>
      <c r="T129" s="15">
        <v>14108</v>
      </c>
      <c r="U129" s="2" t="s">
        <v>1</v>
      </c>
      <c r="V129" s="15">
        <v>100029927</v>
      </c>
      <c r="W129" s="2" t="s">
        <v>155</v>
      </c>
      <c r="X129" s="2" t="s">
        <v>155</v>
      </c>
      <c r="Y129" s="2" t="s">
        <v>156</v>
      </c>
      <c r="Z129" s="2" t="s">
        <v>174</v>
      </c>
      <c r="AA129" s="15">
        <v>7108</v>
      </c>
      <c r="AB129" s="15">
        <v>1</v>
      </c>
      <c r="AC129" s="15">
        <v>1888889</v>
      </c>
      <c r="AD129" s="15">
        <v>24</v>
      </c>
      <c r="AE129" s="2" t="s">
        <v>100</v>
      </c>
      <c r="AF129" s="15">
        <v>2</v>
      </c>
      <c r="AG129" s="15">
        <v>0</v>
      </c>
      <c r="AH129" s="15">
        <f t="shared" si="75"/>
        <v>-1729.58</v>
      </c>
      <c r="AI129" s="15">
        <f t="shared" si="76"/>
        <v>-1174.98</v>
      </c>
      <c r="AJ129" s="15">
        <f t="shared" si="77"/>
        <v>-555.33000000000004</v>
      </c>
      <c r="AK129" s="15">
        <f t="shared" si="78"/>
        <v>-788.21</v>
      </c>
      <c r="AL129" s="15">
        <f t="shared" si="79"/>
        <v>-1659.56</v>
      </c>
      <c r="AM129" s="15">
        <f t="shared" si="80"/>
        <v>-99.21</v>
      </c>
      <c r="AN129" s="15">
        <f t="shared" si="81"/>
        <v>-613.58000000000004</v>
      </c>
      <c r="AO129" s="15">
        <f t="shared" si="82"/>
        <v>-405.65</v>
      </c>
      <c r="AP129" s="15">
        <f t="shared" si="83"/>
        <v>-95.88</v>
      </c>
      <c r="AQ129" s="15">
        <v>-42.38</v>
      </c>
      <c r="AR129" s="15">
        <f t="shared" si="84"/>
        <v>-42.38</v>
      </c>
      <c r="AS129" s="15">
        <f t="shared" si="85"/>
        <v>-43.42</v>
      </c>
      <c r="AT129" s="15">
        <f t="shared" si="86"/>
        <v>0</v>
      </c>
      <c r="AU129" s="15">
        <f t="shared" si="87"/>
        <v>-7207.78</v>
      </c>
    </row>
    <row r="130" spans="1:47">
      <c r="A130" s="14" t="s">
        <v>175</v>
      </c>
      <c r="B130" s="16">
        <v>0</v>
      </c>
      <c r="C130" s="16">
        <v>0</v>
      </c>
      <c r="D130" s="16">
        <v>0</v>
      </c>
      <c r="E130" s="16">
        <v>0</v>
      </c>
      <c r="F130" s="16">
        <v>0</v>
      </c>
      <c r="G130" s="16">
        <v>741.47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741.47</v>
      </c>
      <c r="P130" s="15">
        <v>5</v>
      </c>
      <c r="Q130" s="2" t="s">
        <v>1</v>
      </c>
      <c r="R130" s="2" t="s">
        <v>52</v>
      </c>
      <c r="T130" s="15">
        <v>14108</v>
      </c>
      <c r="U130" s="2" t="s">
        <v>1</v>
      </c>
      <c r="V130" s="15">
        <v>100029927</v>
      </c>
      <c r="W130" s="2" t="s">
        <v>155</v>
      </c>
      <c r="X130" s="2" t="s">
        <v>155</v>
      </c>
      <c r="Y130" s="2" t="s">
        <v>156</v>
      </c>
      <c r="Z130" s="2" t="s">
        <v>175</v>
      </c>
      <c r="AA130" s="15">
        <v>7114</v>
      </c>
      <c r="AB130" s="15">
        <v>1</v>
      </c>
      <c r="AC130" s="15">
        <v>1888891</v>
      </c>
      <c r="AD130" s="15">
        <v>26</v>
      </c>
      <c r="AE130" s="2" t="s">
        <v>100</v>
      </c>
      <c r="AF130" s="15">
        <v>2</v>
      </c>
      <c r="AG130" s="15">
        <v>0</v>
      </c>
      <c r="AH130" s="15">
        <f t="shared" si="75"/>
        <v>0</v>
      </c>
      <c r="AI130" s="15">
        <f t="shared" si="76"/>
        <v>0</v>
      </c>
      <c r="AJ130" s="15">
        <f t="shared" si="77"/>
        <v>0</v>
      </c>
      <c r="AK130" s="15">
        <f t="shared" si="78"/>
        <v>0</v>
      </c>
      <c r="AL130" s="15">
        <f t="shared" si="79"/>
        <v>0</v>
      </c>
      <c r="AM130" s="15">
        <f t="shared" si="80"/>
        <v>-741.47</v>
      </c>
      <c r="AN130" s="15">
        <f t="shared" si="81"/>
        <v>0</v>
      </c>
      <c r="AO130" s="15">
        <f t="shared" si="82"/>
        <v>0</v>
      </c>
      <c r="AP130" s="15">
        <f t="shared" si="83"/>
        <v>0</v>
      </c>
      <c r="AQ130" s="15">
        <v>0</v>
      </c>
      <c r="AR130" s="15">
        <f t="shared" si="84"/>
        <v>0</v>
      </c>
      <c r="AS130" s="15">
        <f t="shared" si="85"/>
        <v>0</v>
      </c>
      <c r="AT130" s="15">
        <f t="shared" si="86"/>
        <v>0</v>
      </c>
      <c r="AU130" s="15">
        <f t="shared" si="87"/>
        <v>-741.47</v>
      </c>
    </row>
    <row r="131" spans="1:47">
      <c r="A131" s="14" t="s">
        <v>176</v>
      </c>
      <c r="B131" s="16">
        <v>0</v>
      </c>
      <c r="C131" s="16">
        <v>975</v>
      </c>
      <c r="D131" s="16">
        <v>190</v>
      </c>
      <c r="E131" s="16">
        <v>490</v>
      </c>
      <c r="F131" s="16">
        <v>600</v>
      </c>
      <c r="G131" s="16">
        <v>335</v>
      </c>
      <c r="H131" s="16">
        <v>180</v>
      </c>
      <c r="I131" s="16">
        <v>335</v>
      </c>
      <c r="J131" s="16">
        <v>250</v>
      </c>
      <c r="K131" s="16">
        <v>540</v>
      </c>
      <c r="L131" s="16">
        <v>430</v>
      </c>
      <c r="M131" s="16">
        <v>1255</v>
      </c>
      <c r="N131" s="16">
        <v>5580</v>
      </c>
      <c r="P131" s="15">
        <v>5</v>
      </c>
      <c r="Q131" s="2" t="s">
        <v>1</v>
      </c>
      <c r="R131" s="2" t="s">
        <v>52</v>
      </c>
      <c r="T131" s="15">
        <v>14108</v>
      </c>
      <c r="U131" s="2" t="s">
        <v>1</v>
      </c>
      <c r="V131" s="15">
        <v>100029927</v>
      </c>
      <c r="W131" s="2" t="s">
        <v>155</v>
      </c>
      <c r="X131" s="2" t="s">
        <v>155</v>
      </c>
      <c r="Y131" s="2" t="s">
        <v>156</v>
      </c>
      <c r="Z131" s="2" t="s">
        <v>176</v>
      </c>
      <c r="AA131" s="15">
        <v>7117</v>
      </c>
      <c r="AB131" s="15">
        <v>1</v>
      </c>
      <c r="AC131" s="15">
        <v>1888892</v>
      </c>
      <c r="AD131" s="15">
        <v>27</v>
      </c>
      <c r="AE131" s="2" t="s">
        <v>100</v>
      </c>
      <c r="AF131" s="15">
        <v>1</v>
      </c>
      <c r="AG131" s="15">
        <v>2</v>
      </c>
      <c r="AH131" s="15">
        <f t="shared" si="75"/>
        <v>0</v>
      </c>
      <c r="AI131" s="15">
        <f t="shared" si="76"/>
        <v>-975</v>
      </c>
      <c r="AJ131" s="15">
        <f t="shared" si="77"/>
        <v>-190</v>
      </c>
      <c r="AK131" s="15">
        <f t="shared" si="78"/>
        <v>-490</v>
      </c>
      <c r="AL131" s="15">
        <f t="shared" si="79"/>
        <v>-600</v>
      </c>
      <c r="AM131" s="15">
        <f t="shared" si="80"/>
        <v>-335</v>
      </c>
      <c r="AN131" s="15">
        <f t="shared" si="81"/>
        <v>-180</v>
      </c>
      <c r="AO131" s="15">
        <f t="shared" si="82"/>
        <v>-335</v>
      </c>
      <c r="AP131" s="15">
        <f t="shared" si="83"/>
        <v>-250</v>
      </c>
      <c r="AQ131" s="15">
        <v>-540</v>
      </c>
      <c r="AR131" s="15">
        <f t="shared" si="84"/>
        <v>-540</v>
      </c>
      <c r="AS131" s="15">
        <f t="shared" si="85"/>
        <v>-430</v>
      </c>
      <c r="AT131" s="15">
        <f t="shared" si="86"/>
        <v>-1255</v>
      </c>
      <c r="AU131" s="15">
        <f t="shared" si="87"/>
        <v>-5580</v>
      </c>
    </row>
    <row r="132" spans="1:47">
      <c r="A132" s="14" t="s">
        <v>177</v>
      </c>
      <c r="B132" s="16">
        <v>0</v>
      </c>
      <c r="C132" s="16">
        <v>0</v>
      </c>
      <c r="D132" s="16">
        <v>520</v>
      </c>
      <c r="E132" s="16">
        <v>720</v>
      </c>
      <c r="F132" s="16">
        <v>1360</v>
      </c>
      <c r="G132" s="16">
        <v>640</v>
      </c>
      <c r="H132" s="16">
        <v>720</v>
      </c>
      <c r="I132" s="16">
        <v>1255</v>
      </c>
      <c r="J132" s="16">
        <v>420</v>
      </c>
      <c r="K132" s="16">
        <v>1280</v>
      </c>
      <c r="L132" s="16">
        <v>1100</v>
      </c>
      <c r="M132" s="16">
        <v>3140</v>
      </c>
      <c r="N132" s="16">
        <v>11155</v>
      </c>
      <c r="P132" s="15">
        <v>5</v>
      </c>
      <c r="Q132" s="2" t="s">
        <v>1</v>
      </c>
      <c r="R132" s="2" t="s">
        <v>52</v>
      </c>
      <c r="T132" s="15">
        <v>14108</v>
      </c>
      <c r="U132" s="2" t="s">
        <v>1</v>
      </c>
      <c r="V132" s="15">
        <v>100029927</v>
      </c>
      <c r="W132" s="2" t="s">
        <v>155</v>
      </c>
      <c r="X132" s="2" t="s">
        <v>155</v>
      </c>
      <c r="Y132" s="2" t="s">
        <v>156</v>
      </c>
      <c r="Z132" s="2" t="s">
        <v>177</v>
      </c>
      <c r="AA132" s="15">
        <v>7120</v>
      </c>
      <c r="AB132" s="15">
        <v>1</v>
      </c>
      <c r="AC132" s="15">
        <v>1888893</v>
      </c>
      <c r="AD132" s="15">
        <v>28</v>
      </c>
      <c r="AE132" s="2" t="s">
        <v>100</v>
      </c>
      <c r="AF132" s="15">
        <v>1</v>
      </c>
      <c r="AG132" s="15">
        <v>2</v>
      </c>
      <c r="AH132" s="15">
        <f t="shared" si="75"/>
        <v>0</v>
      </c>
      <c r="AI132" s="15">
        <f t="shared" si="76"/>
        <v>0</v>
      </c>
      <c r="AJ132" s="15">
        <f t="shared" si="77"/>
        <v>-520</v>
      </c>
      <c r="AK132" s="15">
        <f t="shared" si="78"/>
        <v>-720</v>
      </c>
      <c r="AL132" s="15">
        <f t="shared" si="79"/>
        <v>-1360</v>
      </c>
      <c r="AM132" s="15">
        <f t="shared" si="80"/>
        <v>-640</v>
      </c>
      <c r="AN132" s="15">
        <f t="shared" si="81"/>
        <v>-720</v>
      </c>
      <c r="AO132" s="15">
        <f t="shared" si="82"/>
        <v>-1255</v>
      </c>
      <c r="AP132" s="15">
        <f t="shared" si="83"/>
        <v>-420</v>
      </c>
      <c r="AQ132" s="15">
        <v>-1280</v>
      </c>
      <c r="AR132" s="15">
        <f t="shared" si="84"/>
        <v>-1280</v>
      </c>
      <c r="AS132" s="15">
        <f t="shared" si="85"/>
        <v>-1100</v>
      </c>
      <c r="AT132" s="15">
        <f t="shared" si="86"/>
        <v>-3140</v>
      </c>
      <c r="AU132" s="15">
        <f t="shared" si="87"/>
        <v>-11155</v>
      </c>
    </row>
    <row r="133" spans="1:47">
      <c r="A133" s="14" t="s">
        <v>178</v>
      </c>
      <c r="B133" s="16">
        <v>0</v>
      </c>
      <c r="C133" s="16">
        <v>0</v>
      </c>
      <c r="D133" s="16">
        <v>0</v>
      </c>
      <c r="E133" s="16">
        <v>0</v>
      </c>
      <c r="F133" s="16">
        <v>75.41</v>
      </c>
      <c r="G133" s="16">
        <v>115.62</v>
      </c>
      <c r="H133" s="16">
        <v>0</v>
      </c>
      <c r="I133" s="16">
        <v>0</v>
      </c>
      <c r="J133" s="16">
        <v>71.09</v>
      </c>
      <c r="K133" s="16">
        <v>0</v>
      </c>
      <c r="L133" s="16">
        <v>273.41000000000003</v>
      </c>
      <c r="M133" s="16">
        <v>381.52</v>
      </c>
      <c r="N133" s="16">
        <v>917.05</v>
      </c>
      <c r="P133" s="15">
        <v>5</v>
      </c>
      <c r="Q133" s="2" t="s">
        <v>1</v>
      </c>
      <c r="R133" s="2" t="s">
        <v>52</v>
      </c>
      <c r="T133" s="15">
        <v>14108</v>
      </c>
      <c r="U133" s="2" t="s">
        <v>1</v>
      </c>
      <c r="V133" s="15">
        <v>100029927</v>
      </c>
      <c r="W133" s="2" t="s">
        <v>155</v>
      </c>
      <c r="X133" s="2" t="s">
        <v>155</v>
      </c>
      <c r="Y133" s="2" t="s">
        <v>156</v>
      </c>
      <c r="Z133" s="2" t="s">
        <v>178</v>
      </c>
      <c r="AA133" s="15">
        <v>7126</v>
      </c>
      <c r="AB133" s="15">
        <v>1</v>
      </c>
      <c r="AC133" s="15">
        <v>1888895</v>
      </c>
      <c r="AD133" s="15">
        <v>30</v>
      </c>
      <c r="AE133" s="2" t="s">
        <v>100</v>
      </c>
      <c r="AF133" s="15">
        <v>1</v>
      </c>
      <c r="AG133" s="15">
        <v>1</v>
      </c>
      <c r="AH133" s="15">
        <f t="shared" si="75"/>
        <v>0</v>
      </c>
      <c r="AI133" s="15">
        <f t="shared" si="76"/>
        <v>0</v>
      </c>
      <c r="AJ133" s="15">
        <f t="shared" si="77"/>
        <v>0</v>
      </c>
      <c r="AK133" s="15">
        <f t="shared" si="78"/>
        <v>0</v>
      </c>
      <c r="AL133" s="15">
        <f t="shared" si="79"/>
        <v>-75.41</v>
      </c>
      <c r="AM133" s="15">
        <f t="shared" si="80"/>
        <v>-115.62</v>
      </c>
      <c r="AN133" s="15">
        <f t="shared" si="81"/>
        <v>0</v>
      </c>
      <c r="AO133" s="15">
        <f t="shared" si="82"/>
        <v>0</v>
      </c>
      <c r="AP133" s="15">
        <f t="shared" si="83"/>
        <v>-71.09</v>
      </c>
      <c r="AQ133" s="15">
        <v>0</v>
      </c>
      <c r="AR133" s="15">
        <f t="shared" si="84"/>
        <v>0</v>
      </c>
      <c r="AS133" s="15">
        <f t="shared" si="85"/>
        <v>-273.41000000000003</v>
      </c>
      <c r="AT133" s="15">
        <f t="shared" si="86"/>
        <v>-381.52</v>
      </c>
      <c r="AU133" s="15">
        <f t="shared" si="87"/>
        <v>-917.05</v>
      </c>
    </row>
    <row r="134" spans="1:47">
      <c r="A134" s="9" t="s">
        <v>153</v>
      </c>
      <c r="B134" s="11">
        <f>IF(5 = P134, AH134 * -1, AH134)</f>
        <v>10795.039999999999</v>
      </c>
      <c r="C134" s="11">
        <f>IF(5 = P134, AI134 * -1, AI134)</f>
        <v>8609.2899999999991</v>
      </c>
      <c r="D134" s="11">
        <f>IF(5 = P134, AJ134 * -1, AJ134)</f>
        <v>16166.369999999999</v>
      </c>
      <c r="E134" s="11">
        <f>IF(5 = P134, AK134 * -1, AK134)</f>
        <v>14521.18</v>
      </c>
      <c r="F134" s="11">
        <f>IF(5 = P134, AL134 * -1, AL134)</f>
        <v>11938.51</v>
      </c>
      <c r="G134" s="11">
        <f>IF(5 = P134, AM134 * -1, AM134)</f>
        <v>10464.919999999998</v>
      </c>
      <c r="H134" s="11">
        <f>IF(5 = P134, AN134 * -1, AN134)</f>
        <v>13320.14</v>
      </c>
      <c r="I134" s="11">
        <f>IF(5 = P134, AO134 * -1, AO134)</f>
        <v>11311.279999999999</v>
      </c>
      <c r="J134" s="11">
        <f>IF(5 = P134, AP134 * -1, AP134)</f>
        <v>8597.77</v>
      </c>
      <c r="K134" s="11">
        <f>IF(5 = P134, AR134 * -1, AR134)</f>
        <v>11541.55</v>
      </c>
      <c r="L134" s="11">
        <f>IF(5 = P134, AS134 * -1, AS134)</f>
        <v>12783.4</v>
      </c>
      <c r="M134" s="11">
        <f>IF(5 = P134, AT134 * -1, AT134)</f>
        <v>21816.83</v>
      </c>
      <c r="N134" s="11">
        <f>IF(5 = P134, AU134 * -1, AU134)</f>
        <v>151866.28</v>
      </c>
      <c r="P134" s="10">
        <v>5</v>
      </c>
      <c r="Q134" s="17" t="str">
        <f>Q133</f>
        <v>Canyon Ridge</v>
      </c>
      <c r="R134" s="12" t="str">
        <f>R133</f>
        <v>9521</v>
      </c>
      <c r="S134" s="10">
        <f>S133</f>
        <v>0</v>
      </c>
      <c r="T134" s="15"/>
      <c r="U134" s="2"/>
      <c r="V134" s="15"/>
      <c r="W134" s="2"/>
      <c r="X134" s="2"/>
      <c r="Y134" s="2"/>
      <c r="Z134" s="2"/>
      <c r="AA134" s="15"/>
      <c r="AB134" s="15"/>
      <c r="AC134" s="15"/>
      <c r="AD134" s="15"/>
      <c r="AE134" s="2"/>
      <c r="AF134" s="15"/>
      <c r="AG134" s="15"/>
      <c r="AH134" s="10">
        <f t="shared" ref="AH134:AP134" si="88">SUM(AH111:AH133)</f>
        <v>-10795.039999999999</v>
      </c>
      <c r="AI134" s="10">
        <f t="shared" si="88"/>
        <v>-8609.2899999999991</v>
      </c>
      <c r="AJ134" s="10">
        <f t="shared" si="88"/>
        <v>-16166.369999999999</v>
      </c>
      <c r="AK134" s="10">
        <f t="shared" si="88"/>
        <v>-14521.18</v>
      </c>
      <c r="AL134" s="10">
        <f t="shared" si="88"/>
        <v>-11938.51</v>
      </c>
      <c r="AM134" s="10">
        <f t="shared" si="88"/>
        <v>-10464.919999999998</v>
      </c>
      <c r="AN134" s="10">
        <f t="shared" si="88"/>
        <v>-13320.14</v>
      </c>
      <c r="AO134" s="10">
        <f t="shared" si="88"/>
        <v>-11311.279999999999</v>
      </c>
      <c r="AP134" s="10">
        <f t="shared" si="88"/>
        <v>-8597.77</v>
      </c>
      <c r="AQ134" s="15"/>
      <c r="AR134" s="10">
        <f>SUM(AR111:AR133)</f>
        <v>-11541.55</v>
      </c>
      <c r="AS134" s="10">
        <f>SUM(AS111:AS133)</f>
        <v>-12783.4</v>
      </c>
      <c r="AT134" s="10">
        <f>SUM(AT111:AT133)</f>
        <v>-21816.83</v>
      </c>
      <c r="AU134" s="10">
        <f>SUM(AU111:AU133)</f>
        <v>-151866.28</v>
      </c>
    </row>
    <row r="135" spans="1:47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P135" s="15"/>
      <c r="Q135" s="2"/>
      <c r="T135" s="15"/>
      <c r="U135" s="2"/>
      <c r="V135" s="15"/>
      <c r="W135" s="2"/>
      <c r="X135" s="2"/>
      <c r="Y135" s="2"/>
      <c r="Z135" s="2"/>
      <c r="AA135" s="15"/>
      <c r="AB135" s="15"/>
      <c r="AC135" s="15"/>
      <c r="AD135" s="15"/>
      <c r="AE135" s="2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 spans="1:47">
      <c r="A136" s="9" t="s">
        <v>95</v>
      </c>
      <c r="B136" s="11">
        <f>IF(5 = P136, AH136 * -1, AH136)</f>
        <v>80825.83</v>
      </c>
      <c r="C136" s="11">
        <f>IF(5 = P136, AI136 * -1, AI136)</f>
        <v>82362.899999999994</v>
      </c>
      <c r="D136" s="11">
        <f>IF(5 = P136, AJ136 * -1, AJ136)</f>
        <v>88307.489999999991</v>
      </c>
      <c r="E136" s="11">
        <f>IF(5 = P136, AK136 * -1, AK136)</f>
        <v>101151.19</v>
      </c>
      <c r="F136" s="11">
        <f>IF(5 = P136, AL136 * -1, AL136)</f>
        <v>97489.319999999992</v>
      </c>
      <c r="G136" s="11">
        <f>IF(5 = P136, AM136 * -1, AM136)</f>
        <v>80389.48</v>
      </c>
      <c r="H136" s="11">
        <f>IF(5 = P136, AN136 * -1, AN136)</f>
        <v>101367.90999999999</v>
      </c>
      <c r="I136" s="11">
        <f>IF(5 = P136, AO136 * -1, AO136)</f>
        <v>91259.68</v>
      </c>
      <c r="J136" s="11">
        <f>IF(5 = P136, AP136 * -1, AP136)</f>
        <v>84287.39</v>
      </c>
      <c r="K136" s="11">
        <f>IF(5 = P136, AR136 * -1, AR136)</f>
        <v>82857.45</v>
      </c>
      <c r="L136" s="11">
        <f>IF(5 = P136, AS136 * -1, AS136)</f>
        <v>93887.989999999991</v>
      </c>
      <c r="M136" s="11">
        <f>IF(5 = P136, AT136 * -1, AT136)</f>
        <v>101950.98</v>
      </c>
      <c r="N136" s="11">
        <f>IF(5 = P136, AU136 * -1, AU136)</f>
        <v>1086137.6100000001</v>
      </c>
      <c r="P136" s="10">
        <v>5</v>
      </c>
      <c r="Q136" s="17" t="str">
        <f>Q133</f>
        <v>Canyon Ridge</v>
      </c>
      <c r="R136" s="12" t="str">
        <f>R133</f>
        <v>9521</v>
      </c>
      <c r="S136" s="10">
        <f>S133</f>
        <v>0</v>
      </c>
      <c r="T136" s="15"/>
      <c r="U136" s="2"/>
      <c r="V136" s="15"/>
      <c r="W136" s="2"/>
      <c r="X136" s="2"/>
      <c r="Y136" s="2"/>
      <c r="Z136" s="2"/>
      <c r="AA136" s="15"/>
      <c r="AB136" s="15"/>
      <c r="AC136" s="15"/>
      <c r="AD136" s="15"/>
      <c r="AE136" s="2"/>
      <c r="AF136" s="15"/>
      <c r="AG136" s="15"/>
      <c r="AH136" s="10">
        <f t="shared" ref="AH136:AP136" si="89">SUM(AH54:AH68)+SUM(AH72:AH79)+SUM(AH83:AH98)+SUM(AH102:AH107)+SUM(AH111:AH133)</f>
        <v>-80825.83</v>
      </c>
      <c r="AI136" s="10">
        <f t="shared" si="89"/>
        <v>-82362.899999999994</v>
      </c>
      <c r="AJ136" s="10">
        <f t="shared" si="89"/>
        <v>-88307.489999999991</v>
      </c>
      <c r="AK136" s="10">
        <f t="shared" si="89"/>
        <v>-101151.19</v>
      </c>
      <c r="AL136" s="10">
        <f t="shared" si="89"/>
        <v>-97489.319999999992</v>
      </c>
      <c r="AM136" s="10">
        <f t="shared" si="89"/>
        <v>-80389.48</v>
      </c>
      <c r="AN136" s="10">
        <f t="shared" si="89"/>
        <v>-101367.90999999999</v>
      </c>
      <c r="AO136" s="10">
        <f t="shared" si="89"/>
        <v>-91259.68</v>
      </c>
      <c r="AP136" s="10">
        <f t="shared" si="89"/>
        <v>-84287.39</v>
      </c>
      <c r="AQ136" s="15"/>
      <c r="AR136" s="10">
        <f>SUM(AR54:AR68)+SUM(AR72:AR79)+SUM(AR83:AR98)+SUM(AR102:AR107)+SUM(AR111:AR133)</f>
        <v>-82857.45</v>
      </c>
      <c r="AS136" s="10">
        <f>SUM(AS54:AS68)+SUM(AS72:AS79)+SUM(AS83:AS98)+SUM(AS102:AS107)+SUM(AS111:AS133)</f>
        <v>-93887.989999999991</v>
      </c>
      <c r="AT136" s="10">
        <f>SUM(AT54:AT68)+SUM(AT72:AT79)+SUM(AT83:AT98)+SUM(AT102:AT107)+SUM(AT111:AT133)</f>
        <v>-101950.98</v>
      </c>
      <c r="AU136" s="10">
        <f>SUM(AU54:AU68)+SUM(AU72:AU79)+SUM(AU83:AU98)+SUM(AU102:AU107)+SUM(AU111:AU133)</f>
        <v>-1086137.6100000001</v>
      </c>
    </row>
    <row r="137" spans="1:47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P137" s="15"/>
      <c r="Q137" s="2"/>
      <c r="T137" s="15"/>
      <c r="U137" s="2"/>
      <c r="V137" s="15"/>
      <c r="W137" s="2"/>
      <c r="X137" s="2"/>
      <c r="Y137" s="2"/>
      <c r="Z137" s="2"/>
      <c r="AA137" s="15"/>
      <c r="AB137" s="15"/>
      <c r="AC137" s="15"/>
      <c r="AD137" s="15"/>
      <c r="AE137" s="2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 spans="1:47">
      <c r="A138" s="9" t="s">
        <v>179</v>
      </c>
      <c r="B138" s="11">
        <f>IF(5 = P138, AH138 * -1, AH138)</f>
        <v>139079.44999999995</v>
      </c>
      <c r="C138" s="11">
        <f>IF(5 = P138, AI138 * -1, AI138)</f>
        <v>169247.03999999995</v>
      </c>
      <c r="D138" s="11">
        <f>IF(5 = P138, AJ138 * -1, AJ138)</f>
        <v>241558.40999999997</v>
      </c>
      <c r="E138" s="11">
        <f>IF(5 = P138, AK138 * -1, AK138)</f>
        <v>284765.10000000003</v>
      </c>
      <c r="F138" s="11">
        <f>IF(5 = P138, AL138 * -1, AL138)</f>
        <v>314846.41999999993</v>
      </c>
      <c r="G138" s="11">
        <f>IF(5 = P138, AM138 * -1, AM138)</f>
        <v>363668.2300000001</v>
      </c>
      <c r="H138" s="11">
        <f>IF(5 = P138, AN138 * -1, AN138)</f>
        <v>398239.49</v>
      </c>
      <c r="I138" s="11">
        <f>IF(5 = P138, AO138 * -1, AO138)</f>
        <v>434232.10000000009</v>
      </c>
      <c r="J138" s="11">
        <f>IF(5 = P138, AP138 * -1, AP138)</f>
        <v>465771.74999999994</v>
      </c>
      <c r="K138" s="11">
        <f>IF(5 = P138, AR138 * -1, AR138)</f>
        <v>498764.56000000011</v>
      </c>
      <c r="L138" s="11">
        <f>IF(5 = P138, AS138 * -1, AS138)</f>
        <v>506309.0799999999</v>
      </c>
      <c r="M138" s="11">
        <f>IF(5 = P138, AT138 * -1, AT138)</f>
        <v>537024.17000000016</v>
      </c>
      <c r="N138" s="11">
        <f>IF(5 = P138, AU138 * -1, AU138)</f>
        <v>4353505.8</v>
      </c>
      <c r="P138" s="10">
        <v>4</v>
      </c>
      <c r="Q138" s="17" t="str">
        <f>Q133</f>
        <v>Canyon Ridge</v>
      </c>
      <c r="R138" s="12" t="str">
        <f>R133</f>
        <v>9521</v>
      </c>
      <c r="S138" s="10">
        <f>S133</f>
        <v>0</v>
      </c>
      <c r="T138" s="15"/>
      <c r="U138" s="2"/>
      <c r="V138" s="15"/>
      <c r="W138" s="2"/>
      <c r="X138" s="2"/>
      <c r="Y138" s="2"/>
      <c r="Z138" s="2"/>
      <c r="AA138" s="15"/>
      <c r="AB138" s="15"/>
      <c r="AC138" s="15"/>
      <c r="AD138" s="15"/>
      <c r="AE138" s="2"/>
      <c r="AF138" s="15"/>
      <c r="AG138" s="15"/>
      <c r="AH138" s="10">
        <f t="shared" ref="AH138:AP138" si="90">SUM(AH9:AH10)+SUM(AH14:AH18)+SUM(AH24:AH42)+SUM(AH46:AH47)+SUM(AH54:AH68)+SUM(AH72:AH79)+SUM(AH83:AH98)+SUM(AH102:AH107)+SUM(AH111:AH133)</f>
        <v>139079.44999999995</v>
      </c>
      <c r="AI138" s="10">
        <f t="shared" si="90"/>
        <v>169247.03999999995</v>
      </c>
      <c r="AJ138" s="10">
        <f t="shared" si="90"/>
        <v>241558.40999999997</v>
      </c>
      <c r="AK138" s="10">
        <f t="shared" si="90"/>
        <v>284765.10000000003</v>
      </c>
      <c r="AL138" s="10">
        <f t="shared" si="90"/>
        <v>314846.41999999993</v>
      </c>
      <c r="AM138" s="10">
        <f t="shared" si="90"/>
        <v>363668.2300000001</v>
      </c>
      <c r="AN138" s="10">
        <f t="shared" si="90"/>
        <v>398239.49</v>
      </c>
      <c r="AO138" s="10">
        <f t="shared" si="90"/>
        <v>434232.10000000009</v>
      </c>
      <c r="AP138" s="10">
        <f t="shared" si="90"/>
        <v>465771.74999999994</v>
      </c>
      <c r="AQ138" s="15"/>
      <c r="AR138" s="10">
        <f>SUM(AR9:AR10)+SUM(AR14:AR18)+SUM(AR24:AR42)+SUM(AR46:AR47)+SUM(AR54:AR68)+SUM(AR72:AR79)+SUM(AR83:AR98)+SUM(AR102:AR107)+SUM(AR111:AR133)</f>
        <v>498764.56000000011</v>
      </c>
      <c r="AS138" s="10">
        <f>SUM(AS9:AS10)+SUM(AS14:AS18)+SUM(AS24:AS42)+SUM(AS46:AS47)+SUM(AS54:AS68)+SUM(AS72:AS79)+SUM(AS83:AS98)+SUM(AS102:AS107)+SUM(AS111:AS133)</f>
        <v>506309.0799999999</v>
      </c>
      <c r="AT138" s="10">
        <f>SUM(AT9:AT10)+SUM(AT14:AT18)+SUM(AT24:AT42)+SUM(AT46:AT47)+SUM(AT54:AT68)+SUM(AT72:AT79)+SUM(AT83:AT98)+SUM(AT102:AT107)+SUM(AT111:AT133)</f>
        <v>537024.17000000016</v>
      </c>
      <c r="AU138" s="10">
        <f>SUM(AU9:AU10)+SUM(AU14:AU18)+SUM(AU24:AU42)+SUM(AU46:AU47)+SUM(AU54:AU68)+SUM(AU72:AU79)+SUM(AU83:AU98)+SUM(AU102:AU107)+SUM(AU111:AU133)</f>
        <v>4353505.8</v>
      </c>
    </row>
    <row r="139" spans="1:47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P139" s="15"/>
      <c r="Q139" s="2"/>
      <c r="T139" s="15"/>
      <c r="U139" s="2"/>
      <c r="V139" s="15"/>
      <c r="W139" s="2"/>
      <c r="X139" s="2"/>
      <c r="Y139" s="2"/>
      <c r="Z139" s="2"/>
      <c r="AA139" s="15"/>
      <c r="AB139" s="15"/>
      <c r="AC139" s="15"/>
      <c r="AD139" s="15"/>
      <c r="AE139" s="2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 spans="1:47">
      <c r="A140" s="7" t="s">
        <v>180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P140" s="15"/>
      <c r="Q140" s="2"/>
      <c r="T140" s="15"/>
      <c r="U140" s="2"/>
      <c r="V140" s="15"/>
      <c r="W140" s="2"/>
      <c r="X140" s="2"/>
      <c r="Y140" s="2"/>
      <c r="Z140" s="2"/>
      <c r="AA140" s="15"/>
      <c r="AB140" s="15"/>
      <c r="AC140" s="15"/>
      <c r="AD140" s="15"/>
      <c r="AE140" s="2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spans="1:47">
      <c r="A141" s="13" t="s">
        <v>181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P141" s="15"/>
      <c r="Q141" s="2"/>
      <c r="T141" s="15"/>
      <c r="U141" s="2"/>
      <c r="V141" s="15"/>
      <c r="W141" s="2"/>
      <c r="X141" s="2"/>
      <c r="Y141" s="2"/>
      <c r="Z141" s="2"/>
      <c r="AA141" s="15"/>
      <c r="AB141" s="15"/>
      <c r="AC141" s="15"/>
      <c r="AD141" s="15"/>
      <c r="AE141" s="2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 spans="1:47">
      <c r="A142" s="14" t="s">
        <v>181</v>
      </c>
      <c r="B142" s="16">
        <v>7500</v>
      </c>
      <c r="C142" s="16">
        <v>7500</v>
      </c>
      <c r="D142" s="16">
        <v>8141.65</v>
      </c>
      <c r="E142" s="16">
        <v>9476.42</v>
      </c>
      <c r="F142" s="16">
        <v>10124.86</v>
      </c>
      <c r="G142" s="16">
        <v>10918.29</v>
      </c>
      <c r="H142" s="16">
        <v>12308.26</v>
      </c>
      <c r="I142" s="16">
        <v>12952.34</v>
      </c>
      <c r="J142" s="16">
        <v>13556.64</v>
      </c>
      <c r="K142" s="16">
        <v>14380.22</v>
      </c>
      <c r="L142" s="16">
        <v>14801.68</v>
      </c>
      <c r="M142" s="16">
        <v>15773.26</v>
      </c>
      <c r="N142" s="16">
        <v>137433.62</v>
      </c>
      <c r="P142" s="15">
        <v>5</v>
      </c>
      <c r="Q142" s="2" t="s">
        <v>1</v>
      </c>
      <c r="R142" s="2" t="s">
        <v>52</v>
      </c>
      <c r="T142" s="15">
        <v>14108</v>
      </c>
      <c r="U142" s="2" t="s">
        <v>1</v>
      </c>
      <c r="V142" s="15">
        <v>100029927</v>
      </c>
      <c r="W142" s="2" t="s">
        <v>182</v>
      </c>
      <c r="X142" s="2" t="s">
        <v>182</v>
      </c>
      <c r="Y142" s="2" t="s">
        <v>183</v>
      </c>
      <c r="Z142" s="2" t="s">
        <v>181</v>
      </c>
      <c r="AA142" s="15">
        <v>8010</v>
      </c>
      <c r="AB142" s="15">
        <v>1</v>
      </c>
      <c r="AC142" s="15">
        <v>1888382</v>
      </c>
      <c r="AD142" s="15">
        <v>1</v>
      </c>
      <c r="AE142" s="2" t="s">
        <v>184</v>
      </c>
      <c r="AF142" s="15">
        <v>1</v>
      </c>
      <c r="AG142" s="15">
        <v>1</v>
      </c>
      <c r="AH142" s="15">
        <f>IF(5 = P142, B142 * -1, B142)</f>
        <v>-7500</v>
      </c>
      <c r="AI142" s="15">
        <f>IF(5 = P142, C142 * -1, C142)</f>
        <v>-7500</v>
      </c>
      <c r="AJ142" s="15">
        <f>IF(5 = P142, D142 * -1, D142)</f>
        <v>-8141.65</v>
      </c>
      <c r="AK142" s="15">
        <f>IF(5 = P142, E142 * -1, E142)</f>
        <v>-9476.42</v>
      </c>
      <c r="AL142" s="15">
        <f>IF(5 = P142, F142 * -1, F142)</f>
        <v>-10124.86</v>
      </c>
      <c r="AM142" s="15">
        <f>IF(5 = P142, G142 * -1, G142)</f>
        <v>-10918.29</v>
      </c>
      <c r="AN142" s="15">
        <f>IF(5 = P142, H142 * -1, H142)</f>
        <v>-12308.26</v>
      </c>
      <c r="AO142" s="15">
        <f>IF(5 = P142, I142 * -1, I142)</f>
        <v>-12952.34</v>
      </c>
      <c r="AP142" s="15">
        <f>IF(5 = P142, J142 * -1, J142)</f>
        <v>-13556.64</v>
      </c>
      <c r="AQ142" s="15">
        <v>-14380.22</v>
      </c>
      <c r="AR142" s="15">
        <f>IF(5 = P142, K142 * -1, K142)</f>
        <v>-14380.22</v>
      </c>
      <c r="AS142" s="15">
        <f>IF(5 = P142, L142 * -1, L142)</f>
        <v>-14801.68</v>
      </c>
      <c r="AT142" s="15">
        <f>IF(5 = P142, M142 * -1, M142)</f>
        <v>-15773.26</v>
      </c>
      <c r="AU142" s="15">
        <f>IF(5 = P142, N142 * -1, N142)</f>
        <v>-137433.62</v>
      </c>
    </row>
    <row r="143" spans="1:47">
      <c r="A143" s="9" t="s">
        <v>181</v>
      </c>
      <c r="B143" s="11">
        <f>IF(5 = P143, AH143 * -1, AH143)</f>
        <v>7500</v>
      </c>
      <c r="C143" s="11">
        <f>IF(5 = P143, AI143 * -1, AI143)</f>
        <v>7500</v>
      </c>
      <c r="D143" s="11">
        <f>IF(5 = P143, AJ143 * -1, AJ143)</f>
        <v>8141.65</v>
      </c>
      <c r="E143" s="11">
        <f>IF(5 = P143, AK143 * -1, AK143)</f>
        <v>9476.42</v>
      </c>
      <c r="F143" s="11">
        <f>IF(5 = P143, AL143 * -1, AL143)</f>
        <v>10124.86</v>
      </c>
      <c r="G143" s="11">
        <f>IF(5 = P143, AM143 * -1, AM143)</f>
        <v>10918.29</v>
      </c>
      <c r="H143" s="11">
        <f>IF(5 = P143, AN143 * -1, AN143)</f>
        <v>12308.26</v>
      </c>
      <c r="I143" s="11">
        <f>IF(5 = P143, AO143 * -1, AO143)</f>
        <v>12952.34</v>
      </c>
      <c r="J143" s="11">
        <f>IF(5 = P143, AP143 * -1, AP143)</f>
        <v>13556.64</v>
      </c>
      <c r="K143" s="11">
        <f>IF(5 = P143, AR143 * -1, AR143)</f>
        <v>14380.22</v>
      </c>
      <c r="L143" s="11">
        <f>IF(5 = P143, AS143 * -1, AS143)</f>
        <v>14801.68</v>
      </c>
      <c r="M143" s="11">
        <f>IF(5 = P143, AT143 * -1, AT143)</f>
        <v>15773.26</v>
      </c>
      <c r="N143" s="11">
        <f>IF(5 = P143, AU143 * -1, AU143)</f>
        <v>137433.62</v>
      </c>
      <c r="P143" s="10">
        <v>5</v>
      </c>
      <c r="Q143" s="17" t="str">
        <f>Q142</f>
        <v>Canyon Ridge</v>
      </c>
      <c r="R143" s="12" t="str">
        <f>R142</f>
        <v>9521</v>
      </c>
      <c r="S143" s="10">
        <f>S142</f>
        <v>0</v>
      </c>
      <c r="T143" s="15"/>
      <c r="U143" s="2"/>
      <c r="V143" s="15"/>
      <c r="W143" s="2"/>
      <c r="X143" s="2"/>
      <c r="Y143" s="2"/>
      <c r="Z143" s="2"/>
      <c r="AA143" s="15"/>
      <c r="AB143" s="15"/>
      <c r="AC143" s="15"/>
      <c r="AD143" s="15"/>
      <c r="AE143" s="2"/>
      <c r="AF143" s="15"/>
      <c r="AG143" s="15"/>
      <c r="AH143" s="10">
        <f t="shared" ref="AH143:AP143" si="91">SUM(AH142:AH142)</f>
        <v>-7500</v>
      </c>
      <c r="AI143" s="10">
        <f t="shared" si="91"/>
        <v>-7500</v>
      </c>
      <c r="AJ143" s="10">
        <f t="shared" si="91"/>
        <v>-8141.65</v>
      </c>
      <c r="AK143" s="10">
        <f t="shared" si="91"/>
        <v>-9476.42</v>
      </c>
      <c r="AL143" s="10">
        <f t="shared" si="91"/>
        <v>-10124.86</v>
      </c>
      <c r="AM143" s="10">
        <f t="shared" si="91"/>
        <v>-10918.29</v>
      </c>
      <c r="AN143" s="10">
        <f t="shared" si="91"/>
        <v>-12308.26</v>
      </c>
      <c r="AO143" s="10">
        <f t="shared" si="91"/>
        <v>-12952.34</v>
      </c>
      <c r="AP143" s="10">
        <f t="shared" si="91"/>
        <v>-13556.64</v>
      </c>
      <c r="AQ143" s="15"/>
      <c r="AR143" s="10">
        <f>SUM(AR142:AR142)</f>
        <v>-14380.22</v>
      </c>
      <c r="AS143" s="10">
        <f>SUM(AS142:AS142)</f>
        <v>-14801.68</v>
      </c>
      <c r="AT143" s="10">
        <f>SUM(AT142:AT142)</f>
        <v>-15773.26</v>
      </c>
      <c r="AU143" s="10">
        <f>SUM(AU142:AU142)</f>
        <v>-137433.62</v>
      </c>
    </row>
    <row r="144" spans="1:47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P144" s="15"/>
      <c r="Q144" s="2"/>
      <c r="T144" s="15"/>
      <c r="U144" s="2"/>
      <c r="V144" s="15"/>
      <c r="W144" s="2"/>
      <c r="X144" s="2"/>
      <c r="Y144" s="2"/>
      <c r="Z144" s="2"/>
      <c r="AA144" s="15"/>
      <c r="AB144" s="15"/>
      <c r="AC144" s="15"/>
      <c r="AD144" s="15"/>
      <c r="AE144" s="2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spans="1:47">
      <c r="A145" s="13" t="s">
        <v>185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P145" s="15"/>
      <c r="Q145" s="2"/>
      <c r="T145" s="15"/>
      <c r="U145" s="2"/>
      <c r="V145" s="15"/>
      <c r="W145" s="2"/>
      <c r="X145" s="2"/>
      <c r="Y145" s="2"/>
      <c r="Z145" s="2"/>
      <c r="AA145" s="15"/>
      <c r="AB145" s="15"/>
      <c r="AC145" s="15"/>
      <c r="AD145" s="15"/>
      <c r="AE145" s="2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 spans="1:47">
      <c r="A146" s="14" t="s">
        <v>186</v>
      </c>
      <c r="B146" s="16">
        <v>7197.11</v>
      </c>
      <c r="C146" s="16">
        <v>11789.83</v>
      </c>
      <c r="D146" s="16">
        <v>15531.96</v>
      </c>
      <c r="E146" s="16">
        <v>14640.54</v>
      </c>
      <c r="F146" s="16">
        <v>14266.5</v>
      </c>
      <c r="G146" s="16">
        <v>13748.03</v>
      </c>
      <c r="H146" s="16">
        <v>12970.08</v>
      </c>
      <c r="I146" s="16">
        <v>17746.18</v>
      </c>
      <c r="J146" s="16">
        <v>17746.18</v>
      </c>
      <c r="K146" s="16">
        <v>20336.97</v>
      </c>
      <c r="L146" s="16">
        <v>14797.66</v>
      </c>
      <c r="M146" s="16">
        <v>15118.08</v>
      </c>
      <c r="N146" s="16">
        <v>175889.12</v>
      </c>
      <c r="P146" s="15">
        <v>5</v>
      </c>
      <c r="Q146" s="2" t="s">
        <v>1</v>
      </c>
      <c r="R146" s="2" t="s">
        <v>52</v>
      </c>
      <c r="T146" s="15">
        <v>14108</v>
      </c>
      <c r="U146" s="2" t="s">
        <v>1</v>
      </c>
      <c r="V146" s="15">
        <v>100029927</v>
      </c>
      <c r="W146" s="2" t="s">
        <v>187</v>
      </c>
      <c r="X146" s="2" t="s">
        <v>187</v>
      </c>
      <c r="Y146" s="2" t="s">
        <v>188</v>
      </c>
      <c r="Z146" s="2" t="s">
        <v>186</v>
      </c>
      <c r="AA146" s="15">
        <v>8105</v>
      </c>
      <c r="AB146" s="15">
        <v>1</v>
      </c>
      <c r="AC146" s="15">
        <v>1888657</v>
      </c>
      <c r="AD146" s="15">
        <v>0</v>
      </c>
      <c r="AE146" s="2" t="s">
        <v>184</v>
      </c>
      <c r="AF146" s="15">
        <v>1</v>
      </c>
      <c r="AG146" s="15">
        <v>1</v>
      </c>
      <c r="AH146" s="15">
        <f>IF(5 = P146, B146 * -1, B146)</f>
        <v>-7197.11</v>
      </c>
      <c r="AI146" s="15">
        <f>IF(5 = P146, C146 * -1, C146)</f>
        <v>-11789.83</v>
      </c>
      <c r="AJ146" s="15">
        <f>IF(5 = P146, D146 * -1, D146)</f>
        <v>-15531.96</v>
      </c>
      <c r="AK146" s="15">
        <f>IF(5 = P146, E146 * -1, E146)</f>
        <v>-14640.54</v>
      </c>
      <c r="AL146" s="15">
        <f>IF(5 = P146, F146 * -1, F146)</f>
        <v>-14266.5</v>
      </c>
      <c r="AM146" s="15">
        <f>IF(5 = P146, G146 * -1, G146)</f>
        <v>-13748.03</v>
      </c>
      <c r="AN146" s="15">
        <f>IF(5 = P146, H146 * -1, H146)</f>
        <v>-12970.08</v>
      </c>
      <c r="AO146" s="15">
        <f>IF(5 = P146, I146 * -1, I146)</f>
        <v>-17746.18</v>
      </c>
      <c r="AP146" s="15">
        <f>IF(5 = P146, J146 * -1, J146)</f>
        <v>-17746.18</v>
      </c>
      <c r="AQ146" s="15">
        <v>-20336.97</v>
      </c>
      <c r="AR146" s="15">
        <f>IF(5 = P146, K146 * -1, K146)</f>
        <v>-20336.97</v>
      </c>
      <c r="AS146" s="15">
        <f>IF(5 = P146, L146 * -1, L146)</f>
        <v>-14797.66</v>
      </c>
      <c r="AT146" s="15">
        <f>IF(5 = P146, M146 * -1, M146)</f>
        <v>-15118.08</v>
      </c>
      <c r="AU146" s="15">
        <f>IF(5 = P146, N146 * -1, N146)</f>
        <v>-175889.12</v>
      </c>
    </row>
    <row r="147" spans="1:47">
      <c r="A147" s="14" t="s">
        <v>189</v>
      </c>
      <c r="B147" s="16">
        <v>54869</v>
      </c>
      <c r="C147" s="16">
        <v>54869</v>
      </c>
      <c r="D147" s="16">
        <v>54869</v>
      </c>
      <c r="E147" s="16">
        <v>8510.15</v>
      </c>
      <c r="F147" s="16">
        <v>49718.02</v>
      </c>
      <c r="G147" s="16">
        <v>-37682.980000000003</v>
      </c>
      <c r="H147" s="16">
        <v>-82465.88</v>
      </c>
      <c r="I147" s="16">
        <v>56815</v>
      </c>
      <c r="J147" s="16">
        <v>56815</v>
      </c>
      <c r="K147" s="16">
        <v>56815</v>
      </c>
      <c r="L147" s="16">
        <v>56815</v>
      </c>
      <c r="M147" s="16">
        <v>56815</v>
      </c>
      <c r="N147" s="16">
        <v>386761.31</v>
      </c>
      <c r="P147" s="15">
        <v>5</v>
      </c>
      <c r="Q147" s="2" t="s">
        <v>1</v>
      </c>
      <c r="R147" s="2" t="s">
        <v>52</v>
      </c>
      <c r="T147" s="15">
        <v>14108</v>
      </c>
      <c r="U147" s="2" t="s">
        <v>1</v>
      </c>
      <c r="V147" s="15">
        <v>100029927</v>
      </c>
      <c r="W147" s="2" t="s">
        <v>187</v>
      </c>
      <c r="X147" s="2" t="s">
        <v>187</v>
      </c>
      <c r="Y147" s="2" t="s">
        <v>188</v>
      </c>
      <c r="Z147" s="2" t="s">
        <v>189</v>
      </c>
      <c r="AA147" s="15">
        <v>8125</v>
      </c>
      <c r="AB147" s="15">
        <v>1</v>
      </c>
      <c r="AC147" s="15">
        <v>1888660</v>
      </c>
      <c r="AD147" s="15">
        <v>3</v>
      </c>
      <c r="AE147" s="2" t="s">
        <v>184</v>
      </c>
      <c r="AF147" s="15">
        <v>1</v>
      </c>
      <c r="AG147" s="15">
        <v>1</v>
      </c>
      <c r="AH147" s="15">
        <f>IF(5 = P147, B147 * -1, B147)</f>
        <v>-54869</v>
      </c>
      <c r="AI147" s="15">
        <f>IF(5 = P147, C147 * -1, C147)</f>
        <v>-54869</v>
      </c>
      <c r="AJ147" s="15">
        <f>IF(5 = P147, D147 * -1, D147)</f>
        <v>-54869</v>
      </c>
      <c r="AK147" s="15">
        <f>IF(5 = P147, E147 * -1, E147)</f>
        <v>-8510.15</v>
      </c>
      <c r="AL147" s="15">
        <f>IF(5 = P147, F147 * -1, F147)</f>
        <v>-49718.02</v>
      </c>
      <c r="AM147" s="15">
        <f>IF(5 = P147, G147 * -1, G147)</f>
        <v>37682.980000000003</v>
      </c>
      <c r="AN147" s="15">
        <f>IF(5 = P147, H147 * -1, H147)</f>
        <v>82465.88</v>
      </c>
      <c r="AO147" s="15">
        <f>IF(5 = P147, I147 * -1, I147)</f>
        <v>-56815</v>
      </c>
      <c r="AP147" s="15">
        <f>IF(5 = P147, J147 * -1, J147)</f>
        <v>-56815</v>
      </c>
      <c r="AQ147" s="15">
        <v>-56815</v>
      </c>
      <c r="AR147" s="15">
        <f>IF(5 = P147, K147 * -1, K147)</f>
        <v>-56815</v>
      </c>
      <c r="AS147" s="15">
        <f>IF(5 = P147, L147 * -1, L147)</f>
        <v>-56815</v>
      </c>
      <c r="AT147" s="15">
        <f>IF(5 = P147, M147 * -1, M147)</f>
        <v>-56815</v>
      </c>
      <c r="AU147" s="15">
        <f>IF(5 = P147, N147 * -1, N147)</f>
        <v>-386761.31</v>
      </c>
    </row>
    <row r="148" spans="1:47">
      <c r="A148" s="9" t="s">
        <v>185</v>
      </c>
      <c r="B148" s="11">
        <f>IF(5 = P148, AH148 * -1, AH148)</f>
        <v>62066.11</v>
      </c>
      <c r="C148" s="11">
        <f>IF(5 = P148, AI148 * -1, AI148)</f>
        <v>66658.83</v>
      </c>
      <c r="D148" s="11">
        <f>IF(5 = P148, AJ148 * -1, AJ148)</f>
        <v>70400.959999999992</v>
      </c>
      <c r="E148" s="11">
        <f>IF(5 = P148, AK148 * -1, AK148)</f>
        <v>23150.690000000002</v>
      </c>
      <c r="F148" s="11">
        <f>IF(5 = P148, AL148 * -1, AL148)</f>
        <v>63984.52</v>
      </c>
      <c r="G148" s="11">
        <f>IF(5 = P148, AM148 * -1, AM148)</f>
        <v>-23934.950000000004</v>
      </c>
      <c r="H148" s="11">
        <f>IF(5 = P148, AN148 * -1, AN148)</f>
        <v>-69495.8</v>
      </c>
      <c r="I148" s="11">
        <f>IF(5 = P148, AO148 * -1, AO148)</f>
        <v>74561.179999999993</v>
      </c>
      <c r="J148" s="11">
        <f>IF(5 = P148, AP148 * -1, AP148)</f>
        <v>74561.179999999993</v>
      </c>
      <c r="K148" s="11">
        <f>IF(5 = P148, AR148 * -1, AR148)</f>
        <v>77151.97</v>
      </c>
      <c r="L148" s="11">
        <f>IF(5 = P148, AS148 * -1, AS148)</f>
        <v>71612.66</v>
      </c>
      <c r="M148" s="11">
        <f>IF(5 = P148, AT148 * -1, AT148)</f>
        <v>71933.08</v>
      </c>
      <c r="N148" s="11">
        <f>IF(5 = P148, AU148 * -1, AU148)</f>
        <v>562650.42999999993</v>
      </c>
      <c r="P148" s="10">
        <v>5</v>
      </c>
      <c r="Q148" s="17" t="str">
        <f>Q147</f>
        <v>Canyon Ridge</v>
      </c>
      <c r="R148" s="12" t="str">
        <f>R147</f>
        <v>9521</v>
      </c>
      <c r="S148" s="10">
        <f>S147</f>
        <v>0</v>
      </c>
      <c r="T148" s="15"/>
      <c r="U148" s="2"/>
      <c r="V148" s="15"/>
      <c r="W148" s="2"/>
      <c r="X148" s="2"/>
      <c r="Y148" s="2"/>
      <c r="Z148" s="2"/>
      <c r="AA148" s="15"/>
      <c r="AB148" s="15"/>
      <c r="AC148" s="15"/>
      <c r="AD148" s="15"/>
      <c r="AE148" s="2"/>
      <c r="AF148" s="15"/>
      <c r="AG148" s="15"/>
      <c r="AH148" s="10">
        <f t="shared" ref="AH148:AP148" si="92">SUM(AH146:AH147)</f>
        <v>-62066.11</v>
      </c>
      <c r="AI148" s="10">
        <f t="shared" si="92"/>
        <v>-66658.83</v>
      </c>
      <c r="AJ148" s="10">
        <f t="shared" si="92"/>
        <v>-70400.959999999992</v>
      </c>
      <c r="AK148" s="10">
        <f t="shared" si="92"/>
        <v>-23150.690000000002</v>
      </c>
      <c r="AL148" s="10">
        <f t="shared" si="92"/>
        <v>-63984.52</v>
      </c>
      <c r="AM148" s="10">
        <f t="shared" si="92"/>
        <v>23934.950000000004</v>
      </c>
      <c r="AN148" s="10">
        <f t="shared" si="92"/>
        <v>69495.8</v>
      </c>
      <c r="AO148" s="10">
        <f t="shared" si="92"/>
        <v>-74561.179999999993</v>
      </c>
      <c r="AP148" s="10">
        <f t="shared" si="92"/>
        <v>-74561.179999999993</v>
      </c>
      <c r="AQ148" s="15"/>
      <c r="AR148" s="10">
        <f>SUM(AR146:AR147)</f>
        <v>-77151.97</v>
      </c>
      <c r="AS148" s="10">
        <f>SUM(AS146:AS147)</f>
        <v>-71612.66</v>
      </c>
      <c r="AT148" s="10">
        <f>SUM(AT146:AT147)</f>
        <v>-71933.08</v>
      </c>
      <c r="AU148" s="10">
        <f>SUM(AU146:AU147)</f>
        <v>-562650.42999999993</v>
      </c>
    </row>
    <row r="149" spans="1:47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P149" s="15"/>
      <c r="Q149" s="2"/>
      <c r="T149" s="15"/>
      <c r="U149" s="2"/>
      <c r="V149" s="15"/>
      <c r="W149" s="2"/>
      <c r="X149" s="2"/>
      <c r="Y149" s="2"/>
      <c r="Z149" s="2"/>
      <c r="AA149" s="15"/>
      <c r="AB149" s="15"/>
      <c r="AC149" s="15"/>
      <c r="AD149" s="15"/>
      <c r="AE149" s="2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 spans="1:47">
      <c r="A150" s="9" t="s">
        <v>180</v>
      </c>
      <c r="B150" s="11">
        <f>IF(5 = P150, AH150 * -1, AH150)</f>
        <v>69566.11</v>
      </c>
      <c r="C150" s="11">
        <f>IF(5 = P150, AI150 * -1, AI150)</f>
        <v>74158.83</v>
      </c>
      <c r="D150" s="11">
        <f>IF(5 = P150, AJ150 * -1, AJ150)</f>
        <v>78542.609999999986</v>
      </c>
      <c r="E150" s="11">
        <f>IF(5 = P150, AK150 * -1, AK150)</f>
        <v>32627.11</v>
      </c>
      <c r="F150" s="11">
        <f>IF(5 = P150, AL150 * -1, AL150)</f>
        <v>74109.38</v>
      </c>
      <c r="G150" s="11">
        <f>IF(5 = P150, AM150 * -1, AM150)</f>
        <v>-13016.660000000003</v>
      </c>
      <c r="H150" s="11">
        <f>IF(5 = P150, AN150 * -1, AN150)</f>
        <v>-57187.54</v>
      </c>
      <c r="I150" s="11">
        <f>IF(5 = P150, AO150 * -1, AO150)</f>
        <v>87513.51999999999</v>
      </c>
      <c r="J150" s="11">
        <f>IF(5 = P150, AP150 * -1, AP150)</f>
        <v>88117.819999999992</v>
      </c>
      <c r="K150" s="11">
        <f>IF(5 = P150, AR150 * -1, AR150)</f>
        <v>91532.19</v>
      </c>
      <c r="L150" s="11">
        <f>IF(5 = P150, AS150 * -1, AS150)</f>
        <v>86414.34</v>
      </c>
      <c r="M150" s="11">
        <f>IF(5 = P150, AT150 * -1, AT150)</f>
        <v>87706.34</v>
      </c>
      <c r="N150" s="11">
        <f>IF(5 = P150, AU150 * -1, AU150)</f>
        <v>700084.04999999993</v>
      </c>
      <c r="P150" s="10">
        <v>5</v>
      </c>
      <c r="Q150" s="17" t="str">
        <f>Q147</f>
        <v>Canyon Ridge</v>
      </c>
      <c r="R150" s="12" t="str">
        <f>R147</f>
        <v>9521</v>
      </c>
      <c r="S150" s="10">
        <f>S147</f>
        <v>0</v>
      </c>
      <c r="T150" s="15"/>
      <c r="U150" s="2"/>
      <c r="V150" s="15"/>
      <c r="W150" s="2"/>
      <c r="X150" s="2"/>
      <c r="Y150" s="2"/>
      <c r="Z150" s="2"/>
      <c r="AA150" s="15"/>
      <c r="AB150" s="15"/>
      <c r="AC150" s="15"/>
      <c r="AD150" s="15"/>
      <c r="AE150" s="2"/>
      <c r="AF150" s="15"/>
      <c r="AG150" s="15"/>
      <c r="AH150" s="10">
        <f t="shared" ref="AH150:AP150" si="93">SUM(AH142:AH142)+SUM(AH146:AH147)</f>
        <v>-69566.11</v>
      </c>
      <c r="AI150" s="10">
        <f t="shared" si="93"/>
        <v>-74158.83</v>
      </c>
      <c r="AJ150" s="10">
        <f t="shared" si="93"/>
        <v>-78542.609999999986</v>
      </c>
      <c r="AK150" s="10">
        <f t="shared" si="93"/>
        <v>-32627.11</v>
      </c>
      <c r="AL150" s="10">
        <f t="shared" si="93"/>
        <v>-74109.38</v>
      </c>
      <c r="AM150" s="10">
        <f t="shared" si="93"/>
        <v>13016.660000000003</v>
      </c>
      <c r="AN150" s="10">
        <f t="shared" si="93"/>
        <v>57187.54</v>
      </c>
      <c r="AO150" s="10">
        <f t="shared" si="93"/>
        <v>-87513.51999999999</v>
      </c>
      <c r="AP150" s="10">
        <f t="shared" si="93"/>
        <v>-88117.819999999992</v>
      </c>
      <c r="AQ150" s="15"/>
      <c r="AR150" s="10">
        <f>SUM(AR142:AR142)+SUM(AR146:AR147)</f>
        <v>-91532.19</v>
      </c>
      <c r="AS150" s="10">
        <f>SUM(AS142:AS142)+SUM(AS146:AS147)</f>
        <v>-86414.34</v>
      </c>
      <c r="AT150" s="10">
        <f>SUM(AT142:AT142)+SUM(AT146:AT147)</f>
        <v>-87706.34</v>
      </c>
      <c r="AU150" s="10">
        <f>SUM(AU142:AU142)+SUM(AU146:AU147)</f>
        <v>-700084.04999999993</v>
      </c>
    </row>
    <row r="151" spans="1:47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P151" s="15"/>
      <c r="Q151" s="2"/>
      <c r="T151" s="15"/>
      <c r="U151" s="2"/>
      <c r="V151" s="15"/>
      <c r="W151" s="2"/>
      <c r="X151" s="2"/>
      <c r="Y151" s="2"/>
      <c r="Z151" s="2"/>
      <c r="AA151" s="15"/>
      <c r="AB151" s="15"/>
      <c r="AC151" s="15"/>
      <c r="AD151" s="15"/>
      <c r="AE151" s="2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 spans="1:47">
      <c r="A152" s="9" t="s">
        <v>190</v>
      </c>
      <c r="B152" s="11">
        <f>IF(5 = P152, AH152 * -1, AH152)</f>
        <v>69513.339999999953</v>
      </c>
      <c r="C152" s="11">
        <f>IF(5 = P152, AI152 * -1, AI152)</f>
        <v>95088.209999999948</v>
      </c>
      <c r="D152" s="11">
        <f>IF(5 = P152, AJ152 * -1, AJ152)</f>
        <v>163015.79999999999</v>
      </c>
      <c r="E152" s="11">
        <f>IF(5 = P152, AK152 * -1, AK152)</f>
        <v>252137.99000000005</v>
      </c>
      <c r="F152" s="11">
        <f>IF(5 = P152, AL152 * -1, AL152)</f>
        <v>240737.03999999995</v>
      </c>
      <c r="G152" s="11">
        <f>IF(5 = P152, AM152 * -1, AM152)</f>
        <v>376684.89000000013</v>
      </c>
      <c r="H152" s="11">
        <f>IF(5 = P152, AN152 * -1, AN152)</f>
        <v>455427.02999999997</v>
      </c>
      <c r="I152" s="11">
        <f>IF(5 = P152, AO152 * -1, AO152)</f>
        <v>346718.58000000007</v>
      </c>
      <c r="J152" s="11">
        <f>IF(5 = P152, AP152 * -1, AP152)</f>
        <v>377653.92999999993</v>
      </c>
      <c r="K152" s="11">
        <f>IF(5 = P152, AR152 * -1, AR152)</f>
        <v>407232.37000000011</v>
      </c>
      <c r="L152" s="11">
        <f>IF(5 = P152, AS152 * -1, AS152)</f>
        <v>419894.73999999987</v>
      </c>
      <c r="M152" s="11">
        <f>IF(5 = P152, AT152 * -1, AT152)</f>
        <v>449317.83000000013</v>
      </c>
      <c r="N152" s="11">
        <f>IF(5 = P152, AU152 * -1, AU152)</f>
        <v>3653421.75</v>
      </c>
      <c r="P152" s="10">
        <v>4</v>
      </c>
      <c r="Q152" s="17" t="str">
        <f>Q147</f>
        <v>Canyon Ridge</v>
      </c>
      <c r="R152" s="12" t="str">
        <f>R147</f>
        <v>9521</v>
      </c>
      <c r="S152" s="10">
        <f>S147</f>
        <v>0</v>
      </c>
      <c r="T152" s="15"/>
      <c r="U152" s="2"/>
      <c r="V152" s="15"/>
      <c r="W152" s="2"/>
      <c r="X152" s="2"/>
      <c r="Y152" s="2"/>
      <c r="Z152" s="2"/>
      <c r="AA152" s="15"/>
      <c r="AB152" s="15"/>
      <c r="AC152" s="15"/>
      <c r="AD152" s="15"/>
      <c r="AE152" s="2"/>
      <c r="AF152" s="15"/>
      <c r="AG152" s="15"/>
      <c r="AH152" s="10">
        <f t="shared" ref="AH152:AP152" si="94">SUM(AH9:AH10)+SUM(AH14:AH18)+SUM(AH24:AH42)+SUM(AH46:AH47)+SUM(AH54:AH68)+SUM(AH72:AH79)+SUM(AH83:AH98)+SUM(AH102:AH107)+SUM(AH111:AH133)+SUM(AH142:AH142)+SUM(AH146:AH147)</f>
        <v>69513.339999999953</v>
      </c>
      <c r="AI152" s="10">
        <f t="shared" si="94"/>
        <v>95088.209999999948</v>
      </c>
      <c r="AJ152" s="10">
        <f t="shared" si="94"/>
        <v>163015.79999999999</v>
      </c>
      <c r="AK152" s="10">
        <f t="shared" si="94"/>
        <v>252137.99000000005</v>
      </c>
      <c r="AL152" s="10">
        <f t="shared" si="94"/>
        <v>240737.03999999995</v>
      </c>
      <c r="AM152" s="10">
        <f t="shared" si="94"/>
        <v>376684.89000000013</v>
      </c>
      <c r="AN152" s="10">
        <f t="shared" si="94"/>
        <v>455427.02999999997</v>
      </c>
      <c r="AO152" s="10">
        <f t="shared" si="94"/>
        <v>346718.58000000007</v>
      </c>
      <c r="AP152" s="10">
        <f t="shared" si="94"/>
        <v>377653.92999999993</v>
      </c>
      <c r="AQ152" s="15"/>
      <c r="AR152" s="10">
        <f>SUM(AR9:AR10)+SUM(AR14:AR18)+SUM(AR24:AR42)+SUM(AR46:AR47)+SUM(AR54:AR68)+SUM(AR72:AR79)+SUM(AR83:AR98)+SUM(AR102:AR107)+SUM(AR111:AR133)+SUM(AR142:AR142)+SUM(AR146:AR147)</f>
        <v>407232.37000000011</v>
      </c>
      <c r="AS152" s="10">
        <f>SUM(AS9:AS10)+SUM(AS14:AS18)+SUM(AS24:AS42)+SUM(AS46:AS47)+SUM(AS54:AS68)+SUM(AS72:AS79)+SUM(AS83:AS98)+SUM(AS102:AS107)+SUM(AS111:AS133)+SUM(AS142:AS142)+SUM(AS146:AS147)</f>
        <v>419894.73999999987</v>
      </c>
      <c r="AT152" s="10">
        <f>SUM(AT9:AT10)+SUM(AT14:AT18)+SUM(AT24:AT42)+SUM(AT46:AT47)+SUM(AT54:AT68)+SUM(AT72:AT79)+SUM(AT83:AT98)+SUM(AT102:AT107)+SUM(AT111:AT133)+SUM(AT142:AT142)+SUM(AT146:AT147)</f>
        <v>449317.83000000013</v>
      </c>
      <c r="AU152" s="10">
        <f>SUM(AU9:AU10)+SUM(AU14:AU18)+SUM(AU24:AU42)+SUM(AU46:AU47)+SUM(AU54:AU68)+SUM(AU72:AU79)+SUM(AU83:AU98)+SUM(AU102:AU107)+SUM(AU111:AU133)+SUM(AU142:AU142)+SUM(AU146:AU147)</f>
        <v>3653421.75</v>
      </c>
    </row>
    <row r="153" spans="1:47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P153" s="15"/>
      <c r="Q153" s="2"/>
      <c r="T153" s="15"/>
      <c r="U153" s="2"/>
      <c r="V153" s="15"/>
      <c r="W153" s="2"/>
      <c r="X153" s="2"/>
      <c r="Y153" s="2"/>
      <c r="Z153" s="2"/>
      <c r="AA153" s="15"/>
      <c r="AB153" s="15"/>
      <c r="AC153" s="15"/>
      <c r="AD153" s="15"/>
      <c r="AE153" s="2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 spans="1:47" s="24" customFormat="1">
      <c r="A154" s="2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P154" s="25"/>
      <c r="Q154" s="26"/>
      <c r="T154" s="25"/>
      <c r="U154" s="26"/>
      <c r="V154" s="25"/>
      <c r="W154" s="26"/>
      <c r="X154" s="26"/>
      <c r="Y154" s="26"/>
      <c r="Z154" s="26"/>
      <c r="AA154" s="25"/>
      <c r="AB154" s="25"/>
      <c r="AC154" s="25"/>
      <c r="AD154" s="25"/>
      <c r="AE154" s="26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</row>
    <row r="155" spans="1:47" s="24" customFormat="1">
      <c r="A155" s="27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P155" s="25"/>
      <c r="Q155" s="26"/>
      <c r="T155" s="25"/>
      <c r="U155" s="26"/>
      <c r="V155" s="25"/>
      <c r="W155" s="26"/>
      <c r="X155" s="26"/>
      <c r="Y155" s="26"/>
      <c r="Z155" s="26"/>
      <c r="AA155" s="25"/>
      <c r="AB155" s="25"/>
      <c r="AC155" s="25"/>
      <c r="AD155" s="25"/>
      <c r="AE155" s="26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</row>
    <row r="156" spans="1:47" s="24" customFormat="1">
      <c r="A156" s="28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P156" s="25"/>
      <c r="Q156" s="26"/>
      <c r="R156" s="26"/>
      <c r="T156" s="25"/>
      <c r="U156" s="26"/>
      <c r="V156" s="25"/>
      <c r="W156" s="26"/>
      <c r="X156" s="26"/>
      <c r="Y156" s="26"/>
      <c r="Z156" s="26"/>
      <c r="AA156" s="25"/>
      <c r="AB156" s="25"/>
      <c r="AC156" s="25"/>
      <c r="AD156" s="25"/>
      <c r="AE156" s="26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</row>
    <row r="157" spans="1:47" s="24" customFormat="1">
      <c r="A157" s="29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P157" s="31"/>
      <c r="Q157" s="22"/>
      <c r="R157" s="32"/>
      <c r="S157" s="31"/>
      <c r="T157" s="25"/>
      <c r="U157" s="26"/>
      <c r="V157" s="25"/>
      <c r="W157" s="26"/>
      <c r="X157" s="26"/>
      <c r="Y157" s="26"/>
      <c r="Z157" s="26"/>
      <c r="AA157" s="25"/>
      <c r="AB157" s="25"/>
      <c r="AC157" s="25"/>
      <c r="AD157" s="25"/>
      <c r="AE157" s="26"/>
      <c r="AF157" s="25"/>
      <c r="AG157" s="25"/>
      <c r="AH157" s="31"/>
      <c r="AI157" s="31"/>
      <c r="AJ157" s="31"/>
      <c r="AK157" s="31"/>
      <c r="AL157" s="31"/>
      <c r="AM157" s="31"/>
      <c r="AN157" s="31"/>
      <c r="AO157" s="31"/>
      <c r="AP157" s="31"/>
      <c r="AQ157" s="25"/>
      <c r="AR157" s="31"/>
      <c r="AS157" s="31"/>
      <c r="AT157" s="31"/>
      <c r="AU157" s="31"/>
    </row>
    <row r="158" spans="1:47" s="24" customFormat="1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P158" s="25"/>
      <c r="Q158" s="26"/>
      <c r="T158" s="25"/>
      <c r="U158" s="26"/>
      <c r="V158" s="25"/>
      <c r="W158" s="26"/>
      <c r="X158" s="26"/>
      <c r="Y158" s="26"/>
      <c r="Z158" s="26"/>
      <c r="AA158" s="25"/>
      <c r="AB158" s="25"/>
      <c r="AC158" s="25"/>
      <c r="AD158" s="25"/>
      <c r="AE158" s="26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</row>
    <row r="159" spans="1:47" s="24" customFormat="1">
      <c r="A159" s="27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P159" s="25"/>
      <c r="Q159" s="26"/>
      <c r="T159" s="25"/>
      <c r="U159" s="26"/>
      <c r="V159" s="25"/>
      <c r="W159" s="26"/>
      <c r="X159" s="26"/>
      <c r="Y159" s="26"/>
      <c r="Z159" s="26"/>
      <c r="AA159" s="25"/>
      <c r="AB159" s="25"/>
      <c r="AC159" s="25"/>
      <c r="AD159" s="25"/>
      <c r="AE159" s="26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</row>
    <row r="160" spans="1:47" s="24" customFormat="1">
      <c r="A160" s="28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P160" s="25"/>
      <c r="Q160" s="26"/>
      <c r="R160" s="26"/>
      <c r="T160" s="25"/>
      <c r="U160" s="26"/>
      <c r="V160" s="25"/>
      <c r="W160" s="26"/>
      <c r="X160" s="26"/>
      <c r="Y160" s="26"/>
      <c r="Z160" s="26"/>
      <c r="AA160" s="25"/>
      <c r="AB160" s="25"/>
      <c r="AC160" s="25"/>
      <c r="AD160" s="25"/>
      <c r="AE160" s="26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</row>
    <row r="161" spans="1:47" s="24" customFormat="1">
      <c r="A161" s="29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P161" s="31"/>
      <c r="Q161" s="22"/>
      <c r="R161" s="32"/>
      <c r="S161" s="31"/>
      <c r="T161" s="25"/>
      <c r="U161" s="26"/>
      <c r="V161" s="25"/>
      <c r="W161" s="26"/>
      <c r="X161" s="26"/>
      <c r="Y161" s="26"/>
      <c r="Z161" s="26"/>
      <c r="AA161" s="25"/>
      <c r="AB161" s="25"/>
      <c r="AC161" s="25"/>
      <c r="AD161" s="25"/>
      <c r="AE161" s="26"/>
      <c r="AF161" s="25"/>
      <c r="AG161" s="25"/>
      <c r="AH161" s="31"/>
      <c r="AI161" s="31"/>
      <c r="AJ161" s="31"/>
      <c r="AK161" s="31"/>
      <c r="AL161" s="31"/>
      <c r="AM161" s="31"/>
      <c r="AN161" s="31"/>
      <c r="AO161" s="31"/>
      <c r="AP161" s="31"/>
      <c r="AQ161" s="25"/>
      <c r="AR161" s="31"/>
      <c r="AS161" s="31"/>
      <c r="AT161" s="31"/>
      <c r="AU161" s="31"/>
    </row>
    <row r="162" spans="1:47" s="24" customFormat="1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P162" s="25"/>
      <c r="Q162" s="26"/>
      <c r="T162" s="25"/>
      <c r="U162" s="26"/>
      <c r="V162" s="25"/>
      <c r="W162" s="26"/>
      <c r="X162" s="26"/>
      <c r="Y162" s="26"/>
      <c r="Z162" s="26"/>
      <c r="AA162" s="25"/>
      <c r="AB162" s="25"/>
      <c r="AC162" s="25"/>
      <c r="AD162" s="25"/>
      <c r="AE162" s="26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</row>
    <row r="163" spans="1:47" s="24" customFormat="1">
      <c r="A163" s="27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P163" s="25"/>
      <c r="Q163" s="26"/>
      <c r="T163" s="25"/>
      <c r="U163" s="26"/>
      <c r="V163" s="25"/>
      <c r="W163" s="26"/>
      <c r="X163" s="26"/>
      <c r="Y163" s="26"/>
      <c r="Z163" s="26"/>
      <c r="AA163" s="25"/>
      <c r="AB163" s="25"/>
      <c r="AC163" s="25"/>
      <c r="AD163" s="25"/>
      <c r="AE163" s="26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</row>
    <row r="164" spans="1:47" s="24" customFormat="1">
      <c r="A164" s="28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P164" s="25"/>
      <c r="Q164" s="26"/>
      <c r="R164" s="26"/>
      <c r="T164" s="25"/>
      <c r="U164" s="26"/>
      <c r="V164" s="25"/>
      <c r="W164" s="26"/>
      <c r="X164" s="26"/>
      <c r="Y164" s="26"/>
      <c r="Z164" s="26"/>
      <c r="AA164" s="25"/>
      <c r="AB164" s="25"/>
      <c r="AC164" s="25"/>
      <c r="AD164" s="25"/>
      <c r="AE164" s="26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</row>
    <row r="165" spans="1:47" s="24" customFormat="1">
      <c r="A165" s="29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P165" s="31"/>
      <c r="Q165" s="22"/>
      <c r="R165" s="32"/>
      <c r="S165" s="31"/>
      <c r="T165" s="25"/>
      <c r="U165" s="26"/>
      <c r="V165" s="25"/>
      <c r="W165" s="26"/>
      <c r="X165" s="26"/>
      <c r="Y165" s="26"/>
      <c r="Z165" s="26"/>
      <c r="AA165" s="25"/>
      <c r="AB165" s="25"/>
      <c r="AC165" s="25"/>
      <c r="AD165" s="25"/>
      <c r="AE165" s="26"/>
      <c r="AF165" s="25"/>
      <c r="AG165" s="25"/>
      <c r="AH165" s="31"/>
      <c r="AI165" s="31"/>
      <c r="AJ165" s="31"/>
      <c r="AK165" s="31"/>
      <c r="AL165" s="31"/>
      <c r="AM165" s="31"/>
      <c r="AN165" s="31"/>
      <c r="AO165" s="31"/>
      <c r="AP165" s="31"/>
      <c r="AQ165" s="25"/>
      <c r="AR165" s="31"/>
      <c r="AS165" s="31"/>
      <c r="AT165" s="31"/>
      <c r="AU165" s="31"/>
    </row>
    <row r="166" spans="1:47" s="24" customFormat="1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P166" s="25"/>
      <c r="Q166" s="26"/>
      <c r="T166" s="25"/>
      <c r="U166" s="26"/>
      <c r="V166" s="25"/>
      <c r="W166" s="26"/>
      <c r="X166" s="26"/>
      <c r="Y166" s="26"/>
      <c r="Z166" s="26"/>
      <c r="AA166" s="25"/>
      <c r="AB166" s="25"/>
      <c r="AC166" s="25"/>
      <c r="AD166" s="25"/>
      <c r="AE166" s="26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</row>
    <row r="167" spans="1:47" s="24" customFormat="1">
      <c r="A167" s="27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P167" s="25"/>
      <c r="Q167" s="26"/>
      <c r="T167" s="25"/>
      <c r="U167" s="26"/>
      <c r="V167" s="25"/>
      <c r="W167" s="26"/>
      <c r="X167" s="26"/>
      <c r="Y167" s="26"/>
      <c r="Z167" s="26"/>
      <c r="AA167" s="25"/>
      <c r="AB167" s="25"/>
      <c r="AC167" s="25"/>
      <c r="AD167" s="25"/>
      <c r="AE167" s="26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</row>
    <row r="168" spans="1:47" s="24" customFormat="1">
      <c r="A168" s="28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P168" s="25"/>
      <c r="Q168" s="26"/>
      <c r="R168" s="26"/>
      <c r="T168" s="25"/>
      <c r="U168" s="26"/>
      <c r="V168" s="25"/>
      <c r="W168" s="26"/>
      <c r="X168" s="26"/>
      <c r="Y168" s="26"/>
      <c r="Z168" s="26"/>
      <c r="AA168" s="25"/>
      <c r="AB168" s="25"/>
      <c r="AC168" s="25"/>
      <c r="AD168" s="25"/>
      <c r="AE168" s="26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</row>
    <row r="169" spans="1:47" s="24" customFormat="1">
      <c r="A169" s="2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P169" s="31"/>
      <c r="Q169" s="22"/>
      <c r="R169" s="32"/>
      <c r="S169" s="31"/>
      <c r="T169" s="25"/>
      <c r="U169" s="26"/>
      <c r="V169" s="25"/>
      <c r="W169" s="26"/>
      <c r="X169" s="26"/>
      <c r="Y169" s="26"/>
      <c r="Z169" s="26"/>
      <c r="AA169" s="25"/>
      <c r="AB169" s="25"/>
      <c r="AC169" s="25"/>
      <c r="AD169" s="25"/>
      <c r="AE169" s="26"/>
      <c r="AF169" s="25"/>
      <c r="AG169" s="25"/>
      <c r="AH169" s="31"/>
      <c r="AI169" s="31"/>
      <c r="AJ169" s="31"/>
      <c r="AK169" s="31"/>
      <c r="AL169" s="31"/>
      <c r="AM169" s="31"/>
      <c r="AN169" s="31"/>
      <c r="AO169" s="31"/>
      <c r="AP169" s="31"/>
      <c r="AQ169" s="25"/>
      <c r="AR169" s="31"/>
      <c r="AS169" s="31"/>
      <c r="AT169" s="31"/>
      <c r="AU169" s="31"/>
    </row>
    <row r="170" spans="1:47" s="24" customFormat="1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P170" s="25"/>
      <c r="Q170" s="26"/>
      <c r="T170" s="25"/>
      <c r="U170" s="26"/>
      <c r="V170" s="25"/>
      <c r="W170" s="26"/>
      <c r="X170" s="26"/>
      <c r="Y170" s="26"/>
      <c r="Z170" s="26"/>
      <c r="AA170" s="25"/>
      <c r="AB170" s="25"/>
      <c r="AC170" s="25"/>
      <c r="AD170" s="25"/>
      <c r="AE170" s="26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</row>
    <row r="171" spans="1:47" s="24" customFormat="1">
      <c r="A171" s="27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P171" s="25"/>
      <c r="Q171" s="26"/>
      <c r="T171" s="25"/>
      <c r="U171" s="26"/>
      <c r="V171" s="25"/>
      <c r="W171" s="26"/>
      <c r="X171" s="26"/>
      <c r="Y171" s="26"/>
      <c r="Z171" s="26"/>
      <c r="AA171" s="25"/>
      <c r="AB171" s="25"/>
      <c r="AC171" s="25"/>
      <c r="AD171" s="25"/>
      <c r="AE171" s="26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</row>
    <row r="172" spans="1:47" s="24" customFormat="1">
      <c r="A172" s="28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P172" s="25"/>
      <c r="Q172" s="26"/>
      <c r="R172" s="26"/>
      <c r="T172" s="25"/>
      <c r="U172" s="26"/>
      <c r="V172" s="25"/>
      <c r="W172" s="26"/>
      <c r="X172" s="26"/>
      <c r="Y172" s="26"/>
      <c r="Z172" s="26"/>
      <c r="AA172" s="25"/>
      <c r="AB172" s="25"/>
      <c r="AC172" s="25"/>
      <c r="AD172" s="25"/>
      <c r="AE172" s="26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</row>
    <row r="173" spans="1:47" s="24" customFormat="1">
      <c r="A173" s="2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P173" s="31"/>
      <c r="Q173" s="22"/>
      <c r="R173" s="32"/>
      <c r="S173" s="31"/>
      <c r="T173" s="25"/>
      <c r="U173" s="26"/>
      <c r="V173" s="25"/>
      <c r="W173" s="26"/>
      <c r="X173" s="26"/>
      <c r="Y173" s="26"/>
      <c r="Z173" s="26"/>
      <c r="AA173" s="25"/>
      <c r="AB173" s="25"/>
      <c r="AC173" s="25"/>
      <c r="AD173" s="25"/>
      <c r="AE173" s="26"/>
      <c r="AF173" s="25"/>
      <c r="AG173" s="25"/>
      <c r="AH173" s="31"/>
      <c r="AI173" s="31"/>
      <c r="AJ173" s="31"/>
      <c r="AK173" s="31"/>
      <c r="AL173" s="31"/>
      <c r="AM173" s="31"/>
      <c r="AN173" s="31"/>
      <c r="AO173" s="31"/>
      <c r="AP173" s="31"/>
      <c r="AQ173" s="25"/>
      <c r="AR173" s="31"/>
      <c r="AS173" s="31"/>
      <c r="AT173" s="31"/>
      <c r="AU173" s="31"/>
    </row>
    <row r="174" spans="1:47" s="24" customFormat="1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P174" s="25"/>
      <c r="Q174" s="26"/>
      <c r="T174" s="25"/>
      <c r="U174" s="26"/>
      <c r="V174" s="25"/>
      <c r="W174" s="26"/>
      <c r="X174" s="26"/>
      <c r="Y174" s="26"/>
      <c r="Z174" s="26"/>
      <c r="AA174" s="25"/>
      <c r="AB174" s="25"/>
      <c r="AC174" s="25"/>
      <c r="AD174" s="25"/>
      <c r="AE174" s="26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</row>
    <row r="175" spans="1:47" s="24" customFormat="1">
      <c r="A175" s="29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P175" s="31"/>
      <c r="Q175" s="22"/>
      <c r="R175" s="32"/>
      <c r="S175" s="31"/>
      <c r="T175" s="25"/>
      <c r="U175" s="26"/>
      <c r="V175" s="25"/>
      <c r="W175" s="26"/>
      <c r="X175" s="26"/>
      <c r="Y175" s="26"/>
      <c r="Z175" s="26"/>
      <c r="AA175" s="25"/>
      <c r="AB175" s="25"/>
      <c r="AC175" s="25"/>
      <c r="AD175" s="25"/>
      <c r="AE175" s="26"/>
      <c r="AF175" s="25"/>
      <c r="AG175" s="25"/>
      <c r="AH175" s="31"/>
      <c r="AI175" s="31"/>
      <c r="AJ175" s="31"/>
      <c r="AK175" s="31"/>
      <c r="AL175" s="31"/>
      <c r="AM175" s="31"/>
      <c r="AN175" s="31"/>
      <c r="AO175" s="31"/>
      <c r="AP175" s="31"/>
      <c r="AQ175" s="25"/>
      <c r="AR175" s="31"/>
      <c r="AS175" s="31"/>
      <c r="AT175" s="31"/>
      <c r="AU175" s="31"/>
    </row>
    <row r="176" spans="1:47" s="24" customFormat="1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P176" s="25"/>
      <c r="Q176" s="26"/>
      <c r="T176" s="25"/>
      <c r="U176" s="26"/>
      <c r="V176" s="25"/>
      <c r="W176" s="26"/>
      <c r="X176" s="26"/>
      <c r="Y176" s="26"/>
      <c r="Z176" s="26"/>
      <c r="AA176" s="25"/>
      <c r="AB176" s="25"/>
      <c r="AC176" s="25"/>
      <c r="AD176" s="25"/>
      <c r="AE176" s="26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</row>
    <row r="177" spans="1:47" s="24" customFormat="1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P177" s="31"/>
      <c r="Q177" s="22"/>
      <c r="R177" s="32"/>
      <c r="S177" s="31"/>
      <c r="T177" s="25"/>
      <c r="U177" s="26"/>
      <c r="V177" s="25"/>
      <c r="W177" s="26"/>
      <c r="X177" s="26"/>
      <c r="Y177" s="26"/>
      <c r="Z177" s="26"/>
      <c r="AA177" s="25"/>
      <c r="AB177" s="25"/>
      <c r="AC177" s="25"/>
      <c r="AD177" s="25"/>
      <c r="AE177" s="26"/>
      <c r="AF177" s="25"/>
      <c r="AG177" s="25"/>
      <c r="AH177" s="31"/>
      <c r="AI177" s="31"/>
      <c r="AJ177" s="31"/>
      <c r="AK177" s="31"/>
      <c r="AL177" s="31"/>
      <c r="AM177" s="31"/>
      <c r="AN177" s="31"/>
      <c r="AO177" s="31"/>
      <c r="AP177" s="31"/>
      <c r="AQ177" s="25"/>
      <c r="AR177" s="31"/>
      <c r="AS177" s="31"/>
      <c r="AT177" s="31"/>
      <c r="AU177" s="31"/>
    </row>
    <row r="178" spans="1:47" s="24" customFormat="1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P178" s="25"/>
      <c r="Q178" s="26"/>
      <c r="T178" s="25"/>
      <c r="U178" s="26"/>
      <c r="V178" s="25"/>
      <c r="W178" s="26"/>
      <c r="X178" s="26"/>
      <c r="Y178" s="26"/>
      <c r="Z178" s="26"/>
      <c r="AA178" s="25"/>
      <c r="AB178" s="25"/>
      <c r="AC178" s="25"/>
      <c r="AD178" s="25"/>
      <c r="AE178" s="26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</row>
    <row r="179" spans="1:47" s="24" customFormat="1">
      <c r="A179" s="2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P179" s="25"/>
      <c r="Q179" s="26"/>
      <c r="T179" s="25"/>
      <c r="U179" s="26"/>
      <c r="V179" s="25"/>
      <c r="W179" s="26"/>
      <c r="X179" s="26"/>
      <c r="Y179" s="26"/>
      <c r="Z179" s="26"/>
      <c r="AA179" s="25"/>
      <c r="AB179" s="25"/>
      <c r="AC179" s="25"/>
      <c r="AD179" s="25"/>
      <c r="AE179" s="26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</row>
    <row r="180" spans="1:47" s="24" customFormat="1">
      <c r="A180" s="3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P180" s="25"/>
      <c r="Q180" s="26"/>
      <c r="R180" s="26"/>
      <c r="T180" s="25"/>
      <c r="U180" s="26"/>
      <c r="V180" s="25"/>
      <c r="W180" s="26"/>
      <c r="X180" s="26"/>
      <c r="Y180" s="26"/>
      <c r="Z180" s="26"/>
      <c r="AA180" s="25"/>
      <c r="AB180" s="25"/>
      <c r="AC180" s="25"/>
      <c r="AD180" s="25"/>
      <c r="AE180" s="26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</row>
    <row r="181" spans="1:47" s="24" customFormat="1">
      <c r="A181" s="29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P181" s="31"/>
      <c r="Q181" s="22"/>
      <c r="R181" s="32"/>
      <c r="S181" s="31"/>
      <c r="T181" s="25"/>
      <c r="U181" s="26"/>
      <c r="V181" s="25"/>
      <c r="W181" s="26"/>
      <c r="X181" s="26"/>
      <c r="Y181" s="26"/>
      <c r="Z181" s="26"/>
      <c r="AA181" s="25"/>
      <c r="AB181" s="25"/>
      <c r="AC181" s="25"/>
      <c r="AD181" s="25"/>
      <c r="AE181" s="26"/>
      <c r="AF181" s="25"/>
      <c r="AG181" s="25"/>
      <c r="AH181" s="31"/>
      <c r="AI181" s="31"/>
      <c r="AJ181" s="31"/>
      <c r="AK181" s="31"/>
      <c r="AL181" s="31"/>
      <c r="AM181" s="31"/>
      <c r="AN181" s="31"/>
      <c r="AO181" s="31"/>
      <c r="AP181" s="31"/>
      <c r="AQ181" s="25"/>
      <c r="AR181" s="31"/>
      <c r="AS181" s="31"/>
      <c r="AT181" s="31"/>
      <c r="AU181" s="31"/>
    </row>
    <row r="182" spans="1:47" s="24" customFormat="1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P182" s="25"/>
      <c r="Q182" s="26"/>
      <c r="T182" s="25"/>
      <c r="U182" s="26"/>
      <c r="V182" s="25"/>
      <c r="W182" s="26"/>
      <c r="X182" s="26"/>
      <c r="Y182" s="26"/>
      <c r="Z182" s="26"/>
      <c r="AA182" s="25"/>
      <c r="AB182" s="25"/>
      <c r="AC182" s="25"/>
      <c r="AD182" s="25"/>
      <c r="AE182" s="26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</row>
    <row r="183" spans="1:47" s="24" customFormat="1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P183" s="25"/>
      <c r="Q183" s="26"/>
      <c r="T183" s="25"/>
      <c r="U183" s="26"/>
      <c r="V183" s="25"/>
      <c r="W183" s="26"/>
      <c r="X183" s="26"/>
      <c r="Y183" s="26"/>
      <c r="Z183" s="26"/>
      <c r="AA183" s="25"/>
      <c r="AB183" s="25"/>
      <c r="AC183" s="25"/>
      <c r="AD183" s="25"/>
      <c r="AE183" s="26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</row>
    <row r="184" spans="1:47" s="24" customFormat="1">
      <c r="A184" s="3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P184" s="25"/>
      <c r="Q184" s="26"/>
      <c r="R184" s="26"/>
      <c r="T184" s="25"/>
      <c r="U184" s="26"/>
      <c r="V184" s="25"/>
      <c r="W184" s="26"/>
      <c r="X184" s="26"/>
      <c r="Y184" s="26"/>
      <c r="Z184" s="26"/>
      <c r="AA184" s="25"/>
      <c r="AB184" s="25"/>
      <c r="AC184" s="25"/>
      <c r="AD184" s="25"/>
      <c r="AE184" s="26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</row>
    <row r="185" spans="1:47" s="24" customFormat="1">
      <c r="A185" s="29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P185" s="31"/>
      <c r="Q185" s="22"/>
      <c r="R185" s="32"/>
      <c r="S185" s="31"/>
      <c r="T185" s="25"/>
      <c r="U185" s="26"/>
      <c r="V185" s="25"/>
      <c r="W185" s="26"/>
      <c r="X185" s="26"/>
      <c r="Y185" s="26"/>
      <c r="Z185" s="26"/>
      <c r="AA185" s="25"/>
      <c r="AB185" s="25"/>
      <c r="AC185" s="25"/>
      <c r="AD185" s="25"/>
      <c r="AE185" s="26"/>
      <c r="AF185" s="25"/>
      <c r="AG185" s="25"/>
      <c r="AH185" s="31"/>
      <c r="AI185" s="31"/>
      <c r="AJ185" s="31"/>
      <c r="AK185" s="31"/>
      <c r="AL185" s="31"/>
      <c r="AM185" s="31"/>
      <c r="AN185" s="31"/>
      <c r="AO185" s="31"/>
      <c r="AP185" s="31"/>
      <c r="AQ185" s="25"/>
      <c r="AR185" s="31"/>
      <c r="AS185" s="31"/>
      <c r="AT185" s="31"/>
      <c r="AU185" s="31"/>
    </row>
    <row r="186" spans="1:47" s="24" customFormat="1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P186" s="25"/>
      <c r="Q186" s="26"/>
      <c r="T186" s="25"/>
      <c r="U186" s="26"/>
      <c r="V186" s="25"/>
      <c r="W186" s="26"/>
      <c r="X186" s="26"/>
      <c r="Y186" s="26"/>
      <c r="Z186" s="26"/>
      <c r="AA186" s="25"/>
      <c r="AB186" s="25"/>
      <c r="AC186" s="25"/>
      <c r="AD186" s="25"/>
      <c r="AE186" s="26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</row>
    <row r="187" spans="1:47" s="24" customFormat="1">
      <c r="A187" s="29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P187" s="31"/>
      <c r="Q187" s="22"/>
      <c r="R187" s="32"/>
      <c r="S187" s="31"/>
      <c r="T187" s="25"/>
      <c r="U187" s="26"/>
      <c r="V187" s="25"/>
      <c r="W187" s="26"/>
      <c r="X187" s="26"/>
      <c r="Y187" s="26"/>
      <c r="Z187" s="26"/>
      <c r="AA187" s="25"/>
      <c r="AB187" s="25"/>
      <c r="AC187" s="25"/>
      <c r="AD187" s="25"/>
      <c r="AE187" s="26"/>
      <c r="AF187" s="25"/>
      <c r="AG187" s="25"/>
      <c r="AH187" s="31"/>
      <c r="AI187" s="31"/>
      <c r="AJ187" s="31"/>
      <c r="AK187" s="31"/>
      <c r="AL187" s="31"/>
      <c r="AM187" s="31"/>
      <c r="AN187" s="31"/>
      <c r="AO187" s="31"/>
      <c r="AP187" s="31"/>
      <c r="AQ187" s="25"/>
      <c r="AR187" s="31"/>
      <c r="AS187" s="31"/>
      <c r="AT187" s="31"/>
      <c r="AU187" s="31"/>
    </row>
    <row r="188" spans="1:47" s="24" customFormat="1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P188" s="25"/>
      <c r="Q188" s="26"/>
      <c r="T188" s="25"/>
      <c r="U188" s="26"/>
      <c r="V188" s="25"/>
      <c r="W188" s="26"/>
      <c r="X188" s="26"/>
      <c r="Y188" s="26"/>
      <c r="Z188" s="26"/>
      <c r="AA188" s="25"/>
      <c r="AB188" s="25"/>
      <c r="AC188" s="25"/>
      <c r="AD188" s="25"/>
      <c r="AE188" s="26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</row>
    <row r="189" spans="1:47" s="24" customFormat="1">
      <c r="A189" s="2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P189" s="25"/>
      <c r="Q189" s="26"/>
      <c r="T189" s="25"/>
      <c r="U189" s="26"/>
      <c r="V189" s="25"/>
      <c r="W189" s="26"/>
      <c r="X189" s="26"/>
      <c r="Y189" s="26"/>
      <c r="Z189" s="26"/>
      <c r="AA189" s="25"/>
      <c r="AB189" s="25"/>
      <c r="AC189" s="25"/>
      <c r="AD189" s="25"/>
      <c r="AE189" s="26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</row>
    <row r="190" spans="1:47" s="24" customFormat="1">
      <c r="A190" s="3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P190" s="25"/>
      <c r="Q190" s="26"/>
      <c r="R190" s="26"/>
      <c r="T190" s="25"/>
      <c r="U190" s="26"/>
      <c r="V190" s="25"/>
      <c r="W190" s="26"/>
      <c r="X190" s="26"/>
      <c r="Y190" s="26"/>
      <c r="Z190" s="26"/>
      <c r="AA190" s="25"/>
      <c r="AB190" s="25"/>
      <c r="AC190" s="25"/>
      <c r="AD190" s="25"/>
      <c r="AE190" s="26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</row>
    <row r="191" spans="1:47" s="24" customFormat="1">
      <c r="A191" s="29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P191" s="31"/>
      <c r="Q191" s="32"/>
      <c r="R191" s="32"/>
      <c r="S191" s="31"/>
      <c r="AH191" s="31"/>
      <c r="AI191" s="31"/>
      <c r="AJ191" s="31"/>
      <c r="AK191" s="31"/>
      <c r="AL191" s="31"/>
      <c r="AM191" s="31"/>
      <c r="AN191" s="31"/>
      <c r="AO191" s="31"/>
      <c r="AP191" s="31"/>
      <c r="AR191" s="31"/>
      <c r="AS191" s="31"/>
      <c r="AT191" s="31"/>
      <c r="AU191" s="31"/>
    </row>
    <row r="192" spans="1:47" s="24" customFormat="1"/>
    <row r="193" spans="1:47" s="24" customFormat="1">
      <c r="A193" s="29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P193" s="31"/>
      <c r="Q193" s="32"/>
      <c r="R193" s="32"/>
      <c r="S193" s="31"/>
      <c r="AH193" s="31"/>
      <c r="AI193" s="31"/>
      <c r="AJ193" s="31"/>
      <c r="AK193" s="31"/>
      <c r="AL193" s="31"/>
      <c r="AM193" s="31"/>
      <c r="AN193" s="31"/>
      <c r="AO193" s="31"/>
      <c r="AP193" s="31"/>
      <c r="AR193" s="31"/>
      <c r="AS193" s="31"/>
      <c r="AT193" s="31"/>
      <c r="AU193" s="31"/>
    </row>
    <row r="194" spans="1:47" s="24" customFormat="1"/>
    <row r="195" spans="1:47" s="24" customFormat="1"/>
    <row r="196" spans="1:47" s="24" customFormat="1"/>
    <row r="197" spans="1:47" s="24" customFormat="1"/>
    <row r="198" spans="1:47" s="24" customFormat="1"/>
    <row r="199" spans="1:47" s="24" customFormat="1"/>
    <row r="200" spans="1:47" s="24" customFormat="1"/>
    <row r="201" spans="1:47" s="24" customFormat="1"/>
    <row r="202" spans="1:47" s="24" customFormat="1"/>
    <row r="203" spans="1:47" s="24" customFormat="1"/>
    <row r="204" spans="1:47" s="24" customFormat="1"/>
    <row r="205" spans="1:47" s="24" customFormat="1"/>
    <row r="206" spans="1:47" s="24" customFormat="1"/>
    <row r="207" spans="1:47" s="24" customFormat="1"/>
    <row r="208" spans="1:47" s="24" customFormat="1"/>
    <row r="209" s="24" customFormat="1"/>
    <row r="210" s="24" customFormat="1"/>
    <row r="211" s="24" customFormat="1"/>
    <row r="212" s="24" customFormat="1"/>
    <row r="213" s="24" customFormat="1"/>
    <row r="214" s="24" customFormat="1"/>
    <row r="215" s="24" customFormat="1"/>
    <row r="216" s="24" customFormat="1"/>
    <row r="217" s="24" customFormat="1"/>
    <row r="218" s="24" customFormat="1"/>
    <row r="219" s="24" customFormat="1"/>
    <row r="220" s="24" customFormat="1"/>
    <row r="221" s="24" customFormat="1"/>
    <row r="222" s="24" customFormat="1"/>
    <row r="223" s="24" customFormat="1"/>
    <row r="224" s="24" customFormat="1"/>
    <row r="225" s="24" customFormat="1"/>
    <row r="226" s="24" customFormat="1"/>
    <row r="227" s="24" customFormat="1"/>
    <row r="228" s="24" customFormat="1"/>
    <row r="229" s="24" customFormat="1"/>
    <row r="230" s="24" customFormat="1"/>
    <row r="231" s="24" customFormat="1"/>
    <row r="232" s="24" customFormat="1"/>
    <row r="233" s="24" customFormat="1"/>
    <row r="234" s="24" customFormat="1"/>
    <row r="235" s="24" customFormat="1"/>
    <row r="236" s="24" customFormat="1"/>
    <row r="237" s="24" customFormat="1"/>
    <row r="238" s="24" customFormat="1"/>
    <row r="239" s="24" customFormat="1"/>
    <row r="240" s="24" customFormat="1"/>
    <row r="241" s="24" customFormat="1"/>
    <row r="242" s="24" customFormat="1"/>
    <row r="243" s="24" customFormat="1"/>
    <row r="244" s="24" customFormat="1"/>
    <row r="245" s="24" customFormat="1"/>
    <row r="246" s="24" customFormat="1"/>
    <row r="247" s="24" customFormat="1"/>
    <row r="248" s="24" customFormat="1"/>
    <row r="249" s="24" customFormat="1"/>
    <row r="250" s="24" customFormat="1"/>
    <row r="251" s="24" customFormat="1"/>
    <row r="252" s="24" customFormat="1"/>
  </sheetData>
  <printOptions horizontalCentered="1"/>
  <pageMargins left="0.5" right="0.5" top="0.5" bottom="0.5" header="0.25" footer="0.25"/>
  <pageSetup fitToHeight="0" orientation="landscape"/>
  <headerFooter>
    <oddHeader>&amp;L Income Statement</oddHeader>
    <oddFooter>&amp;L Page &amp;P of &amp;N &amp;R &amp;I Income Statement 4.1 generated06/15/2026 at 11:18am PDT&amp;I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2"/>
  <sheetViews>
    <sheetView workbookViewId="0">
      <selection activeCell="B32" sqref="B32"/>
    </sheetView>
  </sheetViews>
  <sheetFormatPr defaultRowHeight="15"/>
  <cols>
    <col min="1" max="1" width="20" customWidth="1"/>
    <col min="2" max="2" width="80" customWidth="1"/>
  </cols>
  <sheetData>
    <row r="1" spans="1:2" ht="15.75">
      <c r="A1" s="20" t="s">
        <v>0</v>
      </c>
      <c r="B1" s="21"/>
    </row>
    <row r="2" spans="1:2" ht="15.75">
      <c r="A2" s="20" t="s">
        <v>191</v>
      </c>
      <c r="B2" s="21"/>
    </row>
    <row r="4" spans="1:2">
      <c r="A4" s="18" t="s">
        <v>192</v>
      </c>
      <c r="B4" s="19" t="s">
        <v>0</v>
      </c>
    </row>
    <row r="5" spans="1:2">
      <c r="A5" s="18" t="s">
        <v>193</v>
      </c>
      <c r="B5" s="19">
        <v>4.0999999999999996</v>
      </c>
    </row>
    <row r="6" spans="1:2">
      <c r="A6" s="18" t="s">
        <v>194</v>
      </c>
      <c r="B6" s="19" t="s">
        <v>1</v>
      </c>
    </row>
    <row r="7" spans="1:2">
      <c r="A7" s="18" t="s">
        <v>195</v>
      </c>
      <c r="B7" s="19" t="s">
        <v>196</v>
      </c>
    </row>
    <row r="8" spans="1:2">
      <c r="A8" s="18" t="s">
        <v>197</v>
      </c>
      <c r="B8" s="19" t="s">
        <v>198</v>
      </c>
    </row>
    <row r="9" spans="1:2">
      <c r="A9" s="18" t="s">
        <v>199</v>
      </c>
      <c r="B9" s="19" t="s">
        <v>200</v>
      </c>
    </row>
    <row r="10" spans="1:2">
      <c r="A10" s="18" t="s">
        <v>201</v>
      </c>
      <c r="B10" s="19" t="s">
        <v>202</v>
      </c>
    </row>
    <row r="11" spans="1:2">
      <c r="A11" s="18" t="s">
        <v>203</v>
      </c>
      <c r="B11" s="19" t="s">
        <v>204</v>
      </c>
    </row>
    <row r="12" spans="1:2">
      <c r="A12" s="18" t="s">
        <v>205</v>
      </c>
      <c r="B12" s="19">
        <v>11</v>
      </c>
    </row>
    <row r="13" spans="1:2">
      <c r="A13" s="18" t="s">
        <v>206</v>
      </c>
      <c r="B13" s="19" t="s">
        <v>207</v>
      </c>
    </row>
    <row r="14" spans="1:2">
      <c r="A14" s="18" t="s">
        <v>208</v>
      </c>
      <c r="B14" s="19" t="s">
        <v>209</v>
      </c>
    </row>
    <row r="15" spans="1:2">
      <c r="A15" s="18" t="s">
        <v>210</v>
      </c>
      <c r="B15" s="19" t="s">
        <v>211</v>
      </c>
    </row>
    <row r="16" spans="1:2">
      <c r="A16" s="18" t="s">
        <v>212</v>
      </c>
      <c r="B16" s="19" t="s">
        <v>213</v>
      </c>
    </row>
    <row r="17" spans="1:2">
      <c r="A17" s="18" t="s">
        <v>214</v>
      </c>
      <c r="B17" s="19" t="s">
        <v>215</v>
      </c>
    </row>
    <row r="18" spans="1:2">
      <c r="A18" s="18" t="s">
        <v>216</v>
      </c>
      <c r="B18" s="19" t="s">
        <v>204</v>
      </c>
    </row>
    <row r="19" spans="1:2">
      <c r="A19" s="18" t="s">
        <v>217</v>
      </c>
      <c r="B19" s="19" t="s">
        <v>209</v>
      </c>
    </row>
    <row r="20" spans="1:2">
      <c r="A20" s="18" t="s">
        <v>218</v>
      </c>
      <c r="B20" s="19" t="s">
        <v>209</v>
      </c>
    </row>
    <row r="21" spans="1:2">
      <c r="A21" s="18" t="s">
        <v>219</v>
      </c>
      <c r="B21" s="19" t="s">
        <v>209</v>
      </c>
    </row>
    <row r="22" spans="1:2">
      <c r="A22" s="18" t="s">
        <v>220</v>
      </c>
      <c r="B22" s="19" t="s">
        <v>209</v>
      </c>
    </row>
    <row r="23" spans="1:2">
      <c r="A23" s="18" t="s">
        <v>221</v>
      </c>
      <c r="B23" s="19" t="s">
        <v>209</v>
      </c>
    </row>
    <row r="24" spans="1:2">
      <c r="A24" s="18" t="s">
        <v>222</v>
      </c>
      <c r="B24" s="19" t="s">
        <v>204</v>
      </c>
    </row>
    <row r="25" spans="1:2">
      <c r="A25" s="18" t="s">
        <v>223</v>
      </c>
      <c r="B25" s="19" t="s">
        <v>204</v>
      </c>
    </row>
    <row r="26" spans="1:2">
      <c r="A26" s="18" t="s">
        <v>224</v>
      </c>
      <c r="B26" s="19" t="s">
        <v>225</v>
      </c>
    </row>
    <row r="27" spans="1:2">
      <c r="A27" s="18" t="s">
        <v>226</v>
      </c>
      <c r="B27" s="19" t="s">
        <v>209</v>
      </c>
    </row>
    <row r="28" spans="1:2">
      <c r="A28" s="18" t="s">
        <v>227</v>
      </c>
      <c r="B28" s="19" t="s">
        <v>204</v>
      </c>
    </row>
    <row r="29" spans="1:2">
      <c r="A29" s="18" t="s">
        <v>228</v>
      </c>
      <c r="B29" s="19" t="s">
        <v>229</v>
      </c>
    </row>
    <row r="31" spans="1:2">
      <c r="A31" s="18" t="s">
        <v>230</v>
      </c>
      <c r="B31" s="19" t="s">
        <v>231</v>
      </c>
    </row>
    <row r="32" spans="1:2">
      <c r="A32" s="18" t="s">
        <v>232</v>
      </c>
      <c r="B32" s="19" t="s">
        <v>231</v>
      </c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923F86-B798-4E31-9A98-41749F8E881C}"/>
</file>

<file path=customXml/itemProps2.xml><?xml version="1.0" encoding="utf-8"?>
<ds:datastoreItem xmlns:ds="http://schemas.openxmlformats.org/officeDocument/2006/customXml" ds:itemID="{D3F54CE0-5FD7-4E72-80F3-5F9996898832}"/>
</file>

<file path=customXml/itemProps3.xml><?xml version="1.0" encoding="utf-8"?>
<ds:datastoreItem xmlns:ds="http://schemas.openxmlformats.org/officeDocument/2006/customXml" ds:itemID="{4472CC82-E7D8-4EA9-AF41-18F849A97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Canyon Ridge</vt:lpstr>
      <vt:lpstr>Report Parameters</vt:lpstr>
      <vt:lpstr>'Report Parameters'!Print_Area</vt:lpstr>
      <vt:lpstr>'Canyon Ridge'!Print_Titles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Angela Ware</cp:lastModifiedBy>
  <dcterms:created xsi:type="dcterms:W3CDTF">2026-06-15T18:20:29Z</dcterms:created>
  <dcterms:modified xsi:type="dcterms:W3CDTF">2026-06-15T18:22:43Z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