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 name="Diligence"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8">
    <font>
      <name val="Calibri"/>
      <family val="2"/>
      <color theme="1"/>
      <sz val="11"/>
      <scheme val="minor"/>
    </font>
    <font>
      <name val="Calibri"/>
      <b val="1"/>
      <color rgb="FFFFFFFF"/>
      <sz val="13"/>
    </font>
    <font>
      <name val="Calibri"/>
      <color rgb="FFFFFFFF"/>
      <sz val="9"/>
    </font>
    <font>
      <name val="Calibri"/>
      <b val="1"/>
      <color rgb="FFFFFFFF"/>
      <sz val="9"/>
    </font>
    <font>
      <name val="Calibri"/>
      <color rgb="FF000000"/>
      <sz val="9"/>
    </font>
    <font>
      <name val="Calibri"/>
      <color rgb="FF808080"/>
      <sz val="8"/>
    </font>
    <font>
      <name val="Calibri"/>
      <b val="1"/>
      <color rgb="FF000000"/>
      <sz val="9"/>
    </font>
    <font>
      <name val="Calibri"/>
      <i val="1"/>
      <color rgb="FF808080"/>
      <sz val="7"/>
    </font>
    <font>
      <name val="Calibri"/>
      <b val="1"/>
      <color rgb="FF0000FF"/>
      <sz val="9"/>
    </font>
    <font>
      <name val="Calibri"/>
      <b val="1"/>
      <color rgb="FFFFFFFF"/>
      <sz val="8"/>
    </font>
    <font>
      <name val="Calibri"/>
      <color rgb="FF0000FF"/>
      <sz val="9"/>
    </font>
    <font>
      <name val="Calibri"/>
      <i val="1"/>
      <color rgb="FF000000"/>
      <sz val="8"/>
    </font>
    <font>
      <name val="Calibri"/>
      <i val="1"/>
      <color rgb="FF808080"/>
      <sz val="8"/>
    </font>
    <font>
      <name val="Calibri"/>
      <b val="1"/>
      <color rgb="FF153D64"/>
      <sz val="9"/>
    </font>
    <font>
      <name val="Calibri"/>
      <b val="1"/>
      <color rgb="FF595959"/>
      <sz val="8"/>
    </font>
    <font>
      <name val="Calibri"/>
      <b val="1"/>
      <color rgb="FF000000"/>
      <sz val="8"/>
    </font>
    <font>
      <name val="Calibri"/>
      <color rgb="FF000000"/>
      <sz val="8"/>
    </font>
    <font>
      <name val="Calibri"/>
      <b val="1"/>
      <color rgb="FFFFFFFF"/>
      <sz val="11"/>
    </font>
  </fonts>
  <fills count="14">
    <fill>
      <patternFill/>
    </fill>
    <fill>
      <patternFill patternType="gray125"/>
    </fill>
    <fill>
      <patternFill patternType="solid">
        <fgColor rgb="FF153D64"/>
      </patternFill>
    </fill>
    <fill>
      <patternFill patternType="solid">
        <fgColor rgb="FF2E75B6"/>
      </patternFill>
    </fill>
    <fill>
      <patternFill patternType="solid">
        <fgColor rgb="FFDDEBF7"/>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
      <patternFill patternType="solid">
        <fgColor rgb="FFD6E0F0"/>
      </patternFill>
    </fill>
    <fill>
      <patternFill patternType="solid">
        <fgColor rgb="FFFFE699"/>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2" borderId="1" applyAlignment="1" pivotButton="0" quotePrefix="0" xfId="0">
      <alignment horizontal="center" vertical="center" wrapText="1"/>
    </xf>
    <xf numFmtId="0" fontId="0" fillId="3" borderId="0" pivotButton="0" quotePrefix="0" xfId="0"/>
    <xf numFmtId="0" fontId="3" fillId="3" borderId="0" applyAlignment="1" pivotButton="0" quotePrefix="0" xfId="0">
      <alignment horizontal="left" vertical="center"/>
    </xf>
    <xf numFmtId="0" fontId="4" fillId="4" borderId="1" applyAlignment="1" pivotButton="0" quotePrefix="0" xfId="0">
      <alignment horizontal="center" vertical="center" wrapText="1"/>
    </xf>
    <xf numFmtId="0" fontId="4" fillId="4" borderId="1" applyAlignment="1" pivotButton="0" quotePrefix="0" xfId="0">
      <alignment horizontal="left" vertical="center"/>
    </xf>
    <xf numFmtId="3" fontId="4" fillId="4" borderId="1" applyAlignment="1" pivotButton="0" quotePrefix="0" xfId="0">
      <alignment horizontal="center" vertical="center" wrapText="1"/>
    </xf>
    <xf numFmtId="164" fontId="4" fillId="4" borderId="1" applyAlignment="1" pivotButton="0" quotePrefix="0" xfId="0">
      <alignment horizontal="center" vertical="center" wrapText="1"/>
    </xf>
    <xf numFmtId="165" fontId="4" fillId="4" borderId="1" applyAlignment="1" pivotButton="0" quotePrefix="0" xfId="0">
      <alignment horizontal="center" vertical="center" wrapText="1"/>
    </xf>
    <xf numFmtId="166" fontId="4" fillId="4" borderId="1" applyAlignment="1" pivotButton="0" quotePrefix="0" xfId="0">
      <alignment horizontal="center" vertical="center" wrapText="1"/>
    </xf>
    <xf numFmtId="0" fontId="0" fillId="5" borderId="0" pivotButton="0" quotePrefix="0" xfId="0"/>
    <xf numFmtId="0" fontId="3" fillId="5" borderId="0" applyAlignment="1" pivotButton="0" quotePrefix="0" xfId="0">
      <alignment horizontal="left" vertical="center"/>
    </xf>
    <xf numFmtId="0" fontId="4" fillId="6" borderId="1" applyAlignment="1" pivotButton="0" quotePrefix="0" xfId="0">
      <alignment horizontal="center" vertical="center" wrapText="1"/>
    </xf>
    <xf numFmtId="0" fontId="4" fillId="6" borderId="1" applyAlignment="1" pivotButton="0" quotePrefix="0" xfId="0">
      <alignment horizontal="left" vertical="center"/>
    </xf>
    <xf numFmtId="3" fontId="4" fillId="6"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6" fontId="4" fillId="6" borderId="1" applyAlignment="1" pivotButton="0" quotePrefix="0" xfId="0">
      <alignment horizontal="center" vertical="center" wrapText="1"/>
    </xf>
    <xf numFmtId="0" fontId="0" fillId="7" borderId="0" pivotButton="0" quotePrefix="0" xfId="0"/>
    <xf numFmtId="0" fontId="3" fillId="7" borderId="0" applyAlignment="1" pivotButton="0" quotePrefix="0" xfId="0">
      <alignment horizontal="lef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xf>
    <xf numFmtId="3" fontId="4" fillId="8" borderId="1" applyAlignment="1" pivotButton="0" quotePrefix="0" xfId="0">
      <alignment horizontal="center" vertical="center" wrapText="1"/>
    </xf>
    <xf numFmtId="164" fontId="4" fillId="8" borderId="1" applyAlignment="1" pivotButton="0" quotePrefix="0" xfId="0">
      <alignment horizontal="center" vertical="center" wrapText="1"/>
    </xf>
    <xf numFmtId="165" fontId="4" fillId="8" borderId="1" applyAlignment="1" pivotButton="0" quotePrefix="0" xfId="0">
      <alignment horizontal="center" vertical="center" wrapText="1"/>
    </xf>
    <xf numFmtId="166" fontId="4" fillId="8" borderId="1" applyAlignment="1" pivotButton="0" quotePrefix="0" xfId="0">
      <alignment horizontal="center" vertical="center" wrapText="1"/>
    </xf>
    <xf numFmtId="0" fontId="5" fillId="0" borderId="0" pivotButton="0" quotePrefix="0" xfId="0"/>
    <xf numFmtId="0" fontId="3" fillId="2" borderId="0" pivotButton="0" quotePrefix="0" xfId="0"/>
    <xf numFmtId="0" fontId="6" fillId="0" borderId="0" pivotButton="0" quotePrefix="0" xfId="0"/>
    <xf numFmtId="0" fontId="6" fillId="0" borderId="0" applyAlignment="1" pivotButton="0" quotePrefix="0" xfId="0">
      <alignment horizontal="center" vertical="center" wrapText="1"/>
    </xf>
    <xf numFmtId="0" fontId="7" fillId="0" borderId="0" applyAlignment="1" pivotButton="0" quotePrefix="0" xfId="0">
      <alignment horizontal="left" vertical="center"/>
    </xf>
    <xf numFmtId="0" fontId="9" fillId="3" borderId="1" applyAlignment="1" pivotButton="0" quotePrefix="0" xfId="0">
      <alignment horizontal="center" vertical="center" wrapText="1"/>
    </xf>
    <xf numFmtId="0" fontId="8" fillId="9" borderId="0" applyAlignment="1" pivotButton="0" quotePrefix="0" xfId="0">
      <alignment horizontal="center" vertical="center" wrapText="1"/>
    </xf>
    <xf numFmtId="0" fontId="4"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8" fillId="9" borderId="0" applyAlignment="1" pivotButton="0" quotePrefix="0" xfId="0">
      <alignment horizontal="center" vertical="center" wrapText="1"/>
    </xf>
    <xf numFmtId="3" fontId="8" fillId="9" borderId="0" applyAlignment="1" pivotButton="0" quotePrefix="0" xfId="0">
      <alignment horizontal="center" vertical="center" wrapText="1"/>
    </xf>
    <xf numFmtId="0" fontId="10" fillId="9" borderId="1" applyAlignment="1" pivotButton="0" quotePrefix="0" xfId="0">
      <alignment horizontal="center" vertical="center" wrapText="1"/>
    </xf>
    <xf numFmtId="3" fontId="6" fillId="0" borderId="0" applyAlignment="1" pivotButton="0" quotePrefix="0" xfId="0">
      <alignment horizontal="center" vertical="center" wrapText="1"/>
    </xf>
    <xf numFmtId="0" fontId="3" fillId="3" borderId="1" applyAlignment="1" pivotButton="0" quotePrefix="0" xfId="0">
      <alignment horizontal="center" vertical="center" wrapText="1"/>
    </xf>
    <xf numFmtId="0" fontId="5" fillId="0" borderId="0" applyAlignment="1" pivotButton="0" quotePrefix="0" xfId="0">
      <alignment horizontal="center" vertical="center" wrapText="1"/>
    </xf>
    <xf numFmtId="3" fontId="4" fillId="10" borderId="1" applyAlignment="1" pivotButton="0" quotePrefix="0" xfId="0">
      <alignment horizontal="center" vertical="center" wrapText="1"/>
    </xf>
    <xf numFmtId="3" fontId="4" fillId="11" borderId="1" applyAlignment="1" pivotButton="0" quotePrefix="0" xfId="0">
      <alignment horizontal="center" vertical="center" wrapText="1"/>
    </xf>
    <xf numFmtId="164" fontId="6" fillId="10" borderId="1" applyAlignment="1" pivotButton="0" quotePrefix="0" xfId="0">
      <alignment horizontal="center" vertical="center" wrapText="1"/>
    </xf>
    <xf numFmtId="164" fontId="6" fillId="11" borderId="1" applyAlignment="1" pivotButton="0" quotePrefix="0" xfId="0">
      <alignment horizontal="center" vertical="center" wrapText="1"/>
    </xf>
    <xf numFmtId="167" fontId="4" fillId="10" borderId="1" applyAlignment="1" pivotButton="0" quotePrefix="0" xfId="0">
      <alignment horizontal="center" vertical="center" wrapText="1"/>
    </xf>
    <xf numFmtId="167" fontId="4" fillId="11" borderId="1" applyAlignment="1" pivotButton="0" quotePrefix="0" xfId="0">
      <alignment horizontal="center" vertical="center" wrapText="1"/>
    </xf>
    <xf numFmtId="0" fontId="11" fillId="0" borderId="0" pivotButton="0" quotePrefix="0" xfId="0"/>
    <xf numFmtId="164" fontId="12" fillId="10" borderId="1" applyAlignment="1" pivotButton="0" quotePrefix="0" xfId="0">
      <alignment horizontal="center" vertical="center" wrapText="1"/>
    </xf>
    <xf numFmtId="164" fontId="12" fillId="11" borderId="1" applyAlignment="1" pivotButton="0" quotePrefix="0" xfId="0">
      <alignment horizontal="center" vertical="center" wrapText="1"/>
    </xf>
    <xf numFmtId="164" fontId="4" fillId="10" borderId="1" applyAlignment="1" pivotButton="0" quotePrefix="0" xfId="0">
      <alignment horizontal="center" vertical="center" wrapText="1"/>
    </xf>
    <xf numFmtId="164" fontId="4" fillId="11" borderId="1" applyAlignment="1" pivotButton="0" quotePrefix="0" xfId="0">
      <alignment horizontal="center" vertical="center" wrapText="1"/>
    </xf>
    <xf numFmtId="3" fontId="4" fillId="0" borderId="1" applyAlignment="1" pivotButton="0" quotePrefix="0" xfId="0">
      <alignment horizontal="center" vertical="center" wrapText="1"/>
    </xf>
    <xf numFmtId="0" fontId="0" fillId="2" borderId="0" pivotButton="0" quotePrefix="0" xfId="0"/>
    <xf numFmtId="0" fontId="3" fillId="2" borderId="0" applyAlignment="1" pivotButton="0" quotePrefix="0" xfId="0">
      <alignment horizontal="center" vertical="center" wrapText="1"/>
    </xf>
    <xf numFmtId="0" fontId="4" fillId="10" borderId="0" pivotButton="0" quotePrefix="0" xfId="0"/>
    <xf numFmtId="0" fontId="0" fillId="10" borderId="0" pivotButton="0" quotePrefix="0" xfId="0"/>
    <xf numFmtId="0" fontId="6" fillId="12" borderId="0" pivotButton="0" quotePrefix="0" xfId="0"/>
    <xf numFmtId="0" fontId="0" fillId="12" borderId="0" pivotButton="0" quotePrefix="0" xfId="0"/>
    <xf numFmtId="164" fontId="6" fillId="12" borderId="1" applyAlignment="1" pivotButton="0" quotePrefix="0" xfId="0">
      <alignment horizontal="center" vertical="center" wrapText="1"/>
    </xf>
    <xf numFmtId="0" fontId="13" fillId="13" borderId="0" pivotButton="0" quotePrefix="0" xfId="0"/>
    <xf numFmtId="0" fontId="0" fillId="13" borderId="0" pivotButton="0" quotePrefix="0" xfId="0"/>
    <xf numFmtId="164" fontId="6" fillId="13" borderId="1" applyAlignment="1" pivotButton="0" quotePrefix="0" xfId="0">
      <alignment horizontal="center" vertical="center" wrapText="1"/>
    </xf>
    <xf numFmtId="0" fontId="14" fillId="0" borderId="0" pivotButton="0" quotePrefix="0" xfId="0"/>
    <xf numFmtId="0" fontId="3" fillId="3" borderId="0" applyAlignment="1" pivotButton="0" quotePrefix="0" xfId="0">
      <alignment horizontal="center" vertical="center" wrapText="1"/>
    </xf>
    <xf numFmtId="164" fontId="4" fillId="0" borderId="1" applyAlignment="1" pivotButton="0" quotePrefix="0" xfId="0">
      <alignment horizontal="center" vertical="center" wrapText="1"/>
    </xf>
    <xf numFmtId="0" fontId="15" fillId="0" borderId="0" pivotButton="0" quotePrefix="0" xfId="0"/>
    <xf numFmtId="164" fontId="10" fillId="9" borderId="1" applyAlignment="1" pivotButton="0" quotePrefix="0" xfId="0">
      <alignment horizontal="center" vertical="center" wrapText="1"/>
    </xf>
    <xf numFmtId="0" fontId="16" fillId="0" borderId="0" pivotButton="0" quotePrefix="0" xfId="0"/>
    <xf numFmtId="164" fontId="0" fillId="0" borderId="0" pivotButton="0" quotePrefix="0" xfId="0"/>
    <xf numFmtId="3" fontId="0" fillId="0" borderId="0" pivotButton="0" quotePrefix="0" xfId="0"/>
    <xf numFmtId="0" fontId="17" fillId="2" borderId="0" pivotButton="0" quotePrefix="0" xfId="0"/>
    <xf numFmtId="0"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26"/>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 hidden="1" width="13" customWidth="1" min="13" max="13"/>
  </cols>
  <sheetData>
    <row r="2" ht="22" customHeight="1">
      <c r="C2" s="1" t="inlineStr">
        <is>
          <t>CANYON RIDGE — 5-Mile Competitive Supply</t>
        </is>
      </c>
    </row>
    <row r="3">
      <c r="B3" s="2" t="inlineStr">
        <is>
          <t>2023–2026 New Construction  |  5-mile radius  |  As of 2026 Q3 QTD</t>
        </is>
      </c>
    </row>
    <row r="4" ht="18" customHeight="1">
      <c r="B4" s="3" t="inlineStr">
        <is>
          <t>#</t>
        </is>
      </c>
      <c r="C4" s="3" t="inlineStr">
        <is>
          <t>Property</t>
        </is>
      </c>
      <c r="D4" s="3" t="inlineStr">
        <is>
          <t>Units</t>
        </is>
      </c>
      <c r="E4" s="3" t="inlineStr">
        <is>
          <t>Est. Delivery</t>
        </is>
      </c>
      <c r="F4" s="3" t="inlineStr">
        <is>
          <t>Occupancy</t>
        </is>
      </c>
      <c r="G4" s="3" t="inlineStr">
        <is>
          <t>Avg Mkt Rent</t>
        </is>
      </c>
      <c r="H4" s="3" t="inlineStr">
        <is>
          <t>Owner</t>
        </is>
      </c>
      <c r="I4" s="3" t="inlineStr">
        <is>
          <t>Proximity</t>
        </is>
      </c>
      <c r="J4" s="3" t="inlineStr">
        <is>
          <t>Type</t>
        </is>
      </c>
      <c r="K4" s="3" t="inlineStr">
        <is>
          <t>Notes</t>
        </is>
      </c>
    </row>
    <row r="5">
      <c r="B5" s="4" t="n"/>
      <c r="C5" s="5" t="inlineStr">
        <is>
          <t>STABILIZED / STABILIZING (5 properties, 492 units)</t>
        </is>
      </c>
    </row>
    <row r="6">
      <c r="B6" s="6" t="n">
        <v>1</v>
      </c>
      <c r="C6" s="7" t="inlineStr">
        <is>
          <t>The Timbers at Harris Ranch</t>
        </is>
      </c>
      <c r="D6" s="8" t="n">
        <v>274</v>
      </c>
      <c r="E6" s="6" t="inlineStr">
        <is>
          <t>Q2 2023</t>
        </is>
      </c>
      <c r="F6" s="9" t="n">
        <v>0.974453</v>
      </c>
      <c r="G6" s="10" t="n">
        <v>2147.615759341101</v>
      </c>
      <c r="H6" s="7" t="inlineStr">
        <is>
          <t>Highland Canyon Partners</t>
        </is>
      </c>
      <c r="I6" s="11" t="n">
        <v>2.3</v>
      </c>
      <c r="J6" s="6" t="inlineStr">
        <is>
          <t>Garden</t>
        </is>
      </c>
      <c r="K6" s="7" t="inlineStr">
        <is>
          <t>Year built: 2023/2024; Occ: CoStar 97% vs RealPage 100%</t>
        </is>
      </c>
      <c r="M6">
        <f>IFERROR(VALUE(RIGHT(E6,4))*4+MATCH(LEFT(E6,2),{"Q1","Q2","Q3","Q4"},0)-1,"")</f>
        <v/>
      </c>
    </row>
    <row r="7">
      <c r="B7" s="6" t="n">
        <v>2</v>
      </c>
      <c r="C7" s="7" t="inlineStr">
        <is>
          <t>The Betty</t>
        </is>
      </c>
      <c r="D7" s="8" t="n">
        <v>46</v>
      </c>
      <c r="E7" s="6" t="inlineStr">
        <is>
          <t>Q4 2023</t>
        </is>
      </c>
      <c r="F7" s="9" t="n">
        <v>0.934783</v>
      </c>
      <c r="G7" s="10" t="n">
        <v>1577</v>
      </c>
      <c r="H7" s="7" t="inlineStr">
        <is>
          <t>Commercial Northwest Property Management</t>
        </is>
      </c>
      <c r="I7" s="11" t="n">
        <v>4.2</v>
      </c>
      <c r="J7" s="6" t="inlineStr">
        <is>
          <t>Mid-Rise</t>
        </is>
      </c>
      <c r="K7" s="7" t="inlineStr">
        <is>
          <t>Occ: CoStar 93% vs RealPage 96%; Rent: CoStar ask $1,577 vs RealPage eff $1,273</t>
        </is>
      </c>
      <c r="M7">
        <f>IFERROR(VALUE(RIGHT(E7,4))*4+MATCH(LEFT(E7,2),{"Q1","Q2","Q3","Q4"},0)-1,"")</f>
        <v/>
      </c>
    </row>
    <row r="8">
      <c r="B8" s="6" t="n">
        <v>3</v>
      </c>
      <c r="C8" s="7" t="inlineStr">
        <is>
          <t>The Mill at Loggers Creek</t>
        </is>
      </c>
      <c r="D8" s="8" t="n">
        <v>125</v>
      </c>
      <c r="E8" s="6" t="inlineStr">
        <is>
          <t>Q2 2024</t>
        </is>
      </c>
      <c r="F8" s="9" t="n">
        <v>0.912</v>
      </c>
      <c r="G8" s="10" t="n">
        <v>2148.791666666667</v>
      </c>
      <c r="H8" s="7" t="inlineStr">
        <is>
          <t>Baron Properties</t>
        </is>
      </c>
      <c r="I8" s="11" t="n">
        <v>4.3</v>
      </c>
      <c r="J8" s="6" t="inlineStr">
        <is>
          <t>Mid-Rise</t>
        </is>
      </c>
      <c r="K8" s="7" t="inlineStr">
        <is>
          <t>Occ: CoStar 91% vs RealPage 94%</t>
        </is>
      </c>
      <c r="M8">
        <f>IFERROR(VALUE(RIGHT(E8,4))*4+MATCH(LEFT(E8,2),{"Q1","Q2","Q3","Q4"},0)-1,"")</f>
        <v/>
      </c>
    </row>
    <row r="9">
      <c r="B9" s="6" t="n">
        <v>4</v>
      </c>
      <c r="C9" s="7" t="inlineStr">
        <is>
          <t>Mesa Pointe Apartments</t>
        </is>
      </c>
      <c r="D9" s="8" t="n">
        <v>12</v>
      </c>
      <c r="E9" s="6" t="inlineStr">
        <is>
          <t>Q3 2024</t>
        </is>
      </c>
      <c r="F9" s="9" t="n">
        <v>1</v>
      </c>
      <c r="G9" s="10" t="n">
        <v>1647</v>
      </c>
      <c r="H9" s="7" t="inlineStr">
        <is>
          <t>Rre Mesa Pointe Llc</t>
        </is>
      </c>
      <c r="I9" s="11" t="n">
        <v>4.2</v>
      </c>
      <c r="J9" s="6" t="inlineStr">
        <is>
          <t>Low-Rise</t>
        </is>
      </c>
      <c r="K9" s="7" t="n"/>
      <c r="M9">
        <f>IFERROR(VALUE(RIGHT(E9,4))*4+MATCH(LEFT(E9,2),{"Q1","Q2","Q3","Q4"},0)-1,"")</f>
        <v/>
      </c>
    </row>
    <row r="10">
      <c r="B10" s="6" t="n">
        <v>5</v>
      </c>
      <c r="C10" s="7" t="inlineStr">
        <is>
          <t>Veazey Apartments</t>
        </is>
      </c>
      <c r="D10" s="8" t="n">
        <v>35</v>
      </c>
      <c r="E10" s="6" t="inlineStr">
        <is>
          <t>Q4 2024</t>
        </is>
      </c>
      <c r="F10" s="9" t="n">
        <v>0.971429</v>
      </c>
      <c r="G10" s="10" t="n">
        <v>1547</v>
      </c>
      <c r="H10" s="7" t="inlineStr">
        <is>
          <t>Conrad J Frank</t>
        </is>
      </c>
      <c r="I10" s="11" t="n">
        <v>3.4</v>
      </c>
      <c r="J10" s="6" t="inlineStr">
        <is>
          <t>Low-Rise</t>
        </is>
      </c>
      <c r="K10" s="7" t="n"/>
      <c r="M10">
        <f>IFERROR(VALUE(RIGHT(E10,4))*4+MATCH(LEFT(E10,2),{"Q1","Q2","Q3","Q4"},0)-1,"")</f>
        <v/>
      </c>
    </row>
    <row r="12">
      <c r="B12" s="12" t="n"/>
      <c r="C12" s="13" t="inlineStr">
        <is>
          <t>UNDER CONSTRUCTION (2 properties, 62 units)</t>
        </is>
      </c>
    </row>
    <row r="13">
      <c r="B13" s="14" t="n">
        <v>6</v>
      </c>
      <c r="C13" s="15" t="inlineStr">
        <is>
          <t>The Quarter at Harris Ranch</t>
        </is>
      </c>
      <c r="D13" s="16" t="n">
        <v>32</v>
      </c>
      <c r="E13" s="14" t="inlineStr">
        <is>
          <t>Q1 2027</t>
        </is>
      </c>
      <c r="F13" s="17" t="n"/>
      <c r="G13" s="18" t="inlineStr">
        <is>
          <t>—</t>
        </is>
      </c>
      <c r="H13" s="15" t="inlineStr">
        <is>
          <t>—</t>
        </is>
      </c>
      <c r="I13" s="19" t="n">
        <v>2.5</v>
      </c>
      <c r="J13" s="14" t="n"/>
      <c r="K13" s="15" t="inlineStr">
        <is>
          <t>Analyst-sourced deal (not in CoStar/RealPage); Diligence: under construction</t>
        </is>
      </c>
      <c r="M13">
        <f>IFERROR(VALUE(RIGHT(E13,4))*4+MATCH(LEFT(E13,2),{"Q1","Q2","Q3","Q4"},0)-1,"")</f>
        <v/>
      </c>
    </row>
    <row r="14">
      <c r="B14" s="14" t="n">
        <v>7</v>
      </c>
      <c r="C14" s="15" t="inlineStr">
        <is>
          <t>737 ParkCenter</t>
        </is>
      </c>
      <c r="D14" s="16" t="n">
        <v>30</v>
      </c>
      <c r="E14" s="14" t="inlineStr">
        <is>
          <t>Q3 2027</t>
        </is>
      </c>
      <c r="F14" s="17" t="n"/>
      <c r="G14" s="18" t="inlineStr">
        <is>
          <t>—</t>
        </is>
      </c>
      <c r="H14" s="15" t="inlineStr">
        <is>
          <t>Scott G Kimball</t>
        </is>
      </c>
      <c r="I14" s="19" t="n">
        <v>3.2</v>
      </c>
      <c r="J14" s="14" t="inlineStr">
        <is>
          <t>Low-Rise</t>
        </is>
      </c>
      <c r="K14" s="15" t="inlineStr">
        <is>
          <t>Diligence: under construction</t>
        </is>
      </c>
      <c r="M14">
        <f>IFERROR(VALUE(RIGHT(E14,4))*4+MATCH(LEFT(E14,2),{"Q1","Q2","Q3","Q4"},0)-1,"")</f>
        <v/>
      </c>
    </row>
    <row r="16">
      <c r="B16" s="20" t="n"/>
      <c r="C16" s="21" t="inlineStr">
        <is>
          <t>PROPOSED (7 properties, 1,982 units)</t>
        </is>
      </c>
    </row>
    <row r="17">
      <c r="B17" s="22" t="n">
        <v>8</v>
      </c>
      <c r="C17" s="23" t="inlineStr">
        <is>
          <t>Seasons on the Bench</t>
        </is>
      </c>
      <c r="D17" s="24" t="n">
        <v>300</v>
      </c>
      <c r="E17" s="22" t="inlineStr">
        <is>
          <t>Q3 2028</t>
        </is>
      </c>
      <c r="F17" s="25" t="n"/>
      <c r="G17" s="26" t="inlineStr">
        <is>
          <t>—</t>
        </is>
      </c>
      <c r="H17" s="23" t="inlineStr">
        <is>
          <t>—</t>
        </is>
      </c>
      <c r="I17" s="27" t="n">
        <v>3.6</v>
      </c>
      <c r="J17" s="22" t="inlineStr">
        <is>
          <t>Garden</t>
        </is>
      </c>
      <c r="K17" s="23" t="inlineStr">
        <is>
          <t>RealPage pipeline (not yet in CoStar); Diligence: proposed</t>
        </is>
      </c>
      <c r="M17">
        <f>IFERROR(VALUE(RIGHT(E17,4))*4+MATCH(LEFT(E17,2),{"Q1","Q2","Q3","Q4"},0)-1,"")</f>
        <v/>
      </c>
    </row>
    <row r="18">
      <c r="B18" s="22" t="n">
        <v>9</v>
      </c>
      <c r="C18" s="23" t="inlineStr">
        <is>
          <t>The Ranahan</t>
        </is>
      </c>
      <c r="D18" s="24" t="n">
        <v>138</v>
      </c>
      <c r="E18" s="22" t="inlineStr">
        <is>
          <t>Q4 2028</t>
        </is>
      </c>
      <c r="F18" s="25" t="n"/>
      <c r="G18" s="26" t="inlineStr">
        <is>
          <t>—</t>
        </is>
      </c>
      <c r="H18" s="23" t="inlineStr">
        <is>
          <t>Dave Evans Construction</t>
        </is>
      </c>
      <c r="I18" s="27" t="n">
        <v>2.2</v>
      </c>
      <c r="J18" s="22" t="inlineStr">
        <is>
          <t>Mid-Rise</t>
        </is>
      </c>
      <c r="K18" s="23" t="inlineStr">
        <is>
          <t>Diligence: proposed</t>
        </is>
      </c>
      <c r="M18">
        <f>IFERROR(VALUE(RIGHT(E18,4))*4+MATCH(LEFT(E18,2),{"Q1","Q2","Q3","Q4"},0)-1,"")</f>
        <v/>
      </c>
    </row>
    <row r="19">
      <c r="B19" s="22" t="n">
        <v>10</v>
      </c>
      <c r="C19" s="23" t="inlineStr">
        <is>
          <t>Vista Point</t>
        </is>
      </c>
      <c r="D19" s="24" t="n">
        <v>892</v>
      </c>
      <c r="E19" s="22" t="inlineStr">
        <is>
          <t>TBD</t>
        </is>
      </c>
      <c r="F19" s="25" t="n"/>
      <c r="G19" s="26" t="inlineStr">
        <is>
          <t>—</t>
        </is>
      </c>
      <c r="H19" s="23" t="inlineStr">
        <is>
          <t>—</t>
        </is>
      </c>
      <c r="I19" s="27" t="n">
        <v>3.4</v>
      </c>
      <c r="J19" s="22" t="inlineStr">
        <is>
          <t>Mid-Rise</t>
        </is>
      </c>
      <c r="K19" s="23" t="inlineStr">
        <is>
          <t>RealPage pipeline (not yet in CoStar); Diligence: proposed</t>
        </is>
      </c>
      <c r="M19">
        <f>IFERROR(VALUE(RIGHT(E19,4))*4+MATCH(LEFT(E19,2),{"Q1","Q2","Q3","Q4"},0)-1,"")</f>
        <v/>
      </c>
    </row>
    <row r="20">
      <c r="B20" s="22" t="n">
        <v>11</v>
      </c>
      <c r="C20" s="23" t="inlineStr">
        <is>
          <t>Kootenai &amp; Federal Way (Hawkins)</t>
        </is>
      </c>
      <c r="D20" s="24" t="n">
        <v>194</v>
      </c>
      <c r="E20" s="22" t="inlineStr">
        <is>
          <t>TBD</t>
        </is>
      </c>
      <c r="F20" s="25" t="n"/>
      <c r="G20" s="26" t="inlineStr">
        <is>
          <t>—</t>
        </is>
      </c>
      <c r="H20" s="23" t="inlineStr">
        <is>
          <t>—</t>
        </is>
      </c>
      <c r="I20" s="27" t="n">
        <v>4.1</v>
      </c>
      <c r="J20" s="22" t="n"/>
      <c r="K20" s="23" t="inlineStr">
        <is>
          <t>Analyst-sourced deal (not in CoStar/RealPage); Diligence: proposed</t>
        </is>
      </c>
      <c r="M20">
        <f>IFERROR(VALUE(RIGHT(E20,4))*4+MATCH(LEFT(E20,2),{"Q1","Q2","Q3","Q4"},0)-1,"")</f>
        <v/>
      </c>
    </row>
    <row r="21">
      <c r="B21" s="22" t="n">
        <v>12</v>
      </c>
      <c r="C21" s="23" t="inlineStr">
        <is>
          <t>1519 South Londoner Avenue</t>
        </is>
      </c>
      <c r="D21" s="24" t="n">
        <v>189</v>
      </c>
      <c r="E21" s="22" t="inlineStr">
        <is>
          <t>TBD</t>
        </is>
      </c>
      <c r="F21" s="25" t="n"/>
      <c r="G21" s="26" t="inlineStr">
        <is>
          <t>—</t>
        </is>
      </c>
      <c r="H21" s="23" t="inlineStr">
        <is>
          <t>—</t>
        </is>
      </c>
      <c r="I21" s="27" t="n">
        <v>4</v>
      </c>
      <c r="J21" s="22" t="inlineStr">
        <is>
          <t>Garden</t>
        </is>
      </c>
      <c r="K21" s="23" t="inlineStr">
        <is>
          <t>RealPage pipeline (not yet in CoStar); Diligence: proposed</t>
        </is>
      </c>
      <c r="M21">
        <f>IFERROR(VALUE(RIGHT(E21,4))*4+MATCH(LEFT(E21,2),{"Q1","Q2","Q3","Q4"},0)-1,"")</f>
        <v/>
      </c>
    </row>
    <row r="22">
      <c r="B22" s="22" t="n">
        <v>13</v>
      </c>
      <c r="C22" s="23" t="inlineStr">
        <is>
          <t>3300 South Vista Avenue</t>
        </is>
      </c>
      <c r="D22" s="24" t="n">
        <v>183</v>
      </c>
      <c r="E22" s="22" t="inlineStr">
        <is>
          <t>TBD</t>
        </is>
      </c>
      <c r="F22" s="25" t="n"/>
      <c r="G22" s="26" t="inlineStr">
        <is>
          <t>—</t>
        </is>
      </c>
      <c r="H22" s="23" t="inlineStr">
        <is>
          <t>—</t>
        </is>
      </c>
      <c r="I22" s="27" t="n">
        <v>3.7</v>
      </c>
      <c r="J22" s="22" t="inlineStr">
        <is>
          <t>Mid-Rise</t>
        </is>
      </c>
      <c r="K22" s="23" t="inlineStr">
        <is>
          <t>RealPage pipeline (not yet in CoStar); Diligence: proposed</t>
        </is>
      </c>
      <c r="M22">
        <f>IFERROR(VALUE(RIGHT(E22,4))*4+MATCH(LEFT(E22,2),{"Q1","Q2","Q3","Q4"},0)-1,"")</f>
        <v/>
      </c>
    </row>
    <row r="23">
      <c r="B23" s="22" t="n">
        <v>14</v>
      </c>
      <c r="C23" s="23" t="inlineStr">
        <is>
          <t>Station Village</t>
        </is>
      </c>
      <c r="D23" s="24" t="n">
        <v>86</v>
      </c>
      <c r="E23" s="22" t="inlineStr">
        <is>
          <t>TBD</t>
        </is>
      </c>
      <c r="F23" s="25" t="n"/>
      <c r="G23" s="26" t="inlineStr">
        <is>
          <t>—</t>
        </is>
      </c>
      <c r="H23" s="23" t="inlineStr">
        <is>
          <t>Privately Owned</t>
        </is>
      </c>
      <c r="I23" s="27" t="n">
        <v>4.7</v>
      </c>
      <c r="J23" s="22" t="inlineStr">
        <is>
          <t>Garden</t>
        </is>
      </c>
      <c r="K23" s="23" t="inlineStr">
        <is>
          <t>RealPage pipeline (not yet in CoStar); Diligence: proposed</t>
        </is>
      </c>
      <c r="M23">
        <f>IFERROR(VALUE(RIGHT(E23,4))*4+MATCH(LEFT(E23,2),{"Q1","Q2","Q3","Q4"},0)-1,"")</f>
        <v/>
      </c>
    </row>
    <row r="26">
      <c r="B26" s="28" t="inlineStr">
        <is>
          <t>* 5-Mile radius. Rent ($) = HelloData mix-weighted asking where covered, else market asking (CoStar). Proximity (mi) = straight-line distance from the subject. Est. Delivery drives the Supply &amp; Absorption tab's per-window supply (edit it there or here — they are linked). See the 'Supply &amp; Absorption' tab for the forward supply / absorption / overall-occupancy forecast.</t>
        </is>
      </c>
    </row>
  </sheetData>
  <mergeCells count="6">
    <mergeCell ref="B3:G3"/>
    <mergeCell ref="C16:K16"/>
    <mergeCell ref="C5:K5"/>
    <mergeCell ref="B26:K26"/>
    <mergeCell ref="C2:G2"/>
    <mergeCell ref="C12:K12"/>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75"/>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29" t="inlineStr">
        <is>
          <t>UNDER CONSTRUCTION (linked from Competitive Analysis)</t>
        </is>
      </c>
      <c r="Z3">
        <f>IF($C$7="Bear",3,IF($C$7="Base",2,1))</f>
        <v/>
      </c>
    </row>
    <row r="4" ht="14.4" customHeight="1">
      <c r="B4" s="30" t="inlineStr">
        <is>
          <t>As-of Quarter (Y0 end)</t>
        </is>
      </c>
      <c r="C4" s="31" t="inlineStr">
        <is>
          <t>Q2 2026</t>
        </is>
      </c>
      <c r="D4" s="32" t="inlineStr">
        <is>
          <t>◂ Y0 = the trailing-12-months ending here (latest complete CoStar quarter); -Y1…-Y6 step back a year each.</t>
        </is>
      </c>
      <c r="R4" s="33" t="inlineStr">
        <is>
          <t>Property</t>
        </is>
      </c>
      <c r="S4" s="33" t="inlineStr">
        <is>
          <t>Units</t>
        </is>
      </c>
      <c r="T4" s="33" t="inlineStr">
        <is>
          <t>Est. Delivery</t>
        </is>
      </c>
    </row>
    <row r="5" ht="14.4" customHeight="1">
      <c r="B5" s="30" t="inlineStr">
        <is>
          <t>Close Quarter (Y1 start)</t>
        </is>
      </c>
      <c r="C5" s="34" t="inlineStr">
        <is>
          <t>Q4 2026</t>
        </is>
      </c>
      <c r="D5" s="32" t="inlineStr">
        <is>
          <t>◂ Expected deal close. Y1 = the 12 months starting here; pipeline deliveries bucket into hold years off this anchor — edit it and the Y1–Y6 windows &amp; supply shift.</t>
        </is>
      </c>
      <c r="R5" s="35">
        <f>'Competitive Analysis'!C13</f>
        <v/>
      </c>
      <c r="S5" s="36">
        <f>'Competitive Analysis'!D13</f>
        <v/>
      </c>
      <c r="T5" s="37">
        <f>'Competitive Analysis'!E13</f>
        <v/>
      </c>
      <c r="V5">
        <f>IFERROR(VALUE(RIGHT(T5,4))*4+MATCH(LEFT(T5,2),{"Q1","Q2","Q3","Q4"},0)-1,"")</f>
        <v/>
      </c>
      <c r="W5">
        <f>IF(V5="","",IF(V5&lt;=$Z$1,0,MAX(1,INT((V5-$Z$2)/4)+1)))</f>
        <v/>
      </c>
    </row>
    <row r="6" ht="14.4" customHeight="1">
      <c r="B6" s="30" t="inlineStr">
        <is>
          <t>Stabilization Target</t>
        </is>
      </c>
      <c r="C6" s="38" t="n">
        <v>0.95</v>
      </c>
      <c r="R6" s="35">
        <f>'Competitive Analysis'!C14</f>
        <v/>
      </c>
      <c r="S6" s="36">
        <f>'Competitive Analysis'!D14</f>
        <v/>
      </c>
      <c r="T6" s="37">
        <f>'Competitive Analysis'!E14</f>
        <v/>
      </c>
      <c r="V6">
        <f>IFERROR(VALUE(RIGHT(T6,4))*4+MATCH(LEFT(T6,2),{"Q1","Q2","Q3","Q4"},0)-1,"")</f>
        <v/>
      </c>
      <c r="W6">
        <f>IF(V6="","",IF(V6&lt;=$Z$1,0,MAX(1,INT((V6-$Z$2)/4)+1)))</f>
        <v/>
      </c>
    </row>
    <row r="7" ht="14.4" customHeight="1">
      <c r="B7" s="30" t="inlineStr">
        <is>
          <t>Demand Scenario</t>
        </is>
      </c>
      <c r="C7" s="34" t="inlineStr">
        <is>
          <t>Base</t>
        </is>
      </c>
    </row>
    <row r="8" ht="14.4" customHeight="1">
      <c r="B8" s="30" t="inlineStr">
        <is>
          <t>Bear Annual Absorption</t>
        </is>
      </c>
      <c r="C8" s="39" t="n">
        <v>150</v>
      </c>
      <c r="R8" s="29" t="inlineStr">
        <is>
          <t>PROPOSED PIPELINE (scenario toggle)</t>
        </is>
      </c>
    </row>
    <row r="9" ht="14.4" customHeight="1">
      <c r="B9" s="30" t="inlineStr">
        <is>
          <t>Base Annual Absorption</t>
        </is>
      </c>
      <c r="C9" s="39" t="n">
        <v>300</v>
      </c>
      <c r="R9" s="33" t="inlineStr">
        <is>
          <t>Property</t>
        </is>
      </c>
      <c r="S9" s="33" t="inlineStr">
        <is>
          <t>Units</t>
        </is>
      </c>
      <c r="T9" s="33" t="inlineStr">
        <is>
          <t>Est. Delivery</t>
        </is>
      </c>
      <c r="U9" s="33" t="inlineStr">
        <is>
          <t>Built In</t>
        </is>
      </c>
    </row>
    <row r="10" ht="14.4" customHeight="1">
      <c r="B10" s="30" t="inlineStr">
        <is>
          <t>Bull Annual Absorption</t>
        </is>
      </c>
      <c r="C10" s="39" t="n">
        <v>450</v>
      </c>
      <c r="D10" s="32" t="inlineStr">
        <is>
          <t>◂ Base = trailing-3-yr CoStar average (annualized, complete quarters).</t>
        </is>
      </c>
      <c r="R10" s="35" t="inlineStr">
        <is>
          <t>Vista Point</t>
        </is>
      </c>
      <c r="S10" s="36" t="n">
        <v>892</v>
      </c>
      <c r="T10" s="40" t="inlineStr"/>
      <c r="U10" s="40" t="inlineStr">
        <is>
          <t>Bear only</t>
        </is>
      </c>
      <c r="V10">
        <f>IFERROR(VALUE(RIGHT(T10,4))*4+MATCH(LEFT(T10,2),{"Q1","Q2","Q3","Q4"},0)-1,"")</f>
        <v/>
      </c>
      <c r="W10">
        <f>IF(V10="","",IF(V10&lt;=$Z$1,0,MAX(1,INT((V10-$Z$2)/4)+1)))</f>
        <v/>
      </c>
      <c r="X10">
        <f>IF(U10="All",1,IF(U10="Bear+Base",IF($Z$3&gt;=2,1,0),IF(U10="Bear only",IF($Z$3&gt;=3,1,0),0)))</f>
        <v/>
      </c>
    </row>
    <row r="11" ht="14.4" customHeight="1">
      <c r="B11" s="30" t="inlineStr">
        <is>
          <t>Selected Annual Demand</t>
        </is>
      </c>
      <c r="C11" s="41">
        <f>IF($C$7="Bear",$C$8,IF($C$7="Bull",$C$10,$C$9))</f>
        <v/>
      </c>
      <c r="R11" s="35" t="inlineStr">
        <is>
          <t>Seasons on the Bench</t>
        </is>
      </c>
      <c r="S11" s="36" t="n">
        <v>300</v>
      </c>
      <c r="T11" s="40" t="inlineStr">
        <is>
          <t>Q3 2028</t>
        </is>
      </c>
      <c r="U11" s="40" t="inlineStr">
        <is>
          <t>Bear only</t>
        </is>
      </c>
      <c r="V11">
        <f>IFERROR(VALUE(RIGHT(T11,4))*4+MATCH(LEFT(T11,2),{"Q1","Q2","Q3","Q4"},0)-1,"")</f>
        <v/>
      </c>
      <c r="W11">
        <f>IF(V11="","",IF(V11&lt;=$Z$1,0,MAX(1,INT((V11-$Z$2)/4)+1)))</f>
        <v/>
      </c>
      <c r="X11">
        <f>IF(U11="All",1,IF(U11="Bear+Base",IF($Z$3&gt;=2,1,0),IF(U11="Bear only",IF($Z$3&gt;=3,1,0),0)))</f>
        <v/>
      </c>
    </row>
    <row r="12" ht="14.4" customHeight="1">
      <c r="R12" s="35" t="inlineStr">
        <is>
          <t>Kootenai &amp; Federal Way (Hawkins)</t>
        </is>
      </c>
      <c r="S12" s="36" t="n">
        <v>194</v>
      </c>
      <c r="T12" s="40" t="inlineStr"/>
      <c r="U12" s="40" t="inlineStr">
        <is>
          <t>Bear only</t>
        </is>
      </c>
      <c r="V12">
        <f>IFERROR(VALUE(RIGHT(T12,4))*4+MATCH(LEFT(T12,2),{"Q1","Q2","Q3","Q4"},0)-1,"")</f>
        <v/>
      </c>
      <c r="W12">
        <f>IF(V12="","",IF(V12&lt;=$Z$1,0,MAX(1,INT((V12-$Z$2)/4)+1)))</f>
        <v/>
      </c>
      <c r="X12">
        <f>IF(U12="All",1,IF(U12="Bear+Base",IF($Z$3&gt;=2,1,0),IF(U12="Bear only",IF($Z$3&gt;=3,1,0),0)))</f>
        <v/>
      </c>
    </row>
    <row r="13" ht="14.4" customHeight="1">
      <c r="R13" s="35" t="inlineStr">
        <is>
          <t>1519 South Londoner Avenue</t>
        </is>
      </c>
      <c r="S13" s="36" t="n">
        <v>189</v>
      </c>
      <c r="T13" s="40" t="inlineStr"/>
      <c r="U13" s="40" t="inlineStr">
        <is>
          <t>Bear only</t>
        </is>
      </c>
      <c r="V13">
        <f>IFERROR(VALUE(RIGHT(T13,4))*4+MATCH(LEFT(T13,2),{"Q1","Q2","Q3","Q4"},0)-1,"")</f>
        <v/>
      </c>
      <c r="W13">
        <f>IF(V13="","",IF(V13&lt;=$Z$1,0,MAX(1,INT((V13-$Z$2)/4)+1)))</f>
        <v/>
      </c>
      <c r="X13">
        <f>IF(U13="All",1,IF(U13="Bear+Base",IF($Z$3&gt;=2,1,0),IF(U13="Bear only",IF($Z$3&gt;=3,1,0),0)))</f>
        <v/>
      </c>
    </row>
    <row r="14" ht="14.4" customHeight="1">
      <c r="R14" s="35" t="inlineStr">
        <is>
          <t>3300 South Vista Avenue</t>
        </is>
      </c>
      <c r="S14" s="36" t="n">
        <v>183</v>
      </c>
      <c r="T14" s="40" t="inlineStr"/>
      <c r="U14" s="40" t="inlineStr">
        <is>
          <t>Bear only</t>
        </is>
      </c>
      <c r="V14">
        <f>IFERROR(VALUE(RIGHT(T14,4))*4+MATCH(LEFT(T14,2),{"Q1","Q2","Q3","Q4"},0)-1,"")</f>
        <v/>
      </c>
      <c r="W14">
        <f>IF(V14="","",IF(V14&lt;=$Z$1,0,MAX(1,INT((V14-$Z$2)/4)+1)))</f>
        <v/>
      </c>
      <c r="X14">
        <f>IF(U14="All",1,IF(U14="Bear+Base",IF($Z$3&gt;=2,1,0),IF(U14="Bear only",IF($Z$3&gt;=3,1,0),0)))</f>
        <v/>
      </c>
    </row>
    <row r="15" ht="14.4" customHeight="1">
      <c r="R15" s="35" t="inlineStr">
        <is>
          <t>The Ranahan</t>
        </is>
      </c>
      <c r="S15" s="36" t="n">
        <v>138</v>
      </c>
      <c r="T15" s="40" t="inlineStr">
        <is>
          <t>Q4 2028</t>
        </is>
      </c>
      <c r="U15" s="40" t="inlineStr">
        <is>
          <t>Bear only</t>
        </is>
      </c>
      <c r="V15">
        <f>IFERROR(VALUE(RIGHT(T15,4))*4+MATCH(LEFT(T15,2),{"Q1","Q2","Q3","Q4"},0)-1,"")</f>
        <v/>
      </c>
      <c r="W15">
        <f>IF(V15="","",IF(V15&lt;=$Z$1,0,MAX(1,INT((V15-$Z$2)/4)+1)))</f>
        <v/>
      </c>
      <c r="X15">
        <f>IF(U15="All",1,IF(U15="Bear+Base",IF($Z$3&gt;=2,1,0),IF(U15="Bear only",IF($Z$3&gt;=3,1,0),0)))</f>
        <v/>
      </c>
    </row>
    <row r="16" ht="14.4" customHeight="1">
      <c r="R16" s="35" t="inlineStr">
        <is>
          <t>Station Village</t>
        </is>
      </c>
      <c r="S16" s="36" t="n">
        <v>86</v>
      </c>
      <c r="T16" s="40" t="inlineStr"/>
      <c r="U16" s="40" t="inlineStr">
        <is>
          <t>Bear only</t>
        </is>
      </c>
      <c r="V16">
        <f>IFERROR(VALUE(RIGHT(T16,4))*4+MATCH(LEFT(T16,2),{"Q1","Q2","Q3","Q4"},0)-1,"")</f>
        <v/>
      </c>
      <c r="W16">
        <f>IF(V16="","",IF(V16&lt;=$Z$1,0,MAX(1,INT((V16-$Z$2)/4)+1)))</f>
        <v/>
      </c>
      <c r="X16">
        <f>IF(U16="All",1,IF(U16="Bear+Base",IF($Z$3&gt;=2,1,0),IF(U16="Bear only",IF($Z$3&gt;=3,1,0),0)))</f>
        <v/>
      </c>
    </row>
    <row r="17" ht="14.4" customHeight="1">
      <c r="B17" s="30" t="inlineStr">
        <is>
          <t>5-MILE MARKET</t>
        </is>
      </c>
      <c r="C17" s="3" t="inlineStr">
        <is>
          <t>-Y6</t>
        </is>
      </c>
      <c r="D17" s="3" t="inlineStr">
        <is>
          <t>-Y5</t>
        </is>
      </c>
      <c r="E17" s="3" t="inlineStr">
        <is>
          <t>-Y4</t>
        </is>
      </c>
      <c r="F17" s="3" t="inlineStr">
        <is>
          <t>-Y3</t>
        </is>
      </c>
      <c r="G17" s="3" t="inlineStr">
        <is>
          <t>-Y2</t>
        </is>
      </c>
      <c r="H17" s="3" t="inlineStr">
        <is>
          <t>-Y1</t>
        </is>
      </c>
      <c r="I17" s="3" t="inlineStr">
        <is>
          <t>Y0</t>
        </is>
      </c>
      <c r="J17" s="42" t="inlineStr">
        <is>
          <t>Y1</t>
        </is>
      </c>
      <c r="K17" s="42" t="inlineStr">
        <is>
          <t>Y2</t>
        </is>
      </c>
      <c r="L17" s="42" t="inlineStr">
        <is>
          <t>Y3</t>
        </is>
      </c>
      <c r="M17" s="42" t="inlineStr">
        <is>
          <t>Y4</t>
        </is>
      </c>
      <c r="N17" s="42" t="inlineStr">
        <is>
          <t>Y5</t>
        </is>
      </c>
      <c r="O17" s="42" t="inlineStr">
        <is>
          <t>Y6</t>
        </is>
      </c>
    </row>
    <row r="18" ht="14.4" customHeight="1">
      <c r="C18" s="43" t="inlineStr">
        <is>
          <t>Q3'19-Q2'20</t>
        </is>
      </c>
      <c r="D18" s="43" t="inlineStr">
        <is>
          <t>Q3'20-Q2'21</t>
        </is>
      </c>
      <c r="E18" s="43" t="inlineStr">
        <is>
          <t>Q3'21-Q2'22</t>
        </is>
      </c>
      <c r="F18" s="43" t="inlineStr">
        <is>
          <t>Q3'22-Q2'23</t>
        </is>
      </c>
      <c r="G18" s="43" t="inlineStr">
        <is>
          <t>Q3'23-Q2'24</t>
        </is>
      </c>
      <c r="H18" s="43" t="inlineStr">
        <is>
          <t>Q3'24-Q2'25</t>
        </is>
      </c>
      <c r="I18" s="43" t="inlineStr">
        <is>
          <t>Q3'25-Q2'26</t>
        </is>
      </c>
      <c r="J18" s="43">
        <f>"Q"&amp;(MOD(($Z$2+0),4)+1)&amp;"'"&amp;RIGHT(INT(($Z$2+0)/4),2)&amp;"-Q"&amp;(MOD(($Z$2+3),4)+1)&amp;"'"&amp;RIGHT(INT(($Z$2+3)/4),2)</f>
        <v/>
      </c>
      <c r="K18" s="43">
        <f>"Q"&amp;(MOD(($Z$2+4),4)+1)&amp;"'"&amp;RIGHT(INT(($Z$2+4)/4),2)&amp;"-Q"&amp;(MOD(($Z$2+7),4)+1)&amp;"'"&amp;RIGHT(INT(($Z$2+7)/4),2)</f>
        <v/>
      </c>
      <c r="L18" s="43">
        <f>"Q"&amp;(MOD(($Z$2+8),4)+1)&amp;"'"&amp;RIGHT(INT(($Z$2+8)/4),2)&amp;"-Q"&amp;(MOD(($Z$2+11),4)+1)&amp;"'"&amp;RIGHT(INT(($Z$2+11)/4),2)</f>
        <v/>
      </c>
      <c r="M18" s="43">
        <f>"Q"&amp;(MOD(($Z$2+12),4)+1)&amp;"'"&amp;RIGHT(INT(($Z$2+12)/4),2)&amp;"-Q"&amp;(MOD(($Z$2+15),4)+1)&amp;"'"&amp;RIGHT(INT(($Z$2+15)/4),2)</f>
        <v/>
      </c>
      <c r="N18" s="43">
        <f>"Q"&amp;(MOD(($Z$2+16),4)+1)&amp;"'"&amp;RIGHT(INT(($Z$2+16)/4),2)&amp;"-Q"&amp;(MOD(($Z$2+19),4)+1)&amp;"'"&amp;RIGHT(INT(($Z$2+19)/4),2)</f>
        <v/>
      </c>
      <c r="O18" s="43">
        <f>"Q"&amp;(MOD(($Z$2+20),4)+1)&amp;"'"&amp;RIGHT(INT(($Z$2+20)/4),2)&amp;"-Q"&amp;(MOD(($Z$2+23),4)+1)&amp;"'"&amp;RIGHT(INT(($Z$2+23)/4),2)</f>
        <v/>
      </c>
    </row>
    <row r="19" ht="14.4" customHeight="1">
      <c r="B19" s="30" t="inlineStr">
        <is>
          <t>NEW SUPPLY (5-mi)</t>
        </is>
      </c>
      <c r="C19" s="44" t="n">
        <v>213</v>
      </c>
      <c r="D19" s="44" t="n">
        <v>237</v>
      </c>
      <c r="E19" s="44" t="n">
        <v>33</v>
      </c>
      <c r="F19" s="44" t="n">
        <v>289</v>
      </c>
      <c r="G19" s="44" t="n">
        <v>178</v>
      </c>
      <c r="H19" s="44" t="n">
        <v>334</v>
      </c>
      <c r="I19" s="44">
        <f>SUMIFS('Competitive Analysis'!$D$5:$D$23,'Competitive Analysis'!$M$5:$M$23,"&gt;="&amp;8102,'Competitive Analysis'!$M$5:$M$23,"&lt;="&amp;8105)</f>
        <v/>
      </c>
      <c r="J19" s="45">
        <f>SUMIFS($S$5:$S$6,$W$5:$W$6,1)+SUMIFS($S$10:$S$16,$W$10:$W$16,1,$X$10:$X$16,1)</f>
        <v/>
      </c>
      <c r="K19" s="45">
        <f>SUMIFS($S$5:$S$6,$W$5:$W$6,2)+SUMIFS($S$10:$S$16,$W$10:$W$16,2,$X$10:$X$16,1)</f>
        <v/>
      </c>
      <c r="L19" s="45">
        <f>SUMIFS($S$5:$S$6,$W$5:$W$6,3)+SUMIFS($S$10:$S$16,$W$10:$W$16,3,$X$10:$X$16,1)</f>
        <v/>
      </c>
      <c r="M19" s="45">
        <f>SUMIFS($S$5:$S$6,$W$5:$W$6,4)+SUMIFS($S$10:$S$16,$W$10:$W$16,4,$X$10:$X$16,1)</f>
        <v/>
      </c>
      <c r="N19" s="45">
        <f>SUMIFS($S$5:$S$6,$W$5:$W$6,5)+SUMIFS($S$10:$S$16,$W$10:$W$16,5,$X$10:$X$16,1)</f>
        <v/>
      </c>
      <c r="O19" s="45">
        <f>SUMIFS($S$5:$S$6,$W$5:$W$6,6)+SUMIFS($S$10:$S$16,$W$10:$W$16,6,$X$10:$X$16,1)</f>
        <v/>
      </c>
    </row>
    <row r="20" ht="14.4" customHeight="1">
      <c r="B20" s="30" t="inlineStr">
        <is>
          <t>ABSORPTION (5-mi)</t>
        </is>
      </c>
      <c r="C20" s="44" t="n">
        <v>213</v>
      </c>
      <c r="D20" s="44" t="n">
        <v>150</v>
      </c>
      <c r="E20" s="44" t="n">
        <v>86</v>
      </c>
      <c r="F20" s="44" t="n">
        <v>-91</v>
      </c>
      <c r="G20" s="44" t="n">
        <v>277</v>
      </c>
      <c r="H20" s="44" t="n">
        <v>400</v>
      </c>
      <c r="I20" s="44" t="n">
        <v>209</v>
      </c>
      <c r="J20" s="45">
        <f>J31-I31</f>
        <v/>
      </c>
      <c r="K20" s="45">
        <f>K31-J31</f>
        <v/>
      </c>
      <c r="L20" s="45">
        <f>L31-K31</f>
        <v/>
      </c>
      <c r="M20" s="45">
        <f>M31-L31</f>
        <v/>
      </c>
      <c r="N20" s="45">
        <f>N31-M31</f>
        <v/>
      </c>
      <c r="O20" s="45">
        <f>O31-N31</f>
        <v/>
      </c>
    </row>
    <row r="21" ht="14.4" customHeight="1">
      <c r="B21" s="30" t="inlineStr">
        <is>
          <t>OCCUPANCY (5-mi)</t>
        </is>
      </c>
      <c r="C21" s="46" t="n">
        <v>0.968</v>
      </c>
      <c r="D21" s="46" t="n">
        <v>0.952</v>
      </c>
      <c r="E21" s="46" t="n">
        <v>0.963</v>
      </c>
      <c r="F21" s="46" t="n">
        <v>0.895</v>
      </c>
      <c r="G21" s="46" t="n">
        <v>0.916</v>
      </c>
      <c r="H21" s="46" t="n">
        <v>0.9320000000000001</v>
      </c>
      <c r="I21" s="46">
        <f>IFERROR(I31/I30,"")</f>
        <v/>
      </c>
      <c r="J21" s="47">
        <f>IFERROR(J31/J30,0)</f>
        <v/>
      </c>
      <c r="K21" s="47">
        <f>IFERROR(K31/K30,0)</f>
        <v/>
      </c>
      <c r="L21" s="47">
        <f>IFERROR(L31/L30,0)</f>
        <v/>
      </c>
      <c r="M21" s="47">
        <f>IFERROR(M31/M30,0)</f>
        <v/>
      </c>
      <c r="N21" s="47">
        <f>IFERROR(N31/N30,0)</f>
        <v/>
      </c>
      <c r="O21" s="47">
        <f>IFERROR(O31/O30,0)</f>
        <v/>
      </c>
    </row>
    <row r="22" ht="14.4" customHeight="1">
      <c r="B22" s="30" t="inlineStr">
        <is>
          <t>SUBJECT (Canyon Ridge)</t>
        </is>
      </c>
    </row>
    <row r="23" ht="14.4" customHeight="1">
      <c r="B23" s="30" t="inlineStr">
        <is>
          <t xml:space="preserve">  Market Rent  (CoStar→HD)</t>
        </is>
      </c>
      <c r="C23" s="48" t="n">
        <v>1811</v>
      </c>
      <c r="D23" s="48" t="n">
        <v>1845</v>
      </c>
      <c r="E23" s="48" t="n">
        <v>1885</v>
      </c>
      <c r="F23" s="48" t="n">
        <v>1925</v>
      </c>
      <c r="G23" s="48" t="n">
        <v>1953</v>
      </c>
      <c r="H23" s="48" t="n">
        <v>1944</v>
      </c>
      <c r="I23" s="48">
        <f>IFERROR('Cash Flow (Annual)'!$F$4,2029)</f>
        <v/>
      </c>
      <c r="J23" s="49">
        <f>IFERROR('Cash Flow (Annual)'!$K$4,"")</f>
        <v/>
      </c>
      <c r="K23" s="49">
        <f>IFERROR('Cash Flow (Annual)'!$L$4,"")</f>
        <v/>
      </c>
      <c r="L23" s="49">
        <f>IFERROR('Cash Flow (Annual)'!$M$4,"")</f>
        <v/>
      </c>
      <c r="M23" s="49">
        <f>IFERROR('Cash Flow (Annual)'!$N$4,"")</f>
        <v/>
      </c>
      <c r="N23" s="49">
        <f>IFERROR('Cash Flow (Annual)'!$O$4,"")</f>
        <v/>
      </c>
      <c r="O23" s="49">
        <f>IFERROR('Cash Flow (Annual)'!$P$4,"")</f>
        <v/>
      </c>
    </row>
    <row r="24" ht="14.4" customHeight="1">
      <c r="B24" s="50" t="inlineStr">
        <is>
          <t xml:space="preserve">    Market Rent YoY %</t>
        </is>
      </c>
      <c r="C24" s="51" t="n"/>
      <c r="D24" s="51">
        <f>IFERROR(D23/C23-1,"")</f>
        <v/>
      </c>
      <c r="E24" s="51">
        <f>IFERROR(E23/D23-1,"")</f>
        <v/>
      </c>
      <c r="F24" s="51">
        <f>IFERROR(F23/E23-1,"")</f>
        <v/>
      </c>
      <c r="G24" s="51">
        <f>IFERROR(G23/F23-1,"")</f>
        <v/>
      </c>
      <c r="H24" s="51">
        <f>IFERROR(H23/G23-1,"")</f>
        <v/>
      </c>
      <c r="I24" s="51">
        <f>IFERROR(I23/H23-1,"")</f>
        <v/>
      </c>
      <c r="J24" s="52">
        <f>IFERROR(J23/I23-1,"")</f>
        <v/>
      </c>
      <c r="K24" s="52">
        <f>IFERROR(K23/J23-1,"")</f>
        <v/>
      </c>
      <c r="L24" s="52">
        <f>IFERROR(L23/K23-1,"")</f>
        <v/>
      </c>
      <c r="M24" s="52">
        <f>IFERROR(M23/L23-1,"")</f>
        <v/>
      </c>
      <c r="N24" s="52">
        <f>IFERROR(N23/M23-1,"")</f>
        <v/>
      </c>
      <c r="O24" s="52">
        <f>IFERROR(O23/N23-1,"")</f>
        <v/>
      </c>
    </row>
    <row r="25" ht="14.4" customHeight="1">
      <c r="B25" s="30" t="inlineStr">
        <is>
          <t xml:space="preserve">  Effective Rent</t>
        </is>
      </c>
      <c r="C25" s="48" t="n">
        <v>1793</v>
      </c>
      <c r="D25" s="48" t="n">
        <v>1832</v>
      </c>
      <c r="E25" s="48" t="n">
        <v>1867</v>
      </c>
      <c r="F25" s="48" t="n">
        <v>1897</v>
      </c>
      <c r="G25" s="48" t="n">
        <v>1953</v>
      </c>
      <c r="H25" s="48" t="n">
        <v>1795</v>
      </c>
      <c r="I25" s="48">
        <f>IFERROR('Cash Flow (Annual)'!$F$5,1924)</f>
        <v/>
      </c>
      <c r="J25" s="49">
        <f>IFERROR('Cash Flow (Annual)'!$K$5,"")</f>
        <v/>
      </c>
      <c r="K25" s="49">
        <f>IFERROR('Cash Flow (Annual)'!$L$5,"")</f>
        <v/>
      </c>
      <c r="L25" s="49">
        <f>IFERROR('Cash Flow (Annual)'!$M$5,"")</f>
        <v/>
      </c>
      <c r="M25" s="49">
        <f>IFERROR('Cash Flow (Annual)'!$N$5,"")</f>
        <v/>
      </c>
      <c r="N25" s="49">
        <f>IFERROR('Cash Flow (Annual)'!$O$5,"")</f>
        <v/>
      </c>
      <c r="O25" s="49">
        <f>IFERROR('Cash Flow (Annual)'!$P$5,"")</f>
        <v/>
      </c>
    </row>
    <row r="26" ht="14.4" customHeight="1">
      <c r="B26" s="50" t="inlineStr">
        <is>
          <t xml:space="preserve">    Effective Rent YoY %</t>
        </is>
      </c>
      <c r="C26" s="51" t="n"/>
      <c r="D26" s="51">
        <f>IFERROR(D25/C25-1,"")</f>
        <v/>
      </c>
      <c r="E26" s="51">
        <f>IFERROR(E25/D25-1,"")</f>
        <v/>
      </c>
      <c r="F26" s="51">
        <f>IFERROR(F25/E25-1,"")</f>
        <v/>
      </c>
      <c r="G26" s="51">
        <f>IFERROR(G25/F25-1,"")</f>
        <v/>
      </c>
      <c r="H26" s="51">
        <f>IFERROR(H25/G25-1,"")</f>
        <v/>
      </c>
      <c r="I26" s="51">
        <f>IFERROR(I25/H25-1,"")</f>
        <v/>
      </c>
      <c r="J26" s="52">
        <f>IFERROR(J25/I25-1,"")</f>
        <v/>
      </c>
      <c r="K26" s="52">
        <f>IFERROR(K25/J25-1,"")</f>
        <v/>
      </c>
      <c r="L26" s="52">
        <f>IFERROR(L25/K25-1,"")</f>
        <v/>
      </c>
      <c r="M26" s="52">
        <f>IFERROR(M25/L25-1,"")</f>
        <v/>
      </c>
      <c r="N26" s="52">
        <f>IFERROR(N25/M25-1,"")</f>
        <v/>
      </c>
      <c r="O26" s="52">
        <f>IFERROR(O25/N25-1,"")</f>
        <v/>
      </c>
    </row>
    <row r="27" ht="14.4" customHeight="1">
      <c r="B27" s="30" t="inlineStr">
        <is>
          <t xml:space="preserve">  Occupancy (financials / CoStar)</t>
        </is>
      </c>
      <c r="C27" s="53" t="n"/>
      <c r="D27" s="53" t="n"/>
      <c r="E27" s="53" t="n"/>
      <c r="F27" s="53" t="n"/>
      <c r="G27" s="53" t="n"/>
      <c r="H27" s="53" t="n">
        <v>0.4274784328181414</v>
      </c>
      <c r="I27" s="53">
        <f>IFERROR('Cash Flow (Annual)'!$F$14,0.8020596099111482)</f>
        <v/>
      </c>
      <c r="J27" s="54">
        <f>IFERROR('Cash Flow (Annual)'!$K$14,"")</f>
        <v/>
      </c>
      <c r="K27" s="54">
        <f>IFERROR('Cash Flow (Annual)'!$L$14,"")</f>
        <v/>
      </c>
      <c r="L27" s="54">
        <f>IFERROR('Cash Flow (Annual)'!$M$14,"")</f>
        <v/>
      </c>
      <c r="M27" s="54">
        <f>IFERROR('Cash Flow (Annual)'!$N$14,"")</f>
        <v/>
      </c>
      <c r="N27" s="54">
        <f>IFERROR('Cash Flow (Annual)'!$O$14,"")</f>
        <v/>
      </c>
      <c r="O27" s="54">
        <f>IFERROR('Cash Flow (Annual)'!$P$14,"")</f>
        <v/>
      </c>
    </row>
    <row r="28" ht="14.4" customHeight="1">
      <c r="B28" s="30" t="inlineStr">
        <is>
          <t xml:space="preserve">  Concession %</t>
        </is>
      </c>
      <c r="C28" s="53">
        <f>IFERROR((C23-C25)/C23,"")</f>
        <v/>
      </c>
      <c r="D28" s="53">
        <f>IFERROR((D23-D25)/D23,"")</f>
        <v/>
      </c>
      <c r="E28" s="53">
        <f>IFERROR((E23-E25)/E23,"")</f>
        <v/>
      </c>
      <c r="F28" s="53">
        <f>IFERROR((F23-F25)/F23,"")</f>
        <v/>
      </c>
      <c r="G28" s="53">
        <f>IFERROR((G23-G25)/G23,"")</f>
        <v/>
      </c>
      <c r="H28" s="53">
        <f>IFERROR((H23-H25)/H23,"")</f>
        <v/>
      </c>
      <c r="I28" s="53">
        <f>IFERROR((I23-I25)/I23,"")</f>
        <v/>
      </c>
      <c r="J28" s="54">
        <f>IFERROR((J23-J25)/J23,"")</f>
        <v/>
      </c>
      <c r="K28" s="54">
        <f>IFERROR((K23-K25)/K23,"")</f>
        <v/>
      </c>
      <c r="L28" s="54">
        <f>IFERROR((L23-L25)/L23,"")</f>
        <v/>
      </c>
      <c r="M28" s="54">
        <f>IFERROR((M23-M25)/M23,"")</f>
        <v/>
      </c>
      <c r="N28" s="54">
        <f>IFERROR((N23-N25)/N23,"")</f>
        <v/>
      </c>
      <c r="O28" s="54">
        <f>IFERROR((O23-O25)/O23,"")</f>
        <v/>
      </c>
    </row>
    <row r="29" ht="14.4" customHeight="1"/>
    <row r="30" hidden="1" ht="14.4" customHeight="1">
      <c r="B30" s="28" t="inlineStr">
        <is>
          <t xml:space="preserve">  inventory</t>
        </is>
      </c>
      <c r="C30" s="55" t="n">
        <v>4834</v>
      </c>
      <c r="D30" s="55" t="n">
        <v>5071</v>
      </c>
      <c r="E30" s="55" t="n">
        <v>5104</v>
      </c>
      <c r="F30" s="55" t="n">
        <v>5393</v>
      </c>
      <c r="G30" s="55" t="n">
        <v>5571</v>
      </c>
      <c r="H30" s="55" t="n">
        <v>5905</v>
      </c>
      <c r="I30" s="55">
        <f>H30+I19</f>
        <v/>
      </c>
      <c r="J30" s="55">
        <f>I30+J19</f>
        <v/>
      </c>
      <c r="K30" s="55">
        <f>J30+K19</f>
        <v/>
      </c>
      <c r="L30" s="55">
        <f>K30+L19</f>
        <v/>
      </c>
      <c r="M30" s="55">
        <f>L30+M19</f>
        <v/>
      </c>
      <c r="N30" s="55">
        <f>M30+N19</f>
        <v/>
      </c>
      <c r="O30" s="55">
        <f>N30+O19</f>
        <v/>
      </c>
    </row>
    <row r="31" hidden="1" ht="14.4" customHeight="1">
      <c r="B31" s="28" t="inlineStr">
        <is>
          <t xml:space="preserve">  occupied</t>
        </is>
      </c>
      <c r="C31" s="55" t="n">
        <v>4680</v>
      </c>
      <c r="D31" s="55" t="n">
        <v>4830</v>
      </c>
      <c r="E31" s="55" t="n">
        <v>4916</v>
      </c>
      <c r="F31" s="55" t="n">
        <v>4825</v>
      </c>
      <c r="G31" s="55" t="n">
        <v>5102</v>
      </c>
      <c r="H31" s="55" t="n">
        <v>5501</v>
      </c>
      <c r="I31" s="55">
        <f>H31+I20</f>
        <v/>
      </c>
      <c r="J31" s="55">
        <f>MIN($C$6*J30,I31+$C$11)</f>
        <v/>
      </c>
      <c r="K31" s="55">
        <f>MIN($C$6*K30,J31+$C$11)</f>
        <v/>
      </c>
      <c r="L31" s="55">
        <f>MIN($C$6*L30,K31+$C$11)</f>
        <v/>
      </c>
      <c r="M31" s="55">
        <f>MIN($C$6*M30,L31+$C$11)</f>
        <v/>
      </c>
      <c r="N31" s="55">
        <f>MIN($C$6*N30,M31+$C$11)</f>
        <v/>
      </c>
      <c r="O31" s="55">
        <f>MIN($C$6*O30,N31+$C$11)</f>
        <v/>
      </c>
    </row>
    <row r="32" ht="14.4" customHeight="1"/>
    <row r="33" ht="14.4" customHeight="1">
      <c r="B33" s="29" t="inlineStr">
        <is>
          <t>MARKET-RENT GROWTH — TMG vs 3RD-PARTY FORECAST</t>
        </is>
      </c>
      <c r="C33" s="56" t="n"/>
      <c r="D33" s="56" t="n"/>
      <c r="E33" s="56" t="n"/>
      <c r="F33" s="56" t="n"/>
      <c r="G33" s="56" t="n"/>
      <c r="H33" s="56" t="n"/>
      <c r="I33" s="56" t="n"/>
      <c r="J33" s="57" t="inlineStr">
        <is>
          <t>Y1</t>
        </is>
      </c>
      <c r="K33" s="57" t="inlineStr">
        <is>
          <t>Y2</t>
        </is>
      </c>
      <c r="L33" s="57" t="inlineStr">
        <is>
          <t>Y3</t>
        </is>
      </c>
      <c r="M33" s="57" t="inlineStr">
        <is>
          <t>Y4</t>
        </is>
      </c>
      <c r="N33" s="57" t="inlineStr">
        <is>
          <t>Y5</t>
        </is>
      </c>
      <c r="O33" s="57" t="inlineStr">
        <is>
          <t>Y6</t>
        </is>
      </c>
      <c r="P33" s="57" t="inlineStr">
        <is>
          <t>AVG</t>
        </is>
      </c>
    </row>
    <row r="34" ht="14.4" customHeight="1">
      <c r="B34" s="58" t="inlineStr">
        <is>
          <t xml:space="preserve">  CoStar</t>
        </is>
      </c>
      <c r="C34" s="59" t="n"/>
      <c r="D34" s="59" t="n"/>
      <c r="E34" s="59" t="n"/>
      <c r="F34" s="59" t="n"/>
      <c r="G34" s="59" t="n"/>
      <c r="H34" s="59" t="n"/>
      <c r="I34" s="59" t="n"/>
      <c r="J34" s="53">
        <f>IFERROR('Rent &amp; Occ Data'!$C$31,"")</f>
        <v/>
      </c>
      <c r="K34" s="53">
        <f>IFERROR('Rent &amp; Occ Data'!$D$31,"")</f>
        <v/>
      </c>
      <c r="L34" s="53">
        <f>IFERROR('Rent &amp; Occ Data'!$E$31,"")</f>
        <v/>
      </c>
      <c r="M34" s="53">
        <f>IFERROR('Rent &amp; Occ Data'!$F$31,"")</f>
        <v/>
      </c>
      <c r="N34" s="53">
        <f>IFERROR('Rent &amp; Occ Data'!$G$31,"")</f>
        <v/>
      </c>
      <c r="O34" s="53">
        <f>IFERROR('Rent &amp; Occ Data'!$H$31,"")</f>
        <v/>
      </c>
      <c r="P34" s="53">
        <f>IFERROR(AVERAGE(J34:O34),"")</f>
        <v/>
      </c>
    </row>
    <row r="35" ht="14.4" customHeight="1">
      <c r="B35" s="58" t="inlineStr">
        <is>
          <t xml:space="preserve">  RealPage</t>
        </is>
      </c>
      <c r="C35" s="59" t="n"/>
      <c r="D35" s="59" t="n"/>
      <c r="E35" s="59" t="n"/>
      <c r="F35" s="59" t="n"/>
      <c r="G35" s="59" t="n"/>
      <c r="H35" s="59" t="n"/>
      <c r="I35" s="59" t="n"/>
      <c r="J35" s="53">
        <f>IFERROR('Rent &amp; Occ Data'!$C$32,"")</f>
        <v/>
      </c>
      <c r="K35" s="53">
        <f>IFERROR('Rent &amp; Occ Data'!$D$32,"")</f>
        <v/>
      </c>
      <c r="L35" s="53">
        <f>IFERROR('Rent &amp; Occ Data'!$E$32,"")</f>
        <v/>
      </c>
      <c r="M35" s="53">
        <f>IFERROR('Rent &amp; Occ Data'!$F$32,"")</f>
        <v/>
      </c>
      <c r="N35" s="53">
        <f>IFERROR('Rent &amp; Occ Data'!$G$32,"")</f>
        <v/>
      </c>
      <c r="O35" s="53">
        <f>IFERROR('Rent &amp; Occ Data'!$H$32,"")</f>
        <v/>
      </c>
      <c r="P35" s="53">
        <f>IFERROR(AVERAGE(J35:O35),"")</f>
        <v/>
      </c>
    </row>
    <row r="36" ht="14.4" customHeight="1">
      <c r="B36" s="58" t="inlineStr">
        <is>
          <t xml:space="preserve">  Yardi</t>
        </is>
      </c>
      <c r="C36" s="59" t="n"/>
      <c r="D36" s="59" t="n"/>
      <c r="E36" s="59" t="n"/>
      <c r="F36" s="59" t="n"/>
      <c r="G36" s="59" t="n"/>
      <c r="H36" s="59" t="n"/>
      <c r="I36" s="59" t="n"/>
      <c r="J36" s="53">
        <f>IFERROR('Rent &amp; Occ Data'!$C$33,"")</f>
        <v/>
      </c>
      <c r="K36" s="53">
        <f>IFERROR('Rent &amp; Occ Data'!$D$33,"")</f>
        <v/>
      </c>
      <c r="L36" s="53">
        <f>IFERROR('Rent &amp; Occ Data'!$E$33,"")</f>
        <v/>
      </c>
      <c r="M36" s="53">
        <f>IFERROR('Rent &amp; Occ Data'!$F$33,"")</f>
        <v/>
      </c>
      <c r="N36" s="53">
        <f>IFERROR('Rent &amp; Occ Data'!$G$33,"")</f>
        <v/>
      </c>
      <c r="O36" s="53">
        <f>IFERROR('Rent &amp; Occ Data'!$H$33,"")</f>
        <v/>
      </c>
      <c r="P36" s="53">
        <f>IFERROR(AVERAGE(J36:O36),"")</f>
        <v/>
      </c>
    </row>
    <row r="37" ht="14.4" customHeight="1">
      <c r="B37" s="58" t="inlineStr">
        <is>
          <t xml:space="preserve">  GreenStreet</t>
        </is>
      </c>
      <c r="C37" s="59" t="n"/>
      <c r="D37" s="59" t="n"/>
      <c r="E37" s="59" t="n"/>
      <c r="F37" s="59" t="n"/>
      <c r="G37" s="59" t="n"/>
      <c r="H37" s="59" t="n"/>
      <c r="I37" s="59" t="n"/>
      <c r="J37" s="53">
        <f>IFERROR('Rent &amp; Occ Data'!$C$34,"")</f>
        <v/>
      </c>
      <c r="K37" s="53">
        <f>IFERROR('Rent &amp; Occ Data'!$D$34,"")</f>
        <v/>
      </c>
      <c r="L37" s="53">
        <f>IFERROR('Rent &amp; Occ Data'!$E$34,"")</f>
        <v/>
      </c>
      <c r="M37" s="53">
        <f>IFERROR('Rent &amp; Occ Data'!$F$34,"")</f>
        <v/>
      </c>
      <c r="N37" s="53">
        <f>IFERROR('Rent &amp; Occ Data'!$G$34,"")</f>
        <v/>
      </c>
      <c r="O37" s="53">
        <f>IFERROR('Rent &amp; Occ Data'!$H$34,"")</f>
        <v/>
      </c>
      <c r="P37" s="53">
        <f>IFERROR(AVERAGE(J37:O37),"")</f>
        <v/>
      </c>
    </row>
    <row r="38" ht="14.4" customHeight="1">
      <c r="B38" s="60" t="inlineStr">
        <is>
          <t xml:space="preserve">  Consensus (4-source avg)</t>
        </is>
      </c>
      <c r="C38" s="61" t="n"/>
      <c r="D38" s="61" t="n"/>
      <c r="E38" s="61" t="n"/>
      <c r="F38" s="61" t="n"/>
      <c r="G38" s="61" t="n"/>
      <c r="H38" s="61" t="n"/>
      <c r="I38" s="61" t="n"/>
      <c r="J38" s="62">
        <f>IFERROR(AVERAGE(J34:J37),"")</f>
        <v/>
      </c>
      <c r="K38" s="62">
        <f>IFERROR(AVERAGE(K34:K37),"")</f>
        <v/>
      </c>
      <c r="L38" s="62">
        <f>IFERROR(AVERAGE(L34:L37),"")</f>
        <v/>
      </c>
      <c r="M38" s="62">
        <f>IFERROR(AVERAGE(M34:M37),"")</f>
        <v/>
      </c>
      <c r="N38" s="62">
        <f>IFERROR(AVERAGE(N34:N37),"")</f>
        <v/>
      </c>
      <c r="O38" s="62">
        <f>IFERROR(AVERAGE(O34:O37),"")</f>
        <v/>
      </c>
      <c r="P38" s="62">
        <f>IFERROR(AVERAGE(P34:P37),"")</f>
        <v/>
      </c>
    </row>
    <row r="39" ht="14.4" customHeight="1">
      <c r="B39" s="63" t="inlineStr">
        <is>
          <t xml:space="preserve">  TMG — our market-rent growth  ◄</t>
        </is>
      </c>
      <c r="C39" s="64" t="n"/>
      <c r="D39" s="64" t="n"/>
      <c r="E39" s="64" t="n"/>
      <c r="F39" s="64" t="n"/>
      <c r="G39" s="64" t="n"/>
      <c r="H39" s="64" t="n"/>
      <c r="I39" s="64" t="n"/>
      <c r="J39" s="65">
        <f>IFERROR(J24,"")</f>
        <v/>
      </c>
      <c r="K39" s="65">
        <f>IFERROR(K24,"")</f>
        <v/>
      </c>
      <c r="L39" s="65">
        <f>IFERROR(L24,"")</f>
        <v/>
      </c>
      <c r="M39" s="65">
        <f>IFERROR(M24,"")</f>
        <v/>
      </c>
      <c r="N39" s="65">
        <f>IFERROR(N24,"")</f>
        <v/>
      </c>
      <c r="O39" s="65">
        <f>IFERROR(O24,"")</f>
        <v/>
      </c>
      <c r="P39" s="65">
        <f>IFERROR(AVERAGE(J39:O39),"")</f>
        <v/>
      </c>
    </row>
    <row r="40" ht="14.4" customHeight="1"/>
    <row r="41" ht="14.4" customHeight="1">
      <c r="B41" s="66" t="inlineStr">
        <is>
          <t>▸ SCENARIO INPUTS — Bear / Base / Bull  (implied occupancy, rent-growth &amp; concession assumptions — click + to expand)</t>
        </is>
      </c>
    </row>
    <row r="42" hidden="1" outlineLevel="1" ht="14.4" customHeight="1">
      <c r="B42" s="30" t="inlineStr">
        <is>
          <t>IMPLIED 5-MI OCCUPANCY BY DEMAND SCENARIO</t>
        </is>
      </c>
      <c r="J42" s="67" t="inlineStr">
        <is>
          <t>Y1</t>
        </is>
      </c>
      <c r="K42" s="67" t="inlineStr">
        <is>
          <t>Y2</t>
        </is>
      </c>
      <c r="L42" s="67" t="inlineStr">
        <is>
          <t>Y3</t>
        </is>
      </c>
      <c r="M42" s="67" t="inlineStr">
        <is>
          <t>Y4</t>
        </is>
      </c>
      <c r="N42" s="67" t="inlineStr">
        <is>
          <t>Y5</t>
        </is>
      </c>
      <c r="O42" s="67" t="inlineStr">
        <is>
          <t>Y6</t>
        </is>
      </c>
    </row>
    <row r="43" hidden="1" outlineLevel="1" ht="14.4" customHeight="1">
      <c r="B43" s="30" t="inlineStr">
        <is>
          <t>Bear</t>
        </is>
      </c>
      <c r="J43" s="68">
        <f>MIN($C$6,($I$31+$C$8*1)/J30)</f>
        <v/>
      </c>
      <c r="K43" s="68">
        <f>MIN($C$6,($I$31+$C$8*2)/K30)</f>
        <v/>
      </c>
      <c r="L43" s="68">
        <f>MIN($C$6,($I$31+$C$8*3)/L30)</f>
        <v/>
      </c>
      <c r="M43" s="68">
        <f>MIN($C$6,($I$31+$C$8*4)/M30)</f>
        <v/>
      </c>
      <c r="N43" s="68">
        <f>MIN($C$6,($I$31+$C$8*5)/N30)</f>
        <v/>
      </c>
      <c r="O43" s="68">
        <f>MIN($C$6,($I$31+$C$8*6)/O30)</f>
        <v/>
      </c>
    </row>
    <row r="44" hidden="1" outlineLevel="1" ht="14.4" customHeight="1">
      <c r="B44" s="30" t="inlineStr">
        <is>
          <t>Base</t>
        </is>
      </c>
      <c r="J44" s="68">
        <f>MIN($C$6,($I$31+$C$9*1)/J30)</f>
        <v/>
      </c>
      <c r="K44" s="68">
        <f>MIN($C$6,($I$31+$C$9*2)/K30)</f>
        <v/>
      </c>
      <c r="L44" s="68">
        <f>MIN($C$6,($I$31+$C$9*3)/L30)</f>
        <v/>
      </c>
      <c r="M44" s="68">
        <f>MIN($C$6,($I$31+$C$9*4)/M30)</f>
        <v/>
      </c>
      <c r="N44" s="68">
        <f>MIN($C$6,($I$31+$C$9*5)/N30)</f>
        <v/>
      </c>
      <c r="O44" s="68">
        <f>MIN($C$6,($I$31+$C$9*6)/O30)</f>
        <v/>
      </c>
    </row>
    <row r="45" hidden="1" outlineLevel="1" ht="14.4" customHeight="1">
      <c r="B45" s="30" t="inlineStr">
        <is>
          <t>Bull</t>
        </is>
      </c>
      <c r="J45" s="68">
        <f>MIN($C$6,($I$31+$C$10*1)/J30)</f>
        <v/>
      </c>
      <c r="K45" s="68">
        <f>MIN($C$6,($I$31+$C$10*2)/K30)</f>
        <v/>
      </c>
      <c r="L45" s="68">
        <f>MIN($C$6,($I$31+$C$10*3)/L30)</f>
        <v/>
      </c>
      <c r="M45" s="68">
        <f>MIN($C$6,($I$31+$C$10*4)/M30)</f>
        <v/>
      </c>
      <c r="N45" s="68">
        <f>MIN($C$6,($I$31+$C$10*5)/N30)</f>
        <v/>
      </c>
      <c r="O45" s="68">
        <f>MIN($C$6,($I$31+$C$10*6)/O30)</f>
        <v/>
      </c>
    </row>
    <row r="46" hidden="1" outlineLevel="1" ht="14.4" customHeight="1"/>
    <row r="47" hidden="1" outlineLevel="1" ht="14.4" customHeight="1">
      <c r="B47" s="30" t="inlineStr">
        <is>
          <t>MARKET RENT GROWTH (editable assumptions)</t>
        </is>
      </c>
      <c r="J47" s="69" t="inlineStr">
        <is>
          <t>Y1</t>
        </is>
      </c>
      <c r="K47" s="69" t="inlineStr">
        <is>
          <t>Y2</t>
        </is>
      </c>
      <c r="L47" s="69" t="inlineStr">
        <is>
          <t>Y3</t>
        </is>
      </c>
      <c r="M47" s="69" t="inlineStr">
        <is>
          <t>Y4</t>
        </is>
      </c>
      <c r="N47" s="69" t="inlineStr">
        <is>
          <t>Y5</t>
        </is>
      </c>
      <c r="O47" s="69" t="inlineStr">
        <is>
          <t>Y6</t>
        </is>
      </c>
    </row>
    <row r="48" hidden="1" outlineLevel="1" ht="14.4" customHeight="1">
      <c r="B48" s="30" t="inlineStr">
        <is>
          <t>Bear</t>
        </is>
      </c>
      <c r="J48" s="70" t="n">
        <v>-0.0025</v>
      </c>
      <c r="K48" s="70" t="n">
        <v>0.0175</v>
      </c>
      <c r="L48" s="70" t="n">
        <v>0.0275</v>
      </c>
      <c r="M48" s="70" t="n">
        <v>0.0375</v>
      </c>
      <c r="N48" s="70" t="n">
        <v>0.0275</v>
      </c>
      <c r="O48" s="70" t="n">
        <v>0.0175</v>
      </c>
    </row>
    <row r="49" hidden="1" outlineLevel="1" ht="14.4" customHeight="1">
      <c r="B49" s="30" t="inlineStr">
        <is>
          <t>Base</t>
        </is>
      </c>
      <c r="J49" s="70" t="n">
        <v>0.01</v>
      </c>
      <c r="K49" s="70" t="n">
        <v>0.03</v>
      </c>
      <c r="L49" s="70" t="n">
        <v>0.04</v>
      </c>
      <c r="M49" s="70" t="n">
        <v>0.05</v>
      </c>
      <c r="N49" s="70" t="n">
        <v>0.04</v>
      </c>
      <c r="O49" s="70" t="n">
        <v>0.03</v>
      </c>
    </row>
    <row r="50" hidden="1" outlineLevel="1" ht="14.4" customHeight="1">
      <c r="B50" s="30" t="inlineStr">
        <is>
          <t>Bull</t>
        </is>
      </c>
      <c r="J50" s="70" t="n">
        <v>0.02</v>
      </c>
      <c r="K50" s="70" t="n">
        <v>0.04</v>
      </c>
      <c r="L50" s="70" t="n">
        <v>0.05</v>
      </c>
      <c r="M50" s="70" t="n">
        <v>0.06</v>
      </c>
      <c r="N50" s="70" t="n">
        <v>0.05</v>
      </c>
      <c r="O50" s="70" t="n">
        <v>0.04</v>
      </c>
    </row>
    <row r="51" hidden="1" outlineLevel="1" ht="14.4" customHeight="1">
      <c r="B51" s="30" t="inlineStr">
        <is>
          <t>CONCESSIONS % — forward assumption (editable)</t>
        </is>
      </c>
    </row>
    <row r="52" hidden="1" outlineLevel="1" ht="14.4" customHeight="1">
      <c r="B52" s="30" t="inlineStr">
        <is>
          <t>Bear</t>
        </is>
      </c>
      <c r="J52" s="70" t="n">
        <v>0.06</v>
      </c>
      <c r="K52" s="70" t="n">
        <v>0.045</v>
      </c>
      <c r="L52" s="70" t="n">
        <v>0.035</v>
      </c>
      <c r="M52" s="70" t="n">
        <v>0.035</v>
      </c>
      <c r="N52" s="70" t="n">
        <v>0.035</v>
      </c>
      <c r="O52" s="70" t="n">
        <v>0.035</v>
      </c>
    </row>
    <row r="53" hidden="1" outlineLevel="1" ht="14.4" customHeight="1">
      <c r="B53" s="30" t="inlineStr">
        <is>
          <t>Base</t>
        </is>
      </c>
      <c r="J53" s="70" t="n">
        <v>0.03</v>
      </c>
      <c r="K53" s="70" t="n">
        <v>0.015</v>
      </c>
      <c r="L53" s="70" t="n">
        <v>0.005</v>
      </c>
      <c r="M53" s="70" t="n">
        <v>0.005</v>
      </c>
      <c r="N53" s="70" t="n">
        <v>0.005</v>
      </c>
      <c r="O53" s="70" t="n">
        <v>0.005</v>
      </c>
    </row>
    <row r="54" hidden="1" outlineLevel="1" ht="14.4" customHeight="1">
      <c r="B54" s="30" t="inlineStr">
        <is>
          <t>Bull</t>
        </is>
      </c>
      <c r="J54" s="70" t="n">
        <v>0.02</v>
      </c>
      <c r="K54" s="70" t="n">
        <v>0.005</v>
      </c>
      <c r="L54" s="70" t="n">
        <v>0</v>
      </c>
      <c r="M54" s="70" t="n">
        <v>0</v>
      </c>
      <c r="N54" s="70" t="n">
        <v>0</v>
      </c>
      <c r="O54" s="70" t="n">
        <v>0</v>
      </c>
    </row>
    <row r="55" hidden="1" outlineLevel="1" ht="14.4" customHeight="1">
      <c r="B55" s="30" t="inlineStr">
        <is>
          <t>EFFECTIVE RENT GROWTH (derived)</t>
        </is>
      </c>
    </row>
    <row r="56" hidden="1" outlineLevel="1" ht="14.4" customHeight="1">
      <c r="B56" s="30" t="inlineStr">
        <is>
          <t>Bear</t>
        </is>
      </c>
      <c r="J56" s="68">
        <f>(1+J48)*(1-J52)-1</f>
        <v/>
      </c>
      <c r="K56" s="68">
        <f>(1+K48)*(1-K52)/(1-J52)-1</f>
        <v/>
      </c>
      <c r="L56" s="68">
        <f>(1+L48)*(1-L52)/(1-K52)-1</f>
        <v/>
      </c>
      <c r="M56" s="68">
        <f>(1+M48)*(1-M52)/(1-L52)-1</f>
        <v/>
      </c>
      <c r="N56" s="68">
        <f>(1+N48)*(1-N52)/(1-M52)-1</f>
        <v/>
      </c>
      <c r="O56" s="68">
        <f>(1+O48)*(1-O52)/(1-N52)-1</f>
        <v/>
      </c>
    </row>
    <row r="57" hidden="1" outlineLevel="1" ht="14.4" customHeight="1">
      <c r="B57" s="30" t="inlineStr">
        <is>
          <t>Base</t>
        </is>
      </c>
      <c r="J57" s="68">
        <f>(1+J49)*(1-J53)-1</f>
        <v/>
      </c>
      <c r="K57" s="68">
        <f>(1+K49)*(1-K53)/(1-J53)-1</f>
        <v/>
      </c>
      <c r="L57" s="68">
        <f>(1+L49)*(1-L53)/(1-K53)-1</f>
        <v/>
      </c>
      <c r="M57" s="68">
        <f>(1+M49)*(1-M53)/(1-L53)-1</f>
        <v/>
      </c>
      <c r="N57" s="68">
        <f>(1+N49)*(1-N53)/(1-M53)-1</f>
        <v/>
      </c>
      <c r="O57" s="68">
        <f>(1+O49)*(1-O53)/(1-N53)-1</f>
        <v/>
      </c>
    </row>
    <row r="58" hidden="1" outlineLevel="1" ht="14.4" customHeight="1">
      <c r="B58" s="30" t="inlineStr">
        <is>
          <t>Bull</t>
        </is>
      </c>
      <c r="J58" s="68">
        <f>(1+J50)*(1-J54)-1</f>
        <v/>
      </c>
      <c r="K58" s="68">
        <f>(1+K50)*(1-K54)/(1-J54)-1</f>
        <v/>
      </c>
      <c r="L58" s="68">
        <f>(1+L50)*(1-L54)/(1-K54)-1</f>
        <v/>
      </c>
      <c r="M58" s="68">
        <f>(1+M50)*(1-M54)/(1-L54)-1</f>
        <v/>
      </c>
      <c r="N58" s="68">
        <f>(1+N50)*(1-N54)/(1-M54)-1</f>
        <v/>
      </c>
      <c r="O58" s="68">
        <f>(1+O50)*(1-O54)/(1-N54)-1</f>
        <v/>
      </c>
    </row>
    <row r="59" ht="14.4" customHeight="1"/>
    <row r="60" ht="14.4" customHeight="1">
      <c r="B60" s="69" t="inlineStr">
        <is>
          <t>▸ DETAIL: subject rent source by year, delivered-units tie-out &amp; reconciliation (grouped — click + to expand)</t>
        </is>
      </c>
    </row>
    <row r="61" hidden="1" outlineLevel="1" ht="14.4" customHeight="1">
      <c r="B61" s="71" t="inlineStr">
        <is>
          <t xml:space="preserve">  -Y6  Q3 2019–Q2 2020</t>
        </is>
      </c>
      <c r="E61" s="71" t="inlineStr">
        <is>
          <t>CoStar</t>
        </is>
      </c>
    </row>
    <row r="62" hidden="1" outlineLevel="1" ht="14.4" customHeight="1">
      <c r="B62" s="71" t="inlineStr">
        <is>
          <t xml:space="preserve">  -Y5  Q3 2020–Q2 2021</t>
        </is>
      </c>
      <c r="E62" s="71" t="inlineStr">
        <is>
          <t>CoStar</t>
        </is>
      </c>
    </row>
    <row r="63" hidden="1" outlineLevel="1" ht="14.4" customHeight="1">
      <c r="B63" s="71" t="inlineStr">
        <is>
          <t xml:space="preserve">  -Y4  Q3 2021–Q2 2022</t>
        </is>
      </c>
      <c r="E63" s="71" t="inlineStr">
        <is>
          <t>CoStar</t>
        </is>
      </c>
    </row>
    <row r="64" hidden="1" outlineLevel="1" ht="14.4" customHeight="1">
      <c r="B64" s="71" t="inlineStr">
        <is>
          <t xml:space="preserve">  -Y3  Q3 2022–Q2 2023</t>
        </is>
      </c>
      <c r="E64" s="71" t="inlineStr">
        <is>
          <t>CoStar</t>
        </is>
      </c>
    </row>
    <row r="65" hidden="1" outlineLevel="1" ht="14.4" customHeight="1">
      <c r="B65" s="71" t="inlineStr">
        <is>
          <t xml:space="preserve">  -Y2  Q3 2023–Q2 2024</t>
        </is>
      </c>
      <c r="E65" s="71" t="inlineStr">
        <is>
          <t>CoStar</t>
        </is>
      </c>
    </row>
    <row r="66" hidden="1" outlineLevel="1" ht="14.4" customHeight="1">
      <c r="B66" s="71" t="inlineStr">
        <is>
          <t xml:space="preserve">  -Y1  Q3 2024–Q2 2025</t>
        </is>
      </c>
      <c r="E66" s="71" t="inlineStr">
        <is>
          <t>HD</t>
        </is>
      </c>
    </row>
    <row r="67" hidden="1" outlineLevel="1" ht="14.4" customHeight="1">
      <c r="B67" s="71" t="inlineStr">
        <is>
          <t xml:space="preserve">  Y0  Q3 2025–Q2 2026</t>
        </is>
      </c>
      <c r="E67" s="71" t="inlineStr">
        <is>
          <t>HD</t>
        </is>
      </c>
    </row>
    <row r="68" hidden="1" outlineLevel="1" ht="14.4" customHeight="1">
      <c r="B68" s="71" t="inlineStr">
        <is>
          <t xml:space="preserve">  UC scheduled vs CoStar UC</t>
        </is>
      </c>
      <c r="E68" s="71" t="inlineStr">
        <is>
          <t>62 / 27</t>
        </is>
      </c>
    </row>
    <row r="69" hidden="1" outlineLevel="1" ht="14.4" customHeight="1">
      <c r="B69" s="69" t="inlineStr">
        <is>
          <t xml:space="preserve">  Delivered units — roster vs CoStar 5-mi series:</t>
        </is>
      </c>
    </row>
    <row r="70" hidden="1" outlineLevel="1" ht="14.4" customHeight="1">
      <c r="B70" s="28" t="inlineStr">
        <is>
          <t xml:space="preserve">    -Y4: roster (CoStar-tracked) 0 vs CoStar 33   (+33 sub-50/unnamed)</t>
        </is>
      </c>
    </row>
    <row r="71" hidden="1" outlineLevel="1" ht="14.4" customHeight="1">
      <c r="B71" s="28" t="inlineStr">
        <is>
          <t xml:space="preserve">    -Y3: roster (CoStar-tracked) 274 vs CoStar 289   (+15 sub-50/unnamed)</t>
        </is>
      </c>
    </row>
    <row r="72" hidden="1" outlineLevel="1" ht="14.4" customHeight="1">
      <c r="B72" s="28" t="inlineStr">
        <is>
          <t xml:space="preserve">    -Y2: roster (CoStar-tracked) 171 vs CoStar 178   (+7 sub-50/unnamed)</t>
        </is>
      </c>
    </row>
    <row r="73" hidden="1" outlineLevel="1" ht="14.4" customHeight="1">
      <c r="B73" s="28" t="inlineStr">
        <is>
          <t xml:space="preserve">    -Y1: roster (CoStar-tracked) 47 + subj 287 vs CoStar 334   (tie ✓)</t>
        </is>
      </c>
    </row>
    <row r="74" hidden="1" outlineLevel="1" ht="14.4" customHeight="1">
      <c r="B74" s="28" t="inlineStr">
        <is>
          <t xml:space="preserve">    Y0: roster (CoStar-tracked) 0 vs CoStar 9   (+9 sub-50/unnamed)</t>
        </is>
      </c>
    </row>
    <row r="75" hidden="1" outlineLevel="1" ht="14.4" customHeight="1">
      <c r="B75" s="28" t="inlineStr">
        <is>
          <t xml:space="preserve">  Newest CoStar row (2026 Q3 QTD) is partial (QTD) — excluded from TTM sums; Y0 anchors to the latest complete quarter.</t>
        </is>
      </c>
    </row>
    <row r="76" ht="14.4" customHeight="1"/>
    <row r="77" ht="14.4" customHeight="1"/>
  </sheetData>
  <mergeCells count="1">
    <mergeCell ref="B2:O2"/>
  </mergeCells>
  <dataValidations count="2">
    <dataValidation sqref="C7" showDropDown="0" showInputMessage="0" showErrorMessage="0" allowBlank="0" type="list">
      <formula1>"Bear,Base,Bull"</formula1>
    </dataValidation>
    <dataValidation sqref="U10 U11 U12 U13 U14 U15 U16"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44" customWidth="1" min="16" max="16"/>
  </cols>
  <sheetData>
    <row r="1">
      <c r="A1" s="57" t="inlineStr">
        <is>
          <t>Property</t>
        </is>
      </c>
      <c r="B1" s="57" t="inlineStr">
        <is>
          <t>Address</t>
        </is>
      </c>
      <c r="C1" s="57" t="inlineStr">
        <is>
          <t>Units</t>
        </is>
      </c>
      <c r="D1" s="57" t="inlineStr">
        <is>
          <t>Year Built</t>
        </is>
      </c>
      <c r="E1" s="57" t="inlineStr">
        <is>
          <t>Est. Delivery</t>
        </is>
      </c>
      <c r="F1" s="57" t="inlineStr">
        <is>
          <t>Deliv. Source</t>
        </is>
      </c>
      <c r="G1" s="57" t="inlineStr">
        <is>
          <t>Bucket</t>
        </is>
      </c>
      <c r="H1" s="57" t="inlineStr">
        <is>
          <t>CoStar Occ</t>
        </is>
      </c>
      <c r="I1" s="57" t="inlineStr">
        <is>
          <t>RealPage Occ</t>
        </is>
      </c>
      <c r="J1" s="57" t="inlineStr">
        <is>
          <t>HD Occ</t>
        </is>
      </c>
      <c r="K1" s="57" t="inlineStr">
        <is>
          <t>CoStar Ask Rent</t>
        </is>
      </c>
      <c r="L1" s="57" t="inlineStr">
        <is>
          <t>RealPage Eff Rent</t>
        </is>
      </c>
      <c r="M1" s="57" t="inlineStr">
        <is>
          <t>HD Ask (mix-wtd)</t>
        </is>
      </c>
      <c r="N1" s="57" t="inlineStr">
        <is>
          <t>HD Eff (mix-wtd)</t>
        </is>
      </c>
      <c r="O1" s="57" t="inlineStr">
        <is>
          <t>Sources</t>
        </is>
      </c>
      <c r="P1" s="57" t="inlineStr">
        <is>
          <t>Notes</t>
        </is>
      </c>
    </row>
    <row r="2">
      <c r="A2" t="inlineStr">
        <is>
          <t>Veazey Apartments</t>
        </is>
      </c>
      <c r="B2" t="inlineStr">
        <is>
          <t>2408 S Broadway Ave</t>
        </is>
      </c>
      <c r="C2" t="n">
        <v>35</v>
      </c>
      <c r="D2" t="n">
        <v>2024</v>
      </c>
      <c r="E2" t="inlineStr">
        <is>
          <t>Q4 2024</t>
        </is>
      </c>
      <c r="F2" t="inlineStr">
        <is>
          <t>CoStar property analytics</t>
        </is>
      </c>
      <c r="G2" t="inlineStr">
        <is>
          <t>STABILIZED / STABILIZING</t>
        </is>
      </c>
      <c r="H2" s="72" t="n">
        <v>0.971429</v>
      </c>
      <c r="I2" s="72" t="n"/>
      <c r="J2" s="72" t="n"/>
      <c r="K2" s="73" t="n">
        <v>1547</v>
      </c>
      <c r="L2" s="73" t="n"/>
      <c r="M2" s="73" t="n"/>
      <c r="N2" s="73" t="n"/>
      <c r="O2" t="inlineStr">
        <is>
          <t>CoStar</t>
        </is>
      </c>
      <c r="P2" t="inlineStr"/>
    </row>
    <row r="3">
      <c r="A3" t="inlineStr">
        <is>
          <t>Mesa Pointe Apartments</t>
        </is>
      </c>
      <c r="B3" t="inlineStr">
        <is>
          <t>1805 W Overland Rd</t>
        </is>
      </c>
      <c r="C3" t="n">
        <v>12</v>
      </c>
      <c r="D3" t="n">
        <v>2024</v>
      </c>
      <c r="E3" t="inlineStr">
        <is>
          <t>Q3 2024</t>
        </is>
      </c>
      <c r="F3" t="inlineStr">
        <is>
          <t>CoStar property analytics</t>
        </is>
      </c>
      <c r="G3" t="inlineStr">
        <is>
          <t>STABILIZED / STABILIZING</t>
        </is>
      </c>
      <c r="H3" s="72" t="n"/>
      <c r="I3" s="72" t="n"/>
      <c r="J3" s="72" t="n"/>
      <c r="K3" s="73" t="n">
        <v>1647</v>
      </c>
      <c r="L3" s="73" t="n"/>
      <c r="M3" s="73" t="n"/>
      <c r="N3" s="73" t="n"/>
      <c r="O3" t="inlineStr">
        <is>
          <t>CoStar</t>
        </is>
      </c>
      <c r="P3" t="inlineStr"/>
    </row>
    <row r="4">
      <c r="A4" t="inlineStr">
        <is>
          <t>The Mill at Loggers Creek</t>
        </is>
      </c>
      <c r="B4" t="inlineStr">
        <is>
          <t>1250 S Division Ave</t>
        </is>
      </c>
      <c r="C4" t="n">
        <v>125</v>
      </c>
      <c r="D4" t="n">
        <v>2024</v>
      </c>
      <c r="E4" t="inlineStr">
        <is>
          <t>Q2 2024</t>
        </is>
      </c>
      <c r="F4" t="inlineStr">
        <is>
          <t>CoStar property analytics</t>
        </is>
      </c>
      <c r="G4" t="inlineStr">
        <is>
          <t>STABILIZED / STABILIZING</t>
        </is>
      </c>
      <c r="H4" s="72" t="n">
        <v>0.912</v>
      </c>
      <c r="I4" s="72" t="n">
        <v>0.9360000000000001</v>
      </c>
      <c r="J4" s="72" t="n"/>
      <c r="K4" s="73" t="n">
        <v>2096</v>
      </c>
      <c r="L4" s="73" t="n">
        <v>2150</v>
      </c>
      <c r="M4" s="73" t="n">
        <v>2148.791666666667</v>
      </c>
      <c r="N4" s="73" t="n">
        <v>2129.791666666667</v>
      </c>
      <c r="O4" t="inlineStr">
        <is>
          <t>CoStar+RealPage</t>
        </is>
      </c>
      <c r="P4" t="inlineStr">
        <is>
          <t>Occ: CoStar 91% vs RealPage 94%</t>
        </is>
      </c>
    </row>
    <row r="5">
      <c r="A5" t="inlineStr">
        <is>
          <t>The Betty</t>
        </is>
      </c>
      <c r="B5" t="inlineStr">
        <is>
          <t>2550 W Targee St</t>
        </is>
      </c>
      <c r="C5" t="n">
        <v>46</v>
      </c>
      <c r="D5" t="n">
        <v>2023</v>
      </c>
      <c r="E5" t="inlineStr">
        <is>
          <t>Q4 2023</t>
        </is>
      </c>
      <c r="F5" t="inlineStr">
        <is>
          <t>CoStar property analytics</t>
        </is>
      </c>
      <c r="G5" t="inlineStr">
        <is>
          <t>STABILIZED / STABILIZING</t>
        </is>
      </c>
      <c r="H5" s="72" t="n">
        <v>0.934783</v>
      </c>
      <c r="I5" s="72" t="n">
        <v>0.961</v>
      </c>
      <c r="J5" s="72" t="n"/>
      <c r="K5" s="73" t="n">
        <v>1577</v>
      </c>
      <c r="L5" s="73" t="n">
        <v>1273</v>
      </c>
      <c r="M5" s="73" t="n"/>
      <c r="N5" s="73" t="n"/>
      <c r="O5" t="inlineStr">
        <is>
          <t>CoStar+RealPage</t>
        </is>
      </c>
      <c r="P5" t="inlineStr">
        <is>
          <t>Occ: CoStar 93% vs RealPage 96%; Rent: CoStar ask $1,577 vs RealPage eff $1,273</t>
        </is>
      </c>
    </row>
    <row r="6">
      <c r="A6" t="inlineStr">
        <is>
          <t>The Timbers at Harris Ranch</t>
        </is>
      </c>
      <c r="B6" t="inlineStr">
        <is>
          <t>3469 S Old Hickory Way</t>
        </is>
      </c>
      <c r="C6" t="n">
        <v>274</v>
      </c>
      <c r="D6" t="n">
        <v>2023</v>
      </c>
      <c r="E6" t="inlineStr">
        <is>
          <t>Q2 2023</t>
        </is>
      </c>
      <c r="F6" t="inlineStr">
        <is>
          <t>CoStar property analytics</t>
        </is>
      </c>
      <c r="G6" t="inlineStr">
        <is>
          <t>STABILIZED / STABILIZING</t>
        </is>
      </c>
      <c r="H6" s="72" t="n">
        <v>0.974453</v>
      </c>
      <c r="I6" s="72" t="n">
        <v>0.996</v>
      </c>
      <c r="J6" s="72" t="n"/>
      <c r="K6" s="73" t="n">
        <v>2213</v>
      </c>
      <c r="L6" s="73" t="n">
        <v>2303</v>
      </c>
      <c r="M6" s="73" t="n">
        <v>2147.615759341101</v>
      </c>
      <c r="N6" s="73" t="n">
        <v>2147.615759341101</v>
      </c>
      <c r="O6" t="inlineStr">
        <is>
          <t>CoStar+RealPage</t>
        </is>
      </c>
      <c r="P6" t="inlineStr">
        <is>
          <t>Year built: 2023/2024; Occ: CoStar 97% vs RealPage 100%</t>
        </is>
      </c>
    </row>
    <row r="7">
      <c r="A7" t="inlineStr">
        <is>
          <t>737 ParkCenter</t>
        </is>
      </c>
      <c r="B7" t="inlineStr">
        <is>
          <t>787 E Parkcenter Blvd</t>
        </is>
      </c>
      <c r="C7" t="n">
        <v>30</v>
      </c>
      <c r="D7" t="n">
        <v>2027</v>
      </c>
      <c r="E7" t="inlineStr">
        <is>
          <t>Q3 2027</t>
        </is>
      </c>
      <c r="G7" t="inlineStr">
        <is>
          <t>UNDER CONSTRUCTION</t>
        </is>
      </c>
      <c r="H7" s="72" t="n"/>
      <c r="I7" s="72" t="n"/>
      <c r="J7" s="72" t="n"/>
      <c r="K7" s="73" t="n"/>
      <c r="L7" s="73" t="n"/>
      <c r="M7" s="73" t="n"/>
      <c r="N7" s="73" t="n"/>
      <c r="O7" t="inlineStr">
        <is>
          <t>CoStar</t>
        </is>
      </c>
      <c r="P7" t="inlineStr">
        <is>
          <t>Diligence: under construction</t>
        </is>
      </c>
    </row>
    <row r="8">
      <c r="A8" t="inlineStr">
        <is>
          <t>The Quarter at Harris Ranch</t>
        </is>
      </c>
      <c r="B8" t="inlineStr">
        <is>
          <t>3430-3450 S Hopes Well Way, Boise 83716</t>
        </is>
      </c>
      <c r="C8" t="n">
        <v>32</v>
      </c>
      <c r="E8" t="inlineStr">
        <is>
          <t>Q1 2027</t>
        </is>
      </c>
      <c r="G8" t="inlineStr">
        <is>
          <t>UNDER CONSTRUCTION</t>
        </is>
      </c>
      <c r="H8" s="72" t="n"/>
      <c r="I8" s="72" t="n"/>
      <c r="J8" s="72" t="n"/>
      <c r="K8" s="73" t="n"/>
      <c r="L8" s="73" t="n"/>
      <c r="M8" s="73" t="n"/>
      <c r="N8" s="73" t="n"/>
      <c r="O8" t="inlineStr">
        <is>
          <t>Diligence</t>
        </is>
      </c>
      <c r="P8" t="inlineStr">
        <is>
          <t>Analyst-sourced deal (not in CoStar/RealPage); Diligence: under construction</t>
        </is>
      </c>
    </row>
    <row r="9">
      <c r="A9" t="inlineStr">
        <is>
          <t>The Ranahan</t>
        </is>
      </c>
      <c r="B9" t="inlineStr">
        <is>
          <t>4227 E Brightside St</t>
        </is>
      </c>
      <c r="C9" t="n">
        <v>138</v>
      </c>
      <c r="D9" t="n">
        <v>2027</v>
      </c>
      <c r="E9" t="inlineStr">
        <is>
          <t>Q4 2028</t>
        </is>
      </c>
      <c r="G9" t="inlineStr">
        <is>
          <t>PROPOSED</t>
        </is>
      </c>
      <c r="H9" s="72" t="n"/>
      <c r="I9" s="72" t="n"/>
      <c r="J9" s="72" t="n"/>
      <c r="K9" s="73" t="n"/>
      <c r="L9" s="73" t="n"/>
      <c r="M9" s="73" t="n"/>
      <c r="N9" s="73" t="n"/>
      <c r="O9" t="inlineStr">
        <is>
          <t>CoStar</t>
        </is>
      </c>
      <c r="P9" t="inlineStr">
        <is>
          <t>Diligence: proposed</t>
        </is>
      </c>
    </row>
    <row r="10">
      <c r="A10" t="inlineStr">
        <is>
          <t>Seasons on the Bench</t>
        </is>
      </c>
      <c r="B10" t="inlineStr">
        <is>
          <t>2521 W Victory Rd</t>
        </is>
      </c>
      <c r="C10" t="n">
        <v>300</v>
      </c>
      <c r="E10" t="inlineStr">
        <is>
          <t>Q3 2028</t>
        </is>
      </c>
      <c r="G10" t="inlineStr">
        <is>
          <t>PROPOSED</t>
        </is>
      </c>
      <c r="H10" s="72" t="n"/>
      <c r="I10" s="72" t="n"/>
      <c r="J10" s="72" t="n"/>
      <c r="K10" s="73" t="n"/>
      <c r="L10" s="73" t="n"/>
      <c r="M10" s="73" t="n"/>
      <c r="N10" s="73" t="n"/>
      <c r="O10" t="inlineStr">
        <is>
          <t>RealPage</t>
        </is>
      </c>
      <c r="P10" t="inlineStr">
        <is>
          <t>RealPage pipeline (not yet in CoStar); Diligence: proposed</t>
        </is>
      </c>
    </row>
    <row r="11">
      <c r="A11" t="inlineStr">
        <is>
          <t>3300 South Vista Avenue</t>
        </is>
      </c>
      <c r="B11" t="inlineStr">
        <is>
          <t>3300 S Vista Ave</t>
        </is>
      </c>
      <c r="C11" t="n">
        <v>183</v>
      </c>
      <c r="G11" t="inlineStr">
        <is>
          <t>PROPOSED</t>
        </is>
      </c>
      <c r="H11" s="72" t="n"/>
      <c r="I11" s="72" t="n"/>
      <c r="J11" s="72" t="n"/>
      <c r="K11" s="73" t="n"/>
      <c r="L11" s="73" t="n"/>
      <c r="M11" s="73" t="n"/>
      <c r="N11" s="73" t="n"/>
      <c r="O11" t="inlineStr">
        <is>
          <t>RealPage</t>
        </is>
      </c>
      <c r="P11" t="inlineStr">
        <is>
          <t>RealPage pipeline (not yet in CoStar); Diligence: proposed</t>
        </is>
      </c>
    </row>
    <row r="12">
      <c r="A12" t="inlineStr">
        <is>
          <t>1519 South Londoner Avenue</t>
        </is>
      </c>
      <c r="B12" t="inlineStr">
        <is>
          <t>1519 S Londoner Ave</t>
        </is>
      </c>
      <c r="C12" t="n">
        <v>189</v>
      </c>
      <c r="G12" t="inlineStr">
        <is>
          <t>PROPOSED</t>
        </is>
      </c>
      <c r="H12" s="72" t="n"/>
      <c r="I12" s="72" t="n"/>
      <c r="J12" s="72" t="n"/>
      <c r="K12" s="73" t="n"/>
      <c r="L12" s="73" t="n"/>
      <c r="M12" s="73" t="n"/>
      <c r="N12" s="73" t="n"/>
      <c r="O12" t="inlineStr">
        <is>
          <t>RealPage</t>
        </is>
      </c>
      <c r="P12" t="inlineStr">
        <is>
          <t>RealPage pipeline (not yet in CoStar); Diligence: proposed</t>
        </is>
      </c>
    </row>
    <row r="13">
      <c r="A13" t="inlineStr">
        <is>
          <t>Station Village</t>
        </is>
      </c>
      <c r="B13" t="inlineStr">
        <is>
          <t>2350 W Kootenai St</t>
        </is>
      </c>
      <c r="C13" t="n">
        <v>86</v>
      </c>
      <c r="G13" t="inlineStr">
        <is>
          <t>PROPOSED</t>
        </is>
      </c>
      <c r="H13" s="72" t="n"/>
      <c r="I13" s="72" t="n"/>
      <c r="J13" s="72" t="n"/>
      <c r="K13" s="73" t="n"/>
      <c r="L13" s="73" t="n"/>
      <c r="M13" s="73" t="n"/>
      <c r="N13" s="73" t="n"/>
      <c r="O13" t="inlineStr">
        <is>
          <t>RealPage</t>
        </is>
      </c>
      <c r="P13" t="inlineStr">
        <is>
          <t>RealPage pipeline (not yet in CoStar); Diligence: proposed</t>
        </is>
      </c>
    </row>
    <row r="14">
      <c r="A14" t="inlineStr">
        <is>
          <t>Vista Point</t>
        </is>
      </c>
      <c r="B14" t="inlineStr">
        <is>
          <t>2017 W Victory Rd</t>
        </is>
      </c>
      <c r="C14" t="n">
        <v>892</v>
      </c>
      <c r="G14" t="inlineStr">
        <is>
          <t>PROPOSED</t>
        </is>
      </c>
      <c r="H14" s="72" t="n"/>
      <c r="I14" s="72" t="n"/>
      <c r="J14" s="72" t="n"/>
      <c r="K14" s="73" t="n"/>
      <c r="L14" s="73" t="n"/>
      <c r="M14" s="73" t="n"/>
      <c r="N14" s="73" t="n"/>
      <c r="O14" t="inlineStr">
        <is>
          <t>RealPage</t>
        </is>
      </c>
      <c r="P14" t="inlineStr">
        <is>
          <t>RealPage pipeline (not yet in CoStar); Diligence: proposed</t>
        </is>
      </c>
    </row>
    <row r="15">
      <c r="A15" t="inlineStr">
        <is>
          <t>Kootenai &amp; Federal Way (Hawkins)</t>
        </is>
      </c>
      <c r="B15" t="inlineStr">
        <is>
          <t>Kootenai St &amp; S Federal Way, Boise 83705</t>
        </is>
      </c>
      <c r="C15" t="n">
        <v>194</v>
      </c>
      <c r="G15" t="inlineStr">
        <is>
          <t>PROPOSED</t>
        </is>
      </c>
      <c r="H15" s="72" t="n"/>
      <c r="I15" s="72" t="n"/>
      <c r="J15" s="72" t="n"/>
      <c r="K15" s="73" t="n"/>
      <c r="L15" s="73" t="n"/>
      <c r="M15" s="73" t="n"/>
      <c r="N15" s="73" t="n"/>
      <c r="O15" t="inlineStr">
        <is>
          <t>Diligence</t>
        </is>
      </c>
      <c r="P15" t="inlineStr">
        <is>
          <t>Analyst-sourced deal (not in CoStar/RealPage); Diligence: proposed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23"/>
  <sheetViews>
    <sheetView showGridLines="0" workbookViewId="0">
      <selection activeCell="A1" sqref="A1"/>
    </sheetView>
  </sheetViews>
  <sheetFormatPr baseColWidth="8" defaultRowHeight="15"/>
  <cols>
    <col width="2.5" customWidth="1" min="1" max="1"/>
    <col width="30" customWidth="1" min="2" max="2"/>
    <col width="8" customWidth="1" min="3" max="3"/>
    <col width="12" customWidth="1" min="4" max="4"/>
    <col width="16" customWidth="1" min="5" max="5"/>
    <col width="14" customWidth="1" min="6" max="6"/>
    <col width="50" customWidth="1" min="7" max="7"/>
    <col width="36" customWidth="1" min="8" max="8"/>
  </cols>
  <sheetData>
    <row r="2">
      <c r="B2" s="74" t="inlineStr">
        <is>
          <t>PIPELINE DILIGENCE</t>
        </is>
      </c>
    </row>
    <row r="3">
      <c r="B3" s="42" t="inlineStr">
        <is>
          <t>Property / Site</t>
        </is>
      </c>
      <c r="C3" s="42" t="inlineStr">
        <is>
          <t>Units</t>
        </is>
      </c>
      <c r="D3" s="42" t="inlineStr">
        <is>
          <t>Est. Delivery</t>
        </is>
      </c>
      <c r="E3" s="42" t="inlineStr">
        <is>
          <t>Status</t>
        </is>
      </c>
      <c r="F3" s="42" t="inlineStr">
        <is>
          <t>Leasing Pace</t>
        </is>
      </c>
      <c r="G3" s="42" t="inlineStr">
        <is>
          <t>Notes</t>
        </is>
      </c>
      <c r="H3" s="42" t="inlineStr">
        <is>
          <t>Source</t>
        </is>
      </c>
    </row>
    <row r="4">
      <c r="B4" s="35" t="inlineStr">
        <is>
          <t>Vista Point</t>
        </is>
      </c>
      <c r="C4" s="75" t="inlineStr">
        <is>
          <t>892</t>
        </is>
      </c>
      <c r="D4" s="75" t="n"/>
      <c r="E4" s="35" t="inlineStr">
        <is>
          <t>proposed</t>
        </is>
      </c>
      <c r="F4" s="35" t="n"/>
      <c r="G4" s="35" t="inlineStr">
        <is>
          <t>Welltower's 892-unit plan (25 units income-restricted at 100% AMI; 68-ft height exception) on the eastern Simunich site approved by Boise City Council Feb 2023. As of June 2026 the site remains an open field with Welltower still 'working through its development process' — no construction start, no defensible delivery date.</t>
        </is>
      </c>
      <c r="H4" s="35" t="inlineStr">
        <is>
          <t>https://boisedev.com/news/2023/02/15/simunich-welltower-approval-900-units/</t>
        </is>
      </c>
    </row>
    <row r="5">
      <c r="B5" s="35" t="inlineStr">
        <is>
          <t>Seasons on the Bench</t>
        </is>
      </c>
      <c r="C5" s="75" t="inlineStr">
        <is>
          <t>300</t>
        </is>
      </c>
      <c r="D5" s="75" t="inlineStr">
        <is>
          <t>Q3 2028</t>
        </is>
      </c>
      <c r="E5" s="35" t="inlineStr">
        <is>
          <t>proposed</t>
        </is>
      </c>
      <c r="F5" s="35" t="n"/>
      <c r="G5" s="35" t="inlineStr">
        <is>
          <t>Original 354-unit MorganStonehill plan (approved 2023) never built and was superseded: Roundhouse re-pitched the site as 'Victory' — 300 garden-style units in 15 buildings at 2521/1251 W Victory Rd targeting a fall 2026 groundbreaking (June 2026 reporting). Q3 2028 = fall 2026 start + ~20 months.</t>
        </is>
      </c>
      <c r="H5" s="35" t="inlineStr">
        <is>
          <t>https://www.aol.com/news/300-apartments-coming-one-boise-100000368.html</t>
        </is>
      </c>
    </row>
    <row r="6">
      <c r="B6" s="35" t="inlineStr">
        <is>
          <t>3300 South Vista Avenue</t>
        </is>
      </c>
      <c r="C6" s="75" t="inlineStr">
        <is>
          <t>183</t>
        </is>
      </c>
      <c r="D6" s="75" t="n"/>
      <c r="E6" s="35" t="inlineStr">
        <is>
          <t>proposed</t>
        </is>
      </c>
      <c r="F6" s="35" t="n"/>
      <c r="G6" s="35" t="inlineStr">
        <is>
          <t>Gardner Company phased redevelopment of three aging Vista Ave hotels: ~183 apartments (20% at 100% AMI via density bonus) plus a new 240-room hotel and Hindu temple; council denied the opposition appeal Oct 2023 and the ownership-fraud suit that stalled the project settled March 2025 — no vertical construction as of mid-2026.</t>
        </is>
      </c>
      <c r="H6" s="35" t="inlineStr">
        <is>
          <t>https://boisedev.com/news/2025/03/15/hotel-settlement-vista/</t>
        </is>
      </c>
    </row>
    <row r="7">
      <c r="B7" s="35" t="inlineStr">
        <is>
          <t>1519 South Londoner Avenue</t>
        </is>
      </c>
      <c r="C7" s="75" t="inlineStr">
        <is>
          <t>189</t>
        </is>
      </c>
      <c r="D7" s="75" t="n"/>
      <c r="E7" s="35" t="inlineStr">
        <is>
          <t>proposed</t>
        </is>
      </c>
      <c r="F7" s="35" t="n"/>
      <c r="G7" s="35" t="inlineStr">
        <is>
          <t>Payette Forward (Austin TX) rezone for 189 units + ground-floor retail on ~6 ac along Highland St approved March 4 2025 (capped at 189 units). Londoner Neighborhood Assn suit dismissed Nov 2025 as untimely but appealed to the Idaho Supreme Court — entitlement upheld, litigation risk remains, no construction.</t>
        </is>
      </c>
      <c r="H7" s="35" t="inlineStr">
        <is>
          <t>https://boisedev.com/news/2025/05/19/londoner-apartment-suit/</t>
        </is>
      </c>
    </row>
    <row r="8">
      <c r="B8" s="35" t="inlineStr">
        <is>
          <t>Station Village</t>
        </is>
      </c>
      <c r="C8" s="75" t="inlineStr">
        <is>
          <t>86</t>
        </is>
      </c>
      <c r="D8" s="75" t="n"/>
      <c r="E8" s="35" t="inlineStr">
        <is>
          <t>proposed</t>
        </is>
      </c>
      <c r="F8" s="35" t="n"/>
      <c r="G8" s="35" t="inlineStr">
        <is>
          <t>Day Realty Co. plan for 86 units in six buildings + clubhouse at 2350 W Kootenai St; BoiseDev's project tracker has listed it 'on hold' since April 2021 with no subsequent approvals, permits, or news — stale entry, likely dead but unconfirmed. Undated, so not in the forecast. Sits on land-use developable parcel S1015325410.</t>
        </is>
      </c>
      <c r="H8" s="35" t="inlineStr">
        <is>
          <t>https://boisedev.com/project/station-village/</t>
        </is>
      </c>
    </row>
    <row r="9">
      <c r="B9" s="35" t="inlineStr">
        <is>
          <t>Harris Ranch East</t>
        </is>
      </c>
      <c r="C9" s="75" t="inlineStr">
        <is>
          <t>59</t>
        </is>
      </c>
      <c r="D9" s="75" t="n"/>
      <c r="E9" s="35" t="inlineStr">
        <is>
          <t>not multifamily - 59 for-sale single-family ridgeline homes</t>
        </is>
      </c>
      <c r="F9" s="35" t="n"/>
      <c r="G9" s="35" t="inlineStr">
        <is>
          <t>Boise Hunter Homes' 59 single-family ridgeline homes above East Junior High/Golden Dawn (22 ac developed, 93 ac open space); final plat worked through 2023 and foundations were being poured by early 2025 — for-sale SF product, not competitive multifamily supply.</t>
        </is>
      </c>
      <c r="H9" s="35" t="inlineStr">
        <is>
          <t>https://boisedev.com/news/2021/04/13/harris-ranch-east/</t>
        </is>
      </c>
    </row>
    <row r="10">
      <c r="B10" s="35" t="inlineStr">
        <is>
          <t>The Ranahan</t>
        </is>
      </c>
      <c r="C10" s="75" t="inlineStr">
        <is>
          <t>138</t>
        </is>
      </c>
      <c r="D10" s="75" t="n"/>
      <c r="E10" s="35" t="inlineStr">
        <is>
          <t>proposed</t>
        </is>
      </c>
      <c r="F10" s="35" t="n"/>
      <c r="G10" s="35" t="inlineStr">
        <is>
          <t>Entitled 138-unit 4-story project at 4110 E Warm Springs Ave (Harris Ranch / Barber Valley, on land-use developable parcel R1719910020); appeared in city permit logs 2023 but the project/site is now marketed FOR SALE via KW Commercial — no construction, CoStar's Q4 2028 delivery is speculative.</t>
        </is>
      </c>
      <c r="H10" s="35" t="inlineStr">
        <is>
          <t>https://realnex.com/listings/841866/the-ranahan</t>
        </is>
      </c>
    </row>
    <row r="11">
      <c r="B11" s="35" t="inlineStr">
        <is>
          <t>737 ParkCenter</t>
        </is>
      </c>
      <c r="C11" s="75" t="inlineStr">
        <is>
          <t>30</t>
        </is>
      </c>
      <c r="D11" s="75" t="n"/>
      <c r="E11" s="35" t="inlineStr">
        <is>
          <t>under construction</t>
        </is>
      </c>
      <c r="F11" s="35" t="n"/>
      <c r="G11" s="35" t="inlineStr">
        <is>
          <t>Actual project is 787 E ParkCenter Blvd (Kimball family): 3-story mixed-use with 30 AGE-RESTRICTED (55+) apartments plus coffee shop/retail. City of Boise issued the $5.2M new-structure building permit 9/15/2025 — construction underway; CoStar's Q3 2027 delivery is plausible. Age restriction limits direct competitiveness.</t>
        </is>
      </c>
      <c r="H11" s="35" t="inlineStr">
        <is>
          <t>https://www.djc.com/stories/images/permits/CityofBoise0901-0930.pdf</t>
        </is>
      </c>
    </row>
    <row r="12">
      <c r="B12" s="35" t="inlineStr">
        <is>
          <t>The Quarter at Harris Ranch</t>
        </is>
      </c>
      <c r="C12" s="75" t="inlineStr">
        <is>
          <t>32</t>
        </is>
      </c>
      <c r="D12" s="75" t="inlineStr">
        <is>
          <t>Q1 2027</t>
        </is>
      </c>
      <c r="E12" s="35" t="inlineStr">
        <is>
          <t>under construction</t>
        </is>
      </c>
      <c r="F12" s="35" t="n"/>
      <c r="G12" s="35" t="inlineStr">
        <is>
          <t>AUDIT FIND (July 2026): permit-log-only project — NO CoStar, RealPage, or press footprint. Barber Valley Development / Dave Evans Construction at 3430-3450 S Hopes Well Way (~2.5 mi): grading permit GRD24-00089 (Feb 2025) for 'new multi-family buildings'; Building C permit BLD25-00272 ISSUED 9/10/2025 ($13.3M, 4-story, 32 units, podium garage, pool/spa). Multi-building site — 32u is Bldg C only; total unverified (pull DRH24-00233 to size). Likely the first rental phase of the Harris Ranch Town Center blocks.</t>
        </is>
      </c>
      <c r="H12" s="35" t="inlineStr">
        <is>
          <t>https://www.djc.com/stories/images/permits/CityofBoise0901-0930.pdf</t>
        </is>
      </c>
    </row>
    <row r="13">
      <c r="B13" s="35" t="inlineStr">
        <is>
          <t>Kootenai &amp; Federal Way (Hawkins)</t>
        </is>
      </c>
      <c r="C13" s="75" t="inlineStr">
        <is>
          <t>194</t>
        </is>
      </c>
      <c r="D13" s="75" t="n"/>
      <c r="E13" s="35" t="inlineStr">
        <is>
          <t>proposed</t>
        </is>
      </c>
      <c r="F13" s="35" t="n"/>
      <c r="G13" s="35" t="inlineStr">
        <is>
          <t>AUDIT FIND: Hawkins Companies (same sponsor as The Judy) — 194 units, 5-story + 2k sf retail + 323 stalls on the triangular Bench lot at Kootenai St &amp; S Federal Way (~4.1 mi). Council approved Feb 2025 (appeal denied); updated design submitted ~Oct 2025; Hawkins said construction 'possibly within a year' (Aug 2025). No building permit through June 2026. Not in CoStar/RealPage.</t>
        </is>
      </c>
      <c r="H13" s="35" t="inlineStr">
        <is>
          <t>https://boisedev.com/news/2025/02/06/black-cliffs-appeal/</t>
        </is>
      </c>
    </row>
    <row r="14">
      <c r="B14" s="35" t="inlineStr">
        <is>
          <t>10 S Latah St</t>
        </is>
      </c>
      <c r="C14" s="75" t="inlineStr">
        <is>
          <t>41</t>
        </is>
      </c>
      <c r="D14" s="75" t="n"/>
      <c r="E14" s="35" t="inlineStr">
        <is>
          <t>exclude - beyond 5-mi radius (~5.6 mi)</t>
        </is>
      </c>
      <c r="F14" s="35" t="n"/>
      <c r="G14" s="35" t="inlineStr">
        <is>
          <t>AUDIT (documented, outside ring): EMW 10 Latah LLC 4-story mixed-use, 41 units + ground-floor retail at Latah/Alpine on the Bench; building permit ISSUED 5/20/2026 ($10.2M). Real UC supply but outside the 5-mile radius — belongs to the same adjacent-submarket cluster as LOCAL Boise/Armory.</t>
        </is>
      </c>
      <c r="H14" s="35" t="inlineStr">
        <is>
          <t>https://boisedev.com/news/2025/04/09/10-s-latah-boise/</t>
        </is>
      </c>
    </row>
    <row r="15">
      <c r="B15" s="35" t="inlineStr">
        <is>
          <t>Capitol Campus / Lusk District</t>
        </is>
      </c>
      <c r="C15" s="75" t="inlineStr">
        <is>
          <t>325</t>
        </is>
      </c>
      <c r="D15" s="75" t="n"/>
      <c r="E15" s="35" t="inlineStr">
        <is>
          <t>exclude - beyond 5-mi radius (~5.4 mi)</t>
        </is>
      </c>
      <c r="F15" s="35" t="n"/>
      <c r="G15" s="35" t="inlineStr">
        <is>
          <t>AUDIT (documented, outside ring): J. Fisher + City of Boise + CCDC affordable redevelopment near BSU, 325+ income-restricted units, groundbreak targeted Fall 2026 (BSU exited the partnership Feb 2026 but the city block proceeds). Outside the 5-mile radius; classic vendor-invisible affordable pipeline — watch for spillover effects.</t>
        </is>
      </c>
      <c r="H15" s="35" t="inlineStr">
        <is>
          <t>https://www.cityofboise.org/programs/housing/capitol-campus/</t>
        </is>
      </c>
    </row>
    <row r="17">
      <c r="B17" s="74" t="inlineStr">
        <is>
          <t>SHADOW SUPPLY (latent / untracked — watch list)</t>
        </is>
      </c>
    </row>
    <row r="18">
      <c r="B18" s="42" t="inlineStr">
        <is>
          <t>Property / Site</t>
        </is>
      </c>
      <c r="C18" s="42" t="inlineStr">
        <is>
          <t>Units</t>
        </is>
      </c>
      <c r="D18" s="42" t="inlineStr">
        <is>
          <t>Est. Delivery</t>
        </is>
      </c>
      <c r="E18" s="42" t="inlineStr">
        <is>
          <t>Status</t>
        </is>
      </c>
      <c r="F18" s="42" t="inlineStr">
        <is>
          <t>Leasing Pace</t>
        </is>
      </c>
      <c r="G18" s="42" t="inlineStr">
        <is>
          <t>Notes</t>
        </is>
      </c>
      <c r="H18" s="42" t="inlineStr">
        <is>
          <t>Source</t>
        </is>
      </c>
    </row>
    <row r="19">
      <c r="B19" s="35" t="inlineStr">
        <is>
          <t>Barber Valley SP-02 HDR block (Parkcenter)</t>
        </is>
      </c>
      <c r="C19" s="75" t="n"/>
      <c r="D19" s="75" t="n"/>
      <c r="E19" s="35" t="n"/>
      <c r="F19" s="35" t="n"/>
      <c r="G19" s="35" t="inlineStr">
        <is>
          <t>Land-use analysis site CR-51: 11.5 ac zoned SP-02 with High-Density Residential FLU inside the adopted Barber Valley Specific Plan; OUTSIDE the Airport Influence Area. Entitled/planned multifamily block, master-developed by Barber Valley Development (Harris Family LP); HDR blocks typically sold to merchant apartment developers. No active application found — the most apartment-competitive latent site in the 5-mi ring. UPDATE (audit, July 2026): Harris Ranch Town Center plan refreshed June 2026 (specialty market, restaurants, hotel, ~100 for-sale homes, 250-400 planned apartments between Warm Springs &amp; ParkCenter) — and its first rental phase appears to be THE QUARTER at Harris Ranch, now under construction and tracked in the chart. Dedupe: this shadow row covers the remaining unbuilt HDR capacity only.</t>
        </is>
      </c>
      <c r="H19" s="35" t="inlineStr">
        <is>
          <t>https://boisedev.com/news/2021/11/12/harris-ranch-town-center/</t>
        </is>
      </c>
    </row>
    <row r="20">
      <c r="B20" s="35" t="inlineStr">
        <is>
          <t>McDonald Tract (S Oakland Ave)</t>
        </is>
      </c>
      <c r="C20" s="75" t="n"/>
      <c r="D20" s="75" t="n"/>
      <c r="E20" s="35" t="n"/>
      <c r="F20" s="35" t="n"/>
      <c r="G20" s="35" t="inlineStr">
        <is>
          <t>Land-use analysis site CR-57: 10.3 ac zoned R-3 (multifamily by-right) with Mixed Use FLU, outside the Airport Influence Area. Dormant — no application, listing, or news found; owner not published. By-right MF capacity makes it a genuine watch item despite no activity.</t>
        </is>
      </c>
      <c r="H20" s="35" t="inlineStr">
        <is>
          <t>https://www.redfin.com/ID/Boise/1507-S-Oakland-Ave-83706/home/109555986</t>
        </is>
      </c>
    </row>
    <row r="21">
      <c r="B21" s="35" t="inlineStr">
        <is>
          <t>East Columbia bench (Rush Valley / planned community)</t>
        </is>
      </c>
      <c r="C21" s="75" t="n"/>
      <c r="D21" s="75" t="n"/>
      <c r="E21" s="35" t="n"/>
      <c r="F21" s="35" t="n"/>
      <c r="G21" s="35" t="inlineStr">
        <is>
          <t>Land-use analysis sites CR-2/CR-3/CR-5: ~1,700+ ac far-SE 'East Columbia' bench with Boise 'Planned Community' FLU — one of three strategic planning areas the city began studying Jan 2026. Rush Valley subdivision portion (Conger Group/DevCo) approved but capped and largely unbuilt; residential blocked by missing secondary fire access and landowner coordination (Simplot, Micron, Ball Ventures, Murgoitio). Long-horizon supply, not near-term.</t>
        </is>
      </c>
      <c r="H21" s="35" t="inlineStr">
        <is>
          <t>https://boisedev.com/news/2026/01/28/southeast-boise-planning/</t>
        </is>
      </c>
    </row>
    <row r="22">
      <c r="B22" s="35" t="inlineStr">
        <is>
          <t>East Hollow (CBH, south of Micron)</t>
        </is>
      </c>
      <c r="C22" s="75" t="n"/>
      <c r="D22" s="75" t="n"/>
      <c r="E22" s="35" t="n"/>
      <c r="F22" s="35" t="n"/>
      <c r="G22" s="35" t="inlineStr">
        <is>
          <t>AUDIT WATCH: CBH Homes pre-application (Ada County, Nov 2025) for ~1,200 ac / ~7,000 homes (apartments + SF mix) south of Micron near I-84/Eisenman and the future Lake Hazel extension — at/just outside the ring's SE edge, 2029+ horizon. Distinct from East Columbia/Rush Valley. Long-dated but material to the airport/Micron corridor.</t>
        </is>
      </c>
      <c r="H22" s="35" t="inlineStr">
        <is>
          <t>https://boisedev.com/news/2025/11/26/east-hollow-7000/</t>
        </is>
      </c>
    </row>
    <row r="23">
      <c r="B23" s="35" t="inlineStr">
        <is>
          <t>Arbor Village at Hillcrest conversion (verify)</t>
        </is>
      </c>
      <c r="C23" s="75" t="n"/>
      <c r="D23" s="75" t="n"/>
      <c r="E23" s="35" t="n"/>
      <c r="F23" s="35" t="n"/>
      <c r="G23" s="35" t="inlineStr">
        <is>
          <t>AUDIT WATCH: 2022 proposal to convert a 115-room assisted-living building to up to 77 market apartments in the Hillcrest area (83705, near the scored W Hillcrest Ln parcel); no update found — unverified. Conversions add rental supply without appearing in any construction pipeline.</t>
        </is>
      </c>
      <c r="H23" s="35" t="inlineStr">
        <is>
          <t>https://boisedev.com/news/2022/02/10/arbor-village-hillcrest/</t>
        </is>
      </c>
    </row>
  </sheetData>
  <mergeCells count="2">
    <mergeCell ref="B2:H2"/>
    <mergeCell ref="B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2026-07-16T01:34:49Z</dcterms:created>
  <dcterms:modified xsi:type="dcterms:W3CDTF">2026-07-16T01:34:49Z</dcterms:modified>
</cp:coreProperties>
</file>