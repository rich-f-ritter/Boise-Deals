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ve Analysis" sheetId="1" state="visible" r:id="rId1"/>
    <sheet name="Supply &amp; Absorption" sheetId="2" state="visible" r:id="rId2"/>
    <sheet name="Reconciliation Log" sheetId="3" state="visible" r:id="rId3"/>
    <sheet name="Dilig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;;&quot;—&quot;"/>
    <numFmt numFmtId="166" formatCode="0.0&quot; mi&quot;;;&quot;—&quot;"/>
    <numFmt numFmtId="167" formatCode="&quot;$&quot;#,##0"/>
  </numFmts>
  <fonts count="1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color rgb="FF808080"/>
      <sz val="8"/>
    </font>
    <font>
      <name val="Calibri"/>
      <b val="1"/>
      <color rgb="FF000000"/>
      <sz val="9"/>
    </font>
    <font>
      <name val="Calibri"/>
      <i val="1"/>
      <color rgb="FF808080"/>
      <sz val="7"/>
    </font>
    <font>
      <name val="Calibri"/>
      <b val="1"/>
      <color rgb="FF0000FF"/>
      <sz val="9"/>
    </font>
    <font>
      <name val="Calibri"/>
      <b val="1"/>
      <color rgb="FFFFFFFF"/>
      <sz val="8"/>
    </font>
    <font>
      <name val="Calibri"/>
      <color rgb="FF0000FF"/>
      <sz val="9"/>
    </font>
    <font>
      <name val="Calibri"/>
      <i val="1"/>
      <color rgb="FF000000"/>
      <sz val="8"/>
    </font>
    <font>
      <name val="Calibri"/>
      <i val="1"/>
      <color rgb="FF808080"/>
      <sz val="8"/>
    </font>
    <font>
      <name val="Calibri"/>
      <b val="1"/>
      <color rgb="FF153D64"/>
      <sz val="9"/>
    </font>
    <font>
      <name val="Calibri"/>
      <b val="1"/>
      <color rgb="FF595959"/>
      <sz val="8"/>
    </font>
    <font>
      <name val="Calibri"/>
      <b val="1"/>
      <color rgb="FF000000"/>
      <sz val="8"/>
    </font>
    <font>
      <name val="Calibri"/>
      <color rgb="FF000000"/>
      <sz val="8"/>
    </font>
    <font>
      <name val="Calibri"/>
      <color rgb="FFC00000"/>
      <sz val="8"/>
    </font>
    <font>
      <name val="Calibri"/>
      <b val="1"/>
      <color rgb="FFFFFFFF"/>
      <sz val="11"/>
    </font>
  </fonts>
  <fills count="14">
    <fill>
      <patternFill/>
    </fill>
    <fill>
      <patternFill patternType="gray125"/>
    </fill>
    <fill>
      <patternFill patternType="solid">
        <fgColor rgb="FF153D64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0000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0F0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3" fillId="7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8" fillId="9" borderId="0" applyAlignment="1" pivotButton="0" quotePrefix="0" xfId="0">
      <alignment horizontal="center" vertical="center" wrapText="1"/>
    </xf>
    <xf numFmtId="3" fontId="8" fillId="9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3" fontId="4" fillId="10" borderId="1" applyAlignment="1" pivotButton="0" quotePrefix="0" xfId="0">
      <alignment horizontal="center" vertical="center" wrapText="1"/>
    </xf>
    <xf numFmtId="3" fontId="4" fillId="11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167" fontId="4" fillId="10" borderId="1" applyAlignment="1" pivotButton="0" quotePrefix="0" xfId="0">
      <alignment horizontal="center" vertical="center" wrapText="1"/>
    </xf>
    <xf numFmtId="167" fontId="4" fillId="11" borderId="1" applyAlignment="1" pivotButton="0" quotePrefix="0" xfId="0">
      <alignment horizontal="center" vertical="center" wrapText="1"/>
    </xf>
    <xf numFmtId="0" fontId="11" fillId="0" borderId="0" pivotButton="0" quotePrefix="0" xfId="0"/>
    <xf numFmtId="164" fontId="12" fillId="10" borderId="1" applyAlignment="1" pivotButton="0" quotePrefix="0" xfId="0">
      <alignment horizontal="center" vertical="center" wrapText="1"/>
    </xf>
    <xf numFmtId="164" fontId="12" fillId="11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10" borderId="0" pivotButton="0" quotePrefix="0" xfId="0"/>
    <xf numFmtId="0" fontId="0" fillId="10" borderId="0" pivotButton="0" quotePrefix="0" xfId="0"/>
    <xf numFmtId="0" fontId="6" fillId="12" borderId="0" pivotButton="0" quotePrefix="0" xfId="0"/>
    <xf numFmtId="0" fontId="0" fillId="12" borderId="0" pivotButton="0" quotePrefix="0" xfId="0"/>
    <xf numFmtId="164" fontId="6" fillId="12" borderId="1" applyAlignment="1" pivotButton="0" quotePrefix="0" xfId="0">
      <alignment horizontal="center" vertical="center" wrapText="1"/>
    </xf>
    <xf numFmtId="0" fontId="13" fillId="13" borderId="0" pivotButton="0" quotePrefix="0" xfId="0"/>
    <xf numFmtId="0" fontId="0" fillId="13" borderId="0" pivotButton="0" quotePrefix="0" xfId="0"/>
    <xf numFmtId="164" fontId="6" fillId="13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15" fillId="0" borderId="0" pivotButton="0" quotePrefix="0" xfId="0"/>
    <xf numFmtId="164" fontId="10" fillId="9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18" fillId="2" borderId="0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.5" customWidth="1" min="2" max="2"/>
    <col width="30" customWidth="1" min="3" max="3"/>
    <col width="8" customWidth="1" min="4" max="4"/>
    <col width="11.5" customWidth="1" min="5" max="5"/>
    <col width="10" customWidth="1" min="6" max="6"/>
    <col width="13" customWidth="1" min="7" max="7"/>
    <col width="22" customWidth="1" min="8" max="8"/>
    <col width="11" customWidth="1" min="9" max="9"/>
    <col width="14" customWidth="1" min="10" max="10"/>
    <col width="30" customWidth="1" min="11" max="11"/>
    <col hidden="1" width="13" customWidth="1" min="13" max="13"/>
  </cols>
  <sheetData>
    <row r="2" ht="22" customHeight="1">
      <c r="C2" s="1" t="inlineStr">
        <is>
          <t>CANYON RIDGE — 5-Mile Competitive Supply</t>
        </is>
      </c>
    </row>
    <row r="3">
      <c r="B3" s="2" t="inlineStr">
        <is>
          <t>2023–2026 New Construction  |  5-mile radius  |  As of 2026 Q3 QTD</t>
        </is>
      </c>
    </row>
    <row r="4" ht="18" customHeight="1">
      <c r="B4" s="3" t="inlineStr">
        <is>
          <t>#</t>
        </is>
      </c>
      <c r="C4" s="3" t="inlineStr">
        <is>
          <t>Property</t>
        </is>
      </c>
      <c r="D4" s="3" t="inlineStr">
        <is>
          <t>Units</t>
        </is>
      </c>
      <c r="E4" s="3" t="inlineStr">
        <is>
          <t>Est. Delivery</t>
        </is>
      </c>
      <c r="F4" s="3" t="inlineStr">
        <is>
          <t>Occupancy</t>
        </is>
      </c>
      <c r="G4" s="3" t="inlineStr">
        <is>
          <t>Avg Mkt Rent</t>
        </is>
      </c>
      <c r="H4" s="3" t="inlineStr">
        <is>
          <t>Owner</t>
        </is>
      </c>
      <c r="I4" s="3" t="inlineStr">
        <is>
          <t>Proximity</t>
        </is>
      </c>
      <c r="J4" s="3" t="inlineStr">
        <is>
          <t>Type</t>
        </is>
      </c>
      <c r="K4" s="3" t="inlineStr">
        <is>
          <t>Notes</t>
        </is>
      </c>
    </row>
    <row r="5">
      <c r="B5" s="4" t="n"/>
      <c r="C5" s="5" t="inlineStr">
        <is>
          <t>STABILIZED / STABILIZING (4 properties, 367 units)</t>
        </is>
      </c>
    </row>
    <row r="6">
      <c r="B6" s="6" t="n">
        <v>1</v>
      </c>
      <c r="C6" s="7" t="inlineStr">
        <is>
          <t>The Timbers at Harris Ranch</t>
        </is>
      </c>
      <c r="D6" s="8" t="n">
        <v>274</v>
      </c>
      <c r="E6" s="6" t="inlineStr">
        <is>
          <t>Q2 2023</t>
        </is>
      </c>
      <c r="F6" s="9" t="n">
        <v>0.974453</v>
      </c>
      <c r="G6" s="10" t="n">
        <v>2213</v>
      </c>
      <c r="H6" s="7" t="inlineStr">
        <is>
          <t>Highland Canyon Partners</t>
        </is>
      </c>
      <c r="I6" s="11" t="n">
        <v>2.3</v>
      </c>
      <c r="J6" s="6" t="inlineStr">
        <is>
          <t>Garden</t>
        </is>
      </c>
      <c r="K6" s="7" t="inlineStr">
        <is>
          <t>Year built: 2023/2024; Occ: CoStar 97% vs RealPage 100%</t>
        </is>
      </c>
      <c r="M6">
        <f>IFERROR(VALUE(RIGHT(E6,4))*4+MATCH(LEFT(E6,2),{"Q1","Q2","Q3","Q4"},0)-1,"")</f>
        <v/>
      </c>
    </row>
    <row r="7">
      <c r="B7" s="6" t="n">
        <v>2</v>
      </c>
      <c r="C7" s="7" t="inlineStr">
        <is>
          <t>The Betty</t>
        </is>
      </c>
      <c r="D7" s="8" t="n">
        <v>46</v>
      </c>
      <c r="E7" s="6" t="inlineStr">
        <is>
          <t>Q4 2023</t>
        </is>
      </c>
      <c r="F7" s="9" t="n">
        <v>0.934783</v>
      </c>
      <c r="G7" s="10" t="n">
        <v>1577</v>
      </c>
      <c r="H7" s="7" t="inlineStr">
        <is>
          <t>Commercial Northwest Property Management</t>
        </is>
      </c>
      <c r="I7" s="11" t="n">
        <v>4.2</v>
      </c>
      <c r="J7" s="6" t="inlineStr">
        <is>
          <t>Mid-Rise</t>
        </is>
      </c>
      <c r="K7" s="7" t="inlineStr">
        <is>
          <t>Occ: CoStar 93% vs RealPage 96%; Rent: CoStar ask $1,577 vs RealPage eff $1,273</t>
        </is>
      </c>
      <c r="M7">
        <f>IFERROR(VALUE(RIGHT(E7,4))*4+MATCH(LEFT(E7,2),{"Q1","Q2","Q3","Q4"},0)-1,"")</f>
        <v/>
      </c>
    </row>
    <row r="8">
      <c r="B8" s="6" t="n">
        <v>3</v>
      </c>
      <c r="C8" s="7" t="inlineStr">
        <is>
          <t>Mesa Pointe Apartments</t>
        </is>
      </c>
      <c r="D8" s="8" t="n">
        <v>12</v>
      </c>
      <c r="E8" s="6" t="inlineStr">
        <is>
          <t>Q3 2024</t>
        </is>
      </c>
      <c r="F8" s="9" t="n">
        <v>1</v>
      </c>
      <c r="G8" s="10" t="n">
        <v>1647</v>
      </c>
      <c r="H8" s="7" t="inlineStr">
        <is>
          <t>Rre Mesa Pointe Llc</t>
        </is>
      </c>
      <c r="I8" s="11" t="n">
        <v>4.2</v>
      </c>
      <c r="J8" s="6" t="inlineStr">
        <is>
          <t>Low-Rise</t>
        </is>
      </c>
      <c r="K8" s="7" t="n"/>
      <c r="M8">
        <f>IFERROR(VALUE(RIGHT(E8,4))*4+MATCH(LEFT(E8,2),{"Q1","Q2","Q3","Q4"},0)-1,"")</f>
        <v/>
      </c>
    </row>
    <row r="9">
      <c r="B9" s="6" t="n">
        <v>4</v>
      </c>
      <c r="C9" s="7" t="inlineStr">
        <is>
          <t>Veazey Apartments</t>
        </is>
      </c>
      <c r="D9" s="8" t="n">
        <v>35</v>
      </c>
      <c r="E9" s="6" t="inlineStr">
        <is>
          <t>Q4 2024</t>
        </is>
      </c>
      <c r="F9" s="9" t="n">
        <v>0.971429</v>
      </c>
      <c r="G9" s="10" t="n">
        <v>1547</v>
      </c>
      <c r="H9" s="7" t="inlineStr">
        <is>
          <t>Conrad J Frank</t>
        </is>
      </c>
      <c r="I9" s="11" t="n">
        <v>3.4</v>
      </c>
      <c r="J9" s="6" t="inlineStr">
        <is>
          <t>Low-Rise</t>
        </is>
      </c>
      <c r="K9" s="7" t="n"/>
      <c r="M9">
        <f>IFERROR(VALUE(RIGHT(E9,4))*4+MATCH(LEFT(E9,2),{"Q1","Q2","Q3","Q4"},0)-1,"")</f>
        <v/>
      </c>
    </row>
    <row r="11">
      <c r="B11" s="12" t="n"/>
      <c r="C11" s="13" t="inlineStr">
        <is>
          <t>UNDER CONSTRUCTION (1 properties, 27 units)</t>
        </is>
      </c>
    </row>
    <row r="12">
      <c r="B12" s="14" t="n">
        <v>5</v>
      </c>
      <c r="C12" s="15" t="inlineStr">
        <is>
          <t>737 ParkCenter</t>
        </is>
      </c>
      <c r="D12" s="16" t="n">
        <v>27</v>
      </c>
      <c r="E12" s="14" t="inlineStr">
        <is>
          <t>Q3 2027</t>
        </is>
      </c>
      <c r="F12" s="17" t="n"/>
      <c r="G12" s="18" t="inlineStr">
        <is>
          <t>—</t>
        </is>
      </c>
      <c r="H12" s="15" t="inlineStr">
        <is>
          <t>Scott G Kimball</t>
        </is>
      </c>
      <c r="I12" s="19" t="n">
        <v>3.2</v>
      </c>
      <c r="J12" s="14" t="inlineStr">
        <is>
          <t>Low-Rise</t>
        </is>
      </c>
      <c r="K12" s="15" t="n"/>
      <c r="M12">
        <f>IFERROR(VALUE(RIGHT(E12,4))*4+MATCH(LEFT(E12,2),{"Q1","Q2","Q3","Q4"},0)-1,"")</f>
        <v/>
      </c>
    </row>
    <row r="14">
      <c r="B14" s="20" t="n"/>
      <c r="C14" s="21" t="inlineStr">
        <is>
          <t>PROPOSED (7 properties, 1,901 units)</t>
        </is>
      </c>
    </row>
    <row r="15">
      <c r="B15" s="22" t="n">
        <v>6</v>
      </c>
      <c r="C15" s="23" t="inlineStr">
        <is>
          <t>The Ranahan</t>
        </is>
      </c>
      <c r="D15" s="24" t="n">
        <v>138</v>
      </c>
      <c r="E15" s="22" t="inlineStr">
        <is>
          <t>Q4 2028</t>
        </is>
      </c>
      <c r="F15" s="25" t="n"/>
      <c r="G15" s="26" t="inlineStr">
        <is>
          <t>—</t>
        </is>
      </c>
      <c r="H15" s="23" t="inlineStr">
        <is>
          <t>Dave Evans Construction</t>
        </is>
      </c>
      <c r="I15" s="27" t="n">
        <v>2.2</v>
      </c>
      <c r="J15" s="22" t="inlineStr">
        <is>
          <t>Mid-Rise</t>
        </is>
      </c>
      <c r="K15" s="23" t="n"/>
      <c r="M15">
        <f>IFERROR(VALUE(RIGHT(E15,4))*4+MATCH(LEFT(E15,2),{"Q1","Q2","Q3","Q4"},0)-1,"")</f>
        <v/>
      </c>
    </row>
    <row r="16">
      <c r="B16" s="22" t="n">
        <v>7</v>
      </c>
      <c r="C16" s="23" t="inlineStr">
        <is>
          <t>Vista Point</t>
        </is>
      </c>
      <c r="D16" s="24" t="n">
        <v>893</v>
      </c>
      <c r="E16" s="22" t="inlineStr">
        <is>
          <t>TBD</t>
        </is>
      </c>
      <c r="F16" s="25" t="n"/>
      <c r="G16" s="26" t="inlineStr">
        <is>
          <t>—</t>
        </is>
      </c>
      <c r="H16" s="23" t="inlineStr">
        <is>
          <t>—</t>
        </is>
      </c>
      <c r="I16" s="27" t="n">
        <v>3.4</v>
      </c>
      <c r="J16" s="22" t="inlineStr">
        <is>
          <t>Mid-Rise</t>
        </is>
      </c>
      <c r="K16" s="23" t="inlineStr">
        <is>
          <t>RealPage pipeline (not yet in CoStar)</t>
        </is>
      </c>
      <c r="M16">
        <f>IFERROR(VALUE(RIGHT(E16,4))*4+MATCH(LEFT(E16,2),{"Q1","Q2","Q3","Q4"},0)-1,"")</f>
        <v/>
      </c>
    </row>
    <row r="17">
      <c r="B17" s="22" t="n">
        <v>8</v>
      </c>
      <c r="C17" s="23" t="inlineStr">
        <is>
          <t>Seasons on the Bench</t>
        </is>
      </c>
      <c r="D17" s="24" t="n">
        <v>358</v>
      </c>
      <c r="E17" s="22" t="inlineStr">
        <is>
          <t>TBD</t>
        </is>
      </c>
      <c r="F17" s="25" t="n"/>
      <c r="G17" s="26" t="inlineStr">
        <is>
          <t>—</t>
        </is>
      </c>
      <c r="H17" s="23" t="inlineStr">
        <is>
          <t>—</t>
        </is>
      </c>
      <c r="I17" s="27" t="n">
        <v>3.6</v>
      </c>
      <c r="J17" s="22" t="inlineStr">
        <is>
          <t>Garden</t>
        </is>
      </c>
      <c r="K17" s="23" t="inlineStr">
        <is>
          <t>RealPage pipeline (not yet in CoStar)</t>
        </is>
      </c>
      <c r="M17">
        <f>IFERROR(VALUE(RIGHT(E17,4))*4+MATCH(LEFT(E17,2),{"Q1","Q2","Q3","Q4"},0)-1,"")</f>
        <v/>
      </c>
    </row>
    <row r="18">
      <c r="B18" s="22" t="n">
        <v>9</v>
      </c>
      <c r="C18" s="23" t="inlineStr">
        <is>
          <t>1519 South Londoner Avenue</t>
        </is>
      </c>
      <c r="D18" s="24" t="n">
        <v>189</v>
      </c>
      <c r="E18" s="22" t="inlineStr">
        <is>
          <t>TBD</t>
        </is>
      </c>
      <c r="F18" s="25" t="n"/>
      <c r="G18" s="26" t="inlineStr">
        <is>
          <t>—</t>
        </is>
      </c>
      <c r="H18" s="23" t="inlineStr">
        <is>
          <t>—</t>
        </is>
      </c>
      <c r="I18" s="27" t="n">
        <v>4</v>
      </c>
      <c r="J18" s="22" t="inlineStr">
        <is>
          <t>Garden</t>
        </is>
      </c>
      <c r="K18" s="23" t="inlineStr">
        <is>
          <t>RealPage pipeline (not yet in CoStar)</t>
        </is>
      </c>
      <c r="M18">
        <f>IFERROR(VALUE(RIGHT(E18,4))*4+MATCH(LEFT(E18,2),{"Q1","Q2","Q3","Q4"},0)-1,"")</f>
        <v/>
      </c>
    </row>
    <row r="19">
      <c r="B19" s="22" t="n">
        <v>10</v>
      </c>
      <c r="C19" s="23" t="inlineStr">
        <is>
          <t>3300 South Vista Avenue</t>
        </is>
      </c>
      <c r="D19" s="24" t="n">
        <v>180</v>
      </c>
      <c r="E19" s="22" t="inlineStr">
        <is>
          <t>TBD</t>
        </is>
      </c>
      <c r="F19" s="25" t="n"/>
      <c r="G19" s="26" t="inlineStr">
        <is>
          <t>—</t>
        </is>
      </c>
      <c r="H19" s="23" t="inlineStr">
        <is>
          <t>—</t>
        </is>
      </c>
      <c r="I19" s="27" t="n">
        <v>3.7</v>
      </c>
      <c r="J19" s="22" t="inlineStr">
        <is>
          <t>Mid-Rise</t>
        </is>
      </c>
      <c r="K19" s="23" t="inlineStr">
        <is>
          <t>RealPage pipeline (not yet in CoStar)</t>
        </is>
      </c>
      <c r="M19">
        <f>IFERROR(VALUE(RIGHT(E19,4))*4+MATCH(LEFT(E19,2),{"Q1","Q2","Q3","Q4"},0)-1,"")</f>
        <v/>
      </c>
    </row>
    <row r="20">
      <c r="B20" s="22" t="n">
        <v>11</v>
      </c>
      <c r="C20" s="23" t="inlineStr">
        <is>
          <t>Station Village</t>
        </is>
      </c>
      <c r="D20" s="24" t="n">
        <v>84</v>
      </c>
      <c r="E20" s="22" t="inlineStr">
        <is>
          <t>TBD</t>
        </is>
      </c>
      <c r="F20" s="25" t="n"/>
      <c r="G20" s="26" t="inlineStr">
        <is>
          <t>—</t>
        </is>
      </c>
      <c r="H20" s="23" t="inlineStr">
        <is>
          <t>Privately Owned</t>
        </is>
      </c>
      <c r="I20" s="27" t="n">
        <v>4.7</v>
      </c>
      <c r="J20" s="22" t="inlineStr">
        <is>
          <t>Garden</t>
        </is>
      </c>
      <c r="K20" s="23" t="inlineStr">
        <is>
          <t>RealPage pipeline (not yet in CoStar)</t>
        </is>
      </c>
      <c r="M20">
        <f>IFERROR(VALUE(RIGHT(E20,4))*4+MATCH(LEFT(E20,2),{"Q1","Q2","Q3","Q4"},0)-1,"")</f>
        <v/>
      </c>
    </row>
    <row r="21">
      <c r="B21" s="22" t="n">
        <v>12</v>
      </c>
      <c r="C21" s="23" t="inlineStr">
        <is>
          <t>Harris Ranch East</t>
        </is>
      </c>
      <c r="D21" s="24" t="n">
        <v>59</v>
      </c>
      <c r="E21" s="22" t="inlineStr">
        <is>
          <t>TBD</t>
        </is>
      </c>
      <c r="F21" s="25" t="n"/>
      <c r="G21" s="26" t="inlineStr">
        <is>
          <t>—</t>
        </is>
      </c>
      <c r="H21" s="23" t="inlineStr">
        <is>
          <t>—</t>
        </is>
      </c>
      <c r="I21" s="27" t="n">
        <v>2.9</v>
      </c>
      <c r="J21" s="22" t="inlineStr">
        <is>
          <t>Single Family</t>
        </is>
      </c>
      <c r="K21" s="23" t="inlineStr">
        <is>
          <t>RealPage pipeline (not yet in CoStar)</t>
        </is>
      </c>
      <c r="M21">
        <f>IFERROR(VALUE(RIGHT(E21,4))*4+MATCH(LEFT(E21,2),{"Q1","Q2","Q3","Q4"},0)-1,"")</f>
        <v/>
      </c>
    </row>
    <row r="24">
      <c r="B24" s="28" t="inlineStr">
        <is>
          <t>* 5-Mile radius. Rent ($) = market asking. Proximity (mi) = straight-line distance from the subject. Est. Delivery drives the Supply &amp; Absorption tab's per-window supply (edit it there or here — they are linked). See the 'Supply &amp; Absorption' tab for the forward supply / absorption / overall-occupancy forecast.</t>
        </is>
      </c>
    </row>
  </sheetData>
  <mergeCells count="6">
    <mergeCell ref="B3:G3"/>
    <mergeCell ref="C11:K11"/>
    <mergeCell ref="C5:K5"/>
    <mergeCell ref="C2:G2"/>
    <mergeCell ref="C14:K14"/>
    <mergeCell ref="B24:K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B1:Z7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28" customWidth="1" min="18" max="18"/>
    <col width="7" customWidth="1" min="19" max="19"/>
    <col width="11" customWidth="1" min="20" max="20"/>
    <col width="9" customWidth="1" min="21" max="21"/>
    <col hidden="1" width="8" customWidth="1" min="22" max="22"/>
    <col hidden="1" width="7" customWidth="1" min="23" max="23"/>
    <col hidden="1" width="6" customWidth="1" min="24" max="24"/>
    <col hidden="1" width="13" customWidth="1" min="26" max="26"/>
  </cols>
  <sheetData>
    <row r="1" ht="14.4" customHeight="1">
      <c r="Z1" t="n">
        <v>8105</v>
      </c>
    </row>
    <row r="2" ht="20" customHeight="1">
      <c r="B2" s="1" t="inlineStr">
        <is>
          <t>SUPPLY &amp; ABSORPTION  —  5-MILE MARKET (relative-year / TTM)</t>
        </is>
      </c>
      <c r="Z2">
        <f>IFERROR(VALUE(RIGHT($C$5,4))*4+MATCH(LEFT($C$5,2),{"Q1","Q2","Q3","Q4"},0)-1,0)</f>
        <v/>
      </c>
    </row>
    <row r="3" ht="14.4" customHeight="1">
      <c r="R3" s="29" t="inlineStr">
        <is>
          <t>UNDER CONSTRUCTION (linked from Competitive Analysis)</t>
        </is>
      </c>
      <c r="Z3">
        <f>IF($C$7="Bear",3,IF($C$7="Base",2,1))</f>
        <v/>
      </c>
    </row>
    <row r="4" ht="14.4" customHeight="1">
      <c r="B4" s="30" t="inlineStr">
        <is>
          <t>As-of Quarter (Y0 end)</t>
        </is>
      </c>
      <c r="C4" s="31" t="inlineStr">
        <is>
          <t>Q2 2026</t>
        </is>
      </c>
      <c r="D4" s="32" t="inlineStr">
        <is>
          <t>◂ Y0 = the trailing-12-months ending here (latest complete CoStar quarter); -Y1…-Y6 step back a year each.</t>
        </is>
      </c>
      <c r="R4" s="33" t="inlineStr">
        <is>
          <t>Property</t>
        </is>
      </c>
      <c r="S4" s="33" t="inlineStr">
        <is>
          <t>Units</t>
        </is>
      </c>
      <c r="T4" s="33" t="inlineStr">
        <is>
          <t>Est. Delivery</t>
        </is>
      </c>
    </row>
    <row r="5" ht="14.4" customHeight="1">
      <c r="B5" s="30" t="inlineStr">
        <is>
          <t>Close Quarter (Y1 start)</t>
        </is>
      </c>
      <c r="C5" s="34" t="inlineStr">
        <is>
          <t>Q4 2026</t>
        </is>
      </c>
      <c r="D5" s="32" t="inlineStr">
        <is>
          <t>◂ Expected deal close. Y1 = the 12 months starting here; pipeline deliveries bucket into hold years off this anchor — edit it and the Y1–Y6 windows &amp; supply shift.</t>
        </is>
      </c>
      <c r="R5" s="35">
        <f>'Competitive Analysis'!C12</f>
        <v/>
      </c>
      <c r="S5" s="36">
        <f>'Competitive Analysis'!D12</f>
        <v/>
      </c>
      <c r="T5" s="37">
        <f>'Competitive Analysis'!E12</f>
        <v/>
      </c>
      <c r="V5">
        <f>IFERROR(VALUE(RIGHT(T5,4))*4+MATCH(LEFT(T5,2),{"Q1","Q2","Q3","Q4"},0)-1,"")</f>
        <v/>
      </c>
      <c r="W5">
        <f>IF(V5="","",IF(V5&lt;=$Z$1,0,MAX(1,INT((V5-$Z$2)/4)+1)))</f>
        <v/>
      </c>
    </row>
    <row r="6" ht="14.4" customHeight="1">
      <c r="B6" s="30" t="inlineStr">
        <is>
          <t>Stabilization Target</t>
        </is>
      </c>
      <c r="C6" s="38" t="n">
        <v>0.95</v>
      </c>
    </row>
    <row r="7" ht="14.4" customHeight="1">
      <c r="B7" s="30" t="inlineStr">
        <is>
          <t>Demand Scenario</t>
        </is>
      </c>
      <c r="C7" s="34" t="inlineStr">
        <is>
          <t>Base</t>
        </is>
      </c>
      <c r="R7" s="29" t="inlineStr">
        <is>
          <t>PROPOSED PIPELINE (scenario toggle)</t>
        </is>
      </c>
    </row>
    <row r="8" ht="14.4" customHeight="1">
      <c r="B8" s="30" t="inlineStr">
        <is>
          <t>Bear Annual Absorption</t>
        </is>
      </c>
      <c r="C8" s="39" t="n">
        <v>150</v>
      </c>
      <c r="R8" s="33" t="inlineStr">
        <is>
          <t>Property</t>
        </is>
      </c>
      <c r="S8" s="33" t="inlineStr">
        <is>
          <t>Units</t>
        </is>
      </c>
      <c r="T8" s="33" t="inlineStr">
        <is>
          <t>Est. Delivery</t>
        </is>
      </c>
      <c r="U8" s="33" t="inlineStr">
        <is>
          <t>Built In</t>
        </is>
      </c>
    </row>
    <row r="9" ht="14.4" customHeight="1">
      <c r="B9" s="30" t="inlineStr">
        <is>
          <t>Base Annual Absorption</t>
        </is>
      </c>
      <c r="C9" s="39" t="n">
        <v>300</v>
      </c>
      <c r="R9" s="35" t="inlineStr">
        <is>
          <t>Vista Point</t>
        </is>
      </c>
      <c r="S9" s="36" t="n">
        <v>893</v>
      </c>
      <c r="T9" s="40" t="inlineStr"/>
      <c r="U9" s="40" t="inlineStr">
        <is>
          <t>Bear only</t>
        </is>
      </c>
      <c r="V9">
        <f>IFERROR(VALUE(RIGHT(T9,4))*4+MATCH(LEFT(T9,2),{"Q1","Q2","Q3","Q4"},0)-1,"")</f>
        <v/>
      </c>
      <c r="W9">
        <f>IF(V9="","",IF(V9&lt;=$Z$1,0,MAX(1,INT((V9-$Z$2)/4)+1)))</f>
        <v/>
      </c>
      <c r="X9">
        <f>IF(U9="All",1,IF(U9="Bear+Base",IF($Z$3&gt;=2,1,0),IF(U9="Bear only",IF($Z$3&gt;=3,1,0),0)))</f>
        <v/>
      </c>
    </row>
    <row r="10" ht="14.4" customHeight="1">
      <c r="B10" s="30" t="inlineStr">
        <is>
          <t>Bull Annual Absorption</t>
        </is>
      </c>
      <c r="C10" s="39" t="n">
        <v>450</v>
      </c>
      <c r="D10" s="32" t="inlineStr">
        <is>
          <t>◂ Base = trailing-3-yr CoStar average (annualized, complete quarters).</t>
        </is>
      </c>
      <c r="R10" s="35" t="inlineStr">
        <is>
          <t>Seasons on the Bench</t>
        </is>
      </c>
      <c r="S10" s="36" t="n">
        <v>358</v>
      </c>
      <c r="T10" s="40" t="inlineStr"/>
      <c r="U10" s="40" t="inlineStr">
        <is>
          <t>Bear only</t>
        </is>
      </c>
      <c r="V10">
        <f>IFERROR(VALUE(RIGHT(T10,4))*4+MATCH(LEFT(T10,2),{"Q1","Q2","Q3","Q4"},0)-1,"")</f>
        <v/>
      </c>
      <c r="W10">
        <f>IF(V10="","",IF(V10&lt;=$Z$1,0,MAX(1,INT((V10-$Z$2)/4)+1)))</f>
        <v/>
      </c>
      <c r="X10">
        <f>IF(U10="All",1,IF(U10="Bear+Base",IF($Z$3&gt;=2,1,0),IF(U10="Bear only",IF($Z$3&gt;=3,1,0),0)))</f>
        <v/>
      </c>
    </row>
    <row r="11" ht="14.4" customHeight="1">
      <c r="B11" s="30" t="inlineStr">
        <is>
          <t>Selected Annual Demand</t>
        </is>
      </c>
      <c r="C11" s="41">
        <f>IF($C$7="Bear",$C$8,IF($C$7="Bull",$C$10,$C$9))</f>
        <v/>
      </c>
      <c r="R11" s="35" t="inlineStr">
        <is>
          <t>1519 South Londoner Avenue</t>
        </is>
      </c>
      <c r="S11" s="36" t="n">
        <v>189</v>
      </c>
      <c r="T11" s="40" t="inlineStr"/>
      <c r="U11" s="40" t="inlineStr">
        <is>
          <t>Bear only</t>
        </is>
      </c>
      <c r="V11">
        <f>IFERROR(VALUE(RIGHT(T11,4))*4+MATCH(LEFT(T11,2),{"Q1","Q2","Q3","Q4"},0)-1,"")</f>
        <v/>
      </c>
      <c r="W11">
        <f>IF(V11="","",IF(V11&lt;=$Z$1,0,MAX(1,INT((V11-$Z$2)/4)+1)))</f>
        <v/>
      </c>
      <c r="X11">
        <f>IF(U11="All",1,IF(U11="Bear+Base",IF($Z$3&gt;=2,1,0),IF(U11="Bear only",IF($Z$3&gt;=3,1,0),0)))</f>
        <v/>
      </c>
    </row>
    <row r="12" ht="14.4" customHeight="1">
      <c r="R12" s="35" t="inlineStr">
        <is>
          <t>3300 South Vista Avenue</t>
        </is>
      </c>
      <c r="S12" s="36" t="n">
        <v>180</v>
      </c>
      <c r="T12" s="40" t="inlineStr"/>
      <c r="U12" s="40" t="inlineStr">
        <is>
          <t>Bear only</t>
        </is>
      </c>
      <c r="V12">
        <f>IFERROR(VALUE(RIGHT(T12,4))*4+MATCH(LEFT(T12,2),{"Q1","Q2","Q3","Q4"},0)-1,"")</f>
        <v/>
      </c>
      <c r="W12">
        <f>IF(V12="","",IF(V12&lt;=$Z$1,0,MAX(1,INT((V12-$Z$2)/4)+1)))</f>
        <v/>
      </c>
      <c r="X12">
        <f>IF(U12="All",1,IF(U12="Bear+Base",IF($Z$3&gt;=2,1,0),IF(U12="Bear only",IF($Z$3&gt;=3,1,0),0)))</f>
        <v/>
      </c>
    </row>
    <row r="13" ht="14.4" customHeight="1">
      <c r="R13" s="35" t="inlineStr">
        <is>
          <t>The Ranahan</t>
        </is>
      </c>
      <c r="S13" s="36" t="n">
        <v>138</v>
      </c>
      <c r="T13" s="40" t="inlineStr">
        <is>
          <t>Q4 2028</t>
        </is>
      </c>
      <c r="U13" s="40" t="inlineStr">
        <is>
          <t>Bear only</t>
        </is>
      </c>
      <c r="V13">
        <f>IFERROR(VALUE(RIGHT(T13,4))*4+MATCH(LEFT(T13,2),{"Q1","Q2","Q3","Q4"},0)-1,"")</f>
        <v/>
      </c>
      <c r="W13">
        <f>IF(V13="","",IF(V13&lt;=$Z$1,0,MAX(1,INT((V13-$Z$2)/4)+1)))</f>
        <v/>
      </c>
      <c r="X13">
        <f>IF(U13="All",1,IF(U13="Bear+Base",IF($Z$3&gt;=2,1,0),IF(U13="Bear only",IF($Z$3&gt;=3,1,0),0)))</f>
        <v/>
      </c>
    </row>
    <row r="14" ht="14.4" customHeight="1">
      <c r="R14" s="35" t="inlineStr">
        <is>
          <t>Station Village</t>
        </is>
      </c>
      <c r="S14" s="36" t="n">
        <v>84</v>
      </c>
      <c r="T14" s="40" t="inlineStr"/>
      <c r="U14" s="40" t="inlineStr">
        <is>
          <t>Bear only</t>
        </is>
      </c>
      <c r="V14">
        <f>IFERROR(VALUE(RIGHT(T14,4))*4+MATCH(LEFT(T14,2),{"Q1","Q2","Q3","Q4"},0)-1,"")</f>
        <v/>
      </c>
      <c r="W14">
        <f>IF(V14="","",IF(V14&lt;=$Z$1,0,MAX(1,INT((V14-$Z$2)/4)+1)))</f>
        <v/>
      </c>
      <c r="X14">
        <f>IF(U14="All",1,IF(U14="Bear+Base",IF($Z$3&gt;=2,1,0),IF(U14="Bear only",IF($Z$3&gt;=3,1,0),0)))</f>
        <v/>
      </c>
    </row>
    <row r="15" ht="14.4" customHeight="1">
      <c r="R15" s="35" t="inlineStr">
        <is>
          <t>Harris Ranch East</t>
        </is>
      </c>
      <c r="S15" s="36" t="n">
        <v>59</v>
      </c>
      <c r="T15" s="40" t="inlineStr"/>
      <c r="U15" s="40" t="inlineStr">
        <is>
          <t>Bear only</t>
        </is>
      </c>
      <c r="V15">
        <f>IFERROR(VALUE(RIGHT(T15,4))*4+MATCH(LEFT(T15,2),{"Q1","Q2","Q3","Q4"},0)-1,"")</f>
        <v/>
      </c>
      <c r="W15">
        <f>IF(V15="","",IF(V15&lt;=$Z$1,0,MAX(1,INT((V15-$Z$2)/4)+1)))</f>
        <v/>
      </c>
      <c r="X15">
        <f>IF(U15="All",1,IF(U15="Bear+Base",IF($Z$3&gt;=2,1,0),IF(U15="Bear only",IF($Z$3&gt;=3,1,0),0)))</f>
        <v/>
      </c>
    </row>
    <row r="16" ht="14.4" customHeight="1"/>
    <row r="17" ht="14.4" customHeight="1">
      <c r="B17" s="30" t="inlineStr">
        <is>
          <t>5-MILE MARKET</t>
        </is>
      </c>
      <c r="C17" s="3" t="inlineStr">
        <is>
          <t>-Y6</t>
        </is>
      </c>
      <c r="D17" s="3" t="inlineStr">
        <is>
          <t>-Y5</t>
        </is>
      </c>
      <c r="E17" s="3" t="inlineStr">
        <is>
          <t>-Y4</t>
        </is>
      </c>
      <c r="F17" s="3" t="inlineStr">
        <is>
          <t>-Y3</t>
        </is>
      </c>
      <c r="G17" s="3" t="inlineStr">
        <is>
          <t>-Y2</t>
        </is>
      </c>
      <c r="H17" s="3" t="inlineStr">
        <is>
          <t>-Y1</t>
        </is>
      </c>
      <c r="I17" s="3" t="inlineStr">
        <is>
          <t>Y0</t>
        </is>
      </c>
      <c r="J17" s="42" t="inlineStr">
        <is>
          <t>Y1</t>
        </is>
      </c>
      <c r="K17" s="42" t="inlineStr">
        <is>
          <t>Y2</t>
        </is>
      </c>
      <c r="L17" s="42" t="inlineStr">
        <is>
          <t>Y3</t>
        </is>
      </c>
      <c r="M17" s="42" t="inlineStr">
        <is>
          <t>Y4</t>
        </is>
      </c>
      <c r="N17" s="42" t="inlineStr">
        <is>
          <t>Y5</t>
        </is>
      </c>
      <c r="O17" s="42" t="inlineStr">
        <is>
          <t>Y6</t>
        </is>
      </c>
    </row>
    <row r="18" ht="14.4" customHeight="1">
      <c r="C18" s="43" t="inlineStr">
        <is>
          <t>Q3'19-Q2'20</t>
        </is>
      </c>
      <c r="D18" s="43" t="inlineStr">
        <is>
          <t>Q3'20-Q2'21</t>
        </is>
      </c>
      <c r="E18" s="43" t="inlineStr">
        <is>
          <t>Q3'21-Q2'22</t>
        </is>
      </c>
      <c r="F18" s="43" t="inlineStr">
        <is>
          <t>Q3'22-Q2'23</t>
        </is>
      </c>
      <c r="G18" s="43" t="inlineStr">
        <is>
          <t>Q3'23-Q2'24</t>
        </is>
      </c>
      <c r="H18" s="43" t="inlineStr">
        <is>
          <t>Q3'24-Q2'25</t>
        </is>
      </c>
      <c r="I18" s="43" t="inlineStr">
        <is>
          <t>Q3'25-Q2'26</t>
        </is>
      </c>
      <c r="J18" s="43">
        <f>"Q"&amp;(MOD(($Z$2+0),4)+1)&amp;"'"&amp;RIGHT(INT(($Z$2+0)/4),2)&amp;"-Q"&amp;(MOD(($Z$2+3),4)+1)&amp;"'"&amp;RIGHT(INT(($Z$2+3)/4),2)</f>
        <v/>
      </c>
      <c r="K18" s="43">
        <f>"Q"&amp;(MOD(($Z$2+4),4)+1)&amp;"'"&amp;RIGHT(INT(($Z$2+4)/4),2)&amp;"-Q"&amp;(MOD(($Z$2+7),4)+1)&amp;"'"&amp;RIGHT(INT(($Z$2+7)/4),2)</f>
        <v/>
      </c>
      <c r="L18" s="43">
        <f>"Q"&amp;(MOD(($Z$2+8),4)+1)&amp;"'"&amp;RIGHT(INT(($Z$2+8)/4),2)&amp;"-Q"&amp;(MOD(($Z$2+11),4)+1)&amp;"'"&amp;RIGHT(INT(($Z$2+11)/4),2)</f>
        <v/>
      </c>
      <c r="M18" s="43">
        <f>"Q"&amp;(MOD(($Z$2+12),4)+1)&amp;"'"&amp;RIGHT(INT(($Z$2+12)/4),2)&amp;"-Q"&amp;(MOD(($Z$2+15),4)+1)&amp;"'"&amp;RIGHT(INT(($Z$2+15)/4),2)</f>
        <v/>
      </c>
      <c r="N18" s="43">
        <f>"Q"&amp;(MOD(($Z$2+16),4)+1)&amp;"'"&amp;RIGHT(INT(($Z$2+16)/4),2)&amp;"-Q"&amp;(MOD(($Z$2+19),4)+1)&amp;"'"&amp;RIGHT(INT(($Z$2+19)/4),2)</f>
        <v/>
      </c>
      <c r="O18" s="43">
        <f>"Q"&amp;(MOD(($Z$2+20),4)+1)&amp;"'"&amp;RIGHT(INT(($Z$2+20)/4),2)&amp;"-Q"&amp;(MOD(($Z$2+23),4)+1)&amp;"'"&amp;RIGHT(INT(($Z$2+23)/4),2)</f>
        <v/>
      </c>
    </row>
    <row r="19" ht="14.4" customHeight="1">
      <c r="B19" s="30" t="inlineStr">
        <is>
          <t>NEW SUPPLY (5-mi)</t>
        </is>
      </c>
      <c r="C19" s="44" t="n">
        <v>213</v>
      </c>
      <c r="D19" s="44" t="n">
        <v>237</v>
      </c>
      <c r="E19" s="44" t="n">
        <v>33</v>
      </c>
      <c r="F19" s="44" t="n">
        <v>289</v>
      </c>
      <c r="G19" s="44" t="n">
        <v>178</v>
      </c>
      <c r="H19" s="44" t="n">
        <v>334</v>
      </c>
      <c r="I19" s="44">
        <f>SUMIFS('Competitive Analysis'!$D$5:$D$21,'Competitive Analysis'!$M$5:$M$21,"&gt;="&amp;8102,'Competitive Analysis'!$M$5:$M$21,"&lt;="&amp;8105)</f>
        <v/>
      </c>
      <c r="J19" s="45">
        <f>SUMIFS($S$5:$S$5,$W$5:$W$5,1)+SUMIFS($S$9:$S$15,$W$9:$W$15,1,$X$9:$X$15,1)</f>
        <v/>
      </c>
      <c r="K19" s="45">
        <f>SUMIFS($S$5:$S$5,$W$5:$W$5,2)+SUMIFS($S$9:$S$15,$W$9:$W$15,2,$X$9:$X$15,1)</f>
        <v/>
      </c>
      <c r="L19" s="45">
        <f>SUMIFS($S$5:$S$5,$W$5:$W$5,3)+SUMIFS($S$9:$S$15,$W$9:$W$15,3,$X$9:$X$15,1)</f>
        <v/>
      </c>
      <c r="M19" s="45">
        <f>SUMIFS($S$5:$S$5,$W$5:$W$5,4)+SUMIFS($S$9:$S$15,$W$9:$W$15,4,$X$9:$X$15,1)</f>
        <v/>
      </c>
      <c r="N19" s="45">
        <f>SUMIFS($S$5:$S$5,$W$5:$W$5,5)+SUMIFS($S$9:$S$15,$W$9:$W$15,5,$X$9:$X$15,1)</f>
        <v/>
      </c>
      <c r="O19" s="45">
        <f>SUMIFS($S$5:$S$5,$W$5:$W$5,6)+SUMIFS($S$9:$S$15,$W$9:$W$15,6,$X$9:$X$15,1)</f>
        <v/>
      </c>
    </row>
    <row r="20" ht="14.4" customHeight="1">
      <c r="B20" s="30" t="inlineStr">
        <is>
          <t>ABSORPTION (5-mi)</t>
        </is>
      </c>
      <c r="C20" s="44" t="n">
        <v>213</v>
      </c>
      <c r="D20" s="44" t="n">
        <v>150</v>
      </c>
      <c r="E20" s="44" t="n">
        <v>86</v>
      </c>
      <c r="F20" s="44" t="n">
        <v>-91</v>
      </c>
      <c r="G20" s="44" t="n">
        <v>277</v>
      </c>
      <c r="H20" s="44" t="n">
        <v>400</v>
      </c>
      <c r="I20" s="44" t="n">
        <v>209</v>
      </c>
      <c r="J20" s="45">
        <f>J31-I31</f>
        <v/>
      </c>
      <c r="K20" s="45">
        <f>K31-J31</f>
        <v/>
      </c>
      <c r="L20" s="45">
        <f>L31-K31</f>
        <v/>
      </c>
      <c r="M20" s="45">
        <f>M31-L31</f>
        <v/>
      </c>
      <c r="N20" s="45">
        <f>N31-M31</f>
        <v/>
      </c>
      <c r="O20" s="45">
        <f>O31-N31</f>
        <v/>
      </c>
    </row>
    <row r="21" ht="14.4" customHeight="1">
      <c r="B21" s="30" t="inlineStr">
        <is>
          <t>OCCUPANCY (5-mi)</t>
        </is>
      </c>
      <c r="C21" s="46" t="n">
        <v>0.968</v>
      </c>
      <c r="D21" s="46" t="n">
        <v>0.952</v>
      </c>
      <c r="E21" s="46" t="n">
        <v>0.963</v>
      </c>
      <c r="F21" s="46" t="n">
        <v>0.895</v>
      </c>
      <c r="G21" s="46" t="n">
        <v>0.916</v>
      </c>
      <c r="H21" s="46" t="n">
        <v>0.9320000000000001</v>
      </c>
      <c r="I21" s="46">
        <f>IFERROR(I31/I30,"")</f>
        <v/>
      </c>
      <c r="J21" s="47">
        <f>IFERROR(J31/J30,0)</f>
        <v/>
      </c>
      <c r="K21" s="47">
        <f>IFERROR(K31/K30,0)</f>
        <v/>
      </c>
      <c r="L21" s="47">
        <f>IFERROR(L31/L30,0)</f>
        <v/>
      </c>
      <c r="M21" s="47">
        <f>IFERROR(M31/M30,0)</f>
        <v/>
      </c>
      <c r="N21" s="47">
        <f>IFERROR(N31/N30,0)</f>
        <v/>
      </c>
      <c r="O21" s="47">
        <f>IFERROR(O31/O30,0)</f>
        <v/>
      </c>
    </row>
    <row r="22" ht="14.4" customHeight="1">
      <c r="B22" s="30" t="inlineStr">
        <is>
          <t>SUBJECT (Canyon Ridge)</t>
        </is>
      </c>
    </row>
    <row r="23" ht="14.4" customHeight="1">
      <c r="B23" s="30" t="inlineStr">
        <is>
          <t xml:space="preserve">  Market Rent  (CoStar→HD)</t>
        </is>
      </c>
      <c r="C23" s="48" t="n">
        <v>1811</v>
      </c>
      <c r="D23" s="48" t="n">
        <v>1845</v>
      </c>
      <c r="E23" s="48" t="n">
        <v>1885</v>
      </c>
      <c r="F23" s="48" t="n">
        <v>1925</v>
      </c>
      <c r="G23" s="48" t="n">
        <v>1953</v>
      </c>
      <c r="H23" s="48" t="n">
        <v>1977</v>
      </c>
      <c r="I23" s="48">
        <f>IFERROR('Cash Flow (Annual)'!$F$4,2136)</f>
        <v/>
      </c>
      <c r="J23" s="49">
        <f>IFERROR('Cash Flow (Annual)'!$K$4,"")</f>
        <v/>
      </c>
      <c r="K23" s="49">
        <f>IFERROR('Cash Flow (Annual)'!$L$4,"")</f>
        <v/>
      </c>
      <c r="L23" s="49">
        <f>IFERROR('Cash Flow (Annual)'!$M$4,"")</f>
        <v/>
      </c>
      <c r="M23" s="49">
        <f>IFERROR('Cash Flow (Annual)'!$N$4,"")</f>
        <v/>
      </c>
      <c r="N23" s="49">
        <f>IFERROR('Cash Flow (Annual)'!$O$4,"")</f>
        <v/>
      </c>
      <c r="O23" s="49">
        <f>IFERROR('Cash Flow (Annual)'!$P$4,"")</f>
        <v/>
      </c>
    </row>
    <row r="24" ht="14.4" customHeight="1">
      <c r="B24" s="50" t="inlineStr">
        <is>
          <t xml:space="preserve">    Market Rent YoY %</t>
        </is>
      </c>
      <c r="C24" s="51" t="n"/>
      <c r="D24" s="51">
        <f>IFERROR(D23/C23-1,"")</f>
        <v/>
      </c>
      <c r="E24" s="51">
        <f>IFERROR(E23/D23-1,"")</f>
        <v/>
      </c>
      <c r="F24" s="51">
        <f>IFERROR(F23/E23-1,"")</f>
        <v/>
      </c>
      <c r="G24" s="51">
        <f>IFERROR(G23/F23-1,"")</f>
        <v/>
      </c>
      <c r="H24" s="51">
        <f>IFERROR(H23/G23-1,"")</f>
        <v/>
      </c>
      <c r="I24" s="51">
        <f>IFERROR(I23/H23-1,"")</f>
        <v/>
      </c>
      <c r="J24" s="52">
        <f>IFERROR(J23/I23-1,"")</f>
        <v/>
      </c>
      <c r="K24" s="52">
        <f>IFERROR(K23/J23-1,"")</f>
        <v/>
      </c>
      <c r="L24" s="52">
        <f>IFERROR(L23/K23-1,"")</f>
        <v/>
      </c>
      <c r="M24" s="52">
        <f>IFERROR(M23/L23-1,"")</f>
        <v/>
      </c>
      <c r="N24" s="52">
        <f>IFERROR(N23/M23-1,"")</f>
        <v/>
      </c>
      <c r="O24" s="52">
        <f>IFERROR(O23/N23-1,"")</f>
        <v/>
      </c>
    </row>
    <row r="25" ht="14.4" customHeight="1">
      <c r="B25" s="30" t="inlineStr">
        <is>
          <t xml:space="preserve">  Effective Rent</t>
        </is>
      </c>
      <c r="C25" s="48" t="n">
        <v>1793</v>
      </c>
      <c r="D25" s="48" t="n">
        <v>1832</v>
      </c>
      <c r="E25" s="48" t="n">
        <v>1867</v>
      </c>
      <c r="F25" s="48" t="n">
        <v>1897</v>
      </c>
      <c r="G25" s="48" t="n">
        <v>1953</v>
      </c>
      <c r="H25" s="48" t="n">
        <v>1823</v>
      </c>
      <c r="I25" s="48">
        <f>IFERROR('Cash Flow (Annual)'!$F$5,2018)</f>
        <v/>
      </c>
      <c r="J25" s="49">
        <f>IFERROR('Cash Flow (Annual)'!$K$5,"")</f>
        <v/>
      </c>
      <c r="K25" s="49">
        <f>IFERROR('Cash Flow (Annual)'!$L$5,"")</f>
        <v/>
      </c>
      <c r="L25" s="49">
        <f>IFERROR('Cash Flow (Annual)'!$M$5,"")</f>
        <v/>
      </c>
      <c r="M25" s="49">
        <f>IFERROR('Cash Flow (Annual)'!$N$5,"")</f>
        <v/>
      </c>
      <c r="N25" s="49">
        <f>IFERROR('Cash Flow (Annual)'!$O$5,"")</f>
        <v/>
      </c>
      <c r="O25" s="49">
        <f>IFERROR('Cash Flow (Annual)'!$P$5,"")</f>
        <v/>
      </c>
    </row>
    <row r="26" ht="14.4" customHeight="1">
      <c r="B26" s="50" t="inlineStr">
        <is>
          <t xml:space="preserve">    Effective Rent YoY %</t>
        </is>
      </c>
      <c r="C26" s="51" t="n"/>
      <c r="D26" s="51">
        <f>IFERROR(D25/C25-1,"")</f>
        <v/>
      </c>
      <c r="E26" s="51">
        <f>IFERROR(E25/D25-1,"")</f>
        <v/>
      </c>
      <c r="F26" s="51">
        <f>IFERROR(F25/E25-1,"")</f>
        <v/>
      </c>
      <c r="G26" s="51">
        <f>IFERROR(G25/F25-1,"")</f>
        <v/>
      </c>
      <c r="H26" s="51">
        <f>IFERROR(H25/G25-1,"")</f>
        <v/>
      </c>
      <c r="I26" s="51">
        <f>IFERROR(I25/H25-1,"")</f>
        <v/>
      </c>
      <c r="J26" s="52">
        <f>IFERROR(J25/I25-1,"")</f>
        <v/>
      </c>
      <c r="K26" s="52">
        <f>IFERROR(K25/J25-1,"")</f>
        <v/>
      </c>
      <c r="L26" s="52">
        <f>IFERROR(L25/K25-1,"")</f>
        <v/>
      </c>
      <c r="M26" s="52">
        <f>IFERROR(M25/L25-1,"")</f>
        <v/>
      </c>
      <c r="N26" s="52">
        <f>IFERROR(N25/M25-1,"")</f>
        <v/>
      </c>
      <c r="O26" s="52">
        <f>IFERROR(O25/N25-1,"")</f>
        <v/>
      </c>
    </row>
    <row r="27" ht="14.4" customHeight="1">
      <c r="B27" s="30" t="inlineStr">
        <is>
          <t xml:space="preserve">  Occupancy (financials / CoStar)</t>
        </is>
      </c>
      <c r="C27" s="53" t="n"/>
      <c r="D27" s="53" t="n"/>
      <c r="E27" s="53" t="n"/>
      <c r="F27" s="53" t="n"/>
      <c r="G27" s="53" t="n"/>
      <c r="H27" s="53" t="n">
        <v>0.4274784328181414</v>
      </c>
      <c r="I27" s="53">
        <f>IFERROR('Cash Flow (Annual)'!$F$14,0.8020596099111482)</f>
        <v/>
      </c>
      <c r="J27" s="54">
        <f>IFERROR('Cash Flow (Annual)'!$K$14,"")</f>
        <v/>
      </c>
      <c r="K27" s="54">
        <f>IFERROR('Cash Flow (Annual)'!$L$14,"")</f>
        <v/>
      </c>
      <c r="L27" s="54">
        <f>IFERROR('Cash Flow (Annual)'!$M$14,"")</f>
        <v/>
      </c>
      <c r="M27" s="54">
        <f>IFERROR('Cash Flow (Annual)'!$N$14,"")</f>
        <v/>
      </c>
      <c r="N27" s="54">
        <f>IFERROR('Cash Flow (Annual)'!$O$14,"")</f>
        <v/>
      </c>
      <c r="O27" s="54">
        <f>IFERROR('Cash Flow (Annual)'!$P$14,"")</f>
        <v/>
      </c>
    </row>
    <row r="28" ht="14.4" customHeight="1">
      <c r="B28" s="30" t="inlineStr">
        <is>
          <t xml:space="preserve">  Concession %</t>
        </is>
      </c>
      <c r="C28" s="53">
        <f>IFERROR((C23-C25)/C23,"")</f>
        <v/>
      </c>
      <c r="D28" s="53">
        <f>IFERROR((D23-D25)/D23,"")</f>
        <v/>
      </c>
      <c r="E28" s="53">
        <f>IFERROR((E23-E25)/E23,"")</f>
        <v/>
      </c>
      <c r="F28" s="53">
        <f>IFERROR((F23-F25)/F23,"")</f>
        <v/>
      </c>
      <c r="G28" s="53">
        <f>IFERROR((G23-G25)/G23,"")</f>
        <v/>
      </c>
      <c r="H28" s="53">
        <f>IFERROR((H23-H25)/H23,"")</f>
        <v/>
      </c>
      <c r="I28" s="53">
        <f>IFERROR((I23-I25)/I23,"")</f>
        <v/>
      </c>
      <c r="J28" s="54">
        <f>IFERROR((J23-J25)/J23,"")</f>
        <v/>
      </c>
      <c r="K28" s="54">
        <f>IFERROR((K23-K25)/K23,"")</f>
        <v/>
      </c>
      <c r="L28" s="54">
        <f>IFERROR((L23-L25)/L23,"")</f>
        <v/>
      </c>
      <c r="M28" s="54">
        <f>IFERROR((M23-M25)/M23,"")</f>
        <v/>
      </c>
      <c r="N28" s="54">
        <f>IFERROR((N23-N25)/N23,"")</f>
        <v/>
      </c>
      <c r="O28" s="54">
        <f>IFERROR((O23-O25)/O23,"")</f>
        <v/>
      </c>
    </row>
    <row r="29" ht="14.4" customHeight="1"/>
    <row r="30" hidden="1" ht="14.4" customHeight="1">
      <c r="B30" s="28" t="inlineStr">
        <is>
          <t xml:space="preserve">  inventory</t>
        </is>
      </c>
      <c r="C30" s="55" t="n">
        <v>4834</v>
      </c>
      <c r="D30" s="55" t="n">
        <v>5071</v>
      </c>
      <c r="E30" s="55" t="n">
        <v>5104</v>
      </c>
      <c r="F30" s="55" t="n">
        <v>5393</v>
      </c>
      <c r="G30" s="55" t="n">
        <v>5571</v>
      </c>
      <c r="H30" s="55" t="n">
        <v>5905</v>
      </c>
      <c r="I30" s="55">
        <f>H30+I19</f>
        <v/>
      </c>
      <c r="J30" s="55">
        <f>I30+J19</f>
        <v/>
      </c>
      <c r="K30" s="55">
        <f>J30+K19</f>
        <v/>
      </c>
      <c r="L30" s="55">
        <f>K30+L19</f>
        <v/>
      </c>
      <c r="M30" s="55">
        <f>L30+M19</f>
        <v/>
      </c>
      <c r="N30" s="55">
        <f>M30+N19</f>
        <v/>
      </c>
      <c r="O30" s="55">
        <f>N30+O19</f>
        <v/>
      </c>
    </row>
    <row r="31" hidden="1" ht="14.4" customHeight="1">
      <c r="B31" s="28" t="inlineStr">
        <is>
          <t xml:space="preserve">  occupied</t>
        </is>
      </c>
      <c r="C31" s="55" t="n">
        <v>4680</v>
      </c>
      <c r="D31" s="55" t="n">
        <v>4830</v>
      </c>
      <c r="E31" s="55" t="n">
        <v>4916</v>
      </c>
      <c r="F31" s="55" t="n">
        <v>4825</v>
      </c>
      <c r="G31" s="55" t="n">
        <v>5102</v>
      </c>
      <c r="H31" s="55" t="n">
        <v>5501</v>
      </c>
      <c r="I31" s="55">
        <f>H31+I20</f>
        <v/>
      </c>
      <c r="J31" s="55">
        <f>MIN($C$6*J30,I31+$C$11)</f>
        <v/>
      </c>
      <c r="K31" s="55">
        <f>MIN($C$6*K30,J31+$C$11)</f>
        <v/>
      </c>
      <c r="L31" s="55">
        <f>MIN($C$6*L30,K31+$C$11)</f>
        <v/>
      </c>
      <c r="M31" s="55">
        <f>MIN($C$6*M30,L31+$C$11)</f>
        <v/>
      </c>
      <c r="N31" s="55">
        <f>MIN($C$6*N30,M31+$C$11)</f>
        <v/>
      </c>
      <c r="O31" s="55">
        <f>MIN($C$6*O30,N31+$C$11)</f>
        <v/>
      </c>
    </row>
    <row r="32" ht="14.4" customHeight="1"/>
    <row r="33" ht="14.4" customHeight="1">
      <c r="B33" s="29" t="inlineStr">
        <is>
          <t>MARKET-RENT GROWTH — TMG vs 3RD-PARTY FORECAST</t>
        </is>
      </c>
      <c r="C33" s="56" t="n"/>
      <c r="D33" s="56" t="n"/>
      <c r="E33" s="56" t="n"/>
      <c r="F33" s="56" t="n"/>
      <c r="G33" s="56" t="n"/>
      <c r="H33" s="56" t="n"/>
      <c r="I33" s="56" t="n"/>
      <c r="J33" s="57" t="inlineStr">
        <is>
          <t>Y1</t>
        </is>
      </c>
      <c r="K33" s="57" t="inlineStr">
        <is>
          <t>Y2</t>
        </is>
      </c>
      <c r="L33" s="57" t="inlineStr">
        <is>
          <t>Y3</t>
        </is>
      </c>
      <c r="M33" s="57" t="inlineStr">
        <is>
          <t>Y4</t>
        </is>
      </c>
      <c r="N33" s="57" t="inlineStr">
        <is>
          <t>Y5</t>
        </is>
      </c>
      <c r="O33" s="57" t="inlineStr">
        <is>
          <t>Y6</t>
        </is>
      </c>
      <c r="P33" s="57" t="inlineStr">
        <is>
          <t>AVG</t>
        </is>
      </c>
    </row>
    <row r="34" ht="14.4" customHeight="1">
      <c r="B34" s="58" t="inlineStr">
        <is>
          <t xml:space="preserve">  CoStar</t>
        </is>
      </c>
      <c r="C34" s="59" t="n"/>
      <c r="D34" s="59" t="n"/>
      <c r="E34" s="59" t="n"/>
      <c r="F34" s="59" t="n"/>
      <c r="G34" s="59" t="n"/>
      <c r="H34" s="59" t="n"/>
      <c r="I34" s="59" t="n"/>
      <c r="J34" s="53">
        <f>IFERROR('Rent &amp; Occ Data'!$C$31,"")</f>
        <v/>
      </c>
      <c r="K34" s="53">
        <f>IFERROR('Rent &amp; Occ Data'!$D$31,"")</f>
        <v/>
      </c>
      <c r="L34" s="53">
        <f>IFERROR('Rent &amp; Occ Data'!$E$31,"")</f>
        <v/>
      </c>
      <c r="M34" s="53">
        <f>IFERROR('Rent &amp; Occ Data'!$F$31,"")</f>
        <v/>
      </c>
      <c r="N34" s="53">
        <f>IFERROR('Rent &amp; Occ Data'!$G$31,"")</f>
        <v/>
      </c>
      <c r="O34" s="53">
        <f>IFERROR('Rent &amp; Occ Data'!$H$31,"")</f>
        <v/>
      </c>
      <c r="P34" s="53">
        <f>IFERROR(AVERAGE(J34:O34),"")</f>
        <v/>
      </c>
    </row>
    <row r="35" ht="14.4" customHeight="1">
      <c r="B35" s="58" t="inlineStr">
        <is>
          <t xml:space="preserve">  RealPage</t>
        </is>
      </c>
      <c r="C35" s="59" t="n"/>
      <c r="D35" s="59" t="n"/>
      <c r="E35" s="59" t="n"/>
      <c r="F35" s="59" t="n"/>
      <c r="G35" s="59" t="n"/>
      <c r="H35" s="59" t="n"/>
      <c r="I35" s="59" t="n"/>
      <c r="J35" s="53">
        <f>IFERROR('Rent &amp; Occ Data'!$C$32,"")</f>
        <v/>
      </c>
      <c r="K35" s="53">
        <f>IFERROR('Rent &amp; Occ Data'!$D$32,"")</f>
        <v/>
      </c>
      <c r="L35" s="53">
        <f>IFERROR('Rent &amp; Occ Data'!$E$32,"")</f>
        <v/>
      </c>
      <c r="M35" s="53">
        <f>IFERROR('Rent &amp; Occ Data'!$F$32,"")</f>
        <v/>
      </c>
      <c r="N35" s="53">
        <f>IFERROR('Rent &amp; Occ Data'!$G$32,"")</f>
        <v/>
      </c>
      <c r="O35" s="53">
        <f>IFERROR('Rent &amp; Occ Data'!$H$32,"")</f>
        <v/>
      </c>
      <c r="P35" s="53">
        <f>IFERROR(AVERAGE(J35:O35),"")</f>
        <v/>
      </c>
    </row>
    <row r="36" ht="14.4" customHeight="1">
      <c r="B36" s="58" t="inlineStr">
        <is>
          <t xml:space="preserve">  Yardi</t>
        </is>
      </c>
      <c r="C36" s="59" t="n"/>
      <c r="D36" s="59" t="n"/>
      <c r="E36" s="59" t="n"/>
      <c r="F36" s="59" t="n"/>
      <c r="G36" s="59" t="n"/>
      <c r="H36" s="59" t="n"/>
      <c r="I36" s="59" t="n"/>
      <c r="J36" s="53">
        <f>IFERROR('Rent &amp; Occ Data'!$C$33,"")</f>
        <v/>
      </c>
      <c r="K36" s="53">
        <f>IFERROR('Rent &amp; Occ Data'!$D$33,"")</f>
        <v/>
      </c>
      <c r="L36" s="53">
        <f>IFERROR('Rent &amp; Occ Data'!$E$33,"")</f>
        <v/>
      </c>
      <c r="M36" s="53">
        <f>IFERROR('Rent &amp; Occ Data'!$F$33,"")</f>
        <v/>
      </c>
      <c r="N36" s="53">
        <f>IFERROR('Rent &amp; Occ Data'!$G$33,"")</f>
        <v/>
      </c>
      <c r="O36" s="53">
        <f>IFERROR('Rent &amp; Occ Data'!$H$33,"")</f>
        <v/>
      </c>
      <c r="P36" s="53">
        <f>IFERROR(AVERAGE(J36:O36),"")</f>
        <v/>
      </c>
    </row>
    <row r="37" ht="14.4" customHeight="1">
      <c r="B37" s="58" t="inlineStr">
        <is>
          <t xml:space="preserve">  GreenStreet</t>
        </is>
      </c>
      <c r="C37" s="59" t="n"/>
      <c r="D37" s="59" t="n"/>
      <c r="E37" s="59" t="n"/>
      <c r="F37" s="59" t="n"/>
      <c r="G37" s="59" t="n"/>
      <c r="H37" s="59" t="n"/>
      <c r="I37" s="59" t="n"/>
      <c r="J37" s="53">
        <f>IFERROR('Rent &amp; Occ Data'!$C$34,"")</f>
        <v/>
      </c>
      <c r="K37" s="53">
        <f>IFERROR('Rent &amp; Occ Data'!$D$34,"")</f>
        <v/>
      </c>
      <c r="L37" s="53">
        <f>IFERROR('Rent &amp; Occ Data'!$E$34,"")</f>
        <v/>
      </c>
      <c r="M37" s="53">
        <f>IFERROR('Rent &amp; Occ Data'!$F$34,"")</f>
        <v/>
      </c>
      <c r="N37" s="53">
        <f>IFERROR('Rent &amp; Occ Data'!$G$34,"")</f>
        <v/>
      </c>
      <c r="O37" s="53">
        <f>IFERROR('Rent &amp; Occ Data'!$H$34,"")</f>
        <v/>
      </c>
      <c r="P37" s="53">
        <f>IFERROR(AVERAGE(J37:O37),"")</f>
        <v/>
      </c>
    </row>
    <row r="38" ht="14.4" customHeight="1">
      <c r="B38" s="60" t="inlineStr">
        <is>
          <t xml:space="preserve">  Consensus (4-source avg)</t>
        </is>
      </c>
      <c r="C38" s="61" t="n"/>
      <c r="D38" s="61" t="n"/>
      <c r="E38" s="61" t="n"/>
      <c r="F38" s="61" t="n"/>
      <c r="G38" s="61" t="n"/>
      <c r="H38" s="61" t="n"/>
      <c r="I38" s="61" t="n"/>
      <c r="J38" s="62">
        <f>IFERROR(AVERAGE(J34:J37),"")</f>
        <v/>
      </c>
      <c r="K38" s="62">
        <f>IFERROR(AVERAGE(K34:K37),"")</f>
        <v/>
      </c>
      <c r="L38" s="62">
        <f>IFERROR(AVERAGE(L34:L37),"")</f>
        <v/>
      </c>
      <c r="M38" s="62">
        <f>IFERROR(AVERAGE(M34:M37),"")</f>
        <v/>
      </c>
      <c r="N38" s="62">
        <f>IFERROR(AVERAGE(N34:N37),"")</f>
        <v/>
      </c>
      <c r="O38" s="62">
        <f>IFERROR(AVERAGE(O34:O37),"")</f>
        <v/>
      </c>
      <c r="P38" s="62">
        <f>IFERROR(AVERAGE(P34:P37),"")</f>
        <v/>
      </c>
    </row>
    <row r="39" ht="14.4" customHeight="1">
      <c r="B39" s="63" t="inlineStr">
        <is>
          <t xml:space="preserve">  TMG — our market-rent growth  ◄</t>
        </is>
      </c>
      <c r="C39" s="64" t="n"/>
      <c r="D39" s="64" t="n"/>
      <c r="E39" s="64" t="n"/>
      <c r="F39" s="64" t="n"/>
      <c r="G39" s="64" t="n"/>
      <c r="H39" s="64" t="n"/>
      <c r="I39" s="64" t="n"/>
      <c r="J39" s="65">
        <f>IFERROR(J24,"")</f>
        <v/>
      </c>
      <c r="K39" s="65">
        <f>IFERROR(K24,"")</f>
        <v/>
      </c>
      <c r="L39" s="65">
        <f>IFERROR(L24,"")</f>
        <v/>
      </c>
      <c r="M39" s="65">
        <f>IFERROR(M24,"")</f>
        <v/>
      </c>
      <c r="N39" s="65">
        <f>IFERROR(N24,"")</f>
        <v/>
      </c>
      <c r="O39" s="65">
        <f>IFERROR(O24,"")</f>
        <v/>
      </c>
      <c r="P39" s="65">
        <f>IFERROR(AVERAGE(J39:O39),"")</f>
        <v/>
      </c>
    </row>
    <row r="40" ht="14.4" customHeight="1"/>
    <row r="41" ht="14.4" customHeight="1">
      <c r="B41" s="66" t="inlineStr">
        <is>
          <t>▸ SCENARIO INPUTS — Bear / Base / Bull  (implied occupancy, rent-growth &amp; concession assumptions — click + to expand)</t>
        </is>
      </c>
    </row>
    <row r="42" hidden="1" outlineLevel="1" ht="14.4" customHeight="1">
      <c r="B42" s="30" t="inlineStr">
        <is>
          <t>IMPLIED 5-MI OCCUPANCY BY DEMAND SCENARIO</t>
        </is>
      </c>
      <c r="J42" s="67" t="inlineStr">
        <is>
          <t>Y1</t>
        </is>
      </c>
      <c r="K42" s="67" t="inlineStr">
        <is>
          <t>Y2</t>
        </is>
      </c>
      <c r="L42" s="67" t="inlineStr">
        <is>
          <t>Y3</t>
        </is>
      </c>
      <c r="M42" s="67" t="inlineStr">
        <is>
          <t>Y4</t>
        </is>
      </c>
      <c r="N42" s="67" t="inlineStr">
        <is>
          <t>Y5</t>
        </is>
      </c>
      <c r="O42" s="67" t="inlineStr">
        <is>
          <t>Y6</t>
        </is>
      </c>
    </row>
    <row r="43" hidden="1" outlineLevel="1" ht="14.4" customHeight="1">
      <c r="B43" s="30" t="inlineStr">
        <is>
          <t>Bear</t>
        </is>
      </c>
      <c r="J43" s="68">
        <f>MIN($C$6,($I$31+$C$8*1)/J30)</f>
        <v/>
      </c>
      <c r="K43" s="68">
        <f>MIN($C$6,($I$31+$C$8*2)/K30)</f>
        <v/>
      </c>
      <c r="L43" s="68">
        <f>MIN($C$6,($I$31+$C$8*3)/L30)</f>
        <v/>
      </c>
      <c r="M43" s="68">
        <f>MIN($C$6,($I$31+$C$8*4)/M30)</f>
        <v/>
      </c>
      <c r="N43" s="68">
        <f>MIN($C$6,($I$31+$C$8*5)/N30)</f>
        <v/>
      </c>
      <c r="O43" s="68">
        <f>MIN($C$6,($I$31+$C$8*6)/O30)</f>
        <v/>
      </c>
    </row>
    <row r="44" hidden="1" outlineLevel="1" ht="14.4" customHeight="1">
      <c r="B44" s="30" t="inlineStr">
        <is>
          <t>Base</t>
        </is>
      </c>
      <c r="J44" s="68">
        <f>MIN($C$6,($I$31+$C$9*1)/J30)</f>
        <v/>
      </c>
      <c r="K44" s="68">
        <f>MIN($C$6,($I$31+$C$9*2)/K30)</f>
        <v/>
      </c>
      <c r="L44" s="68">
        <f>MIN($C$6,($I$31+$C$9*3)/L30)</f>
        <v/>
      </c>
      <c r="M44" s="68">
        <f>MIN($C$6,($I$31+$C$9*4)/M30)</f>
        <v/>
      </c>
      <c r="N44" s="68">
        <f>MIN($C$6,($I$31+$C$9*5)/N30)</f>
        <v/>
      </c>
      <c r="O44" s="68">
        <f>MIN($C$6,($I$31+$C$9*6)/O30)</f>
        <v/>
      </c>
    </row>
    <row r="45" hidden="1" outlineLevel="1" ht="14.4" customHeight="1">
      <c r="B45" s="30" t="inlineStr">
        <is>
          <t>Bull</t>
        </is>
      </c>
      <c r="J45" s="68">
        <f>MIN($C$6,($I$31+$C$10*1)/J30)</f>
        <v/>
      </c>
      <c r="K45" s="68">
        <f>MIN($C$6,($I$31+$C$10*2)/K30)</f>
        <v/>
      </c>
      <c r="L45" s="68">
        <f>MIN($C$6,($I$31+$C$10*3)/L30)</f>
        <v/>
      </c>
      <c r="M45" s="68">
        <f>MIN($C$6,($I$31+$C$10*4)/M30)</f>
        <v/>
      </c>
      <c r="N45" s="68">
        <f>MIN($C$6,($I$31+$C$10*5)/N30)</f>
        <v/>
      </c>
      <c r="O45" s="68">
        <f>MIN($C$6,($I$31+$C$10*6)/O30)</f>
        <v/>
      </c>
    </row>
    <row r="46" hidden="1" outlineLevel="1" ht="14.4" customHeight="1"/>
    <row r="47" hidden="1" outlineLevel="1" ht="14.4" customHeight="1">
      <c r="B47" s="30" t="inlineStr">
        <is>
          <t>MARKET RENT GROWTH (editable assumptions)</t>
        </is>
      </c>
      <c r="J47" s="69" t="inlineStr">
        <is>
          <t>Y1</t>
        </is>
      </c>
      <c r="K47" s="69" t="inlineStr">
        <is>
          <t>Y2</t>
        </is>
      </c>
      <c r="L47" s="69" t="inlineStr">
        <is>
          <t>Y3</t>
        </is>
      </c>
      <c r="M47" s="69" t="inlineStr">
        <is>
          <t>Y4</t>
        </is>
      </c>
      <c r="N47" s="69" t="inlineStr">
        <is>
          <t>Y5</t>
        </is>
      </c>
      <c r="O47" s="69" t="inlineStr">
        <is>
          <t>Y6</t>
        </is>
      </c>
    </row>
    <row r="48" hidden="1" outlineLevel="1" ht="14.4" customHeight="1">
      <c r="B48" s="30" t="inlineStr">
        <is>
          <t>Bear</t>
        </is>
      </c>
      <c r="J48" s="70" t="n">
        <v>-0.0025</v>
      </c>
      <c r="K48" s="70" t="n">
        <v>0.0175</v>
      </c>
      <c r="L48" s="70" t="n">
        <v>0.0275</v>
      </c>
      <c r="M48" s="70" t="n">
        <v>0.0375</v>
      </c>
      <c r="N48" s="70" t="n">
        <v>0.0275</v>
      </c>
      <c r="O48" s="70" t="n">
        <v>0.0175</v>
      </c>
    </row>
    <row r="49" hidden="1" outlineLevel="1" ht="14.4" customHeight="1">
      <c r="B49" s="30" t="inlineStr">
        <is>
          <t>Base</t>
        </is>
      </c>
      <c r="J49" s="70" t="n">
        <v>0.01</v>
      </c>
      <c r="K49" s="70" t="n">
        <v>0.03</v>
      </c>
      <c r="L49" s="70" t="n">
        <v>0.04</v>
      </c>
      <c r="M49" s="70" t="n">
        <v>0.05</v>
      </c>
      <c r="N49" s="70" t="n">
        <v>0.04</v>
      </c>
      <c r="O49" s="70" t="n">
        <v>0.03</v>
      </c>
    </row>
    <row r="50" hidden="1" outlineLevel="1" ht="14.4" customHeight="1">
      <c r="B50" s="30" t="inlineStr">
        <is>
          <t>Bull</t>
        </is>
      </c>
      <c r="J50" s="70" t="n">
        <v>0.02</v>
      </c>
      <c r="K50" s="70" t="n">
        <v>0.04</v>
      </c>
      <c r="L50" s="70" t="n">
        <v>0.05</v>
      </c>
      <c r="M50" s="70" t="n">
        <v>0.06</v>
      </c>
      <c r="N50" s="70" t="n">
        <v>0.05</v>
      </c>
      <c r="O50" s="70" t="n">
        <v>0.04</v>
      </c>
    </row>
    <row r="51" hidden="1" outlineLevel="1" ht="14.4" customHeight="1">
      <c r="B51" s="30" t="inlineStr">
        <is>
          <t>CONCESSIONS % — forward assumption (editable)</t>
        </is>
      </c>
    </row>
    <row r="52" hidden="1" outlineLevel="1" ht="14.4" customHeight="1">
      <c r="B52" s="30" t="inlineStr">
        <is>
          <t>Bear</t>
        </is>
      </c>
      <c r="J52" s="70" t="n">
        <v>0.06</v>
      </c>
      <c r="K52" s="70" t="n">
        <v>0.045</v>
      </c>
      <c r="L52" s="70" t="n">
        <v>0.035</v>
      </c>
      <c r="M52" s="70" t="n">
        <v>0.035</v>
      </c>
      <c r="N52" s="70" t="n">
        <v>0.035</v>
      </c>
      <c r="O52" s="70" t="n">
        <v>0.035</v>
      </c>
    </row>
    <row r="53" hidden="1" outlineLevel="1" ht="14.4" customHeight="1">
      <c r="B53" s="30" t="inlineStr">
        <is>
          <t>Base</t>
        </is>
      </c>
      <c r="J53" s="70" t="n">
        <v>0.03</v>
      </c>
      <c r="K53" s="70" t="n">
        <v>0.015</v>
      </c>
      <c r="L53" s="70" t="n">
        <v>0.005</v>
      </c>
      <c r="M53" s="70" t="n">
        <v>0.005</v>
      </c>
      <c r="N53" s="70" t="n">
        <v>0.005</v>
      </c>
      <c r="O53" s="70" t="n">
        <v>0.005</v>
      </c>
    </row>
    <row r="54" hidden="1" outlineLevel="1" ht="14.4" customHeight="1">
      <c r="B54" s="30" t="inlineStr">
        <is>
          <t>Bull</t>
        </is>
      </c>
      <c r="J54" s="70" t="n">
        <v>0.02</v>
      </c>
      <c r="K54" s="70" t="n">
        <v>0.005</v>
      </c>
      <c r="L54" s="70" t="n">
        <v>0</v>
      </c>
      <c r="M54" s="70" t="n">
        <v>0</v>
      </c>
      <c r="N54" s="70" t="n">
        <v>0</v>
      </c>
      <c r="O54" s="70" t="n">
        <v>0</v>
      </c>
    </row>
    <row r="55" hidden="1" outlineLevel="1" ht="14.4" customHeight="1">
      <c r="B55" s="30" t="inlineStr">
        <is>
          <t>EFFECTIVE RENT GROWTH (derived)</t>
        </is>
      </c>
    </row>
    <row r="56" hidden="1" outlineLevel="1" ht="14.4" customHeight="1">
      <c r="B56" s="30" t="inlineStr">
        <is>
          <t>Bear</t>
        </is>
      </c>
      <c r="J56" s="68">
        <f>(1+J48)*(1-J52)-1</f>
        <v/>
      </c>
      <c r="K56" s="68">
        <f>(1+K48)*(1-K52)/(1-J52)-1</f>
        <v/>
      </c>
      <c r="L56" s="68">
        <f>(1+L48)*(1-L52)/(1-K52)-1</f>
        <v/>
      </c>
      <c r="M56" s="68">
        <f>(1+M48)*(1-M52)/(1-L52)-1</f>
        <v/>
      </c>
      <c r="N56" s="68">
        <f>(1+N48)*(1-N52)/(1-M52)-1</f>
        <v/>
      </c>
      <c r="O56" s="68">
        <f>(1+O48)*(1-O52)/(1-N52)-1</f>
        <v/>
      </c>
    </row>
    <row r="57" hidden="1" outlineLevel="1" ht="14.4" customHeight="1">
      <c r="B57" s="30" t="inlineStr">
        <is>
          <t>Base</t>
        </is>
      </c>
      <c r="J57" s="68">
        <f>(1+J49)*(1-J53)-1</f>
        <v/>
      </c>
      <c r="K57" s="68">
        <f>(1+K49)*(1-K53)/(1-J53)-1</f>
        <v/>
      </c>
      <c r="L57" s="68">
        <f>(1+L49)*(1-L53)/(1-K53)-1</f>
        <v/>
      </c>
      <c r="M57" s="68">
        <f>(1+M49)*(1-M53)/(1-L53)-1</f>
        <v/>
      </c>
      <c r="N57" s="68">
        <f>(1+N49)*(1-N53)/(1-M53)-1</f>
        <v/>
      </c>
      <c r="O57" s="68">
        <f>(1+O49)*(1-O53)/(1-N53)-1</f>
        <v/>
      </c>
    </row>
    <row r="58" hidden="1" outlineLevel="1" ht="14.4" customHeight="1">
      <c r="B58" s="30" t="inlineStr">
        <is>
          <t>Bull</t>
        </is>
      </c>
      <c r="J58" s="68">
        <f>(1+J50)*(1-J54)-1</f>
        <v/>
      </c>
      <c r="K58" s="68">
        <f>(1+K50)*(1-K54)/(1-J54)-1</f>
        <v/>
      </c>
      <c r="L58" s="68">
        <f>(1+L50)*(1-L54)/(1-K54)-1</f>
        <v/>
      </c>
      <c r="M58" s="68">
        <f>(1+M50)*(1-M54)/(1-L54)-1</f>
        <v/>
      </c>
      <c r="N58" s="68">
        <f>(1+N50)*(1-N54)/(1-M54)-1</f>
        <v/>
      </c>
      <c r="O58" s="68">
        <f>(1+O50)*(1-O54)/(1-N54)-1</f>
        <v/>
      </c>
    </row>
    <row r="59" ht="14.4" customHeight="1"/>
    <row r="60" ht="14.4" customHeight="1">
      <c r="B60" s="69" t="inlineStr">
        <is>
          <t>▸ DETAIL: subject rent source by year, delivered-units tie-out &amp; reconciliation (grouped — click + to expand)</t>
        </is>
      </c>
    </row>
    <row r="61" hidden="1" outlineLevel="1" ht="14.4" customHeight="1">
      <c r="B61" s="71" t="inlineStr">
        <is>
          <t xml:space="preserve">  -Y6  Q3 2019–Q2 2020</t>
        </is>
      </c>
      <c r="E61" s="71" t="inlineStr">
        <is>
          <t>CoStar</t>
        </is>
      </c>
    </row>
    <row r="62" hidden="1" outlineLevel="1" ht="14.4" customHeight="1">
      <c r="B62" s="71" t="inlineStr">
        <is>
          <t xml:space="preserve">  -Y5  Q3 2020–Q2 2021</t>
        </is>
      </c>
      <c r="E62" s="71" t="inlineStr">
        <is>
          <t>CoStar</t>
        </is>
      </c>
    </row>
    <row r="63" hidden="1" outlineLevel="1" ht="14.4" customHeight="1">
      <c r="B63" s="71" t="inlineStr">
        <is>
          <t xml:space="preserve">  -Y4  Q3 2021–Q2 2022</t>
        </is>
      </c>
      <c r="E63" s="71" t="inlineStr">
        <is>
          <t>CoStar</t>
        </is>
      </c>
    </row>
    <row r="64" hidden="1" outlineLevel="1" ht="14.4" customHeight="1">
      <c r="B64" s="71" t="inlineStr">
        <is>
          <t xml:space="preserve">  -Y3  Q3 2022–Q2 2023</t>
        </is>
      </c>
      <c r="E64" s="71" t="inlineStr">
        <is>
          <t>CoStar</t>
        </is>
      </c>
    </row>
    <row r="65" hidden="1" outlineLevel="1" ht="14.4" customHeight="1">
      <c r="B65" s="71" t="inlineStr">
        <is>
          <t xml:space="preserve">  -Y2  Q3 2023–Q2 2024</t>
        </is>
      </c>
      <c r="E65" s="71" t="inlineStr">
        <is>
          <t>CoStar</t>
        </is>
      </c>
    </row>
    <row r="66" hidden="1" outlineLevel="1" ht="14.4" customHeight="1">
      <c r="B66" s="71" t="inlineStr">
        <is>
          <t xml:space="preserve">  -Y1  Q3 2024–Q2 2025</t>
        </is>
      </c>
      <c r="E66" s="71" t="inlineStr">
        <is>
          <t>CoStar</t>
        </is>
      </c>
    </row>
    <row r="67" hidden="1" outlineLevel="1" ht="14.4" customHeight="1">
      <c r="B67" s="71" t="inlineStr">
        <is>
          <t xml:space="preserve">  Y0  Q3 2025–Q2 2026</t>
        </is>
      </c>
      <c r="E67" s="71" t="inlineStr">
        <is>
          <t>HD occ + CoStar rents</t>
        </is>
      </c>
    </row>
    <row r="68" hidden="1" outlineLevel="1" ht="14.4" customHeight="1">
      <c r="B68" s="71" t="inlineStr">
        <is>
          <t xml:space="preserve">  UC scheduled vs CoStar UC</t>
        </is>
      </c>
      <c r="E68" s="71" t="inlineStr">
        <is>
          <t>27 / 27</t>
        </is>
      </c>
    </row>
    <row r="69" hidden="1" outlineLevel="1" ht="14.4" customHeight="1">
      <c r="B69" s="69" t="inlineStr">
        <is>
          <t xml:space="preserve">  Delivered units — roster vs CoStar 5-mi series:</t>
        </is>
      </c>
    </row>
    <row r="70" hidden="1" outlineLevel="1" ht="14.4" customHeight="1">
      <c r="B70" s="28" t="inlineStr">
        <is>
          <t xml:space="preserve">    -Y4: roster (CoStar-tracked) 0 vs CoStar 33   (+33 sub-50/unnamed)</t>
        </is>
      </c>
    </row>
    <row r="71" hidden="1" outlineLevel="1" ht="14.4" customHeight="1">
      <c r="B71" s="28" t="inlineStr">
        <is>
          <t xml:space="preserve">    -Y3: roster (CoStar-tracked) 274 vs CoStar 289   (+15 sub-50/unnamed)</t>
        </is>
      </c>
    </row>
    <row r="72" hidden="1" outlineLevel="1" ht="14.4" customHeight="1">
      <c r="B72" s="72" t="inlineStr">
        <is>
          <t xml:space="preserve">    -Y2: roster (CoStar-tracked) 46 vs CoStar 178   (+132 sub-50/unnamed)</t>
        </is>
      </c>
    </row>
    <row r="73" hidden="1" outlineLevel="1" ht="14.4" customHeight="1">
      <c r="B73" s="28" t="inlineStr">
        <is>
          <t xml:space="preserve">    -Y1: roster (CoStar-tracked) 47 + subj 287 vs CoStar 334   (tie ✓)</t>
        </is>
      </c>
    </row>
    <row r="74" hidden="1" outlineLevel="1" ht="14.4" customHeight="1">
      <c r="B74" s="28" t="inlineStr">
        <is>
          <t xml:space="preserve">    Y0: roster (CoStar-tracked) 0 vs CoStar 9   (+9 sub-50/unnamed)</t>
        </is>
      </c>
    </row>
    <row r="75" hidden="1" outlineLevel="1" ht="14.4" customHeight="1">
      <c r="B75" s="28" t="inlineStr">
        <is>
          <t xml:space="preserve">  Newest CoStar row (2026 Q3 QTD) is partial (QTD) — excluded from TTM sums; Y0 anchors to the latest complete quarter.</t>
        </is>
      </c>
    </row>
    <row r="76" ht="14.4" customHeight="1"/>
    <row r="77" ht="14.4" customHeight="1"/>
  </sheetData>
  <mergeCells count="1">
    <mergeCell ref="B2:O2"/>
  </mergeCells>
  <dataValidations count="2">
    <dataValidation sqref="C7" showDropDown="0" showInputMessage="0" showErrorMessage="0" allowBlank="0" type="list">
      <formula1>"Bear,Base,Bull"</formula1>
    </dataValidation>
    <dataValidation sqref="U9 U10 U11 U12 U13 U14 U15" showDropDown="0" showInputMessage="0" showErrorMessage="0" allowBlank="1" type="list">
      <formula1>"Bear only,Bear+Base,All,None"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44" customWidth="1" min="16" max="16"/>
  </cols>
  <sheetData>
    <row r="1">
      <c r="A1" s="57" t="inlineStr">
        <is>
          <t>Property</t>
        </is>
      </c>
      <c r="B1" s="57" t="inlineStr">
        <is>
          <t>Address</t>
        </is>
      </c>
      <c r="C1" s="57" t="inlineStr">
        <is>
          <t>Units</t>
        </is>
      </c>
      <c r="D1" s="57" t="inlineStr">
        <is>
          <t>Year Built</t>
        </is>
      </c>
      <c r="E1" s="57" t="inlineStr">
        <is>
          <t>Est. Delivery</t>
        </is>
      </c>
      <c r="F1" s="57" t="inlineStr">
        <is>
          <t>Deliv. Source</t>
        </is>
      </c>
      <c r="G1" s="57" t="inlineStr">
        <is>
          <t>Bucket</t>
        </is>
      </c>
      <c r="H1" s="57" t="inlineStr">
        <is>
          <t>CoStar Occ</t>
        </is>
      </c>
      <c r="I1" s="57" t="inlineStr">
        <is>
          <t>RealPage Occ</t>
        </is>
      </c>
      <c r="J1" s="57" t="inlineStr">
        <is>
          <t>HD Occ</t>
        </is>
      </c>
      <c r="K1" s="57" t="inlineStr">
        <is>
          <t>CoStar Ask Rent</t>
        </is>
      </c>
      <c r="L1" s="57" t="inlineStr">
        <is>
          <t>RealPage Eff Rent</t>
        </is>
      </c>
      <c r="M1" s="57" t="inlineStr">
        <is>
          <t>HD Ask (mix-wtd)</t>
        </is>
      </c>
      <c r="N1" s="57" t="inlineStr">
        <is>
          <t>HD Eff (mix-wtd)</t>
        </is>
      </c>
      <c r="O1" s="57" t="inlineStr">
        <is>
          <t>Sources</t>
        </is>
      </c>
      <c r="P1" s="57" t="inlineStr">
        <is>
          <t>Notes</t>
        </is>
      </c>
    </row>
    <row r="2">
      <c r="A2" t="inlineStr">
        <is>
          <t>Veazey Apartments</t>
        </is>
      </c>
      <c r="B2" t="inlineStr">
        <is>
          <t>2408 S Broadway Ave</t>
        </is>
      </c>
      <c r="C2" t="n">
        <v>35</v>
      </c>
      <c r="D2" t="n">
        <v>2024</v>
      </c>
      <c r="E2" t="inlineStr">
        <is>
          <t>Q4 2024</t>
        </is>
      </c>
      <c r="F2" t="inlineStr">
        <is>
          <t>CoStar property analytics</t>
        </is>
      </c>
      <c r="G2" t="inlineStr">
        <is>
          <t>STABILIZED / STABILIZING</t>
        </is>
      </c>
      <c r="H2" s="73" t="n">
        <v>0.971429</v>
      </c>
      <c r="I2" s="73" t="n"/>
      <c r="J2" s="73" t="n"/>
      <c r="K2" s="74" t="n">
        <v>1547</v>
      </c>
      <c r="L2" s="74" t="n"/>
      <c r="M2" s="74" t="n"/>
      <c r="N2" s="74" t="n"/>
      <c r="O2" t="inlineStr">
        <is>
          <t>CoStar</t>
        </is>
      </c>
      <c r="P2" t="inlineStr"/>
    </row>
    <row r="3">
      <c r="A3" t="inlineStr">
        <is>
          <t>Mesa Pointe Apartments</t>
        </is>
      </c>
      <c r="B3" t="inlineStr">
        <is>
          <t>1805 W Overland Rd</t>
        </is>
      </c>
      <c r="C3" t="n">
        <v>12</v>
      </c>
      <c r="D3" t="n">
        <v>2024</v>
      </c>
      <c r="E3" t="inlineStr">
        <is>
          <t>Q3 2024</t>
        </is>
      </c>
      <c r="F3" t="inlineStr">
        <is>
          <t>CoStar property analytics</t>
        </is>
      </c>
      <c r="G3" t="inlineStr">
        <is>
          <t>STABILIZED / STABILIZING</t>
        </is>
      </c>
      <c r="H3" s="73" t="n"/>
      <c r="I3" s="73" t="n"/>
      <c r="J3" s="73" t="n"/>
      <c r="K3" s="74" t="n">
        <v>1647</v>
      </c>
      <c r="L3" s="74" t="n"/>
      <c r="M3" s="74" t="n"/>
      <c r="N3" s="74" t="n"/>
      <c r="O3" t="inlineStr">
        <is>
          <t>CoStar</t>
        </is>
      </c>
      <c r="P3" t="inlineStr"/>
    </row>
    <row r="4">
      <c r="A4" t="inlineStr">
        <is>
          <t>The Betty</t>
        </is>
      </c>
      <c r="B4" t="inlineStr">
        <is>
          <t>2550 W Targee St</t>
        </is>
      </c>
      <c r="C4" t="n">
        <v>46</v>
      </c>
      <c r="D4" t="n">
        <v>2023</v>
      </c>
      <c r="E4" t="inlineStr">
        <is>
          <t>Q4 2023</t>
        </is>
      </c>
      <c r="F4" t="inlineStr">
        <is>
          <t>CoStar property analytics</t>
        </is>
      </c>
      <c r="G4" t="inlineStr">
        <is>
          <t>STABILIZED / STABILIZING</t>
        </is>
      </c>
      <c r="H4" s="73" t="n">
        <v>0.934783</v>
      </c>
      <c r="I4" s="73" t="n">
        <v>0.961</v>
      </c>
      <c r="J4" s="73" t="n"/>
      <c r="K4" s="74" t="n">
        <v>1577</v>
      </c>
      <c r="L4" s="74" t="n">
        <v>1273</v>
      </c>
      <c r="M4" s="74" t="n"/>
      <c r="N4" s="74" t="n"/>
      <c r="O4" t="inlineStr">
        <is>
          <t>CoStar+RealPage</t>
        </is>
      </c>
      <c r="P4" t="inlineStr">
        <is>
          <t>Occ: CoStar 93% vs RealPage 96%; Rent: CoStar ask $1,577 vs RealPage eff $1,273</t>
        </is>
      </c>
    </row>
    <row r="5">
      <c r="A5" t="inlineStr">
        <is>
          <t>The Timbers at Harris Ranch</t>
        </is>
      </c>
      <c r="B5" t="inlineStr">
        <is>
          <t>3469 S Old Hickory Way</t>
        </is>
      </c>
      <c r="C5" t="n">
        <v>274</v>
      </c>
      <c r="D5" t="n">
        <v>2023</v>
      </c>
      <c r="E5" t="inlineStr">
        <is>
          <t>Q2 2023</t>
        </is>
      </c>
      <c r="F5" t="inlineStr">
        <is>
          <t>CoStar property analytics</t>
        </is>
      </c>
      <c r="G5" t="inlineStr">
        <is>
          <t>STABILIZED / STABILIZING</t>
        </is>
      </c>
      <c r="H5" s="73" t="n">
        <v>0.974453</v>
      </c>
      <c r="I5" s="73" t="n">
        <v>0.996</v>
      </c>
      <c r="J5" s="73" t="n"/>
      <c r="K5" s="74" t="n">
        <v>2213</v>
      </c>
      <c r="L5" s="74" t="n">
        <v>2303</v>
      </c>
      <c r="M5" s="74" t="n"/>
      <c r="N5" s="74" t="n"/>
      <c r="O5" t="inlineStr">
        <is>
          <t>CoStar+RealPage</t>
        </is>
      </c>
      <c r="P5" t="inlineStr">
        <is>
          <t>Year built: 2023/2024; Occ: CoStar 97% vs RealPage 100%</t>
        </is>
      </c>
    </row>
    <row r="6">
      <c r="A6" t="inlineStr">
        <is>
          <t>737 ParkCenter</t>
        </is>
      </c>
      <c r="B6" t="inlineStr">
        <is>
          <t>787 E Parkcenter Blvd</t>
        </is>
      </c>
      <c r="C6" t="n">
        <v>27</v>
      </c>
      <c r="D6" t="n">
        <v>2027</v>
      </c>
      <c r="E6" t="inlineStr">
        <is>
          <t>Q3 2027</t>
        </is>
      </c>
      <c r="G6" t="inlineStr">
        <is>
          <t>UNDER CONSTRUCTION</t>
        </is>
      </c>
      <c r="H6" s="73" t="n"/>
      <c r="I6" s="73" t="n"/>
      <c r="J6" s="73" t="n"/>
      <c r="K6" s="74" t="n"/>
      <c r="L6" s="74" t="n"/>
      <c r="M6" s="74" t="n"/>
      <c r="N6" s="74" t="n"/>
      <c r="O6" t="inlineStr">
        <is>
          <t>CoStar</t>
        </is>
      </c>
      <c r="P6" t="inlineStr"/>
    </row>
    <row r="7">
      <c r="A7" t="inlineStr">
        <is>
          <t>The Ranahan</t>
        </is>
      </c>
      <c r="B7" t="inlineStr">
        <is>
          <t>4227 E Brightside St</t>
        </is>
      </c>
      <c r="C7" t="n">
        <v>138</v>
      </c>
      <c r="D7" t="n">
        <v>2027</v>
      </c>
      <c r="E7" t="inlineStr">
        <is>
          <t>Q4 2028</t>
        </is>
      </c>
      <c r="G7" t="inlineStr">
        <is>
          <t>PROPOSED</t>
        </is>
      </c>
      <c r="H7" s="73" t="n"/>
      <c r="I7" s="73" t="n"/>
      <c r="J7" s="73" t="n"/>
      <c r="K7" s="74" t="n"/>
      <c r="L7" s="74" t="n"/>
      <c r="M7" s="74" t="n"/>
      <c r="N7" s="74" t="n"/>
      <c r="O7" t="inlineStr">
        <is>
          <t>CoStar</t>
        </is>
      </c>
      <c r="P7" t="inlineStr"/>
    </row>
    <row r="8">
      <c r="A8" t="inlineStr">
        <is>
          <t>3300 South Vista Avenue</t>
        </is>
      </c>
      <c r="B8" t="inlineStr">
        <is>
          <t>3300 S Vista Ave</t>
        </is>
      </c>
      <c r="C8" t="n">
        <v>180</v>
      </c>
      <c r="G8" t="inlineStr">
        <is>
          <t>PROPOSED</t>
        </is>
      </c>
      <c r="H8" s="73" t="n"/>
      <c r="I8" s="73" t="n"/>
      <c r="J8" s="73" t="n"/>
      <c r="K8" s="74" t="n"/>
      <c r="L8" s="74" t="n"/>
      <c r="M8" s="74" t="n"/>
      <c r="N8" s="74" t="n"/>
      <c r="O8" t="inlineStr">
        <is>
          <t>RealPage</t>
        </is>
      </c>
      <c r="P8" t="inlineStr">
        <is>
          <t>RealPage pipeline (not yet in CoStar)</t>
        </is>
      </c>
    </row>
    <row r="9">
      <c r="A9" t="inlineStr">
        <is>
          <t>1519 South Londoner Avenue</t>
        </is>
      </c>
      <c r="B9" t="inlineStr">
        <is>
          <t>1519 S Londoner Ave</t>
        </is>
      </c>
      <c r="C9" t="n">
        <v>189</v>
      </c>
      <c r="G9" t="inlineStr">
        <is>
          <t>PROPOSED</t>
        </is>
      </c>
      <c r="H9" s="73" t="n"/>
      <c r="I9" s="73" t="n"/>
      <c r="J9" s="73" t="n"/>
      <c r="K9" s="74" t="n"/>
      <c r="L9" s="74" t="n"/>
      <c r="M9" s="74" t="n"/>
      <c r="N9" s="74" t="n"/>
      <c r="O9" t="inlineStr">
        <is>
          <t>RealPage</t>
        </is>
      </c>
      <c r="P9" t="inlineStr">
        <is>
          <t>RealPage pipeline (not yet in CoStar)</t>
        </is>
      </c>
    </row>
    <row r="10">
      <c r="A10" t="inlineStr">
        <is>
          <t>Station Village</t>
        </is>
      </c>
      <c r="B10" t="inlineStr">
        <is>
          <t>2350 W Kootenai St</t>
        </is>
      </c>
      <c r="C10" t="n">
        <v>84</v>
      </c>
      <c r="G10" t="inlineStr">
        <is>
          <t>PROPOSED</t>
        </is>
      </c>
      <c r="H10" s="73" t="n"/>
      <c r="I10" s="73" t="n"/>
      <c r="J10" s="73" t="n"/>
      <c r="K10" s="74" t="n"/>
      <c r="L10" s="74" t="n"/>
      <c r="M10" s="74" t="n"/>
      <c r="N10" s="74" t="n"/>
      <c r="O10" t="inlineStr">
        <is>
          <t>RealPage</t>
        </is>
      </c>
      <c r="P10" t="inlineStr">
        <is>
          <t>RealPage pipeline (not yet in CoStar)</t>
        </is>
      </c>
    </row>
    <row r="11">
      <c r="A11" t="inlineStr">
        <is>
          <t>Seasons on the Bench</t>
        </is>
      </c>
      <c r="B11" t="inlineStr">
        <is>
          <t>2521 W Victory Rd</t>
        </is>
      </c>
      <c r="C11" t="n">
        <v>358</v>
      </c>
      <c r="G11" t="inlineStr">
        <is>
          <t>PROPOSED</t>
        </is>
      </c>
      <c r="H11" s="73" t="n"/>
      <c r="I11" s="73" t="n"/>
      <c r="J11" s="73" t="n"/>
      <c r="K11" s="74" t="n"/>
      <c r="L11" s="74" t="n"/>
      <c r="M11" s="74" t="n"/>
      <c r="N11" s="74" t="n"/>
      <c r="O11" t="inlineStr">
        <is>
          <t>RealPage</t>
        </is>
      </c>
      <c r="P11" t="inlineStr">
        <is>
          <t>RealPage pipeline (not yet in CoStar)</t>
        </is>
      </c>
    </row>
    <row r="12">
      <c r="A12" t="inlineStr">
        <is>
          <t>Harris Ranch East</t>
        </is>
      </c>
      <c r="B12" t="inlineStr">
        <is>
          <t>3201 S Council Spring Rd</t>
        </is>
      </c>
      <c r="C12" t="n">
        <v>59</v>
      </c>
      <c r="G12" t="inlineStr">
        <is>
          <t>PROPOSED</t>
        </is>
      </c>
      <c r="H12" s="73" t="n"/>
      <c r="I12" s="73" t="n"/>
      <c r="J12" s="73" t="n"/>
      <c r="K12" s="74" t="n"/>
      <c r="L12" s="74" t="n"/>
      <c r="M12" s="74" t="n"/>
      <c r="N12" s="74" t="n"/>
      <c r="O12" t="inlineStr">
        <is>
          <t>RealPage</t>
        </is>
      </c>
      <c r="P12" t="inlineStr">
        <is>
          <t>RealPage pipeline (not yet in CoStar)</t>
        </is>
      </c>
    </row>
    <row r="13">
      <c r="A13" t="inlineStr">
        <is>
          <t>Vista Point</t>
        </is>
      </c>
      <c r="B13" t="inlineStr">
        <is>
          <t>2017 W Victory Rd</t>
        </is>
      </c>
      <c r="C13" t="n">
        <v>893</v>
      </c>
      <c r="G13" t="inlineStr">
        <is>
          <t>PROPOSED</t>
        </is>
      </c>
      <c r="H13" s="73" t="n"/>
      <c r="I13" s="73" t="n"/>
      <c r="J13" s="73" t="n"/>
      <c r="K13" s="74" t="n"/>
      <c r="L13" s="74" t="n"/>
      <c r="M13" s="74" t="n"/>
      <c r="N13" s="74" t="n"/>
      <c r="O13" t="inlineStr">
        <is>
          <t>RealPage</t>
        </is>
      </c>
      <c r="P13" t="inlineStr">
        <is>
          <t>RealPage pipeline (not yet in CoStar)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8" customWidth="1" min="3" max="3"/>
    <col width="12" customWidth="1" min="4" max="4"/>
    <col width="16" customWidth="1" min="5" max="5"/>
    <col width="14" customWidth="1" min="6" max="6"/>
    <col width="50" customWidth="1" min="7" max="7"/>
    <col width="36" customWidth="1" min="8" max="8"/>
  </cols>
  <sheetData>
    <row r="2">
      <c r="B2" s="75" t="inlineStr">
        <is>
          <t>SHADOW SUPPLY (latent / untracked — watch list)</t>
        </is>
      </c>
    </row>
    <row r="3">
      <c r="B3" s="42" t="inlineStr">
        <is>
          <t>Property / Site</t>
        </is>
      </c>
      <c r="C3" s="42" t="inlineStr">
        <is>
          <t>Units</t>
        </is>
      </c>
      <c r="D3" s="42" t="inlineStr">
        <is>
          <t>Est. Delivery</t>
        </is>
      </c>
      <c r="E3" s="42" t="inlineStr">
        <is>
          <t>Status</t>
        </is>
      </c>
      <c r="F3" s="42" t="inlineStr">
        <is>
          <t>Leasing Pace</t>
        </is>
      </c>
      <c r="G3" s="42" t="inlineStr">
        <is>
          <t>Notes</t>
        </is>
      </c>
      <c r="H3" s="42" t="inlineStr">
        <is>
          <t>Source</t>
        </is>
      </c>
    </row>
    <row r="4">
      <c r="B4" s="35" t="inlineStr">
        <is>
          <t>Barber Valley SP-02 HDR block (Parkcenter)</t>
        </is>
      </c>
      <c r="C4" s="76" t="n"/>
      <c r="D4" s="76" t="n"/>
      <c r="E4" s="35" t="n"/>
      <c r="F4" s="35" t="n"/>
      <c r="G4" s="35" t="inlineStr">
        <is>
          <t>Land-use analysis site CR-51: 11.5 ac zoned SP-02 with High-Density Residential FLU inside the adopted Barber Valley Specific Plan; OUTSIDE the Airport Influence Area. Entitled/planned multifamily block, master-developed by Barber Valley Development (Harris Family LP); HDR blocks typically sold to merchant apartment developers. No active application found — the most apartment-competitive latent site in the 5-mi ring.</t>
        </is>
      </c>
      <c r="H4" s="35" t="inlineStr">
        <is>
          <t>https://boisedev.com/news/2021/11/12/harris-ranch-town-center/</t>
        </is>
      </c>
    </row>
    <row r="5">
      <c r="B5" s="35" t="inlineStr">
        <is>
          <t>McDonald Tract (S Oakland Ave)</t>
        </is>
      </c>
      <c r="C5" s="76" t="n"/>
      <c r="D5" s="76" t="n"/>
      <c r="E5" s="35" t="n"/>
      <c r="F5" s="35" t="n"/>
      <c r="G5" s="35" t="inlineStr">
        <is>
          <t>Land-use analysis site CR-57: 10.3 ac zoned R-3 (multifamily by-right) with Mixed Use FLU, outside the Airport Influence Area. Dormant — no application, listing, or news found; owner not published. By-right MF capacity makes it a genuine watch item despite no activity.</t>
        </is>
      </c>
      <c r="H5" s="35" t="inlineStr">
        <is>
          <t>https://www.redfin.com/ID/Boise/1507-S-Oakland-Ave-83706/home/109555986</t>
        </is>
      </c>
    </row>
    <row r="6">
      <c r="B6" s="35" t="inlineStr">
        <is>
          <t>East Columbia bench (Rush Valley / planned community)</t>
        </is>
      </c>
      <c r="C6" s="76" t="n"/>
      <c r="D6" s="76" t="n"/>
      <c r="E6" s="35" t="n"/>
      <c r="F6" s="35" t="n"/>
      <c r="G6" s="35" t="inlineStr">
        <is>
          <t>Land-use analysis sites CR-2/CR-3/CR-5: ~1,700+ ac far-SE 'East Columbia' bench with Boise 'Planned Community' FLU — one of three strategic planning areas the city began studying Jan 2026. Rush Valley subdivision portion (Conger Group/DevCo) approved but capped and largely unbuilt; residential blocked by missing secondary fire access and landowner coordination (Simplot, Micron, Ball Ventures, Murgoitio). Long-horizon supply, not near-term.</t>
        </is>
      </c>
      <c r="H6" s="35" t="inlineStr">
        <is>
          <t>https://boisedev.com/news/2026/01/28/southeast-boise-planning/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2026-07-15T21:45:37Z</dcterms:created>
  <dcterms:modified xsi:type="dcterms:W3CDTF">2026-07-15T21:45:37Z</dcterms:modified>
</cp:coreProperties>
</file>