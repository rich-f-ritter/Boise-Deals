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_Data" sheetId="1" state="visible" r:id="rId3"/>
    <sheet name="HD_Weighting" sheetId="2" state="visible" r:id="rId4"/>
    <sheet name="L5_New_Le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<sst xmlns="http://schemas.openxmlformats.org/spreadsheetml/2006/main" count="122" uniqueCount="87">
  <si>
    <t xml:space="preserve">Chart Data — plot-ready series</t>
  </si>
  <si>
    <t xml:space="preserve">One row per date. Green = computed on HD_Weighting / L5_New_Leases (mix-weighted); blue = extracted from models/statements. Quarterly HD points plotted at quarter midpoints.</t>
  </si>
  <si>
    <t xml:space="preserve">Date</t>
  </si>
  <si>
    <t xml:space="preserve">Seasons HD asking (mix-wtd)</t>
  </si>
  <si>
    <t xml:space="preserve">Seasons UW asking</t>
  </si>
  <si>
    <t xml:space="preserve">Seasons L5 / UW entry</t>
  </si>
  <si>
    <t xml:space="preserve">Prelude HD asking (mix-wtd)</t>
  </si>
  <si>
    <t xml:space="preserve">Prelude UW rent/occ</t>
  </si>
  <si>
    <t xml:space="preserve">Prelude actual in-place</t>
  </si>
  <si>
    <t xml:space="preserve">Prelude L5 (8/13/26)</t>
  </si>
  <si>
    <t xml:space="preserve">Sources: Seasons TMG model Rent Analysis (HD 8/2026) &amp; Assumptions (UW path: $1,885 flat Y1, then +4/4/3.5/3.5/3% annual Nov steps); Prelude model Market Rent Summary (HD 11/2025) &amp; Unleveraged (UW rent/occupied); Prelude accrual statement (2026 in-place = potential rent net LTL /280); rent roll 8/13/26 (L5). Seasons Q3 23-Q1 24 HD backfill excluded.</t>
  </si>
  <si>
    <t xml:space="preserve">HelloData Mix-Weighted Asking Rent — methodology = Seasons model Cash Flow (Annual) row 304</t>
  </si>
  <si>
    <t xml:space="preserve">Per floor plan HelloData asking by period (blue, from each model), weighted by rent-roll unit counts: Weighted Avg = SUMPRODUCT(values x units) / SUM(units). Identical convention to CF(Annual)!AP304 and Rent Analysis row 59.</t>
  </si>
  <si>
    <t xml:space="preserve">SEASONS AT MERIDIAN — source: TMG model Rent Analysis K9:W17 (HD pull 8/2026)</t>
  </si>
  <si>
    <t xml:space="preserve">Floor plan</t>
  </si>
  <si>
    <t xml:space="preserve">Units</t>
  </si>
  <si>
    <t xml:space="preserve">Q3 23</t>
  </si>
  <si>
    <t xml:space="preserve">Q4 23</t>
  </si>
  <si>
    <t xml:space="preserve">Q1 24</t>
  </si>
  <si>
    <t xml:space="preserve">Q2 24</t>
  </si>
  <si>
    <t xml:space="preserve">Q3 24</t>
  </si>
  <si>
    <t xml:space="preserve">Q4 24</t>
  </si>
  <si>
    <t xml:space="preserve">Q1 25</t>
  </si>
  <si>
    <t xml:space="preserve">Q2 25</t>
  </si>
  <si>
    <t xml:space="preserve">Q3 25</t>
  </si>
  <si>
    <t xml:space="preserve">Q4 25</t>
  </si>
  <si>
    <t xml:space="preserve">Q1 26</t>
  </si>
  <si>
    <t xml:space="preserve">Q2 26</t>
  </si>
  <si>
    <t xml:space="preserve">T90 (Jun-Aug 26)</t>
  </si>
  <si>
    <t xml:space="preserve">S1_Seas</t>
  </si>
  <si>
    <t xml:space="preserve">A1_Seas</t>
  </si>
  <si>
    <t xml:space="preserve">A2_Seas</t>
  </si>
  <si>
    <t xml:space="preserve">B1_Seas</t>
  </si>
  <si>
    <t xml:space="preserve">B2_Seas</t>
  </si>
  <si>
    <t xml:space="preserve">B3a_Seas</t>
  </si>
  <si>
    <t xml:space="preserve">B3b_Seas</t>
  </si>
  <si>
    <t xml:space="preserve">C1a_Seas</t>
  </si>
  <si>
    <t xml:space="preserve">C1b_Seas</t>
  </si>
  <si>
    <t xml:space="preserve">WEIGHTED AVG</t>
  </si>
  <si>
    <t xml:space="preserve">Note: Q3 23–Q1 24 are rent-roll backfill (pre-delivery), not real HelloData — excluded from Chart_Data.</t>
  </si>
  <si>
    <t xml:space="preserve">PRELUDE AT PARAMOUNT — source: Prelude model Market Rent Summary K7:T11 (HD pull 11/2025)</t>
  </si>
  <si>
    <t xml:space="preserve">Q4 25 QTD</t>
  </si>
  <si>
    <t xml:space="preserve">1x1-pp (787sf)</t>
  </si>
  <si>
    <t xml:space="preserve">2x2a-pp (1092sf)</t>
  </si>
  <si>
    <t xml:space="preserve">2x2b-pp (1172sf)</t>
  </si>
  <si>
    <t xml:space="preserve">3x2-pp (1291sf)</t>
  </si>
  <si>
    <t xml:space="preserve">Last-5 New Leases — Seasons model methodology</t>
  </si>
  <si>
    <t xml:space="preserve">Per floor plan: average of the 5 most recent new leases (by move-in) from the rent roll; property total = SUMPRODUCT(plan L5 avg x plan unit count) / total units — mirrors Seasons Assumptions L50:L58 / P49:T49.</t>
  </si>
  <si>
    <t xml:space="preserve">PRELUDE AT PARAMOUNT — RR w/ lease charges 8/13/2026 (current residents)</t>
  </si>
  <si>
    <t xml:space="preserve">pprA1 — unit</t>
  </si>
  <si>
    <t xml:space="preserve">Move-in</t>
  </si>
  <si>
    <t xml:space="preserve">Rent</t>
  </si>
  <si>
    <t xml:space="preserve">P302</t>
  </si>
  <si>
    <t xml:space="preserve">F303</t>
  </si>
  <si>
    <t xml:space="preserve">T103</t>
  </si>
  <si>
    <t xml:space="preserve">R202</t>
  </si>
  <si>
    <t xml:space="preserve">T303</t>
  </si>
  <si>
    <t xml:space="preserve">L5 avg</t>
  </si>
  <si>
    <t xml:space="preserve">pprB1 — unit</t>
  </si>
  <si>
    <t xml:space="preserve">T204</t>
  </si>
  <si>
    <t xml:space="preserve">T301</t>
  </si>
  <si>
    <t xml:space="preserve">M301</t>
  </si>
  <si>
    <t xml:space="preserve">N301</t>
  </si>
  <si>
    <t xml:space="preserve">H204</t>
  </si>
  <si>
    <t xml:space="preserve">pprB2 — unit</t>
  </si>
  <si>
    <t xml:space="preserve">T306</t>
  </si>
  <si>
    <t xml:space="preserve">N205</t>
  </si>
  <si>
    <t xml:space="preserve">L306</t>
  </si>
  <si>
    <t xml:space="preserve">D205</t>
  </si>
  <si>
    <t xml:space="preserve">N305</t>
  </si>
  <si>
    <t xml:space="preserve">pprC1 — unit</t>
  </si>
  <si>
    <t xml:space="preserve">K305</t>
  </si>
  <si>
    <t xml:space="preserve">G206</t>
  </si>
  <si>
    <t xml:space="preserve">C305</t>
  </si>
  <si>
    <t xml:space="preserve">H205</t>
  </si>
  <si>
    <t xml:space="preserve">K206</t>
  </si>
  <si>
    <t xml:space="preserve">WEIGHTED SUMMARY</t>
  </si>
  <si>
    <t xml:space="preserve">Units (mix)</t>
  </si>
  <si>
    <t xml:space="preserve">pprA1</t>
  </si>
  <si>
    <t xml:space="preserve">pprB1</t>
  </si>
  <si>
    <t xml:space="preserve">pprB2</t>
  </si>
  <si>
    <t xml:space="preserve">pprC1</t>
  </si>
  <si>
    <t xml:space="preserve">PRELUDE L5 MIX-WEIGHTED</t>
  </si>
  <si>
    <t xml:space="preserve">Result: $1,810.62 — vs Prelude UW Y1 market rent $1,730: +4.7%.</t>
  </si>
  <si>
    <t xml:space="preserve">SEASONS AT MERIDIAN — model Assumptions L50:L58 (8/4/26 RR), for comparison</t>
  </si>
  <si>
    <t xml:space="preserve">SEASONS L5 MIX-WEIGHTED</t>
  </si>
  <si>
    <t xml:space="preserve">Ties to model Starting Market Rent $1,884.69.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</si>
</sst>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7" min="3" style="0" width="15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44"/>
  </cols>
  <sheetData>
    <row r="2" customFormat="false" ht="16.15" hidden="false" customHeight="false" outlineLevel="0" collapsed="false">
      <c r="B2" s="1" t="s">
        <v>0</v>
      </c>
    </row>
    <row r="3" customFormat="false" ht="105.9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customFormat="false" ht="15" hidden="false" customHeight="false" outlineLevel="0" collapsed="false">
      <c r="B6" s="4" t="n">
        <v>45153</v>
      </c>
      <c r="F6" s="5" t="n">
        <f aca="false">HD_Weighting!D25</f>
        <v>1700.95714285714</v>
      </c>
    </row>
    <row r="7" customFormat="false" ht="15" hidden="false" customHeight="false" outlineLevel="0" collapsed="false">
      <c r="B7" s="4" t="n">
        <v>45245</v>
      </c>
      <c r="F7" s="5" t="n">
        <f aca="false">HD_Weighting!E25</f>
        <v>1647.45</v>
      </c>
    </row>
    <row r="8" customFormat="false" ht="15" hidden="false" customHeight="false" outlineLevel="0" collapsed="false">
      <c r="B8" s="4" t="n">
        <v>45337</v>
      </c>
      <c r="F8" s="5" t="n">
        <f aca="false">HD_Weighting!F25</f>
        <v>1631.15714285714</v>
      </c>
    </row>
    <row r="9" customFormat="false" ht="15" hidden="false" customHeight="false" outlineLevel="0" collapsed="false">
      <c r="B9" s="4" t="n">
        <v>45427</v>
      </c>
      <c r="C9" s="5" t="n">
        <f aca="false">HD_Weighting!G16</f>
        <v>1807.18055555556</v>
      </c>
      <c r="F9" s="5" t="n">
        <f aca="false">HD_Weighting!G25</f>
        <v>1616.05714285714</v>
      </c>
    </row>
    <row r="10" customFormat="false" ht="15" hidden="false" customHeight="false" outlineLevel="0" collapsed="false">
      <c r="B10" s="4" t="n">
        <v>45519</v>
      </c>
      <c r="C10" s="5" t="n">
        <f aca="false">HD_Weighting!H16</f>
        <v>1843.83333333333</v>
      </c>
      <c r="F10" s="5" t="n">
        <f aca="false">HD_Weighting!H25</f>
        <v>1692.06428571429</v>
      </c>
    </row>
    <row r="11" customFormat="false" ht="15" hidden="false" customHeight="false" outlineLevel="0" collapsed="false">
      <c r="B11" s="4" t="n">
        <v>45611</v>
      </c>
      <c r="C11" s="5" t="n">
        <f aca="false">HD_Weighting!I16</f>
        <v>1729.26388888889</v>
      </c>
      <c r="F11" s="5" t="n">
        <f aca="false">HD_Weighting!I25</f>
        <v>1595.08571428571</v>
      </c>
    </row>
    <row r="12" customFormat="false" ht="15" hidden="false" customHeight="false" outlineLevel="0" collapsed="false">
      <c r="B12" s="4" t="n">
        <v>45703</v>
      </c>
      <c r="C12" s="5" t="n">
        <f aca="false">HD_Weighting!J16</f>
        <v>1722.66666666667</v>
      </c>
      <c r="F12" s="5" t="n">
        <f aca="false">HD_Weighting!J25</f>
        <v>1616.28571428571</v>
      </c>
    </row>
    <row r="13" customFormat="false" ht="15" hidden="false" customHeight="false" outlineLevel="0" collapsed="false">
      <c r="B13" s="4" t="n">
        <v>45792</v>
      </c>
      <c r="C13" s="5" t="n">
        <f aca="false">HD_Weighting!K16</f>
        <v>1800.66666666667</v>
      </c>
      <c r="F13" s="5" t="n">
        <f aca="false">HD_Weighting!K25</f>
        <v>1677.03571428571</v>
      </c>
    </row>
    <row r="14" customFormat="false" ht="15" hidden="false" customHeight="false" outlineLevel="0" collapsed="false">
      <c r="B14" s="4" t="n">
        <v>45884</v>
      </c>
      <c r="C14" s="5" t="n">
        <f aca="false">HD_Weighting!L16</f>
        <v>1768.56944444444</v>
      </c>
      <c r="F14" s="5" t="n">
        <f aca="false">HD_Weighting!L25</f>
        <v>1726.43571428571</v>
      </c>
    </row>
    <row r="15" customFormat="false" ht="15" hidden="false" customHeight="false" outlineLevel="0" collapsed="false">
      <c r="B15" s="4" t="n">
        <v>45976</v>
      </c>
      <c r="C15" s="5" t="n">
        <f aca="false">HD_Weighting!M16</f>
        <v>1676.86111111111</v>
      </c>
      <c r="F15" s="5" t="n">
        <f aca="false">HD_Weighting!M25</f>
        <v>1695.9</v>
      </c>
    </row>
    <row r="16" customFormat="false" ht="15" hidden="false" customHeight="false" outlineLevel="0" collapsed="false">
      <c r="B16" s="4" t="n">
        <v>46037</v>
      </c>
      <c r="H16" s="6" t="n">
        <v>1668</v>
      </c>
    </row>
    <row r="17" customFormat="false" ht="15" hidden="false" customHeight="false" outlineLevel="0" collapsed="false">
      <c r="B17" s="4" t="n">
        <v>46068</v>
      </c>
      <c r="C17" s="5" t="n">
        <f aca="false">HD_Weighting!N16</f>
        <v>1722.79166666667</v>
      </c>
      <c r="H17" s="6" t="n">
        <v>1670</v>
      </c>
    </row>
    <row r="18" customFormat="false" ht="15" hidden="false" customHeight="false" outlineLevel="0" collapsed="false">
      <c r="B18" s="4" t="n">
        <v>46096</v>
      </c>
      <c r="H18" s="6" t="n">
        <v>1672</v>
      </c>
    </row>
    <row r="19" customFormat="false" ht="15" hidden="false" customHeight="false" outlineLevel="0" collapsed="false">
      <c r="B19" s="4" t="n">
        <v>46127</v>
      </c>
      <c r="H19" s="6" t="n">
        <v>1675</v>
      </c>
    </row>
    <row r="20" customFormat="false" ht="15" hidden="false" customHeight="false" outlineLevel="0" collapsed="false">
      <c r="B20" s="4" t="n">
        <v>46157</v>
      </c>
      <c r="C20" s="5" t="n">
        <f aca="false">HD_Weighting!O16</f>
        <v>1912.15277777778</v>
      </c>
      <c r="H20" s="6" t="n">
        <v>1675</v>
      </c>
    </row>
    <row r="21" customFormat="false" ht="15" hidden="false" customHeight="false" outlineLevel="0" collapsed="false">
      <c r="B21" s="4" t="n">
        <v>46188</v>
      </c>
      <c r="H21" s="6" t="n">
        <v>1682</v>
      </c>
    </row>
    <row r="22" customFormat="false" ht="15" hidden="false" customHeight="false" outlineLevel="0" collapsed="false">
      <c r="B22" s="4" t="n">
        <v>46204</v>
      </c>
      <c r="G22" s="6" t="n">
        <v>1668</v>
      </c>
    </row>
    <row r="23" customFormat="false" ht="15" hidden="false" customHeight="false" outlineLevel="0" collapsed="false">
      <c r="B23" s="4" t="n">
        <v>46218</v>
      </c>
      <c r="C23" s="5" t="n">
        <f aca="false">HD_Weighting!P16</f>
        <v>1937.73611111111</v>
      </c>
      <c r="H23" s="6" t="n">
        <v>1684</v>
      </c>
    </row>
    <row r="24" customFormat="false" ht="15" hidden="false" customHeight="false" outlineLevel="0" collapsed="false">
      <c r="B24" s="4" t="n">
        <v>46238</v>
      </c>
      <c r="D24" s="6" t="n">
        <v>1885</v>
      </c>
      <c r="E24" s="5" t="n">
        <f aca="false">L5_New_Leases!D57</f>
        <v>1884.68611111111</v>
      </c>
    </row>
    <row r="25" customFormat="false" ht="15" hidden="false" customHeight="false" outlineLevel="0" collapsed="false">
      <c r="B25" s="4" t="n">
        <v>46247</v>
      </c>
      <c r="I25" s="5" t="n">
        <f aca="false">L5_New_Leases!D44</f>
        <v>1810.61857142857</v>
      </c>
    </row>
    <row r="26" customFormat="false" ht="15" hidden="false" customHeight="false" outlineLevel="0" collapsed="false">
      <c r="B26" s="4" t="n">
        <v>46569</v>
      </c>
      <c r="G26" s="6" t="n">
        <v>1745</v>
      </c>
    </row>
    <row r="27" customFormat="false" ht="15" hidden="false" customHeight="false" outlineLevel="0" collapsed="false">
      <c r="B27" s="4" t="n">
        <v>46692</v>
      </c>
      <c r="D27" s="6" t="n">
        <v>1960</v>
      </c>
    </row>
    <row r="28" customFormat="false" ht="15" hidden="false" customHeight="false" outlineLevel="0" collapsed="false">
      <c r="B28" s="4" t="n">
        <v>46935</v>
      </c>
      <c r="G28" s="6" t="n">
        <v>1808</v>
      </c>
    </row>
    <row r="29" customFormat="false" ht="15" hidden="false" customHeight="false" outlineLevel="0" collapsed="false">
      <c r="B29" s="4" t="n">
        <v>47058</v>
      </c>
      <c r="D29" s="6" t="n">
        <v>2038</v>
      </c>
    </row>
    <row r="30" customFormat="false" ht="15" hidden="false" customHeight="false" outlineLevel="0" collapsed="false">
      <c r="B30" s="4" t="n">
        <v>47300</v>
      </c>
      <c r="G30" s="6" t="n">
        <v>1883</v>
      </c>
    </row>
    <row r="31" customFormat="false" ht="15" hidden="false" customHeight="false" outlineLevel="0" collapsed="false">
      <c r="B31" s="4" t="n">
        <v>47423</v>
      </c>
      <c r="D31" s="6" t="n">
        <v>2110</v>
      </c>
    </row>
    <row r="32" customFormat="false" ht="15" hidden="false" customHeight="false" outlineLevel="0" collapsed="false">
      <c r="B32" s="4" t="n">
        <v>47665</v>
      </c>
      <c r="G32" s="6" t="n">
        <v>1952</v>
      </c>
    </row>
    <row r="33" customFormat="false" ht="15" hidden="false" customHeight="false" outlineLevel="0" collapsed="false">
      <c r="B33" s="4" t="n">
        <v>47788</v>
      </c>
      <c r="D33" s="6" t="n">
        <v>2184</v>
      </c>
    </row>
    <row r="34" customFormat="false" ht="15" hidden="false" customHeight="false" outlineLevel="0" collapsed="false">
      <c r="B34" s="4" t="n">
        <v>48153</v>
      </c>
      <c r="D34" s="6" t="n">
        <v>2249</v>
      </c>
    </row>
    <row r="36" customFormat="false" ht="15" hidden="false" customHeight="true" outlineLevel="0" collapsed="false">
      <c r="B36" s="7" t="s">
        <v>10</v>
      </c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B38" s="7"/>
      <c r="C38" s="7"/>
      <c r="D38" s="7"/>
      <c r="E38" s="7"/>
      <c r="F38" s="7"/>
      <c r="G38" s="7"/>
      <c r="H38" s="7"/>
      <c r="I38" s="7"/>
      <c r="J38" s="7"/>
    </row>
  </sheetData>
  <mergeCells count="1">
    <mergeCell ref="B36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16" min="4" style="0" width="10"/>
    <col collapsed="false" customWidth="true" hidden="false" outlineLevel="0" max="17" min="17" style="0" width="3"/>
  </cols>
  <sheetData>
    <row r="2" customFormat="false" ht="16.15" hidden="false" customHeight="false" outlineLevel="0" collapsed="false">
      <c r="B2" s="1" t="s">
        <v>11</v>
      </c>
    </row>
    <row r="3" customFormat="false" ht="85.05" hidden="false" customHeight="false" outlineLevel="0" collapsed="false">
      <c r="B3" s="2" t="s">
        <v>12</v>
      </c>
    </row>
    <row r="5" customFormat="false" ht="15" hidden="false" customHeight="false" outlineLevel="0" collapsed="false">
      <c r="B5" s="8" t="s">
        <v>13</v>
      </c>
    </row>
    <row r="6" customFormat="false" ht="23.85" hidden="false" customHeight="false" outlineLevel="0" collapsed="false"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</row>
    <row r="7" customFormat="false" ht="15" hidden="false" customHeight="false" outlineLevel="0" collapsed="false">
      <c r="B7" s="9" t="s">
        <v>29</v>
      </c>
      <c r="C7" s="10" t="n">
        <v>15</v>
      </c>
      <c r="D7" s="6" t="n">
        <v>1403</v>
      </c>
      <c r="E7" s="6" t="n">
        <v>1403</v>
      </c>
      <c r="F7" s="6" t="n">
        <v>1403</v>
      </c>
      <c r="G7" s="6" t="n">
        <v>1403</v>
      </c>
      <c r="H7" s="6" t="n">
        <v>1415</v>
      </c>
      <c r="I7" s="6" t="n">
        <v>1351</v>
      </c>
      <c r="J7" s="6" t="n">
        <v>1345</v>
      </c>
      <c r="K7" s="6" t="n">
        <v>1509</v>
      </c>
      <c r="L7" s="6" t="n">
        <v>1509</v>
      </c>
      <c r="M7" s="6" t="n">
        <v>1325</v>
      </c>
      <c r="N7" s="6" t="n">
        <v>1310</v>
      </c>
      <c r="O7" s="6" t="n">
        <v>1544</v>
      </c>
      <c r="P7" s="6" t="n">
        <v>1597</v>
      </c>
    </row>
    <row r="8" customFormat="false" ht="15" hidden="false" customHeight="false" outlineLevel="0" collapsed="false">
      <c r="B8" s="9" t="s">
        <v>30</v>
      </c>
      <c r="C8" s="10" t="n">
        <v>120</v>
      </c>
      <c r="D8" s="6" t="n">
        <v>1479</v>
      </c>
      <c r="E8" s="6" t="n">
        <v>1479</v>
      </c>
      <c r="F8" s="6" t="n">
        <v>1479</v>
      </c>
      <c r="G8" s="6" t="n">
        <v>1610</v>
      </c>
      <c r="H8" s="6" t="n">
        <v>1586</v>
      </c>
      <c r="I8" s="6" t="n">
        <v>1432</v>
      </c>
      <c r="J8" s="6" t="n">
        <v>1447</v>
      </c>
      <c r="K8" s="6" t="n">
        <v>1536</v>
      </c>
      <c r="L8" s="6" t="n">
        <v>1518</v>
      </c>
      <c r="M8" s="6" t="n">
        <v>1394</v>
      </c>
      <c r="N8" s="6" t="n">
        <v>1483</v>
      </c>
      <c r="O8" s="6" t="n">
        <v>1660</v>
      </c>
      <c r="P8" s="6" t="n">
        <v>1691</v>
      </c>
    </row>
    <row r="9" customFormat="false" ht="15" hidden="false" customHeight="false" outlineLevel="0" collapsed="false">
      <c r="B9" s="9" t="s">
        <v>31</v>
      </c>
      <c r="C9" s="10" t="n">
        <v>45</v>
      </c>
      <c r="D9" s="6" t="n">
        <v>1625</v>
      </c>
      <c r="E9" s="6" t="n">
        <v>1625</v>
      </c>
      <c r="F9" s="6" t="n">
        <v>1625</v>
      </c>
      <c r="G9" s="6" t="n">
        <v>1625</v>
      </c>
      <c r="H9" s="6" t="n">
        <v>1695</v>
      </c>
      <c r="I9" s="6" t="n">
        <v>1676</v>
      </c>
      <c r="J9" s="6" t="n">
        <v>1689</v>
      </c>
      <c r="K9" s="6" t="n">
        <v>1771</v>
      </c>
      <c r="L9" s="6" t="n">
        <v>1679</v>
      </c>
      <c r="M9" s="6" t="n">
        <v>1556</v>
      </c>
      <c r="N9" s="6" t="n">
        <v>1570</v>
      </c>
      <c r="O9" s="6" t="n">
        <v>1692</v>
      </c>
      <c r="P9" s="6" t="n">
        <v>1787</v>
      </c>
    </row>
    <row r="10" customFormat="false" ht="15" hidden="false" customHeight="false" outlineLevel="0" collapsed="false">
      <c r="B10" s="9" t="s">
        <v>32</v>
      </c>
      <c r="C10" s="10" t="n">
        <v>30</v>
      </c>
      <c r="D10" s="6" t="n">
        <v>1805</v>
      </c>
      <c r="E10" s="6" t="n">
        <v>1805</v>
      </c>
      <c r="F10" s="6" t="n">
        <v>1805</v>
      </c>
      <c r="G10" s="6" t="n">
        <v>1805</v>
      </c>
      <c r="H10" s="6" t="n">
        <v>1960</v>
      </c>
      <c r="I10" s="6" t="n">
        <v>1765</v>
      </c>
      <c r="J10" s="6" t="n">
        <v>1737</v>
      </c>
      <c r="K10" s="6" t="n">
        <v>1910</v>
      </c>
      <c r="L10" s="6" t="n">
        <v>1799</v>
      </c>
      <c r="M10" s="6" t="n">
        <v>1726</v>
      </c>
      <c r="N10" s="6" t="n">
        <v>1805</v>
      </c>
      <c r="O10" s="6" t="n">
        <v>2030</v>
      </c>
      <c r="P10" s="6" t="n">
        <v>2050</v>
      </c>
    </row>
    <row r="11" customFormat="false" ht="15" hidden="false" customHeight="false" outlineLevel="0" collapsed="false">
      <c r="B11" s="9" t="s">
        <v>33</v>
      </c>
      <c r="C11" s="10" t="n">
        <v>75</v>
      </c>
      <c r="D11" s="6" t="n">
        <v>1983</v>
      </c>
      <c r="E11" s="6" t="n">
        <v>1983</v>
      </c>
      <c r="F11" s="6" t="n">
        <v>1983</v>
      </c>
      <c r="G11" s="6" t="n">
        <v>2045</v>
      </c>
      <c r="H11" s="6" t="n">
        <v>2021</v>
      </c>
      <c r="I11" s="6" t="n">
        <v>1945</v>
      </c>
      <c r="J11" s="6" t="n">
        <v>2016</v>
      </c>
      <c r="K11" s="6" t="n">
        <v>2007</v>
      </c>
      <c r="L11" s="6" t="n">
        <v>1930</v>
      </c>
      <c r="M11" s="6" t="n">
        <v>1838</v>
      </c>
      <c r="N11" s="6" t="n">
        <v>1935</v>
      </c>
      <c r="O11" s="6" t="n">
        <v>2125</v>
      </c>
      <c r="P11" s="6" t="n">
        <v>2104</v>
      </c>
    </row>
    <row r="12" customFormat="false" ht="15" hidden="false" customHeight="false" outlineLevel="0" collapsed="false">
      <c r="B12" s="9" t="s">
        <v>34</v>
      </c>
      <c r="C12" s="10" t="n">
        <v>15</v>
      </c>
      <c r="D12" s="6" t="n">
        <v>1934</v>
      </c>
      <c r="E12" s="6" t="n">
        <v>1934</v>
      </c>
      <c r="F12" s="6" t="n">
        <v>1934</v>
      </c>
      <c r="G12" s="6" t="n">
        <v>1934</v>
      </c>
      <c r="H12" s="6" t="n">
        <v>2173</v>
      </c>
      <c r="I12" s="6" t="n">
        <v>2173</v>
      </c>
      <c r="J12" s="6" t="n">
        <v>1898</v>
      </c>
      <c r="K12" s="6" t="n">
        <v>1807</v>
      </c>
      <c r="L12" s="6" t="n">
        <v>1945</v>
      </c>
      <c r="M12" s="6" t="n">
        <v>2135</v>
      </c>
      <c r="N12" s="6" t="n">
        <v>1978</v>
      </c>
      <c r="O12" s="6" t="n">
        <v>1978</v>
      </c>
      <c r="P12" s="6" t="n">
        <v>2075</v>
      </c>
    </row>
    <row r="13" customFormat="false" ht="15" hidden="false" customHeight="false" outlineLevel="0" collapsed="false">
      <c r="B13" s="9" t="s">
        <v>35</v>
      </c>
      <c r="C13" s="10" t="n">
        <v>30</v>
      </c>
      <c r="D13" s="6" t="n">
        <v>1941</v>
      </c>
      <c r="E13" s="6" t="n">
        <v>1941</v>
      </c>
      <c r="F13" s="6" t="n">
        <v>1941</v>
      </c>
      <c r="G13" s="6" t="n">
        <v>1941</v>
      </c>
      <c r="H13" s="6" t="n">
        <v>2098</v>
      </c>
      <c r="I13" s="6" t="n">
        <v>2098</v>
      </c>
      <c r="J13" s="6" t="n">
        <v>1826</v>
      </c>
      <c r="K13" s="6" t="n">
        <v>1958</v>
      </c>
      <c r="L13" s="6" t="n">
        <v>1958</v>
      </c>
      <c r="M13" s="6" t="n">
        <v>1866</v>
      </c>
      <c r="N13" s="6" t="n">
        <v>1870</v>
      </c>
      <c r="O13" s="6" t="n">
        <v>2102</v>
      </c>
      <c r="P13" s="6" t="n">
        <v>2100</v>
      </c>
    </row>
    <row r="14" customFormat="false" ht="15" hidden="false" customHeight="false" outlineLevel="0" collapsed="false">
      <c r="B14" s="9" t="s">
        <v>36</v>
      </c>
      <c r="C14" s="10" t="n">
        <v>10</v>
      </c>
      <c r="D14" s="6" t="n">
        <v>2371</v>
      </c>
      <c r="E14" s="6" t="n">
        <v>2371</v>
      </c>
      <c r="F14" s="6" t="n">
        <v>2371</v>
      </c>
      <c r="G14" s="6" t="n">
        <v>2371</v>
      </c>
      <c r="H14" s="6" t="n">
        <v>2355</v>
      </c>
      <c r="I14" s="6" t="n">
        <v>2355</v>
      </c>
      <c r="J14" s="6" t="n">
        <v>2132</v>
      </c>
      <c r="K14" s="6" t="n">
        <v>2296</v>
      </c>
      <c r="L14" s="6" t="n">
        <v>2186</v>
      </c>
      <c r="M14" s="6" t="n">
        <v>2326</v>
      </c>
      <c r="N14" s="6" t="n">
        <v>2344</v>
      </c>
      <c r="O14" s="6" t="n">
        <v>2579</v>
      </c>
      <c r="P14" s="6" t="n">
        <v>2579</v>
      </c>
    </row>
    <row r="15" customFormat="false" ht="15" hidden="false" customHeight="false" outlineLevel="0" collapsed="false">
      <c r="B15" s="9" t="s">
        <v>37</v>
      </c>
      <c r="C15" s="10" t="n">
        <v>20</v>
      </c>
      <c r="D15" s="6" t="n">
        <v>2237</v>
      </c>
      <c r="E15" s="6" t="n">
        <v>2237</v>
      </c>
      <c r="F15" s="6" t="n">
        <v>2237</v>
      </c>
      <c r="G15" s="6" t="n">
        <v>2237</v>
      </c>
      <c r="H15" s="6" t="n">
        <v>2325</v>
      </c>
      <c r="I15" s="6" t="n">
        <v>1855</v>
      </c>
      <c r="J15" s="6" t="n">
        <v>2123</v>
      </c>
      <c r="K15" s="6" t="n">
        <v>2248</v>
      </c>
      <c r="L15" s="6" t="n">
        <v>2392</v>
      </c>
      <c r="M15" s="6" t="n">
        <v>2280</v>
      </c>
      <c r="N15" s="6" t="n">
        <v>2173</v>
      </c>
      <c r="O15" s="6" t="n">
        <v>2554</v>
      </c>
      <c r="P15" s="6" t="n">
        <v>2554</v>
      </c>
    </row>
    <row r="16" customFormat="false" ht="15" hidden="false" customHeight="false" outlineLevel="0" collapsed="false">
      <c r="B16" s="11" t="s">
        <v>38</v>
      </c>
      <c r="C16" s="12" t="n">
        <f aca="false">SUM(C7:C15)</f>
        <v>360</v>
      </c>
      <c r="D16" s="13" t="n">
        <f aca="false">SUMPRODUCT(D7:D15,$C$7:$C$15)/SUM($C$7:$C$15)</f>
        <v>1750.59722222222</v>
      </c>
      <c r="E16" s="13" t="n">
        <f aca="false">SUMPRODUCT(E7:E15,$C$7:$C$15)/SUM($C$7:$C$15)</f>
        <v>1750.59722222222</v>
      </c>
      <c r="F16" s="13" t="n">
        <f aca="false">SUMPRODUCT(F7:F15,$C$7:$C$15)/SUM($C$7:$C$15)</f>
        <v>1750.59722222222</v>
      </c>
      <c r="G16" s="13" t="n">
        <f aca="false">SUMPRODUCT(G7:G15,$C$7:$C$15)/SUM($C$7:$C$15)</f>
        <v>1807.18055555556</v>
      </c>
      <c r="H16" s="13" t="n">
        <f aca="false">SUMPRODUCT(H7:H15,$C$7:$C$15)/SUM($C$7:$C$15)</f>
        <v>1843.83333333333</v>
      </c>
      <c r="I16" s="13" t="n">
        <f aca="false">SUMPRODUCT(I7:I15,$C$7:$C$15)/SUM($C$7:$C$15)</f>
        <v>1729.26388888889</v>
      </c>
      <c r="J16" s="13" t="n">
        <f aca="false">SUMPRODUCT(J7:J15,$C$7:$C$15)/SUM($C$7:$C$15)</f>
        <v>1722.66666666667</v>
      </c>
      <c r="K16" s="13" t="n">
        <f aca="false">SUMPRODUCT(K7:K15,$C$7:$C$15)/SUM($C$7:$C$15)</f>
        <v>1800.66666666667</v>
      </c>
      <c r="L16" s="13" t="n">
        <f aca="false">SUMPRODUCT(L7:L15,$C$7:$C$15)/SUM($C$7:$C$15)</f>
        <v>1768.56944444444</v>
      </c>
      <c r="M16" s="13" t="n">
        <f aca="false">SUMPRODUCT(M7:M15,$C$7:$C$15)/SUM($C$7:$C$15)</f>
        <v>1676.86111111111</v>
      </c>
      <c r="N16" s="13" t="n">
        <f aca="false">SUMPRODUCT(N7:N15,$C$7:$C$15)/SUM($C$7:$C$15)</f>
        <v>1722.79166666667</v>
      </c>
      <c r="O16" s="13" t="n">
        <f aca="false">SUMPRODUCT(O7:O15,$C$7:$C$15)/SUM($C$7:$C$15)</f>
        <v>1912.15277777778</v>
      </c>
      <c r="P16" s="13" t="n">
        <f aca="false">SUMPRODUCT(P7:P15,$C$7:$C$15)/SUM($C$7:$C$15)</f>
        <v>1937.73611111111</v>
      </c>
    </row>
    <row r="17" customFormat="false" ht="43.25" hidden="false" customHeight="false" outlineLevel="0" collapsed="false">
      <c r="B17" s="2" t="s">
        <v>39</v>
      </c>
    </row>
    <row r="19" customFormat="false" ht="15" hidden="false" customHeight="false" outlineLevel="0" collapsed="false">
      <c r="B19" s="8" t="s">
        <v>40</v>
      </c>
    </row>
    <row r="20" customFormat="false" ht="15" hidden="false" customHeight="false" outlineLevel="0" collapsed="false">
      <c r="B20" s="3" t="s">
        <v>14</v>
      </c>
      <c r="C20" s="3" t="s">
        <v>15</v>
      </c>
      <c r="D20" s="3" t="s">
        <v>16</v>
      </c>
      <c r="E20" s="3" t="s">
        <v>17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22</v>
      </c>
      <c r="K20" s="3" t="s">
        <v>23</v>
      </c>
      <c r="L20" s="3" t="s">
        <v>24</v>
      </c>
      <c r="M20" s="3" t="s">
        <v>41</v>
      </c>
    </row>
    <row r="21" customFormat="false" ht="15" hidden="false" customHeight="false" outlineLevel="0" collapsed="false">
      <c r="B21" s="9" t="s">
        <v>42</v>
      </c>
      <c r="C21" s="10" t="n">
        <v>106</v>
      </c>
      <c r="D21" s="6" t="n">
        <v>1493</v>
      </c>
      <c r="E21" s="6" t="n">
        <v>1448</v>
      </c>
      <c r="F21" s="6" t="n">
        <v>1434</v>
      </c>
      <c r="G21" s="6" t="n">
        <v>1383</v>
      </c>
      <c r="H21" s="6" t="n">
        <v>1373</v>
      </c>
      <c r="I21" s="6" t="n">
        <v>1369</v>
      </c>
      <c r="J21" s="6" t="n">
        <v>1342</v>
      </c>
      <c r="K21" s="6" t="n">
        <v>1439</v>
      </c>
      <c r="L21" s="6" t="n">
        <v>1465</v>
      </c>
      <c r="M21" s="6" t="n">
        <v>1462</v>
      </c>
    </row>
    <row r="22" customFormat="false" ht="15" hidden="false" customHeight="false" outlineLevel="0" collapsed="false">
      <c r="B22" s="9" t="s">
        <v>43</v>
      </c>
      <c r="C22" s="10" t="n">
        <v>100</v>
      </c>
      <c r="D22" s="6" t="n">
        <v>1725</v>
      </c>
      <c r="E22" s="6" t="n">
        <v>1706</v>
      </c>
      <c r="F22" s="6" t="n">
        <v>1685</v>
      </c>
      <c r="G22" s="6" t="n">
        <v>1698</v>
      </c>
      <c r="H22" s="6" t="n">
        <v>1802</v>
      </c>
      <c r="I22" s="6" t="n">
        <v>1629</v>
      </c>
      <c r="J22" s="6" t="n">
        <v>1682</v>
      </c>
      <c r="K22" s="6" t="n">
        <v>1718</v>
      </c>
      <c r="L22" s="6" t="n">
        <v>1811</v>
      </c>
      <c r="M22" s="6" t="n">
        <v>1795</v>
      </c>
    </row>
    <row r="23" customFormat="false" ht="15" hidden="false" customHeight="false" outlineLevel="0" collapsed="false">
      <c r="B23" s="9" t="s">
        <v>44</v>
      </c>
      <c r="C23" s="10" t="n">
        <v>30</v>
      </c>
      <c r="D23" s="6" t="n">
        <v>1895</v>
      </c>
      <c r="E23" s="6" t="n">
        <v>1835</v>
      </c>
      <c r="F23" s="6" t="n">
        <v>1798</v>
      </c>
      <c r="G23" s="6" t="n">
        <v>1791</v>
      </c>
      <c r="H23" s="6" t="n">
        <v>1818</v>
      </c>
      <c r="I23" s="6" t="n">
        <v>1643</v>
      </c>
      <c r="J23" s="6" t="n">
        <v>1698</v>
      </c>
      <c r="K23" s="6" t="n">
        <v>1792</v>
      </c>
      <c r="L23" s="6" t="n">
        <v>1838</v>
      </c>
      <c r="M23" s="6" t="n">
        <v>1790</v>
      </c>
    </row>
    <row r="24" customFormat="false" ht="15" hidden="false" customHeight="false" outlineLevel="0" collapsed="false">
      <c r="B24" s="9" t="s">
        <v>45</v>
      </c>
      <c r="C24" s="10" t="n">
        <v>44</v>
      </c>
      <c r="D24" s="6" t="n">
        <v>2015</v>
      </c>
      <c r="E24" s="6" t="n">
        <v>1867</v>
      </c>
      <c r="F24" s="6" t="n">
        <v>1870</v>
      </c>
      <c r="G24" s="6" t="n">
        <v>1872</v>
      </c>
      <c r="H24" s="6" t="n">
        <v>2125</v>
      </c>
      <c r="I24" s="6" t="n">
        <v>2030</v>
      </c>
      <c r="J24" s="6" t="n">
        <v>2072</v>
      </c>
      <c r="K24" s="6" t="n">
        <v>2079</v>
      </c>
      <c r="L24" s="6" t="n">
        <v>2088</v>
      </c>
      <c r="M24" s="6" t="n">
        <v>1970</v>
      </c>
    </row>
    <row r="25" customFormat="false" ht="15" hidden="false" customHeight="false" outlineLevel="0" collapsed="false">
      <c r="B25" s="11" t="s">
        <v>38</v>
      </c>
      <c r="C25" s="12" t="n">
        <f aca="false">SUM(C21:C24)</f>
        <v>280</v>
      </c>
      <c r="D25" s="13" t="n">
        <f aca="false">SUMPRODUCT(D21:D24,$C$21:$C$24)/SUM($C$21:$C$24)</f>
        <v>1700.95714285714</v>
      </c>
      <c r="E25" s="13" t="n">
        <f aca="false">SUMPRODUCT(E21:E24,$C$21:$C$24)/SUM($C$21:$C$24)</f>
        <v>1647.45</v>
      </c>
      <c r="F25" s="13" t="n">
        <f aca="false">SUMPRODUCT(F21:F24,$C$21:$C$24)/SUM($C$21:$C$24)</f>
        <v>1631.15714285714</v>
      </c>
      <c r="G25" s="13" t="n">
        <f aca="false">SUMPRODUCT(G21:G24,$C$21:$C$24)/SUM($C$21:$C$24)</f>
        <v>1616.05714285714</v>
      </c>
      <c r="H25" s="13" t="n">
        <f aca="false">SUMPRODUCT(H21:H24,$C$21:$C$24)/SUM($C$21:$C$24)</f>
        <v>1692.06428571429</v>
      </c>
      <c r="I25" s="13" t="n">
        <f aca="false">SUMPRODUCT(I21:I24,$C$21:$C$24)/SUM($C$21:$C$24)</f>
        <v>1595.08571428571</v>
      </c>
      <c r="J25" s="13" t="n">
        <f aca="false">SUMPRODUCT(J21:J24,$C$21:$C$24)/SUM($C$21:$C$24)</f>
        <v>1616.28571428571</v>
      </c>
      <c r="K25" s="13" t="n">
        <f aca="false">SUMPRODUCT(K21:K24,$C$21:$C$24)/SUM($C$21:$C$24)</f>
        <v>1677.03571428571</v>
      </c>
      <c r="L25" s="13" t="n">
        <f aca="false">SUMPRODUCT(L21:L24,$C$21:$C$24)/SUM($C$21:$C$24)</f>
        <v>1726.43571428571</v>
      </c>
      <c r="M25" s="13" t="n">
        <f aca="false">SUMPRODUCT(M21:M24,$C$21:$C$24)/SUM($C$21:$C$24)</f>
        <v>1695.9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50"/>
  </cols>
  <sheetData>
    <row r="2" customFormat="false" ht="16.15" hidden="false" customHeight="false" outlineLevel="0" collapsed="false">
      <c r="B2" s="1" t="s">
        <v>46</v>
      </c>
    </row>
    <row r="3" customFormat="false" ht="74.6" hidden="false" customHeight="false" outlineLevel="0" collapsed="false">
      <c r="B3" s="2" t="s">
        <v>47</v>
      </c>
    </row>
    <row r="5" customFormat="false" ht="15" hidden="false" customHeight="false" outlineLevel="0" collapsed="false">
      <c r="B5" s="8" t="s">
        <v>48</v>
      </c>
    </row>
    <row r="6" customFormat="false" ht="15" hidden="false" customHeight="false" outlineLevel="0" collapsed="false">
      <c r="B6" s="3" t="s">
        <v>49</v>
      </c>
      <c r="C6" s="3" t="s">
        <v>50</v>
      </c>
      <c r="D6" s="3" t="s">
        <v>51</v>
      </c>
    </row>
    <row r="7" customFormat="false" ht="15" hidden="false" customHeight="false" outlineLevel="0" collapsed="false">
      <c r="B7" s="9" t="s">
        <v>52</v>
      </c>
      <c r="C7" s="14" t="n">
        <v>46244</v>
      </c>
      <c r="D7" s="6" t="n">
        <v>1605</v>
      </c>
    </row>
    <row r="8" customFormat="false" ht="15" hidden="false" customHeight="false" outlineLevel="0" collapsed="false">
      <c r="B8" s="9" t="s">
        <v>53</v>
      </c>
      <c r="C8" s="14" t="n">
        <v>46234</v>
      </c>
      <c r="D8" s="6" t="n">
        <v>1515</v>
      </c>
    </row>
    <row r="9" customFormat="false" ht="15" hidden="false" customHeight="false" outlineLevel="0" collapsed="false">
      <c r="B9" s="9" t="s">
        <v>54</v>
      </c>
      <c r="C9" s="14" t="n">
        <v>46232</v>
      </c>
      <c r="D9" s="6" t="n">
        <v>1641</v>
      </c>
    </row>
    <row r="10" customFormat="false" ht="15" hidden="false" customHeight="false" outlineLevel="0" collapsed="false">
      <c r="B10" s="9" t="s">
        <v>55</v>
      </c>
      <c r="C10" s="14" t="n">
        <v>46225</v>
      </c>
      <c r="D10" s="6" t="n">
        <v>1505</v>
      </c>
    </row>
    <row r="11" customFormat="false" ht="15" hidden="false" customHeight="false" outlineLevel="0" collapsed="false">
      <c r="B11" s="9" t="s">
        <v>56</v>
      </c>
      <c r="C11" s="14" t="n">
        <v>46204</v>
      </c>
      <c r="D11" s="6" t="n">
        <v>1588</v>
      </c>
    </row>
    <row r="12" customFormat="false" ht="15" hidden="false" customHeight="false" outlineLevel="0" collapsed="false">
      <c r="B12" s="11" t="s">
        <v>57</v>
      </c>
      <c r="D12" s="13" t="n">
        <f aca="false">AVERAGE(D7:D11)</f>
        <v>1570.8</v>
      </c>
    </row>
    <row r="14" customFormat="false" ht="15" hidden="false" customHeight="false" outlineLevel="0" collapsed="false">
      <c r="B14" s="3" t="s">
        <v>58</v>
      </c>
      <c r="C14" s="3" t="s">
        <v>50</v>
      </c>
      <c r="D14" s="3" t="s">
        <v>51</v>
      </c>
    </row>
    <row r="15" customFormat="false" ht="15" hidden="false" customHeight="false" outlineLevel="0" collapsed="false">
      <c r="B15" s="9" t="s">
        <v>59</v>
      </c>
      <c r="C15" s="14" t="n">
        <v>46240</v>
      </c>
      <c r="D15" s="6" t="n">
        <v>1852</v>
      </c>
    </row>
    <row r="16" customFormat="false" ht="15" hidden="false" customHeight="false" outlineLevel="0" collapsed="false">
      <c r="B16" s="9" t="s">
        <v>60</v>
      </c>
      <c r="C16" s="14" t="n">
        <v>46231</v>
      </c>
      <c r="D16" s="6" t="n">
        <v>1983</v>
      </c>
    </row>
    <row r="17" customFormat="false" ht="15" hidden="false" customHeight="false" outlineLevel="0" collapsed="false">
      <c r="B17" s="9" t="s">
        <v>61</v>
      </c>
      <c r="C17" s="14" t="n">
        <v>46231</v>
      </c>
      <c r="D17" s="6" t="n">
        <v>1983</v>
      </c>
    </row>
    <row r="18" customFormat="false" ht="15" hidden="false" customHeight="false" outlineLevel="0" collapsed="false">
      <c r="B18" s="9" t="s">
        <v>62</v>
      </c>
      <c r="C18" s="14" t="n">
        <v>46224</v>
      </c>
      <c r="D18" s="6" t="n">
        <v>1862</v>
      </c>
    </row>
    <row r="19" customFormat="false" ht="15" hidden="false" customHeight="false" outlineLevel="0" collapsed="false">
      <c r="B19" s="9" t="s">
        <v>63</v>
      </c>
      <c r="C19" s="14" t="n">
        <v>46214</v>
      </c>
      <c r="D19" s="6" t="n">
        <v>1852</v>
      </c>
    </row>
    <row r="20" customFormat="false" ht="15" hidden="false" customHeight="false" outlineLevel="0" collapsed="false">
      <c r="B20" s="11" t="s">
        <v>57</v>
      </c>
      <c r="D20" s="13" t="n">
        <f aca="false">AVERAGE(D15:D19)</f>
        <v>1906.4</v>
      </c>
    </row>
    <row r="22" customFormat="false" ht="15" hidden="false" customHeight="false" outlineLevel="0" collapsed="false">
      <c r="B22" s="3" t="s">
        <v>64</v>
      </c>
      <c r="C22" s="3" t="s">
        <v>50</v>
      </c>
      <c r="D22" s="3" t="s">
        <v>51</v>
      </c>
    </row>
    <row r="23" customFormat="false" ht="15" hidden="false" customHeight="false" outlineLevel="0" collapsed="false">
      <c r="B23" s="9" t="s">
        <v>65</v>
      </c>
      <c r="C23" s="14" t="n">
        <v>46235</v>
      </c>
      <c r="D23" s="6" t="n">
        <v>1820</v>
      </c>
    </row>
    <row r="24" customFormat="false" ht="15" hidden="false" customHeight="false" outlineLevel="0" collapsed="false">
      <c r="B24" s="9" t="s">
        <v>66</v>
      </c>
      <c r="C24" s="14" t="n">
        <v>46233</v>
      </c>
      <c r="D24" s="6" t="n">
        <v>2018</v>
      </c>
    </row>
    <row r="25" customFormat="false" ht="15" hidden="false" customHeight="false" outlineLevel="0" collapsed="false">
      <c r="B25" s="9" t="s">
        <v>67</v>
      </c>
      <c r="C25" s="14" t="n">
        <v>46226</v>
      </c>
      <c r="D25" s="6" t="n">
        <v>1907</v>
      </c>
    </row>
    <row r="26" customFormat="false" ht="15" hidden="false" customHeight="false" outlineLevel="0" collapsed="false">
      <c r="B26" s="9" t="s">
        <v>68</v>
      </c>
      <c r="C26" s="14" t="n">
        <v>46206</v>
      </c>
      <c r="D26" s="6" t="n">
        <v>1807</v>
      </c>
    </row>
    <row r="27" customFormat="false" ht="15" hidden="false" customHeight="false" outlineLevel="0" collapsed="false">
      <c r="B27" s="9" t="s">
        <v>69</v>
      </c>
      <c r="C27" s="14" t="n">
        <v>46202</v>
      </c>
      <c r="D27" s="6" t="n">
        <v>1817</v>
      </c>
    </row>
    <row r="28" customFormat="false" ht="15" hidden="false" customHeight="false" outlineLevel="0" collapsed="false">
      <c r="B28" s="11" t="s">
        <v>57</v>
      </c>
      <c r="D28" s="13" t="n">
        <f aca="false">AVERAGE(D23:D27)</f>
        <v>1873.8</v>
      </c>
    </row>
    <row r="30" customFormat="false" ht="15" hidden="false" customHeight="false" outlineLevel="0" collapsed="false">
      <c r="B30" s="3" t="s">
        <v>70</v>
      </c>
      <c r="C30" s="3" t="s">
        <v>50</v>
      </c>
      <c r="D30" s="3" t="s">
        <v>51</v>
      </c>
    </row>
    <row r="31" customFormat="false" ht="15" hidden="false" customHeight="false" outlineLevel="0" collapsed="false">
      <c r="B31" s="9" t="s">
        <v>71</v>
      </c>
      <c r="C31" s="14" t="n">
        <v>46195</v>
      </c>
      <c r="D31" s="6" t="n">
        <v>2233</v>
      </c>
    </row>
    <row r="32" customFormat="false" ht="15" hidden="false" customHeight="false" outlineLevel="0" collapsed="false">
      <c r="B32" s="9" t="s">
        <v>72</v>
      </c>
      <c r="C32" s="14" t="n">
        <v>46191</v>
      </c>
      <c r="D32" s="6" t="n">
        <v>2135</v>
      </c>
    </row>
    <row r="33" customFormat="false" ht="15" hidden="false" customHeight="false" outlineLevel="0" collapsed="false">
      <c r="B33" s="9" t="s">
        <v>73</v>
      </c>
      <c r="C33" s="14" t="n">
        <v>46176</v>
      </c>
      <c r="D33" s="6" t="n">
        <v>2233</v>
      </c>
    </row>
    <row r="34" customFormat="false" ht="15" hidden="false" customHeight="false" outlineLevel="0" collapsed="false">
      <c r="B34" s="9" t="s">
        <v>74</v>
      </c>
      <c r="C34" s="14" t="n">
        <v>46146</v>
      </c>
      <c r="D34" s="6" t="n">
        <v>2117</v>
      </c>
    </row>
    <row r="35" customFormat="false" ht="15" hidden="false" customHeight="false" outlineLevel="0" collapsed="false">
      <c r="B35" s="9" t="s">
        <v>75</v>
      </c>
      <c r="C35" s="14" t="n">
        <v>46129</v>
      </c>
      <c r="D35" s="6" t="n">
        <v>1920</v>
      </c>
    </row>
    <row r="36" customFormat="false" ht="15" hidden="false" customHeight="false" outlineLevel="0" collapsed="false">
      <c r="B36" s="11" t="s">
        <v>57</v>
      </c>
      <c r="D36" s="13" t="n">
        <f aca="false">AVERAGE(D31:D35)</f>
        <v>2127.6</v>
      </c>
    </row>
    <row r="38" customFormat="false" ht="15" hidden="false" customHeight="false" outlineLevel="0" collapsed="false">
      <c r="B38" s="8" t="s">
        <v>76</v>
      </c>
    </row>
    <row r="39" customFormat="false" ht="15" hidden="false" customHeight="false" outlineLevel="0" collapsed="false">
      <c r="B39" s="3" t="s">
        <v>14</v>
      </c>
      <c r="C39" s="3" t="s">
        <v>77</v>
      </c>
      <c r="D39" s="3" t="s">
        <v>57</v>
      </c>
    </row>
    <row r="40" customFormat="false" ht="15" hidden="false" customHeight="false" outlineLevel="0" collapsed="false">
      <c r="B40" s="9" t="s">
        <v>78</v>
      </c>
      <c r="C40" s="10" t="n">
        <v>106</v>
      </c>
      <c r="D40" s="5" t="n">
        <f aca="false">D12</f>
        <v>1570.8</v>
      </c>
    </row>
    <row r="41" customFormat="false" ht="15" hidden="false" customHeight="false" outlineLevel="0" collapsed="false">
      <c r="B41" s="9" t="s">
        <v>79</v>
      </c>
      <c r="C41" s="10" t="n">
        <v>100</v>
      </c>
      <c r="D41" s="5" t="n">
        <f aca="false">D20</f>
        <v>1906.4</v>
      </c>
    </row>
    <row r="42" customFormat="false" ht="15" hidden="false" customHeight="false" outlineLevel="0" collapsed="false">
      <c r="B42" s="9" t="s">
        <v>80</v>
      </c>
      <c r="C42" s="10" t="n">
        <v>30</v>
      </c>
      <c r="D42" s="5" t="n">
        <f aca="false">D28</f>
        <v>1873.8</v>
      </c>
    </row>
    <row r="43" customFormat="false" ht="15" hidden="false" customHeight="false" outlineLevel="0" collapsed="false">
      <c r="B43" s="9" t="s">
        <v>81</v>
      </c>
      <c r="C43" s="10" t="n">
        <v>44</v>
      </c>
      <c r="D43" s="5" t="n">
        <f aca="false">D36</f>
        <v>2127.6</v>
      </c>
    </row>
    <row r="44" customFormat="false" ht="15" hidden="false" customHeight="false" outlineLevel="0" collapsed="false">
      <c r="B44" s="11" t="s">
        <v>82</v>
      </c>
      <c r="D44" s="13" t="n">
        <f aca="false">SUMPRODUCT(D40:D43,C40:C43)/SUM(C40:C43)</f>
        <v>1810.61857142857</v>
      </c>
      <c r="F44" s="2" t="s">
        <v>83</v>
      </c>
    </row>
    <row r="46" customFormat="false" ht="15" hidden="false" customHeight="false" outlineLevel="0" collapsed="false">
      <c r="B46" s="8" t="s">
        <v>84</v>
      </c>
    </row>
    <row r="47" customFormat="false" ht="15" hidden="false" customHeight="false" outlineLevel="0" collapsed="false">
      <c r="B47" s="3" t="s">
        <v>14</v>
      </c>
      <c r="C47" s="3" t="s">
        <v>15</v>
      </c>
      <c r="D47" s="3" t="s">
        <v>57</v>
      </c>
    </row>
    <row r="48" customFormat="false" ht="15" hidden="false" customHeight="false" outlineLevel="0" collapsed="false">
      <c r="B48" s="9" t="s">
        <v>29</v>
      </c>
      <c r="C48" s="10" t="n">
        <v>15</v>
      </c>
      <c r="D48" s="6" t="n">
        <v>1495.8</v>
      </c>
    </row>
    <row r="49" customFormat="false" ht="15" hidden="false" customHeight="false" outlineLevel="0" collapsed="false">
      <c r="B49" s="9" t="s">
        <v>30</v>
      </c>
      <c r="C49" s="10" t="n">
        <v>120</v>
      </c>
      <c r="D49" s="6" t="n">
        <v>1679</v>
      </c>
    </row>
    <row r="50" customFormat="false" ht="15" hidden="false" customHeight="false" outlineLevel="0" collapsed="false">
      <c r="B50" s="9" t="s">
        <v>31</v>
      </c>
      <c r="C50" s="10" t="n">
        <v>45</v>
      </c>
      <c r="D50" s="6" t="n">
        <v>1766.4</v>
      </c>
    </row>
    <row r="51" customFormat="false" ht="15" hidden="false" customHeight="false" outlineLevel="0" collapsed="false">
      <c r="B51" s="9" t="s">
        <v>32</v>
      </c>
      <c r="C51" s="10" t="n">
        <v>30</v>
      </c>
      <c r="D51" s="6" t="n">
        <v>1901.8</v>
      </c>
    </row>
    <row r="52" customFormat="false" ht="15" hidden="false" customHeight="false" outlineLevel="0" collapsed="false">
      <c r="B52" s="9" t="s">
        <v>33</v>
      </c>
      <c r="C52" s="10" t="n">
        <v>75</v>
      </c>
      <c r="D52" s="6" t="n">
        <v>2074</v>
      </c>
    </row>
    <row r="53" customFormat="false" ht="15" hidden="false" customHeight="false" outlineLevel="0" collapsed="false">
      <c r="B53" s="9" t="s">
        <v>34</v>
      </c>
      <c r="C53" s="10" t="n">
        <v>15</v>
      </c>
      <c r="D53" s="6" t="n">
        <v>2012.4</v>
      </c>
    </row>
    <row r="54" customFormat="false" ht="15" hidden="false" customHeight="false" outlineLevel="0" collapsed="false">
      <c r="B54" s="9" t="s">
        <v>35</v>
      </c>
      <c r="C54" s="10" t="n">
        <v>30</v>
      </c>
      <c r="D54" s="6" t="n">
        <v>2066.2</v>
      </c>
    </row>
    <row r="55" customFormat="false" ht="15" hidden="false" customHeight="false" outlineLevel="0" collapsed="false">
      <c r="B55" s="9" t="s">
        <v>36</v>
      </c>
      <c r="C55" s="10" t="n">
        <v>10</v>
      </c>
      <c r="D55" s="6" t="n">
        <v>2497.8</v>
      </c>
    </row>
    <row r="56" customFormat="false" ht="15" hidden="false" customHeight="false" outlineLevel="0" collapsed="false">
      <c r="B56" s="9" t="s">
        <v>37</v>
      </c>
      <c r="C56" s="10" t="n">
        <v>20</v>
      </c>
      <c r="D56" s="6" t="n">
        <v>2266.4</v>
      </c>
    </row>
    <row r="57" customFormat="false" ht="15" hidden="false" customHeight="false" outlineLevel="0" collapsed="false">
      <c r="B57" s="11" t="s">
        <v>85</v>
      </c>
      <c r="D57" s="13" t="n">
        <f aca="false">SUMPRODUCT(D48:D56,C48:C56)/SUM(C48:C56)</f>
        <v>1884.68611111111</v>
      </c>
      <c r="F57" s="1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2026-08-13T18:39:47Z</dcterms:created>
  <dc:creator>openpyxl</dc:creator>
  <dc:description/>
  <dc:language>en-US</dc:language>
  <cp:lastModifiedBy/>
  <dcterms:modified xsi:type="dcterms:W3CDTF">2026-08-13T18:39:47Z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