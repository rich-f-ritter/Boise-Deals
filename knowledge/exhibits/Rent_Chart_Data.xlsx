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90_Monthly" sheetId="1" state="visible" r:id="rId3"/>
    <sheet name="Chart_Data" sheetId="2" state="visible" r:id="rId4"/>
    <sheet name="HD_Seasons" sheetId="3" state="visible" r:id="rId5"/>
    <sheet name="HD_Prelude" sheetId="4" state="visible" r:id="rId6"/>
    <sheet name="L5_New_Leas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<sst xmlns="http://schemas.openxmlformats.org/spreadsheetml/2006/main" count="1186" uniqueCount="433">
  <si>
    <t xml:space="preserve">Monthly T90 (trailing-90-day) Mix-Weighted HelloData Asking Rent</t>
  </si>
  <si>
    <t xml:space="preserve">Methodology = Seasons model Cash Flow (Annual) rows 252-304: per floor plan, AVERAGEIFS of Last Asking Rent where Off Market Date in [EDATE(month-end,-3)+1, month-end]; if no leases in window, carry forward last value (first column falls back to rent-roll contract rent); property = SUMPRODUCT(plan values x rent-roll unit counts)/total units.</t>
  </si>
  <si>
    <t xml:space="preserve">Month end →</t>
  </si>
  <si>
    <t xml:space="preserve">SEASONS AT MERIDIAN</t>
  </si>
  <si>
    <t xml:space="preserve">Floor plan</t>
  </si>
  <si>
    <t xml:space="preserve">Units</t>
  </si>
  <si>
    <t xml:space="preserve">Fallback (contract rent)</t>
  </si>
  <si>
    <t xml:space="preserve">S1_Seas</t>
  </si>
  <si>
    <t xml:space="preserve">A1_Seas</t>
  </si>
  <si>
    <t xml:space="preserve">A2_Seas</t>
  </si>
  <si>
    <t xml:space="preserve">B1_Seas</t>
  </si>
  <si>
    <t xml:space="preserve">B2_Seas</t>
  </si>
  <si>
    <t xml:space="preserve">B3a_Seas</t>
  </si>
  <si>
    <t xml:space="preserve">B3b_Seas</t>
  </si>
  <si>
    <t xml:space="preserve">C1a_Seas</t>
  </si>
  <si>
    <t xml:space="preserve">C1b_Seas</t>
  </si>
  <si>
    <t xml:space="preserve">SEASONS T90 MIX-WEIGHTED</t>
  </si>
  <si>
    <t xml:space="preserve">PRELUDE AT PARAMOUNT (populates when Unit Details pasted on HD_Prelude)</t>
  </si>
  <si>
    <t xml:space="preserve">Fallback (RR avg rent)</t>
  </si>
  <si>
    <t xml:space="preserve">1x1-pp</t>
  </si>
  <si>
    <t xml:space="preserve">2x2a-pp</t>
  </si>
  <si>
    <t xml:space="preserve">2x2b-pp</t>
  </si>
  <si>
    <t xml:space="preserve">3x2-pp</t>
  </si>
  <si>
    <t xml:space="preserve">PRELUDE T90 MIX-WEIGHTED</t>
  </si>
  <si>
    <t xml:space="preserve">Data-status flag (0 = no Prelude unit details pasted yet):</t>
  </si>
  <si>
    <t xml:space="preserve">Chart Data — monthly</t>
  </si>
  <si>
    <t xml:space="preserve">Green = live formulas (T90_Monthly / L5 tabs). Blue = extracted (models/statements). Prelude T90 column stays blank until the Unit Details export is pasted on HD_Prelude.</t>
  </si>
  <si>
    <t xml:space="preserve">Date</t>
  </si>
  <si>
    <t xml:space="preserve">Seasons T90 (mix-wtd)</t>
  </si>
  <si>
    <t xml:space="preserve">Seasons UW asking</t>
  </si>
  <si>
    <t xml:space="preserve">Seasons L5 / UW entry</t>
  </si>
  <si>
    <t xml:space="preserve">Prelude T90 (mix-wtd)</t>
  </si>
  <si>
    <t xml:space="preserve">Prelude UW rent/occ</t>
  </si>
  <si>
    <t xml:space="preserve">Prelude actual in-place</t>
  </si>
  <si>
    <t xml:space="preserve">Prelude L5 (8/13/26)</t>
  </si>
  <si>
    <t xml:space="preserve">Seasons UW path: $1,885 (executed L5, flat through Y1) then annual steps +4/4/3.5/3.5/3% each Nov. Prelude UW: rent/occupied path from acquisition model. Actuals: potential rent net LTL /280 from accrual statement.</t>
  </si>
  <si>
    <t xml:space="preserve">Floorplan Mapped</t>
  </si>
  <si>
    <t xml:space="preserve">Off Market Date</t>
  </si>
  <si>
    <t xml:space="preserve">Last Asking Rent</t>
  </si>
  <si>
    <t xml:space="preserve">Unit</t>
  </si>
  <si>
    <t xml:space="preserve">SF</t>
  </si>
  <si>
    <t xml:space="preserve">535 lease records — Seasons model HD Dump (HDUnitLevel), pull 8/2026</t>
  </si>
  <si>
    <t xml:space="preserve">H110</t>
  </si>
  <si>
    <t xml:space="preserve">B110</t>
  </si>
  <si>
    <t xml:space="preserve">J110</t>
  </si>
  <si>
    <t xml:space="preserve">B210</t>
  </si>
  <si>
    <t xml:space="preserve">E310</t>
  </si>
  <si>
    <t xml:space="preserve">H210</t>
  </si>
  <si>
    <t xml:space="preserve">J210</t>
  </si>
  <si>
    <t xml:space="preserve">E210</t>
  </si>
  <si>
    <t xml:space="preserve">J310</t>
  </si>
  <si>
    <t xml:space="preserve">D110</t>
  </si>
  <si>
    <t xml:space="preserve">H310</t>
  </si>
  <si>
    <t xml:space="preserve">B310</t>
  </si>
  <si>
    <t xml:space="preserve">D210</t>
  </si>
  <si>
    <t xml:space="preserve">E110</t>
  </si>
  <si>
    <t xml:space="preserve">D310</t>
  </si>
  <si>
    <t xml:space="preserve">A208</t>
  </si>
  <si>
    <t xml:space="preserve">A111</t>
  </si>
  <si>
    <t xml:space="preserve">C303</t>
  </si>
  <si>
    <t xml:space="preserve">G208</t>
  </si>
  <si>
    <t xml:space="preserve">A106</t>
  </si>
  <si>
    <t xml:space="preserve">E103</t>
  </si>
  <si>
    <t xml:space="preserve">H103</t>
  </si>
  <si>
    <t xml:space="preserve">D111</t>
  </si>
  <si>
    <t xml:space="preserve">B111</t>
  </si>
  <si>
    <t xml:space="preserve">A108</t>
  </si>
  <si>
    <t xml:space="preserve">D108</t>
  </si>
  <si>
    <t xml:space="preserve">A306</t>
  </si>
  <si>
    <t xml:space="preserve">B308</t>
  </si>
  <si>
    <t xml:space="preserve">H311</t>
  </si>
  <si>
    <t xml:space="preserve">I306</t>
  </si>
  <si>
    <t xml:space="preserve">D106</t>
  </si>
  <si>
    <t xml:space="preserve">J208</t>
  </si>
  <si>
    <t xml:space="preserve">H208</t>
  </si>
  <si>
    <t xml:space="preserve">J211</t>
  </si>
  <si>
    <t xml:space="preserve">H205</t>
  </si>
  <si>
    <t xml:space="preserve">H211</t>
  </si>
  <si>
    <t xml:space="preserve">G203</t>
  </si>
  <si>
    <t xml:space="preserve">J308</t>
  </si>
  <si>
    <t xml:space="preserve">D205</t>
  </si>
  <si>
    <t xml:space="preserve">B205</t>
  </si>
  <si>
    <t xml:space="preserve">A209</t>
  </si>
  <si>
    <t xml:space="preserve">E311</t>
  </si>
  <si>
    <t xml:space="preserve">C306</t>
  </si>
  <si>
    <t xml:space="preserve">B311</t>
  </si>
  <si>
    <t xml:space="preserve">E308</t>
  </si>
  <si>
    <t xml:space="preserve">D308</t>
  </si>
  <si>
    <t xml:space="preserve">F206</t>
  </si>
  <si>
    <t xml:space="preserve">E105</t>
  </si>
  <si>
    <t xml:space="preserve">F303</t>
  </si>
  <si>
    <t xml:space="preserve">A206</t>
  </si>
  <si>
    <t xml:space="preserve">E108</t>
  </si>
  <si>
    <t xml:space="preserve">D211</t>
  </si>
  <si>
    <t xml:space="preserve">D206</t>
  </si>
  <si>
    <t xml:space="preserve">I211</t>
  </si>
  <si>
    <t xml:space="preserve">J105</t>
  </si>
  <si>
    <t xml:space="preserve">D208</t>
  </si>
  <si>
    <t xml:space="preserve">I206</t>
  </si>
  <si>
    <t xml:space="preserve">G111</t>
  </si>
  <si>
    <t xml:space="preserve">J205</t>
  </si>
  <si>
    <t xml:space="preserve">D203</t>
  </si>
  <si>
    <t xml:space="preserve">I109</t>
  </si>
  <si>
    <t xml:space="preserve">G303</t>
  </si>
  <si>
    <t xml:space="preserve">G306</t>
  </si>
  <si>
    <t xml:space="preserve">H308</t>
  </si>
  <si>
    <t xml:space="preserve">J111</t>
  </si>
  <si>
    <t xml:space="preserve">I103</t>
  </si>
  <si>
    <t xml:space="preserve">J103</t>
  </si>
  <si>
    <t xml:space="preserve">H108</t>
  </si>
  <si>
    <t xml:space="preserve">B208</t>
  </si>
  <si>
    <t xml:space="preserve">G106</t>
  </si>
  <si>
    <t xml:space="preserve">G109</t>
  </si>
  <si>
    <t xml:space="preserve">H105</t>
  </si>
  <si>
    <t xml:space="preserve">J106</t>
  </si>
  <si>
    <t xml:space="preserve">C203</t>
  </si>
  <si>
    <t xml:space="preserve">F203</t>
  </si>
  <si>
    <t xml:space="preserve">A203</t>
  </si>
  <si>
    <t xml:space="preserve">B203</t>
  </si>
  <si>
    <t xml:space="preserve">C211</t>
  </si>
  <si>
    <t xml:space="preserve">C206</t>
  </si>
  <si>
    <t xml:space="preserve">I108</t>
  </si>
  <si>
    <t xml:space="preserve">I106</t>
  </si>
  <si>
    <t xml:space="preserve">I111</t>
  </si>
  <si>
    <t xml:space="preserve">B103</t>
  </si>
  <si>
    <t xml:space="preserve">F209</t>
  </si>
  <si>
    <t xml:space="preserve">H106</t>
  </si>
  <si>
    <t xml:space="preserve">F211</t>
  </si>
  <si>
    <t xml:space="preserve">A211</t>
  </si>
  <si>
    <t xml:space="preserve">F103</t>
  </si>
  <si>
    <t xml:space="preserve">I208</t>
  </si>
  <si>
    <t xml:space="preserve">E208</t>
  </si>
  <si>
    <t xml:space="preserve">C109</t>
  </si>
  <si>
    <t xml:space="preserve">C108</t>
  </si>
  <si>
    <t xml:space="preserve">D103</t>
  </si>
  <si>
    <t xml:space="preserve">C111</t>
  </si>
  <si>
    <t xml:space="preserve">G206</t>
  </si>
  <si>
    <t xml:space="preserve">C103</t>
  </si>
  <si>
    <t xml:space="preserve">D105</t>
  </si>
  <si>
    <t xml:space="preserve">F208</t>
  </si>
  <si>
    <t xml:space="preserve">B108</t>
  </si>
  <si>
    <t xml:space="preserve">E211</t>
  </si>
  <si>
    <t xml:space="preserve">H206</t>
  </si>
  <si>
    <t xml:space="preserve">C209</t>
  </si>
  <si>
    <t xml:space="preserve">C208</t>
  </si>
  <si>
    <t xml:space="preserve">J311</t>
  </si>
  <si>
    <t xml:space="preserve">F111</t>
  </si>
  <si>
    <t xml:space="preserve">I303</t>
  </si>
  <si>
    <t xml:space="preserve">C106</t>
  </si>
  <si>
    <t xml:space="preserve">I209</t>
  </si>
  <si>
    <t xml:space="preserve">A109</t>
  </si>
  <si>
    <t xml:space="preserve">E205</t>
  </si>
  <si>
    <t xml:space="preserve">G103</t>
  </si>
  <si>
    <t xml:space="preserve">J206</t>
  </si>
  <si>
    <t xml:space="preserve">F306</t>
  </si>
  <si>
    <t xml:space="preserve">E203</t>
  </si>
  <si>
    <t xml:space="preserve">I203</t>
  </si>
  <si>
    <t xml:space="preserve">B211</t>
  </si>
  <si>
    <t xml:space="preserve">F109</t>
  </si>
  <si>
    <t xml:space="preserve">F108</t>
  </si>
  <si>
    <t xml:space="preserve">J108</t>
  </si>
  <si>
    <t xml:space="preserve">B106</t>
  </si>
  <si>
    <t xml:space="preserve">E106</t>
  </si>
  <si>
    <t xml:space="preserve">B105</t>
  </si>
  <si>
    <t xml:space="preserve">A103</t>
  </si>
  <si>
    <t xml:space="preserve">J203</t>
  </si>
  <si>
    <t xml:space="preserve">E111</t>
  </si>
  <si>
    <t xml:space="preserve">H111</t>
  </si>
  <si>
    <t xml:space="preserve">G108</t>
  </si>
  <si>
    <t xml:space="preserve">F106</t>
  </si>
  <si>
    <t xml:space="preserve">A303</t>
  </si>
  <si>
    <t xml:space="preserve">G209</t>
  </si>
  <si>
    <t xml:space="preserve">B206</t>
  </si>
  <si>
    <t xml:space="preserve">G211</t>
  </si>
  <si>
    <t xml:space="preserve">D311</t>
  </si>
  <si>
    <t xml:space="preserve">H203</t>
  </si>
  <si>
    <t xml:space="preserve">B104</t>
  </si>
  <si>
    <t xml:space="preserve">G210</t>
  </si>
  <si>
    <t xml:space="preserve">C110</t>
  </si>
  <si>
    <t xml:space="preserve">C310</t>
  </si>
  <si>
    <t xml:space="preserve">F304</t>
  </si>
  <si>
    <t xml:space="preserve">C304</t>
  </si>
  <si>
    <t xml:space="preserve">C104</t>
  </si>
  <si>
    <t xml:space="preserve">H204</t>
  </si>
  <si>
    <t xml:space="preserve">J204</t>
  </si>
  <si>
    <t xml:space="preserve">J104</t>
  </si>
  <si>
    <t xml:space="preserve">A110</t>
  </si>
  <si>
    <t xml:space="preserve">G310</t>
  </si>
  <si>
    <t xml:space="preserve">A104</t>
  </si>
  <si>
    <t xml:space="preserve">H304</t>
  </si>
  <si>
    <t xml:space="preserve">G110</t>
  </si>
  <si>
    <t xml:space="preserve">G104</t>
  </si>
  <si>
    <t xml:space="preserve">I110</t>
  </si>
  <si>
    <t xml:space="preserve">I304</t>
  </si>
  <si>
    <t xml:space="preserve">I310</t>
  </si>
  <si>
    <t xml:space="preserve">G204</t>
  </si>
  <si>
    <t xml:space="preserve">D204</t>
  </si>
  <si>
    <t xml:space="preserve">A210</t>
  </si>
  <si>
    <t xml:space="preserve">I210</t>
  </si>
  <si>
    <t xml:space="preserve">F110</t>
  </si>
  <si>
    <t xml:space="preserve">A204</t>
  </si>
  <si>
    <t xml:space="preserve">C204</t>
  </si>
  <si>
    <t xml:space="preserve">C210</t>
  </si>
  <si>
    <t xml:space="preserve">B204</t>
  </si>
  <si>
    <t xml:space="preserve">B304</t>
  </si>
  <si>
    <t xml:space="preserve">E104</t>
  </si>
  <si>
    <t xml:space="preserve">A310</t>
  </si>
  <si>
    <t xml:space="preserve">H104</t>
  </si>
  <si>
    <t xml:space="preserve">D304</t>
  </si>
  <si>
    <t xml:space="preserve">J304</t>
  </si>
  <si>
    <t xml:space="preserve">I104</t>
  </si>
  <si>
    <t xml:space="preserve">F210</t>
  </si>
  <si>
    <t xml:space="preserve">E304</t>
  </si>
  <si>
    <t xml:space="preserve">E204</t>
  </si>
  <si>
    <t xml:space="preserve">D104</t>
  </si>
  <si>
    <t xml:space="preserve">F104</t>
  </si>
  <si>
    <t xml:space="preserve">F204</t>
  </si>
  <si>
    <t xml:space="preserve">I204</t>
  </si>
  <si>
    <t xml:space="preserve">G304</t>
  </si>
  <si>
    <t xml:space="preserve">A304</t>
  </si>
  <si>
    <t xml:space="preserve">E109</t>
  </si>
  <si>
    <t xml:space="preserve">H209</t>
  </si>
  <si>
    <t xml:space="preserve">J309</t>
  </si>
  <si>
    <t xml:space="preserve">I305</t>
  </si>
  <si>
    <t xml:space="preserve">G205</t>
  </si>
  <si>
    <t xml:space="preserve">F105</t>
  </si>
  <si>
    <t xml:space="preserve">D109</t>
  </si>
  <si>
    <t xml:space="preserve">B309</t>
  </si>
  <si>
    <t xml:space="preserve">D209</t>
  </si>
  <si>
    <t xml:space="preserve">B209</t>
  </si>
  <si>
    <t xml:space="preserve">I205</t>
  </si>
  <si>
    <t xml:space="preserve">D309</t>
  </si>
  <si>
    <t xml:space="preserve">C305</t>
  </si>
  <si>
    <t xml:space="preserve">H109</t>
  </si>
  <si>
    <t xml:space="preserve">B109</t>
  </si>
  <si>
    <t xml:space="preserve">I105</t>
  </si>
  <si>
    <t xml:space="preserve">A205</t>
  </si>
  <si>
    <t xml:space="preserve">H309</t>
  </si>
  <si>
    <t xml:space="preserve">G105</t>
  </si>
  <si>
    <t xml:space="preserve">J209</t>
  </si>
  <si>
    <t xml:space="preserve">A105</t>
  </si>
  <si>
    <t xml:space="preserve">A305</t>
  </si>
  <si>
    <t xml:space="preserve">E209</t>
  </si>
  <si>
    <t xml:space="preserve">G305</t>
  </si>
  <si>
    <t xml:space="preserve">F305</t>
  </si>
  <si>
    <t xml:space="preserve">J109</t>
  </si>
  <si>
    <t xml:space="preserve">F205</t>
  </si>
  <si>
    <t xml:space="preserve">E309</t>
  </si>
  <si>
    <t xml:space="preserve">H201</t>
  </si>
  <si>
    <t xml:space="preserve">A101</t>
  </si>
  <si>
    <t xml:space="preserve">H113</t>
  </si>
  <si>
    <t xml:space="preserve">I101</t>
  </si>
  <si>
    <t xml:space="preserve">J213</t>
  </si>
  <si>
    <t xml:space="preserve">I201</t>
  </si>
  <si>
    <t xml:space="preserve">B301</t>
  </si>
  <si>
    <t xml:space="preserve">F207</t>
  </si>
  <si>
    <t xml:space="preserve">B101</t>
  </si>
  <si>
    <t xml:space="preserve">J107</t>
  </si>
  <si>
    <t xml:space="preserve">C207</t>
  </si>
  <si>
    <t xml:space="preserve">B201</t>
  </si>
  <si>
    <t xml:space="preserve">H101</t>
  </si>
  <si>
    <t xml:space="preserve">E107</t>
  </si>
  <si>
    <t xml:space="preserve">C107</t>
  </si>
  <si>
    <t xml:space="preserve">B113</t>
  </si>
  <si>
    <t xml:space="preserve">B107</t>
  </si>
  <si>
    <t xml:space="preserve">C101</t>
  </si>
  <si>
    <t xml:space="preserve">F201</t>
  </si>
  <si>
    <t xml:space="preserve">H301</t>
  </si>
  <si>
    <t xml:space="preserve">I301</t>
  </si>
  <si>
    <t xml:space="preserve">F101</t>
  </si>
  <si>
    <t xml:space="preserve">F107</t>
  </si>
  <si>
    <t xml:space="preserve">G107</t>
  </si>
  <si>
    <t xml:space="preserve">D201</t>
  </si>
  <si>
    <t xml:space="preserve">I107</t>
  </si>
  <si>
    <t xml:space="preserve">B313</t>
  </si>
  <si>
    <t xml:space="preserve">C201</t>
  </si>
  <si>
    <t xml:space="preserve">C307</t>
  </si>
  <si>
    <t xml:space="preserve">J301</t>
  </si>
  <si>
    <t xml:space="preserve">J113</t>
  </si>
  <si>
    <t xml:space="preserve">J207</t>
  </si>
  <si>
    <t xml:space="preserve">H207</t>
  </si>
  <si>
    <t xml:space="preserve">G207</t>
  </si>
  <si>
    <t xml:space="preserve">C301</t>
  </si>
  <si>
    <t xml:space="preserve">I207</t>
  </si>
  <si>
    <t xml:space="preserve">H313</t>
  </si>
  <si>
    <t xml:space="preserve">G201</t>
  </si>
  <si>
    <t xml:space="preserve">A107</t>
  </si>
  <si>
    <t xml:space="preserve">E301</t>
  </si>
  <si>
    <t xml:space="preserve">I307</t>
  </si>
  <si>
    <t xml:space="preserve">A307</t>
  </si>
  <si>
    <t xml:space="preserve">G301</t>
  </si>
  <si>
    <t xml:space="preserve">J313</t>
  </si>
  <si>
    <t xml:space="preserve">H107</t>
  </si>
  <si>
    <t xml:space="preserve">G101</t>
  </si>
  <si>
    <t xml:space="preserve">E113</t>
  </si>
  <si>
    <t xml:space="preserve">D107</t>
  </si>
  <si>
    <t xml:space="preserve">G307</t>
  </si>
  <si>
    <t xml:space="preserve">D113</t>
  </si>
  <si>
    <t xml:space="preserve">D207</t>
  </si>
  <si>
    <t xml:space="preserve">E213</t>
  </si>
  <si>
    <t xml:space="preserve">J201</t>
  </si>
  <si>
    <t xml:space="preserve">B207</t>
  </si>
  <si>
    <t xml:space="preserve">A207</t>
  </si>
  <si>
    <t xml:space="preserve">A201</t>
  </si>
  <si>
    <t xml:space="preserve">B213</t>
  </si>
  <si>
    <t xml:space="preserve">D101</t>
  </si>
  <si>
    <t xml:space="preserve">H213</t>
  </si>
  <si>
    <t xml:space="preserve">E101</t>
  </si>
  <si>
    <t xml:space="preserve">J101</t>
  </si>
  <si>
    <t xml:space="preserve">E201</t>
  </si>
  <si>
    <t xml:space="preserve">F307</t>
  </si>
  <si>
    <t xml:space="preserve">E207</t>
  </si>
  <si>
    <t xml:space="preserve">F301</t>
  </si>
  <si>
    <t xml:space="preserve">A301</t>
  </si>
  <si>
    <t xml:space="preserve">D213</t>
  </si>
  <si>
    <t xml:space="preserve">D313</t>
  </si>
  <si>
    <t xml:space="preserve">E313</t>
  </si>
  <si>
    <t xml:space="preserve">H307</t>
  </si>
  <si>
    <t xml:space="preserve">J307</t>
  </si>
  <si>
    <t xml:space="preserve">D307</t>
  </si>
  <si>
    <t xml:space="preserve">E307</t>
  </si>
  <si>
    <t xml:space="preserve">B307</t>
  </si>
  <si>
    <t xml:space="preserve">H102</t>
  </si>
  <si>
    <t xml:space="preserve">G113</t>
  </si>
  <si>
    <t xml:space="preserve">I112</t>
  </si>
  <si>
    <t xml:space="preserve">J102</t>
  </si>
  <si>
    <t xml:space="preserve">I113</t>
  </si>
  <si>
    <t xml:space="preserve">G112</t>
  </si>
  <si>
    <t xml:space="preserve">D102</t>
  </si>
  <si>
    <t xml:space="preserve">B102</t>
  </si>
  <si>
    <t xml:space="preserve">E102</t>
  </si>
  <si>
    <t xml:space="preserve">F112</t>
  </si>
  <si>
    <t xml:space="preserve">C112</t>
  </si>
  <si>
    <t xml:space="preserve">A112</t>
  </si>
  <si>
    <t xml:space="preserve">A113</t>
  </si>
  <si>
    <t xml:space="preserve">C113</t>
  </si>
  <si>
    <t xml:space="preserve">F113</t>
  </si>
  <si>
    <t xml:space="preserve">E202</t>
  </si>
  <si>
    <t xml:space="preserve">J202</t>
  </si>
  <si>
    <t xml:space="preserve">I212</t>
  </si>
  <si>
    <t xml:space="preserve">D302</t>
  </si>
  <si>
    <t xml:space="preserve">C312</t>
  </si>
  <si>
    <t xml:space="preserve">A213</t>
  </si>
  <si>
    <t xml:space="preserve">H302</t>
  </si>
  <si>
    <t xml:space="preserve">G312</t>
  </si>
  <si>
    <t xml:space="preserve">E302</t>
  </si>
  <si>
    <t xml:space="preserve">C212</t>
  </si>
  <si>
    <t xml:space="preserve">F312</t>
  </si>
  <si>
    <t xml:space="preserve">A312</t>
  </si>
  <si>
    <t xml:space="preserve">H202</t>
  </si>
  <si>
    <t xml:space="preserve">A313</t>
  </si>
  <si>
    <t xml:space="preserve">F313</t>
  </si>
  <si>
    <t xml:space="preserve">G212</t>
  </si>
  <si>
    <t xml:space="preserve">D202</t>
  </si>
  <si>
    <t xml:space="preserve">A212</t>
  </si>
  <si>
    <t xml:space="preserve">F212</t>
  </si>
  <si>
    <t xml:space="preserve">B202</t>
  </si>
  <si>
    <t xml:space="preserve">I312</t>
  </si>
  <si>
    <t xml:space="preserve">I313</t>
  </si>
  <si>
    <t xml:space="preserve">G313</t>
  </si>
  <si>
    <t xml:space="preserve">B302</t>
  </si>
  <si>
    <t xml:space="preserve">J302</t>
  </si>
  <si>
    <t xml:space="preserve">G213</t>
  </si>
  <si>
    <t xml:space="preserve">I213</t>
  </si>
  <si>
    <t xml:space="preserve">F213</t>
  </si>
  <si>
    <t xml:space="preserve">I102</t>
  </si>
  <si>
    <t xml:space="preserve">J112</t>
  </si>
  <si>
    <t xml:space="preserve">H112</t>
  </si>
  <si>
    <t xml:space="preserve">E112</t>
  </si>
  <si>
    <t xml:space="preserve">F102</t>
  </si>
  <si>
    <t xml:space="preserve">D112</t>
  </si>
  <si>
    <t xml:space="preserve">G102</t>
  </si>
  <si>
    <t xml:space="preserve">A102</t>
  </si>
  <si>
    <t xml:space="preserve">C102</t>
  </si>
  <si>
    <t xml:space="preserve">B112</t>
  </si>
  <si>
    <t xml:space="preserve">H212</t>
  </si>
  <si>
    <t xml:space="preserve">I302</t>
  </si>
  <si>
    <t xml:space="preserve">E212</t>
  </si>
  <si>
    <t xml:space="preserve">D212</t>
  </si>
  <si>
    <t xml:space="preserve">I202</t>
  </si>
  <si>
    <t xml:space="preserve">A202</t>
  </si>
  <si>
    <t xml:space="preserve">E312</t>
  </si>
  <si>
    <t xml:space="preserve">A302</t>
  </si>
  <si>
    <t xml:space="preserve">G302</t>
  </si>
  <si>
    <t xml:space="preserve">H312</t>
  </si>
  <si>
    <t xml:space="preserve">C302</t>
  </si>
  <si>
    <t xml:space="preserve">F302</t>
  </si>
  <si>
    <t xml:space="preserve">B312</t>
  </si>
  <si>
    <t xml:space="preserve">G202</t>
  </si>
  <si>
    <t xml:space="preserve">J212</t>
  </si>
  <si>
    <t xml:space="preserve">B212</t>
  </si>
  <si>
    <t xml:space="preserve">F202</t>
  </si>
  <si>
    <t xml:space="preserve">C202</t>
  </si>
  <si>
    <t xml:space="preserve">D312</t>
  </si>
  <si>
    <t xml:space="preserve">J312</t>
  </si>
  <si>
    <t xml:space="preserve">Floorplan (raw)</t>
  </si>
  <si>
    <t xml:space="preserve">PASTE the Prelude HelloData UNIT DETAILS export (lease-level) into columns B:E starting row 2 — floorplan, SF, off-market date, last asking rent. Column F maps by SF (787/1092/1172/1291). The T90_Monthly Prelude grid and Chart_Data populate automatically. The unit-TYPE table export (aggregates) cannot be used — it has no dates.</t>
  </si>
  <si>
    <t xml:space="preserve">example: A1- 1 Bedroom 1 Bath</t>
  </si>
  <si>
    <t xml:space="preserve">787</t>
  </si>
  <si>
    <t xml:space="preserve">01/15/26</t>
  </si>
  <si>
    <t xml:space="preserve">1,450</t>
  </si>
  <si>
    <t xml:space="preserve">Last-5 New Leases — Seasons model methodology</t>
  </si>
  <si>
    <t xml:space="preserve">Per floor plan: average of the 5 most recent new leases (by move-in) from the rent roll; total = SUMPRODUCT(plan L5 avg x units)/total units.</t>
  </si>
  <si>
    <t xml:space="preserve">PRELUDE — RR w/ lease charges 8/13/2026</t>
  </si>
  <si>
    <t xml:space="preserve">pprA1 — unit</t>
  </si>
  <si>
    <t xml:space="preserve">Move-in</t>
  </si>
  <si>
    <t xml:space="preserve">Rent</t>
  </si>
  <si>
    <t xml:space="preserve">P302</t>
  </si>
  <si>
    <t xml:space="preserve">T103</t>
  </si>
  <si>
    <t xml:space="preserve">R202</t>
  </si>
  <si>
    <t xml:space="preserve">T303</t>
  </si>
  <si>
    <t xml:space="preserve">L5 avg</t>
  </si>
  <si>
    <t xml:space="preserve">pprB1 — unit</t>
  </si>
  <si>
    <t xml:space="preserve">T204</t>
  </si>
  <si>
    <t xml:space="preserve">T301</t>
  </si>
  <si>
    <t xml:space="preserve">M301</t>
  </si>
  <si>
    <t xml:space="preserve">N301</t>
  </si>
  <si>
    <t xml:space="preserve">pprB2 — unit</t>
  </si>
  <si>
    <t xml:space="preserve">T306</t>
  </si>
  <si>
    <t xml:space="preserve">N205</t>
  </si>
  <si>
    <t xml:space="preserve">L306</t>
  </si>
  <si>
    <t xml:space="preserve">N305</t>
  </si>
  <si>
    <t xml:space="preserve">pprC1 — unit</t>
  </si>
  <si>
    <t xml:space="preserve">K305</t>
  </si>
  <si>
    <t xml:space="preserve">K206</t>
  </si>
  <si>
    <t xml:space="preserve">WEIGHTED SUMMARY</t>
  </si>
  <si>
    <t xml:space="preserve">pprA1</t>
  </si>
  <si>
    <t xml:space="preserve">pprB1</t>
  </si>
  <si>
    <t xml:space="preserve">pprB2</t>
  </si>
  <si>
    <t xml:space="preserve">pprC1</t>
  </si>
  <si>
    <t xml:space="preserve">PRELUDE L5 MIX-WEIGHTED</t>
  </si>
  <si>
    <t xml:space="preserve">SEASONS — model Assumptions L50:L58</t>
  </si>
  <si>
    <t xml:space="preserve">SEASONS L5 MIX-WEIGHTED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</si>
</sst>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\-yy"/>
    <numFmt numFmtId="166" formatCode="mm/dd/yy"/>
    <numFmt numFmtId="167" formatCode="#,##0"/>
    <numFmt numFmtId="168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2F2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D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30" min="5" style="0" width="10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false" outlineLevel="0" collapsed="false">
      <c r="B4" s="3" t="s">
        <v>2</v>
      </c>
      <c r="E4" s="4" t="n">
        <v>45504</v>
      </c>
      <c r="F4" s="4" t="n">
        <v>45535</v>
      </c>
      <c r="G4" s="4" t="n">
        <v>45565</v>
      </c>
      <c r="H4" s="4" t="n">
        <v>45596</v>
      </c>
      <c r="I4" s="4" t="n">
        <v>45626</v>
      </c>
      <c r="J4" s="4" t="n">
        <v>45657</v>
      </c>
      <c r="K4" s="4" t="n">
        <v>45688</v>
      </c>
      <c r="L4" s="4" t="n">
        <v>45716</v>
      </c>
      <c r="M4" s="4" t="n">
        <v>45747</v>
      </c>
      <c r="N4" s="4" t="n">
        <v>45777</v>
      </c>
      <c r="O4" s="4" t="n">
        <v>45808</v>
      </c>
      <c r="P4" s="4" t="n">
        <v>45838</v>
      </c>
      <c r="Q4" s="4" t="n">
        <v>45869</v>
      </c>
      <c r="R4" s="4" t="n">
        <v>45900</v>
      </c>
      <c r="S4" s="4" t="n">
        <v>45930</v>
      </c>
      <c r="T4" s="4" t="n">
        <v>45961</v>
      </c>
      <c r="U4" s="4" t="n">
        <v>45991</v>
      </c>
      <c r="V4" s="4" t="n">
        <v>46022</v>
      </c>
      <c r="W4" s="4" t="n">
        <v>46053</v>
      </c>
      <c r="X4" s="4" t="n">
        <v>46081</v>
      </c>
      <c r="Y4" s="4" t="n">
        <v>46112</v>
      </c>
      <c r="Z4" s="4" t="n">
        <v>46142</v>
      </c>
      <c r="AA4" s="4" t="n">
        <v>46173</v>
      </c>
      <c r="AB4" s="4" t="n">
        <v>46203</v>
      </c>
      <c r="AC4" s="4" t="n">
        <v>46234</v>
      </c>
      <c r="AD4" s="5" t="n">
        <v>46247</v>
      </c>
    </row>
    <row r="5" customFormat="false" ht="15" hidden="false" customHeight="false" outlineLevel="0" collapsed="false">
      <c r="B5" s="6" t="s">
        <v>3</v>
      </c>
    </row>
    <row r="6" customFormat="false" ht="23.85" hidden="false" customHeight="false" outlineLevel="0" collapsed="false">
      <c r="B6" s="7" t="s">
        <v>4</v>
      </c>
      <c r="C6" s="7" t="s">
        <v>5</v>
      </c>
      <c r="D6" s="7" t="s">
        <v>6</v>
      </c>
    </row>
    <row r="7" customFormat="false" ht="15" hidden="false" customHeight="false" outlineLevel="0" collapsed="false">
      <c r="B7" s="8" t="s">
        <v>7</v>
      </c>
      <c r="C7" s="9" t="n">
        <v>15</v>
      </c>
      <c r="D7" s="10" t="n">
        <v>1403.07</v>
      </c>
      <c r="E7" s="11" t="n">
        <f aca="false">IF(COUNTIFS(HD_Seasons!$B:$B,$B7,HD_Seasons!$C:$C,"&gt;="&amp;EDATE(E$4,-3)+1,HD_Seasons!$C:$C,"&lt;="&amp;E$4)&gt;0,AVERAGEIFS(HD_Seasons!$D:$D,HD_Seasons!$B:$B,$B7,HD_Seasons!$C:$C,"&gt;="&amp;EDATE(E$4,-3)+1,HD_Seasons!$C:$C,"&lt;="&amp;E$4),$D7)</f>
        <v>1403.07</v>
      </c>
      <c r="F7" s="11" t="n">
        <f aca="false">IF(COUNTIFS(HD_Seasons!$B:$B,$B7,HD_Seasons!$C:$C,"&gt;="&amp;EDATE(F$4,-3)+1,HD_Seasons!$C:$C,"&lt;="&amp;F$4)&gt;0,AVERAGEIFS(HD_Seasons!$D:$D,HD_Seasons!$B:$B,$B7,HD_Seasons!$C:$C,"&gt;="&amp;EDATE(F$4,-3)+1,HD_Seasons!$C:$C,"&lt;="&amp;F$4),E7)</f>
        <v>1415</v>
      </c>
      <c r="G7" s="11" t="n">
        <f aca="false">IF(COUNTIFS(HD_Seasons!$B:$B,$B7,HD_Seasons!$C:$C,"&gt;="&amp;EDATE(G$4,-3)+1,HD_Seasons!$C:$C,"&lt;="&amp;G$4)&gt;0,AVERAGEIFS(HD_Seasons!$D:$D,HD_Seasons!$B:$B,$B7,HD_Seasons!$C:$C,"&gt;="&amp;EDATE(G$4,-3)+1,HD_Seasons!$C:$C,"&lt;="&amp;G$4),F7)</f>
        <v>1415</v>
      </c>
      <c r="H7" s="11" t="n">
        <f aca="false">IF(COUNTIFS(HD_Seasons!$B:$B,$B7,HD_Seasons!$C:$C,"&gt;="&amp;EDATE(H$4,-3)+1,HD_Seasons!$C:$C,"&lt;="&amp;H$4)&gt;0,AVERAGEIFS(HD_Seasons!$D:$D,HD_Seasons!$B:$B,$B7,HD_Seasons!$C:$C,"&gt;="&amp;EDATE(H$4,-3)+1,HD_Seasons!$C:$C,"&lt;="&amp;H$4),G7)</f>
        <v>1415</v>
      </c>
      <c r="I7" s="11" t="n">
        <f aca="false">IF(COUNTIFS(HD_Seasons!$B:$B,$B7,HD_Seasons!$C:$C,"&gt;="&amp;EDATE(I$4,-3)+1,HD_Seasons!$C:$C,"&lt;="&amp;I$4)&gt;0,AVERAGEIFS(HD_Seasons!$D:$D,HD_Seasons!$B:$B,$B7,HD_Seasons!$C:$C,"&gt;="&amp;EDATE(I$4,-3)+1,HD_Seasons!$C:$C,"&lt;="&amp;I$4),H7)</f>
        <v>1420</v>
      </c>
      <c r="J7" s="11" t="n">
        <f aca="false">IF(COUNTIFS(HD_Seasons!$B:$B,$B7,HD_Seasons!$C:$C,"&gt;="&amp;EDATE(J$4,-3)+1,HD_Seasons!$C:$C,"&lt;="&amp;J$4)&gt;0,AVERAGEIFS(HD_Seasons!$D:$D,HD_Seasons!$B:$B,$B7,HD_Seasons!$C:$C,"&gt;="&amp;EDATE(J$4,-3)+1,HD_Seasons!$C:$C,"&lt;="&amp;J$4),I7)</f>
        <v>1351.25</v>
      </c>
      <c r="K7" s="11" t="n">
        <f aca="false">IF(COUNTIFS(HD_Seasons!$B:$B,$B7,HD_Seasons!$C:$C,"&gt;="&amp;EDATE(K$4,-3)+1,HD_Seasons!$C:$C,"&lt;="&amp;K$4)&gt;0,AVERAGEIFS(HD_Seasons!$D:$D,HD_Seasons!$B:$B,$B7,HD_Seasons!$C:$C,"&gt;="&amp;EDATE(K$4,-3)+1,HD_Seasons!$C:$C,"&lt;="&amp;K$4),J7)</f>
        <v>1340</v>
      </c>
      <c r="L7" s="11" t="n">
        <f aca="false">IF(COUNTIFS(HD_Seasons!$B:$B,$B7,HD_Seasons!$C:$C,"&gt;="&amp;EDATE(L$4,-3)+1,HD_Seasons!$C:$C,"&lt;="&amp;L$4)&gt;0,AVERAGEIFS(HD_Seasons!$D:$D,HD_Seasons!$B:$B,$B7,HD_Seasons!$C:$C,"&gt;="&amp;EDATE(L$4,-3)+1,HD_Seasons!$C:$C,"&lt;="&amp;L$4),K7)</f>
        <v>1336.66666666667</v>
      </c>
      <c r="M7" s="11" t="n">
        <f aca="false">IF(COUNTIFS(HD_Seasons!$B:$B,$B7,HD_Seasons!$C:$C,"&gt;="&amp;EDATE(M$4,-3)+1,HD_Seasons!$C:$C,"&lt;="&amp;M$4)&gt;0,AVERAGEIFS(HD_Seasons!$D:$D,HD_Seasons!$B:$B,$B7,HD_Seasons!$C:$C,"&gt;="&amp;EDATE(M$4,-3)+1,HD_Seasons!$C:$C,"&lt;="&amp;M$4),L7)</f>
        <v>1345</v>
      </c>
      <c r="N7" s="11" t="n">
        <f aca="false">IF(COUNTIFS(HD_Seasons!$B:$B,$B7,HD_Seasons!$C:$C,"&gt;="&amp;EDATE(N$4,-3)+1,HD_Seasons!$C:$C,"&lt;="&amp;N$4)&gt;0,AVERAGEIFS(HD_Seasons!$D:$D,HD_Seasons!$B:$B,$B7,HD_Seasons!$C:$C,"&gt;="&amp;EDATE(N$4,-3)+1,HD_Seasons!$C:$C,"&lt;="&amp;N$4),M7)</f>
        <v>1395</v>
      </c>
      <c r="O7" s="11" t="n">
        <f aca="false">IF(COUNTIFS(HD_Seasons!$B:$B,$B7,HD_Seasons!$C:$C,"&gt;="&amp;EDATE(O$4,-3)+1,HD_Seasons!$C:$C,"&lt;="&amp;O$4)&gt;0,AVERAGEIFS(HD_Seasons!$D:$D,HD_Seasons!$B:$B,$B7,HD_Seasons!$C:$C,"&gt;="&amp;EDATE(O$4,-3)+1,HD_Seasons!$C:$C,"&lt;="&amp;O$4),N7)</f>
        <v>1481.25</v>
      </c>
      <c r="P7" s="11" t="n">
        <f aca="false">IF(COUNTIFS(HD_Seasons!$B:$B,$B7,HD_Seasons!$C:$C,"&gt;="&amp;EDATE(P$4,-3)+1,HD_Seasons!$C:$C,"&lt;="&amp;P$4)&gt;0,AVERAGEIFS(HD_Seasons!$D:$D,HD_Seasons!$B:$B,$B7,HD_Seasons!$C:$C,"&gt;="&amp;EDATE(P$4,-3)+1,HD_Seasons!$C:$C,"&lt;="&amp;P$4),O7)</f>
        <v>1508.75</v>
      </c>
      <c r="Q7" s="11" t="n">
        <f aca="false">IF(COUNTIFS(HD_Seasons!$B:$B,$B7,HD_Seasons!$C:$C,"&gt;="&amp;EDATE(Q$4,-3)+1,HD_Seasons!$C:$C,"&lt;="&amp;Q$4)&gt;0,AVERAGEIFS(HD_Seasons!$D:$D,HD_Seasons!$B:$B,$B7,HD_Seasons!$C:$C,"&gt;="&amp;EDATE(Q$4,-3)+1,HD_Seasons!$C:$C,"&lt;="&amp;Q$4),P7)</f>
        <v>1530</v>
      </c>
      <c r="R7" s="11" t="n">
        <f aca="false">IF(COUNTIFS(HD_Seasons!$B:$B,$B7,HD_Seasons!$C:$C,"&gt;="&amp;EDATE(R$4,-3)+1,HD_Seasons!$C:$C,"&lt;="&amp;R$4)&gt;0,AVERAGEIFS(HD_Seasons!$D:$D,HD_Seasons!$B:$B,$B7,HD_Seasons!$C:$C,"&gt;="&amp;EDATE(R$4,-3)+1,HD_Seasons!$C:$C,"&lt;="&amp;R$4),Q7)</f>
        <v>1530</v>
      </c>
      <c r="S7" s="11" t="n">
        <f aca="false">IF(COUNTIFS(HD_Seasons!$B:$B,$B7,HD_Seasons!$C:$C,"&gt;="&amp;EDATE(S$4,-3)+1,HD_Seasons!$C:$C,"&lt;="&amp;S$4)&gt;0,AVERAGEIFS(HD_Seasons!$D:$D,HD_Seasons!$B:$B,$B7,HD_Seasons!$C:$C,"&gt;="&amp;EDATE(S$4,-3)+1,HD_Seasons!$C:$C,"&lt;="&amp;S$4),R7)</f>
        <v>1530</v>
      </c>
      <c r="T7" s="11" t="n">
        <f aca="false">IF(COUNTIFS(HD_Seasons!$B:$B,$B7,HD_Seasons!$C:$C,"&gt;="&amp;EDATE(T$4,-3)+1,HD_Seasons!$C:$C,"&lt;="&amp;T$4)&gt;0,AVERAGEIFS(HD_Seasons!$D:$D,HD_Seasons!$B:$B,$B7,HD_Seasons!$C:$C,"&gt;="&amp;EDATE(T$4,-3)+1,HD_Seasons!$C:$C,"&lt;="&amp;T$4),S7)</f>
        <v>1530</v>
      </c>
      <c r="U7" s="11" t="n">
        <f aca="false">IF(COUNTIFS(HD_Seasons!$B:$B,$B7,HD_Seasons!$C:$C,"&gt;="&amp;EDATE(U$4,-3)+1,HD_Seasons!$C:$C,"&lt;="&amp;U$4)&gt;0,AVERAGEIFS(HD_Seasons!$D:$D,HD_Seasons!$B:$B,$B7,HD_Seasons!$C:$C,"&gt;="&amp;EDATE(U$4,-3)+1,HD_Seasons!$C:$C,"&lt;="&amp;U$4),T7)</f>
        <v>1325</v>
      </c>
      <c r="V7" s="11" t="n">
        <f aca="false">IF(COUNTIFS(HD_Seasons!$B:$B,$B7,HD_Seasons!$C:$C,"&gt;="&amp;EDATE(V$4,-3)+1,HD_Seasons!$C:$C,"&lt;="&amp;V$4)&gt;0,AVERAGEIFS(HD_Seasons!$D:$D,HD_Seasons!$B:$B,$B7,HD_Seasons!$C:$C,"&gt;="&amp;EDATE(V$4,-3)+1,HD_Seasons!$C:$C,"&lt;="&amp;V$4),U7)</f>
        <v>1325</v>
      </c>
      <c r="W7" s="11" t="n">
        <f aca="false">IF(COUNTIFS(HD_Seasons!$B:$B,$B7,HD_Seasons!$C:$C,"&gt;="&amp;EDATE(W$4,-3)+1,HD_Seasons!$C:$C,"&lt;="&amp;W$4)&gt;0,AVERAGEIFS(HD_Seasons!$D:$D,HD_Seasons!$B:$B,$B7,HD_Seasons!$C:$C,"&gt;="&amp;EDATE(W$4,-3)+1,HD_Seasons!$C:$C,"&lt;="&amp;W$4),V7)</f>
        <v>1325</v>
      </c>
      <c r="X7" s="11" t="n">
        <f aca="false">IF(COUNTIFS(HD_Seasons!$B:$B,$B7,HD_Seasons!$C:$C,"&gt;="&amp;EDATE(X$4,-3)+1,HD_Seasons!$C:$C,"&lt;="&amp;X$4)&gt;0,AVERAGEIFS(HD_Seasons!$D:$D,HD_Seasons!$B:$B,$B7,HD_Seasons!$C:$C,"&gt;="&amp;EDATE(X$4,-3)+1,HD_Seasons!$C:$C,"&lt;="&amp;X$4),W7)</f>
        <v>1309.6</v>
      </c>
      <c r="Y7" s="11" t="n">
        <f aca="false">IF(COUNTIFS(HD_Seasons!$B:$B,$B7,HD_Seasons!$C:$C,"&gt;="&amp;EDATE(Y$4,-3)+1,HD_Seasons!$C:$C,"&lt;="&amp;Y$4)&gt;0,AVERAGEIFS(HD_Seasons!$D:$D,HD_Seasons!$B:$B,$B7,HD_Seasons!$C:$C,"&gt;="&amp;EDATE(Y$4,-3)+1,HD_Seasons!$C:$C,"&lt;="&amp;Y$4),X7)</f>
        <v>1309.6</v>
      </c>
      <c r="Z7" s="11" t="n">
        <f aca="false">IF(COUNTIFS(HD_Seasons!$B:$B,$B7,HD_Seasons!$C:$C,"&gt;="&amp;EDATE(Z$4,-3)+1,HD_Seasons!$C:$C,"&lt;="&amp;Z$4)&gt;0,AVERAGEIFS(HD_Seasons!$D:$D,HD_Seasons!$B:$B,$B7,HD_Seasons!$C:$C,"&gt;="&amp;EDATE(Z$4,-3)+1,HD_Seasons!$C:$C,"&lt;="&amp;Z$4),Y7)</f>
        <v>1372.57142857143</v>
      </c>
      <c r="AA7" s="11" t="n">
        <f aca="false">IF(COUNTIFS(HD_Seasons!$B:$B,$B7,HD_Seasons!$C:$C,"&gt;="&amp;EDATE(AA$4,-3)+1,HD_Seasons!$C:$C,"&lt;="&amp;AA$4)&gt;0,AVERAGEIFS(HD_Seasons!$D:$D,HD_Seasons!$B:$B,$B7,HD_Seasons!$C:$C,"&gt;="&amp;EDATE(AA$4,-3)+1,HD_Seasons!$C:$C,"&lt;="&amp;AA$4),Z7)</f>
        <v>1530</v>
      </c>
      <c r="AB7" s="11" t="n">
        <f aca="false">IF(COUNTIFS(HD_Seasons!$B:$B,$B7,HD_Seasons!$C:$C,"&gt;="&amp;EDATE(AB$4,-3)+1,HD_Seasons!$C:$C,"&lt;="&amp;AB$4)&gt;0,AVERAGEIFS(HD_Seasons!$D:$D,HD_Seasons!$B:$B,$B7,HD_Seasons!$C:$C,"&gt;="&amp;EDATE(AB$4,-3)+1,HD_Seasons!$C:$C,"&lt;="&amp;AB$4),AA7)</f>
        <v>1544</v>
      </c>
      <c r="AC7" s="11" t="n">
        <f aca="false">IF(COUNTIFS(HD_Seasons!$B:$B,$B7,HD_Seasons!$C:$C,"&gt;="&amp;EDATE(AC$4,-3)+1,HD_Seasons!$C:$C,"&lt;="&amp;AC$4)&gt;0,AVERAGEIFS(HD_Seasons!$D:$D,HD_Seasons!$B:$B,$B7,HD_Seasons!$C:$C,"&gt;="&amp;EDATE(AC$4,-3)+1,HD_Seasons!$C:$C,"&lt;="&amp;AC$4),AB7)</f>
        <v>1572</v>
      </c>
      <c r="AD7" s="11" t="n">
        <f aca="false">IF(COUNTIFS(HD_Seasons!$B:$B,$B7,HD_Seasons!$C:$C,"&gt;="&amp;EDATE(AD$4,-3)+1,HD_Seasons!$C:$C,"&lt;="&amp;AD$4)&gt;0,AVERAGEIFS(HD_Seasons!$D:$D,HD_Seasons!$B:$B,$B7,HD_Seasons!$C:$C,"&gt;="&amp;EDATE(AD$4,-3)+1,HD_Seasons!$C:$C,"&lt;="&amp;AD$4),AC7)</f>
        <v>1597</v>
      </c>
    </row>
    <row r="8" customFormat="false" ht="15" hidden="false" customHeight="false" outlineLevel="0" collapsed="false">
      <c r="B8" s="8" t="s">
        <v>8</v>
      </c>
      <c r="C8" s="9" t="n">
        <v>120</v>
      </c>
      <c r="D8" s="10" t="n">
        <v>1479.41</v>
      </c>
      <c r="E8" s="11" t="n">
        <f aca="false">IF(COUNTIFS(HD_Seasons!$B:$B,$B8,HD_Seasons!$C:$C,"&gt;="&amp;EDATE(E$4,-3)+1,HD_Seasons!$C:$C,"&lt;="&amp;E$4)&gt;0,AVERAGEIFS(HD_Seasons!$D:$D,HD_Seasons!$B:$B,$B8,HD_Seasons!$C:$C,"&gt;="&amp;EDATE(E$4,-3)+1,HD_Seasons!$C:$C,"&lt;="&amp;E$4),$D8)</f>
        <v>1610</v>
      </c>
      <c r="F8" s="11" t="n">
        <f aca="false">IF(COUNTIFS(HD_Seasons!$B:$B,$B8,HD_Seasons!$C:$C,"&gt;="&amp;EDATE(F$4,-3)+1,HD_Seasons!$C:$C,"&lt;="&amp;F$4)&gt;0,AVERAGEIFS(HD_Seasons!$D:$D,HD_Seasons!$B:$B,$B8,HD_Seasons!$C:$C,"&gt;="&amp;EDATE(F$4,-3)+1,HD_Seasons!$C:$C,"&lt;="&amp;F$4),E8)</f>
        <v>1587</v>
      </c>
      <c r="G8" s="11" t="n">
        <f aca="false">IF(COUNTIFS(HD_Seasons!$B:$B,$B8,HD_Seasons!$C:$C,"&gt;="&amp;EDATE(G$4,-3)+1,HD_Seasons!$C:$C,"&lt;="&amp;G$4)&gt;0,AVERAGEIFS(HD_Seasons!$D:$D,HD_Seasons!$B:$B,$B8,HD_Seasons!$C:$C,"&gt;="&amp;EDATE(G$4,-3)+1,HD_Seasons!$C:$C,"&lt;="&amp;G$4),F8)</f>
        <v>1586.31578947368</v>
      </c>
      <c r="H8" s="11" t="n">
        <f aca="false">IF(COUNTIFS(HD_Seasons!$B:$B,$B8,HD_Seasons!$C:$C,"&gt;="&amp;EDATE(H$4,-3)+1,HD_Seasons!$C:$C,"&lt;="&amp;H$4)&gt;0,AVERAGEIFS(HD_Seasons!$D:$D,HD_Seasons!$B:$B,$B8,HD_Seasons!$C:$C,"&gt;="&amp;EDATE(H$4,-3)+1,HD_Seasons!$C:$C,"&lt;="&amp;H$4),G8)</f>
        <v>1570.95238095238</v>
      </c>
      <c r="I8" s="11" t="n">
        <f aca="false">IF(COUNTIFS(HD_Seasons!$B:$B,$B8,HD_Seasons!$C:$C,"&gt;="&amp;EDATE(I$4,-3)+1,HD_Seasons!$C:$C,"&lt;="&amp;I$4)&gt;0,AVERAGEIFS(HD_Seasons!$D:$D,HD_Seasons!$B:$B,$B8,HD_Seasons!$C:$C,"&gt;="&amp;EDATE(I$4,-3)+1,HD_Seasons!$C:$C,"&lt;="&amp;I$4),H8)</f>
        <v>1554.78260869565</v>
      </c>
      <c r="J8" s="11" t="n">
        <f aca="false">IF(COUNTIFS(HD_Seasons!$B:$B,$B8,HD_Seasons!$C:$C,"&gt;="&amp;EDATE(J$4,-3)+1,HD_Seasons!$C:$C,"&lt;="&amp;J$4)&gt;0,AVERAGEIFS(HD_Seasons!$D:$D,HD_Seasons!$B:$B,$B8,HD_Seasons!$C:$C,"&gt;="&amp;EDATE(J$4,-3)+1,HD_Seasons!$C:$C,"&lt;="&amp;J$4),I8)</f>
        <v>1432.30769230769</v>
      </c>
      <c r="K8" s="11" t="n">
        <f aca="false">IF(COUNTIFS(HD_Seasons!$B:$B,$B8,HD_Seasons!$C:$C,"&gt;="&amp;EDATE(K$4,-3)+1,HD_Seasons!$C:$C,"&lt;="&amp;K$4)&gt;0,AVERAGEIFS(HD_Seasons!$D:$D,HD_Seasons!$B:$B,$B8,HD_Seasons!$C:$C,"&gt;="&amp;EDATE(K$4,-3)+1,HD_Seasons!$C:$C,"&lt;="&amp;K$4),J8)</f>
        <v>1421.38888888889</v>
      </c>
      <c r="L8" s="11" t="n">
        <f aca="false">IF(COUNTIFS(HD_Seasons!$B:$B,$B8,HD_Seasons!$C:$C,"&gt;="&amp;EDATE(L$4,-3)+1,HD_Seasons!$C:$C,"&lt;="&amp;L$4)&gt;0,AVERAGEIFS(HD_Seasons!$D:$D,HD_Seasons!$B:$B,$B8,HD_Seasons!$C:$C,"&gt;="&amp;EDATE(L$4,-3)+1,HD_Seasons!$C:$C,"&lt;="&amp;L$4),K8)</f>
        <v>1421.875</v>
      </c>
      <c r="M8" s="11" t="n">
        <f aca="false">IF(COUNTIFS(HD_Seasons!$B:$B,$B8,HD_Seasons!$C:$C,"&gt;="&amp;EDATE(M$4,-3)+1,HD_Seasons!$C:$C,"&lt;="&amp;M$4)&gt;0,AVERAGEIFS(HD_Seasons!$D:$D,HD_Seasons!$B:$B,$B8,HD_Seasons!$C:$C,"&gt;="&amp;EDATE(M$4,-3)+1,HD_Seasons!$C:$C,"&lt;="&amp;M$4),L8)</f>
        <v>1446.96428571429</v>
      </c>
      <c r="N8" s="11" t="n">
        <f aca="false">IF(COUNTIFS(HD_Seasons!$B:$B,$B8,HD_Seasons!$C:$C,"&gt;="&amp;EDATE(N$4,-3)+1,HD_Seasons!$C:$C,"&lt;="&amp;N$4)&gt;0,AVERAGEIFS(HD_Seasons!$D:$D,HD_Seasons!$B:$B,$B8,HD_Seasons!$C:$C,"&gt;="&amp;EDATE(N$4,-3)+1,HD_Seasons!$C:$C,"&lt;="&amp;N$4),M8)</f>
        <v>1484.59459459459</v>
      </c>
      <c r="O8" s="11" t="n">
        <f aca="false">IF(COUNTIFS(HD_Seasons!$B:$B,$B8,HD_Seasons!$C:$C,"&gt;="&amp;EDATE(O$4,-3)+1,HD_Seasons!$C:$C,"&lt;="&amp;O$4)&gt;0,AVERAGEIFS(HD_Seasons!$D:$D,HD_Seasons!$B:$B,$B8,HD_Seasons!$C:$C,"&gt;="&amp;EDATE(O$4,-3)+1,HD_Seasons!$C:$C,"&lt;="&amp;O$4),N8)</f>
        <v>1501.42857142857</v>
      </c>
      <c r="P8" s="11" t="n">
        <f aca="false">IF(COUNTIFS(HD_Seasons!$B:$B,$B8,HD_Seasons!$C:$C,"&gt;="&amp;EDATE(P$4,-3)+1,HD_Seasons!$C:$C,"&lt;="&amp;P$4)&gt;0,AVERAGEIFS(HD_Seasons!$D:$D,HD_Seasons!$B:$B,$B8,HD_Seasons!$C:$C,"&gt;="&amp;EDATE(P$4,-3)+1,HD_Seasons!$C:$C,"&lt;="&amp;P$4),O8)</f>
        <v>1536.19047619048</v>
      </c>
      <c r="Q8" s="11" t="n">
        <f aca="false">IF(COUNTIFS(HD_Seasons!$B:$B,$B8,HD_Seasons!$C:$C,"&gt;="&amp;EDATE(Q$4,-3)+1,HD_Seasons!$C:$C,"&lt;="&amp;Q$4)&gt;0,AVERAGEIFS(HD_Seasons!$D:$D,HD_Seasons!$B:$B,$B8,HD_Seasons!$C:$C,"&gt;="&amp;EDATE(Q$4,-3)+1,HD_Seasons!$C:$C,"&lt;="&amp;Q$4),P8)</f>
        <v>1600.76923076923</v>
      </c>
      <c r="R8" s="11" t="n">
        <f aca="false">IF(COUNTIFS(HD_Seasons!$B:$B,$B8,HD_Seasons!$C:$C,"&gt;="&amp;EDATE(R$4,-3)+1,HD_Seasons!$C:$C,"&lt;="&amp;R$4)&gt;0,AVERAGEIFS(HD_Seasons!$D:$D,HD_Seasons!$B:$B,$B8,HD_Seasons!$C:$C,"&gt;="&amp;EDATE(R$4,-3)+1,HD_Seasons!$C:$C,"&lt;="&amp;R$4),Q8)</f>
        <v>1573.63157894737</v>
      </c>
      <c r="S8" s="11" t="n">
        <f aca="false">IF(COUNTIFS(HD_Seasons!$B:$B,$B8,HD_Seasons!$C:$C,"&gt;="&amp;EDATE(S$4,-3)+1,HD_Seasons!$C:$C,"&lt;="&amp;S$4)&gt;0,AVERAGEIFS(HD_Seasons!$D:$D,HD_Seasons!$B:$B,$B8,HD_Seasons!$C:$C,"&gt;="&amp;EDATE(S$4,-3)+1,HD_Seasons!$C:$C,"&lt;="&amp;S$4),R8)</f>
        <v>1517.81818181818</v>
      </c>
      <c r="T8" s="11" t="n">
        <f aca="false">IF(COUNTIFS(HD_Seasons!$B:$B,$B8,HD_Seasons!$C:$C,"&gt;="&amp;EDATE(T$4,-3)+1,HD_Seasons!$C:$C,"&lt;="&amp;T$4)&gt;0,AVERAGEIFS(HD_Seasons!$D:$D,HD_Seasons!$B:$B,$B8,HD_Seasons!$C:$C,"&gt;="&amp;EDATE(T$4,-3)+1,HD_Seasons!$C:$C,"&lt;="&amp;T$4),S8)</f>
        <v>1425.33333333333</v>
      </c>
      <c r="U8" s="11" t="n">
        <f aca="false">IF(COUNTIFS(HD_Seasons!$B:$B,$B8,HD_Seasons!$C:$C,"&gt;="&amp;EDATE(U$4,-3)+1,HD_Seasons!$C:$C,"&lt;="&amp;U$4)&gt;0,AVERAGEIFS(HD_Seasons!$D:$D,HD_Seasons!$B:$B,$B8,HD_Seasons!$C:$C,"&gt;="&amp;EDATE(U$4,-3)+1,HD_Seasons!$C:$C,"&lt;="&amp;U$4),T8)</f>
        <v>1399.97142857143</v>
      </c>
      <c r="V8" s="11" t="n">
        <f aca="false">IF(COUNTIFS(HD_Seasons!$B:$B,$B8,HD_Seasons!$C:$C,"&gt;="&amp;EDATE(V$4,-3)+1,HD_Seasons!$C:$C,"&lt;="&amp;V$4)&gt;0,AVERAGEIFS(HD_Seasons!$D:$D,HD_Seasons!$B:$B,$B8,HD_Seasons!$C:$C,"&gt;="&amp;EDATE(V$4,-3)+1,HD_Seasons!$C:$C,"&lt;="&amp;V$4),U8)</f>
        <v>1393.72222222222</v>
      </c>
      <c r="W8" s="11" t="n">
        <f aca="false">IF(COUNTIFS(HD_Seasons!$B:$B,$B8,HD_Seasons!$C:$C,"&gt;="&amp;EDATE(W$4,-3)+1,HD_Seasons!$C:$C,"&lt;="&amp;W$4)&gt;0,AVERAGEIFS(HD_Seasons!$D:$D,HD_Seasons!$B:$B,$B8,HD_Seasons!$C:$C,"&gt;="&amp;EDATE(W$4,-3)+1,HD_Seasons!$C:$C,"&lt;="&amp;W$4),V8)</f>
        <v>1406.22727272727</v>
      </c>
      <c r="X8" s="11" t="n">
        <f aca="false">IF(COUNTIFS(HD_Seasons!$B:$B,$B8,HD_Seasons!$C:$C,"&gt;="&amp;EDATE(X$4,-3)+1,HD_Seasons!$C:$C,"&lt;="&amp;X$4)&gt;0,AVERAGEIFS(HD_Seasons!$D:$D,HD_Seasons!$B:$B,$B8,HD_Seasons!$C:$C,"&gt;="&amp;EDATE(X$4,-3)+1,HD_Seasons!$C:$C,"&lt;="&amp;X$4),W8)</f>
        <v>1441.13636363636</v>
      </c>
      <c r="Y8" s="11" t="n">
        <f aca="false">IF(COUNTIFS(HD_Seasons!$B:$B,$B8,HD_Seasons!$C:$C,"&gt;="&amp;EDATE(Y$4,-3)+1,HD_Seasons!$C:$C,"&lt;="&amp;Y$4)&gt;0,AVERAGEIFS(HD_Seasons!$D:$D,HD_Seasons!$B:$B,$B8,HD_Seasons!$C:$C,"&gt;="&amp;EDATE(Y$4,-3)+1,HD_Seasons!$C:$C,"&lt;="&amp;Y$4),X8)</f>
        <v>1482.73684210526</v>
      </c>
      <c r="Z8" s="11" t="n">
        <f aca="false">IF(COUNTIFS(HD_Seasons!$B:$B,$B8,HD_Seasons!$C:$C,"&gt;="&amp;EDATE(Z$4,-3)+1,HD_Seasons!$C:$C,"&lt;="&amp;Z$4)&gt;0,AVERAGEIFS(HD_Seasons!$D:$D,HD_Seasons!$B:$B,$B8,HD_Seasons!$C:$C,"&gt;="&amp;EDATE(Z$4,-3)+1,HD_Seasons!$C:$C,"&lt;="&amp;Z$4),Y8)</f>
        <v>1511.26315789474</v>
      </c>
      <c r="AA8" s="11" t="n">
        <f aca="false">IF(COUNTIFS(HD_Seasons!$B:$B,$B8,HD_Seasons!$C:$C,"&gt;="&amp;EDATE(AA$4,-3)+1,HD_Seasons!$C:$C,"&lt;="&amp;AA$4)&gt;0,AVERAGEIFS(HD_Seasons!$D:$D,HD_Seasons!$B:$B,$B8,HD_Seasons!$C:$C,"&gt;="&amp;EDATE(AA$4,-3)+1,HD_Seasons!$C:$C,"&lt;="&amp;AA$4),Z8)</f>
        <v>1560.36363636364</v>
      </c>
      <c r="AB8" s="11" t="n">
        <f aca="false">IF(COUNTIFS(HD_Seasons!$B:$B,$B8,HD_Seasons!$C:$C,"&gt;="&amp;EDATE(AB$4,-3)+1,HD_Seasons!$C:$C,"&lt;="&amp;AB$4)&gt;0,AVERAGEIFS(HD_Seasons!$D:$D,HD_Seasons!$B:$B,$B8,HD_Seasons!$C:$C,"&gt;="&amp;EDATE(AB$4,-3)+1,HD_Seasons!$C:$C,"&lt;="&amp;AB$4),AA8)</f>
        <v>1659.82352941176</v>
      </c>
      <c r="AC8" s="11" t="n">
        <f aca="false">IF(COUNTIFS(HD_Seasons!$B:$B,$B8,HD_Seasons!$C:$C,"&gt;="&amp;EDATE(AC$4,-3)+1,HD_Seasons!$C:$C,"&lt;="&amp;AC$4)&gt;0,AVERAGEIFS(HD_Seasons!$D:$D,HD_Seasons!$B:$B,$B8,HD_Seasons!$C:$C,"&gt;="&amp;EDATE(AC$4,-3)+1,HD_Seasons!$C:$C,"&lt;="&amp;AC$4),AB8)</f>
        <v>1688.64705882353</v>
      </c>
      <c r="AD8" s="11" t="n">
        <f aca="false">IF(COUNTIFS(HD_Seasons!$B:$B,$B8,HD_Seasons!$C:$C,"&gt;="&amp;EDATE(AD$4,-3)+1,HD_Seasons!$C:$C,"&lt;="&amp;AD$4)&gt;0,AVERAGEIFS(HD_Seasons!$D:$D,HD_Seasons!$B:$B,$B8,HD_Seasons!$C:$C,"&gt;="&amp;EDATE(AD$4,-3)+1,HD_Seasons!$C:$C,"&lt;="&amp;AD$4),AC8)</f>
        <v>1691.0625</v>
      </c>
    </row>
    <row r="9" customFormat="false" ht="15" hidden="false" customHeight="false" outlineLevel="0" collapsed="false">
      <c r="B9" s="8" t="s">
        <v>9</v>
      </c>
      <c r="C9" s="9" t="n">
        <v>45</v>
      </c>
      <c r="D9" s="10" t="n">
        <v>1625.41</v>
      </c>
      <c r="E9" s="11" t="n">
        <f aca="false">IF(COUNTIFS(HD_Seasons!$B:$B,$B9,HD_Seasons!$C:$C,"&gt;="&amp;EDATE(E$4,-3)+1,HD_Seasons!$C:$C,"&lt;="&amp;E$4)&gt;0,AVERAGEIFS(HD_Seasons!$D:$D,HD_Seasons!$B:$B,$B9,HD_Seasons!$C:$C,"&gt;="&amp;EDATE(E$4,-3)+1,HD_Seasons!$C:$C,"&lt;="&amp;E$4),$D9)</f>
        <v>1625.41</v>
      </c>
      <c r="F9" s="11" t="n">
        <f aca="false">IF(COUNTIFS(HD_Seasons!$B:$B,$B9,HD_Seasons!$C:$C,"&gt;="&amp;EDATE(F$4,-3)+1,HD_Seasons!$C:$C,"&lt;="&amp;F$4)&gt;0,AVERAGEIFS(HD_Seasons!$D:$D,HD_Seasons!$B:$B,$B9,HD_Seasons!$C:$C,"&gt;="&amp;EDATE(F$4,-3)+1,HD_Seasons!$C:$C,"&lt;="&amp;F$4),E9)</f>
        <v>1693.16666666667</v>
      </c>
      <c r="G9" s="11" t="n">
        <f aca="false">IF(COUNTIFS(HD_Seasons!$B:$B,$B9,HD_Seasons!$C:$C,"&gt;="&amp;EDATE(G$4,-3)+1,HD_Seasons!$C:$C,"&lt;="&amp;G$4)&gt;0,AVERAGEIFS(HD_Seasons!$D:$D,HD_Seasons!$B:$B,$B9,HD_Seasons!$C:$C,"&gt;="&amp;EDATE(G$4,-3)+1,HD_Seasons!$C:$C,"&lt;="&amp;G$4),F9)</f>
        <v>1694.76923076923</v>
      </c>
      <c r="H9" s="11" t="n">
        <f aca="false">IF(COUNTIFS(HD_Seasons!$B:$B,$B9,HD_Seasons!$C:$C,"&gt;="&amp;EDATE(H$4,-3)+1,HD_Seasons!$C:$C,"&lt;="&amp;H$4)&gt;0,AVERAGEIFS(HD_Seasons!$D:$D,HD_Seasons!$B:$B,$B9,HD_Seasons!$C:$C,"&gt;="&amp;EDATE(H$4,-3)+1,HD_Seasons!$C:$C,"&lt;="&amp;H$4),G9)</f>
        <v>1690.38888888889</v>
      </c>
      <c r="I9" s="11" t="n">
        <f aca="false">IF(COUNTIFS(HD_Seasons!$B:$B,$B9,HD_Seasons!$C:$C,"&gt;="&amp;EDATE(I$4,-3)+1,HD_Seasons!$C:$C,"&lt;="&amp;I$4)&gt;0,AVERAGEIFS(HD_Seasons!$D:$D,HD_Seasons!$B:$B,$B9,HD_Seasons!$C:$C,"&gt;="&amp;EDATE(I$4,-3)+1,HD_Seasons!$C:$C,"&lt;="&amp;I$4),H9)</f>
        <v>1686.05882352941</v>
      </c>
      <c r="J9" s="11" t="n">
        <f aca="false">IF(COUNTIFS(HD_Seasons!$B:$B,$B9,HD_Seasons!$C:$C,"&gt;="&amp;EDATE(J$4,-3)+1,HD_Seasons!$C:$C,"&lt;="&amp;J$4)&gt;0,AVERAGEIFS(HD_Seasons!$D:$D,HD_Seasons!$B:$B,$B9,HD_Seasons!$C:$C,"&gt;="&amp;EDATE(J$4,-3)+1,HD_Seasons!$C:$C,"&lt;="&amp;J$4),I9)</f>
        <v>1676.5</v>
      </c>
      <c r="K9" s="11" t="n">
        <f aca="false">IF(COUNTIFS(HD_Seasons!$B:$B,$B9,HD_Seasons!$C:$C,"&gt;="&amp;EDATE(K$4,-3)+1,HD_Seasons!$C:$C,"&lt;="&amp;K$4)&gt;0,AVERAGEIFS(HD_Seasons!$D:$D,HD_Seasons!$B:$B,$B9,HD_Seasons!$C:$C,"&gt;="&amp;EDATE(K$4,-3)+1,HD_Seasons!$C:$C,"&lt;="&amp;K$4),J9)</f>
        <v>1676.5</v>
      </c>
      <c r="L9" s="11" t="n">
        <f aca="false">IF(COUNTIFS(HD_Seasons!$B:$B,$B9,HD_Seasons!$C:$C,"&gt;="&amp;EDATE(L$4,-3)+1,HD_Seasons!$C:$C,"&lt;="&amp;L$4)&gt;0,AVERAGEIFS(HD_Seasons!$D:$D,HD_Seasons!$B:$B,$B9,HD_Seasons!$C:$C,"&gt;="&amp;EDATE(L$4,-3)+1,HD_Seasons!$C:$C,"&lt;="&amp;L$4),K9)</f>
        <v>1689</v>
      </c>
      <c r="M9" s="11" t="n">
        <f aca="false">IF(COUNTIFS(HD_Seasons!$B:$B,$B9,HD_Seasons!$C:$C,"&gt;="&amp;EDATE(M$4,-3)+1,HD_Seasons!$C:$C,"&lt;="&amp;M$4)&gt;0,AVERAGEIFS(HD_Seasons!$D:$D,HD_Seasons!$B:$B,$B9,HD_Seasons!$C:$C,"&gt;="&amp;EDATE(M$4,-3)+1,HD_Seasons!$C:$C,"&lt;="&amp;M$4),L9)</f>
        <v>1689</v>
      </c>
      <c r="N9" s="11" t="n">
        <f aca="false">IF(COUNTIFS(HD_Seasons!$B:$B,$B9,HD_Seasons!$C:$C,"&gt;="&amp;EDATE(N$4,-3)+1,HD_Seasons!$C:$C,"&lt;="&amp;N$4)&gt;0,AVERAGEIFS(HD_Seasons!$D:$D,HD_Seasons!$B:$B,$B9,HD_Seasons!$C:$C,"&gt;="&amp;EDATE(N$4,-3)+1,HD_Seasons!$C:$C,"&lt;="&amp;N$4),M9)</f>
        <v>1726.5</v>
      </c>
      <c r="O9" s="11" t="n">
        <f aca="false">IF(COUNTIFS(HD_Seasons!$B:$B,$B9,HD_Seasons!$C:$C,"&gt;="&amp;EDATE(O$4,-3)+1,HD_Seasons!$C:$C,"&lt;="&amp;O$4)&gt;0,AVERAGEIFS(HD_Seasons!$D:$D,HD_Seasons!$B:$B,$B9,HD_Seasons!$C:$C,"&gt;="&amp;EDATE(O$4,-3)+1,HD_Seasons!$C:$C,"&lt;="&amp;O$4),N9)</f>
        <v>1739</v>
      </c>
      <c r="P9" s="11" t="n">
        <f aca="false">IF(COUNTIFS(HD_Seasons!$B:$B,$B9,HD_Seasons!$C:$C,"&gt;="&amp;EDATE(P$4,-3)+1,HD_Seasons!$C:$C,"&lt;="&amp;P$4)&gt;0,AVERAGEIFS(HD_Seasons!$D:$D,HD_Seasons!$B:$B,$B9,HD_Seasons!$C:$C,"&gt;="&amp;EDATE(P$4,-3)+1,HD_Seasons!$C:$C,"&lt;="&amp;P$4),O9)</f>
        <v>1770.66666666667</v>
      </c>
      <c r="Q9" s="11" t="n">
        <f aca="false">IF(COUNTIFS(HD_Seasons!$B:$B,$B9,HD_Seasons!$C:$C,"&gt;="&amp;EDATE(Q$4,-3)+1,HD_Seasons!$C:$C,"&lt;="&amp;Q$4)&gt;0,AVERAGEIFS(HD_Seasons!$D:$D,HD_Seasons!$B:$B,$B9,HD_Seasons!$C:$C,"&gt;="&amp;EDATE(Q$4,-3)+1,HD_Seasons!$C:$C,"&lt;="&amp;Q$4),P9)</f>
        <v>1715</v>
      </c>
      <c r="R9" s="11" t="n">
        <f aca="false">IF(COUNTIFS(HD_Seasons!$B:$B,$B9,HD_Seasons!$C:$C,"&gt;="&amp;EDATE(R$4,-3)+1,HD_Seasons!$C:$C,"&lt;="&amp;R$4)&gt;0,AVERAGEIFS(HD_Seasons!$D:$D,HD_Seasons!$B:$B,$B9,HD_Seasons!$C:$C,"&gt;="&amp;EDATE(R$4,-3)+1,HD_Seasons!$C:$C,"&lt;="&amp;R$4),Q9)</f>
        <v>1712.875</v>
      </c>
      <c r="S9" s="11" t="n">
        <f aca="false">IF(COUNTIFS(HD_Seasons!$B:$B,$B9,HD_Seasons!$C:$C,"&gt;="&amp;EDATE(S$4,-3)+1,HD_Seasons!$C:$C,"&lt;="&amp;S$4)&gt;0,AVERAGEIFS(HD_Seasons!$D:$D,HD_Seasons!$B:$B,$B9,HD_Seasons!$C:$C,"&gt;="&amp;EDATE(S$4,-3)+1,HD_Seasons!$C:$C,"&lt;="&amp;S$4),R9)</f>
        <v>1679.11111111111</v>
      </c>
      <c r="T9" s="11" t="n">
        <f aca="false">IF(COUNTIFS(HD_Seasons!$B:$B,$B9,HD_Seasons!$C:$C,"&gt;="&amp;EDATE(T$4,-3)+1,HD_Seasons!$C:$C,"&lt;="&amp;T$4)&gt;0,AVERAGEIFS(HD_Seasons!$D:$D,HD_Seasons!$B:$B,$B9,HD_Seasons!$C:$C,"&gt;="&amp;EDATE(T$4,-3)+1,HD_Seasons!$C:$C,"&lt;="&amp;T$4),S9)</f>
        <v>1635.77777777778</v>
      </c>
      <c r="U9" s="11" t="n">
        <f aca="false">IF(COUNTIFS(HD_Seasons!$B:$B,$B9,HD_Seasons!$C:$C,"&gt;="&amp;EDATE(U$4,-3)+1,HD_Seasons!$C:$C,"&lt;="&amp;U$4)&gt;0,AVERAGEIFS(HD_Seasons!$D:$D,HD_Seasons!$B:$B,$B9,HD_Seasons!$C:$C,"&gt;="&amp;EDATE(U$4,-3)+1,HD_Seasons!$C:$C,"&lt;="&amp;U$4),T9)</f>
        <v>1565.66666666667</v>
      </c>
      <c r="V9" s="11" t="n">
        <f aca="false">IF(COUNTIFS(HD_Seasons!$B:$B,$B9,HD_Seasons!$C:$C,"&gt;="&amp;EDATE(V$4,-3)+1,HD_Seasons!$C:$C,"&lt;="&amp;V$4)&gt;0,AVERAGEIFS(HD_Seasons!$D:$D,HD_Seasons!$B:$B,$B9,HD_Seasons!$C:$C,"&gt;="&amp;EDATE(V$4,-3)+1,HD_Seasons!$C:$C,"&lt;="&amp;V$4),U9)</f>
        <v>1555.75</v>
      </c>
      <c r="W9" s="11" t="n">
        <f aca="false">IF(COUNTIFS(HD_Seasons!$B:$B,$B9,HD_Seasons!$C:$C,"&gt;="&amp;EDATE(W$4,-3)+1,HD_Seasons!$C:$C,"&lt;="&amp;W$4)&gt;0,AVERAGEIFS(HD_Seasons!$D:$D,HD_Seasons!$B:$B,$B9,HD_Seasons!$C:$C,"&gt;="&amp;EDATE(W$4,-3)+1,HD_Seasons!$C:$C,"&lt;="&amp;W$4),V9)</f>
        <v>1530.58333333333</v>
      </c>
      <c r="X9" s="11" t="n">
        <f aca="false">IF(COUNTIFS(HD_Seasons!$B:$B,$B9,HD_Seasons!$C:$C,"&gt;="&amp;EDATE(X$4,-3)+1,HD_Seasons!$C:$C,"&lt;="&amp;X$4)&gt;0,AVERAGEIFS(HD_Seasons!$D:$D,HD_Seasons!$B:$B,$B9,HD_Seasons!$C:$C,"&gt;="&amp;EDATE(X$4,-3)+1,HD_Seasons!$C:$C,"&lt;="&amp;X$4),W9)</f>
        <v>1550.75</v>
      </c>
      <c r="Y9" s="11" t="n">
        <f aca="false">IF(COUNTIFS(HD_Seasons!$B:$B,$B9,HD_Seasons!$C:$C,"&gt;="&amp;EDATE(Y$4,-3)+1,HD_Seasons!$C:$C,"&lt;="&amp;Y$4)&gt;0,AVERAGEIFS(HD_Seasons!$D:$D,HD_Seasons!$B:$B,$B9,HD_Seasons!$C:$C,"&gt;="&amp;EDATE(Y$4,-3)+1,HD_Seasons!$C:$C,"&lt;="&amp;Y$4),X9)</f>
        <v>1569.6875</v>
      </c>
      <c r="Z9" s="11" t="n">
        <f aca="false">IF(COUNTIFS(HD_Seasons!$B:$B,$B9,HD_Seasons!$C:$C,"&gt;="&amp;EDATE(Z$4,-3)+1,HD_Seasons!$C:$C,"&lt;="&amp;Z$4)&gt;0,AVERAGEIFS(HD_Seasons!$D:$D,HD_Seasons!$B:$B,$B9,HD_Seasons!$C:$C,"&gt;="&amp;EDATE(Z$4,-3)+1,HD_Seasons!$C:$C,"&lt;="&amp;Z$4),Y9)</f>
        <v>1591.73333333333</v>
      </c>
      <c r="AA9" s="11" t="n">
        <f aca="false">IF(COUNTIFS(HD_Seasons!$B:$B,$B9,HD_Seasons!$C:$C,"&gt;="&amp;EDATE(AA$4,-3)+1,HD_Seasons!$C:$C,"&lt;="&amp;AA$4)&gt;0,AVERAGEIFS(HD_Seasons!$D:$D,HD_Seasons!$B:$B,$B9,HD_Seasons!$C:$C,"&gt;="&amp;EDATE(AA$4,-3)+1,HD_Seasons!$C:$C,"&lt;="&amp;AA$4),Z9)</f>
        <v>1628.66666666667</v>
      </c>
      <c r="AB9" s="11" t="n">
        <f aca="false">IF(COUNTIFS(HD_Seasons!$B:$B,$B9,HD_Seasons!$C:$C,"&gt;="&amp;EDATE(AB$4,-3)+1,HD_Seasons!$C:$C,"&lt;="&amp;AB$4)&gt;0,AVERAGEIFS(HD_Seasons!$D:$D,HD_Seasons!$B:$B,$B9,HD_Seasons!$C:$C,"&gt;="&amp;EDATE(AB$4,-3)+1,HD_Seasons!$C:$C,"&lt;="&amp;AB$4),AA9)</f>
        <v>1682.42857142857</v>
      </c>
      <c r="AC9" s="11" t="n">
        <f aca="false">IF(COUNTIFS(HD_Seasons!$B:$B,$B9,HD_Seasons!$C:$C,"&gt;="&amp;EDATE(AC$4,-3)+1,HD_Seasons!$C:$C,"&lt;="&amp;AC$4)&gt;0,AVERAGEIFS(HD_Seasons!$D:$D,HD_Seasons!$B:$B,$B9,HD_Seasons!$C:$C,"&gt;="&amp;EDATE(AC$4,-3)+1,HD_Seasons!$C:$C,"&lt;="&amp;AC$4),AB9)</f>
        <v>1786.66666666667</v>
      </c>
      <c r="AD9" s="11" t="n">
        <f aca="false">IF(COUNTIFS(HD_Seasons!$B:$B,$B9,HD_Seasons!$C:$C,"&gt;="&amp;EDATE(AD$4,-3)+1,HD_Seasons!$C:$C,"&lt;="&amp;AD$4)&gt;0,AVERAGEIFS(HD_Seasons!$D:$D,HD_Seasons!$B:$B,$B9,HD_Seasons!$C:$C,"&gt;="&amp;EDATE(AD$4,-3)+1,HD_Seasons!$C:$C,"&lt;="&amp;AD$4),AC9)</f>
        <v>1798.42857142857</v>
      </c>
    </row>
    <row r="10" customFormat="false" ht="15" hidden="false" customHeight="false" outlineLevel="0" collapsed="false">
      <c r="B10" s="8" t="s">
        <v>10</v>
      </c>
      <c r="C10" s="9" t="n">
        <v>30</v>
      </c>
      <c r="D10" s="10" t="n">
        <v>1804.87</v>
      </c>
      <c r="E10" s="11" t="n">
        <f aca="false">IF(COUNTIFS(HD_Seasons!$B:$B,$B10,HD_Seasons!$C:$C,"&gt;="&amp;EDATE(E$4,-3)+1,HD_Seasons!$C:$C,"&lt;="&amp;E$4)&gt;0,AVERAGEIFS(HD_Seasons!$D:$D,HD_Seasons!$B:$B,$B10,HD_Seasons!$C:$C,"&gt;="&amp;EDATE(E$4,-3)+1,HD_Seasons!$C:$C,"&lt;="&amp;E$4),$D10)</f>
        <v>1960</v>
      </c>
      <c r="F10" s="11" t="n">
        <f aca="false">IF(COUNTIFS(HD_Seasons!$B:$B,$B10,HD_Seasons!$C:$C,"&gt;="&amp;EDATE(F$4,-3)+1,HD_Seasons!$C:$C,"&lt;="&amp;F$4)&gt;0,AVERAGEIFS(HD_Seasons!$D:$D,HD_Seasons!$B:$B,$B10,HD_Seasons!$C:$C,"&gt;="&amp;EDATE(F$4,-3)+1,HD_Seasons!$C:$C,"&lt;="&amp;F$4),E10)</f>
        <v>1955.83333333333</v>
      </c>
      <c r="G10" s="11" t="n">
        <f aca="false">IF(COUNTIFS(HD_Seasons!$B:$B,$B10,HD_Seasons!$C:$C,"&gt;="&amp;EDATE(G$4,-3)+1,HD_Seasons!$C:$C,"&lt;="&amp;G$4)&gt;0,AVERAGEIFS(HD_Seasons!$D:$D,HD_Seasons!$B:$B,$B10,HD_Seasons!$C:$C,"&gt;="&amp;EDATE(G$4,-3)+1,HD_Seasons!$C:$C,"&lt;="&amp;G$4),F10)</f>
        <v>1960</v>
      </c>
      <c r="H10" s="11" t="n">
        <f aca="false">IF(COUNTIFS(HD_Seasons!$B:$B,$B10,HD_Seasons!$C:$C,"&gt;="&amp;EDATE(H$4,-3)+1,HD_Seasons!$C:$C,"&lt;="&amp;H$4)&gt;0,AVERAGEIFS(HD_Seasons!$D:$D,HD_Seasons!$B:$B,$B10,HD_Seasons!$C:$C,"&gt;="&amp;EDATE(H$4,-3)+1,HD_Seasons!$C:$C,"&lt;="&amp;H$4),G10)</f>
        <v>1960</v>
      </c>
      <c r="I10" s="11" t="n">
        <f aca="false">IF(COUNTIFS(HD_Seasons!$B:$B,$B10,HD_Seasons!$C:$C,"&gt;="&amp;EDATE(I$4,-3)+1,HD_Seasons!$C:$C,"&lt;="&amp;I$4)&gt;0,AVERAGEIFS(HD_Seasons!$D:$D,HD_Seasons!$B:$B,$B10,HD_Seasons!$C:$C,"&gt;="&amp;EDATE(I$4,-3)+1,HD_Seasons!$C:$C,"&lt;="&amp;I$4),H10)</f>
        <v>1966.25</v>
      </c>
      <c r="J10" s="11" t="n">
        <f aca="false">IF(COUNTIFS(HD_Seasons!$B:$B,$B10,HD_Seasons!$C:$C,"&gt;="&amp;EDATE(J$4,-3)+1,HD_Seasons!$C:$C,"&lt;="&amp;J$4)&gt;0,AVERAGEIFS(HD_Seasons!$D:$D,HD_Seasons!$B:$B,$B10,HD_Seasons!$C:$C,"&gt;="&amp;EDATE(J$4,-3)+1,HD_Seasons!$C:$C,"&lt;="&amp;J$4),I10)</f>
        <v>1765</v>
      </c>
      <c r="K10" s="11" t="n">
        <f aca="false">IF(COUNTIFS(HD_Seasons!$B:$B,$B10,HD_Seasons!$C:$C,"&gt;="&amp;EDATE(K$4,-3)+1,HD_Seasons!$C:$C,"&lt;="&amp;K$4)&gt;0,AVERAGEIFS(HD_Seasons!$D:$D,HD_Seasons!$B:$B,$B10,HD_Seasons!$C:$C,"&gt;="&amp;EDATE(K$4,-3)+1,HD_Seasons!$C:$C,"&lt;="&amp;K$4),J10)</f>
        <v>1740</v>
      </c>
      <c r="L10" s="11" t="n">
        <f aca="false">IF(COUNTIFS(HD_Seasons!$B:$B,$B10,HD_Seasons!$C:$C,"&gt;="&amp;EDATE(L$4,-3)+1,HD_Seasons!$C:$C,"&lt;="&amp;L$4)&gt;0,AVERAGEIFS(HD_Seasons!$D:$D,HD_Seasons!$B:$B,$B10,HD_Seasons!$C:$C,"&gt;="&amp;EDATE(L$4,-3)+1,HD_Seasons!$C:$C,"&lt;="&amp;L$4),K10)</f>
        <v>1746.25</v>
      </c>
      <c r="M10" s="11" t="n">
        <f aca="false">IF(COUNTIFS(HD_Seasons!$B:$B,$B10,HD_Seasons!$C:$C,"&gt;="&amp;EDATE(M$4,-3)+1,HD_Seasons!$C:$C,"&lt;="&amp;M$4)&gt;0,AVERAGEIFS(HD_Seasons!$D:$D,HD_Seasons!$B:$B,$B10,HD_Seasons!$C:$C,"&gt;="&amp;EDATE(M$4,-3)+1,HD_Seasons!$C:$C,"&lt;="&amp;M$4),L10)</f>
        <v>1737.22222222222</v>
      </c>
      <c r="N10" s="11" t="n">
        <f aca="false">IF(COUNTIFS(HD_Seasons!$B:$B,$B10,HD_Seasons!$C:$C,"&gt;="&amp;EDATE(N$4,-3)+1,HD_Seasons!$C:$C,"&lt;="&amp;N$4)&gt;0,AVERAGEIFS(HD_Seasons!$D:$D,HD_Seasons!$B:$B,$B10,HD_Seasons!$C:$C,"&gt;="&amp;EDATE(N$4,-3)+1,HD_Seasons!$C:$C,"&lt;="&amp;N$4),M10)</f>
        <v>1758.125</v>
      </c>
      <c r="O10" s="11" t="n">
        <f aca="false">IF(COUNTIFS(HD_Seasons!$B:$B,$B10,HD_Seasons!$C:$C,"&gt;="&amp;EDATE(O$4,-3)+1,HD_Seasons!$C:$C,"&lt;="&amp;O$4)&gt;0,AVERAGEIFS(HD_Seasons!$D:$D,HD_Seasons!$B:$B,$B10,HD_Seasons!$C:$C,"&gt;="&amp;EDATE(O$4,-3)+1,HD_Seasons!$C:$C,"&lt;="&amp;O$4),N10)</f>
        <v>1827.5</v>
      </c>
      <c r="P10" s="11" t="n">
        <f aca="false">IF(COUNTIFS(HD_Seasons!$B:$B,$B10,HD_Seasons!$C:$C,"&gt;="&amp;EDATE(P$4,-3)+1,HD_Seasons!$C:$C,"&lt;="&amp;P$4)&gt;0,AVERAGEIFS(HD_Seasons!$D:$D,HD_Seasons!$B:$B,$B10,HD_Seasons!$C:$C,"&gt;="&amp;EDATE(P$4,-3)+1,HD_Seasons!$C:$C,"&lt;="&amp;P$4),O10)</f>
        <v>1910</v>
      </c>
      <c r="Q10" s="11" t="n">
        <f aca="false">IF(COUNTIFS(HD_Seasons!$B:$B,$B10,HD_Seasons!$C:$C,"&gt;="&amp;EDATE(Q$4,-3)+1,HD_Seasons!$C:$C,"&lt;="&amp;Q$4)&gt;0,AVERAGEIFS(HD_Seasons!$D:$D,HD_Seasons!$B:$B,$B10,HD_Seasons!$C:$C,"&gt;="&amp;EDATE(Q$4,-3)+1,HD_Seasons!$C:$C,"&lt;="&amp;Q$4),P10)</f>
        <v>1922.5</v>
      </c>
      <c r="R10" s="11" t="n">
        <f aca="false">IF(COUNTIFS(HD_Seasons!$B:$B,$B10,HD_Seasons!$C:$C,"&gt;="&amp;EDATE(R$4,-3)+1,HD_Seasons!$C:$C,"&lt;="&amp;R$4)&gt;0,AVERAGEIFS(HD_Seasons!$D:$D,HD_Seasons!$B:$B,$B10,HD_Seasons!$C:$C,"&gt;="&amp;EDATE(R$4,-3)+1,HD_Seasons!$C:$C,"&lt;="&amp;R$4),Q10)</f>
        <v>1824.5</v>
      </c>
      <c r="S10" s="11" t="n">
        <f aca="false">IF(COUNTIFS(HD_Seasons!$B:$B,$B10,HD_Seasons!$C:$C,"&gt;="&amp;EDATE(S$4,-3)+1,HD_Seasons!$C:$C,"&lt;="&amp;S$4)&gt;0,AVERAGEIFS(HD_Seasons!$D:$D,HD_Seasons!$B:$B,$B10,HD_Seasons!$C:$C,"&gt;="&amp;EDATE(S$4,-3)+1,HD_Seasons!$C:$C,"&lt;="&amp;S$4),R10)</f>
        <v>1799</v>
      </c>
      <c r="T10" s="11" t="n">
        <f aca="false">IF(COUNTIFS(HD_Seasons!$B:$B,$B10,HD_Seasons!$C:$C,"&gt;="&amp;EDATE(T$4,-3)+1,HD_Seasons!$C:$C,"&lt;="&amp;T$4)&gt;0,AVERAGEIFS(HD_Seasons!$D:$D,HD_Seasons!$B:$B,$B10,HD_Seasons!$C:$C,"&gt;="&amp;EDATE(T$4,-3)+1,HD_Seasons!$C:$C,"&lt;="&amp;T$4),S10)</f>
        <v>1776.8</v>
      </c>
      <c r="U10" s="11" t="n">
        <f aca="false">IF(COUNTIFS(HD_Seasons!$B:$B,$B10,HD_Seasons!$C:$C,"&gt;="&amp;EDATE(U$4,-3)+1,HD_Seasons!$C:$C,"&lt;="&amp;U$4)&gt;0,AVERAGEIFS(HD_Seasons!$D:$D,HD_Seasons!$B:$B,$B10,HD_Seasons!$C:$C,"&gt;="&amp;EDATE(U$4,-3)+1,HD_Seasons!$C:$C,"&lt;="&amp;U$4),T10)</f>
        <v>1736.28571428571</v>
      </c>
      <c r="V10" s="11" t="n">
        <f aca="false">IF(COUNTIFS(HD_Seasons!$B:$B,$B10,HD_Seasons!$C:$C,"&gt;="&amp;EDATE(V$4,-3)+1,HD_Seasons!$C:$C,"&lt;="&amp;V$4)&gt;0,AVERAGEIFS(HD_Seasons!$D:$D,HD_Seasons!$B:$B,$B10,HD_Seasons!$C:$C,"&gt;="&amp;EDATE(V$4,-3)+1,HD_Seasons!$C:$C,"&lt;="&amp;V$4),U10)</f>
        <v>1725.5</v>
      </c>
      <c r="W10" s="11" t="n">
        <f aca="false">IF(COUNTIFS(HD_Seasons!$B:$B,$B10,HD_Seasons!$C:$C,"&gt;="&amp;EDATE(W$4,-3)+1,HD_Seasons!$C:$C,"&lt;="&amp;W$4)&gt;0,AVERAGEIFS(HD_Seasons!$D:$D,HD_Seasons!$B:$B,$B10,HD_Seasons!$C:$C,"&gt;="&amp;EDATE(W$4,-3)+1,HD_Seasons!$C:$C,"&lt;="&amp;W$4),V10)</f>
        <v>1741.5</v>
      </c>
      <c r="X10" s="11" t="n">
        <f aca="false">IF(COUNTIFS(HD_Seasons!$B:$B,$B10,HD_Seasons!$C:$C,"&gt;="&amp;EDATE(X$4,-3)+1,HD_Seasons!$C:$C,"&lt;="&amp;X$4)&gt;0,AVERAGEIFS(HD_Seasons!$D:$D,HD_Seasons!$B:$B,$B10,HD_Seasons!$C:$C,"&gt;="&amp;EDATE(X$4,-3)+1,HD_Seasons!$C:$C,"&lt;="&amp;X$4),W10)</f>
        <v>1767.16666666667</v>
      </c>
      <c r="Y10" s="11" t="n">
        <f aca="false">IF(COUNTIFS(HD_Seasons!$B:$B,$B10,HD_Seasons!$C:$C,"&gt;="&amp;EDATE(Y$4,-3)+1,HD_Seasons!$C:$C,"&lt;="&amp;Y$4)&gt;0,AVERAGEIFS(HD_Seasons!$D:$D,HD_Seasons!$B:$B,$B10,HD_Seasons!$C:$C,"&gt;="&amp;EDATE(Y$4,-3)+1,HD_Seasons!$C:$C,"&lt;="&amp;Y$4),X10)</f>
        <v>1804.66666666667</v>
      </c>
      <c r="Z10" s="11" t="n">
        <f aca="false">IF(COUNTIFS(HD_Seasons!$B:$B,$B10,HD_Seasons!$C:$C,"&gt;="&amp;EDATE(Z$4,-3)+1,HD_Seasons!$C:$C,"&lt;="&amp;Z$4)&gt;0,AVERAGEIFS(HD_Seasons!$D:$D,HD_Seasons!$B:$B,$B10,HD_Seasons!$C:$C,"&gt;="&amp;EDATE(Z$4,-3)+1,HD_Seasons!$C:$C,"&lt;="&amp;Z$4),Y10)</f>
        <v>1818.6</v>
      </c>
      <c r="AA10" s="11" t="n">
        <f aca="false">IF(COUNTIFS(HD_Seasons!$B:$B,$B10,HD_Seasons!$C:$C,"&gt;="&amp;EDATE(AA$4,-3)+1,HD_Seasons!$C:$C,"&lt;="&amp;AA$4)&gt;0,AVERAGEIFS(HD_Seasons!$D:$D,HD_Seasons!$B:$B,$B10,HD_Seasons!$C:$C,"&gt;="&amp;EDATE(AA$4,-3)+1,HD_Seasons!$C:$C,"&lt;="&amp;AA$4),Z10)</f>
        <v>1978.33333333333</v>
      </c>
      <c r="AB10" s="11" t="n">
        <f aca="false">IF(COUNTIFS(HD_Seasons!$B:$B,$B10,HD_Seasons!$C:$C,"&gt;="&amp;EDATE(AB$4,-3)+1,HD_Seasons!$C:$C,"&lt;="&amp;AB$4)&gt;0,AVERAGEIFS(HD_Seasons!$D:$D,HD_Seasons!$B:$B,$B10,HD_Seasons!$C:$C,"&gt;="&amp;EDATE(AB$4,-3)+1,HD_Seasons!$C:$C,"&lt;="&amp;AB$4),AA10)</f>
        <v>2030</v>
      </c>
      <c r="AC10" s="11" t="n">
        <f aca="false">IF(COUNTIFS(HD_Seasons!$B:$B,$B10,HD_Seasons!$C:$C,"&gt;="&amp;EDATE(AC$4,-3)+1,HD_Seasons!$C:$C,"&lt;="&amp;AC$4)&gt;0,AVERAGEIFS(HD_Seasons!$D:$D,HD_Seasons!$B:$B,$B10,HD_Seasons!$C:$C,"&gt;="&amp;EDATE(AC$4,-3)+1,HD_Seasons!$C:$C,"&lt;="&amp;AC$4),AB10)</f>
        <v>2049.5</v>
      </c>
      <c r="AD10" s="11" t="n">
        <f aca="false">IF(COUNTIFS(HD_Seasons!$B:$B,$B10,HD_Seasons!$C:$C,"&gt;="&amp;EDATE(AD$4,-3)+1,HD_Seasons!$C:$C,"&lt;="&amp;AD$4)&gt;0,AVERAGEIFS(HD_Seasons!$D:$D,HD_Seasons!$B:$B,$B10,HD_Seasons!$C:$C,"&gt;="&amp;EDATE(AD$4,-3)+1,HD_Seasons!$C:$C,"&lt;="&amp;AD$4),AC10)</f>
        <v>2034</v>
      </c>
    </row>
    <row r="11" customFormat="false" ht="15" hidden="false" customHeight="false" outlineLevel="0" collapsed="false">
      <c r="B11" s="8" t="s">
        <v>11</v>
      </c>
      <c r="C11" s="9" t="n">
        <v>75</v>
      </c>
      <c r="D11" s="10" t="n">
        <v>1982.81</v>
      </c>
      <c r="E11" s="11" t="n">
        <f aca="false">IF(COUNTIFS(HD_Seasons!$B:$B,$B11,HD_Seasons!$C:$C,"&gt;="&amp;EDATE(E$4,-3)+1,HD_Seasons!$C:$C,"&lt;="&amp;E$4)&gt;0,AVERAGEIFS(HD_Seasons!$D:$D,HD_Seasons!$B:$B,$B11,HD_Seasons!$C:$C,"&gt;="&amp;EDATE(E$4,-3)+1,HD_Seasons!$C:$C,"&lt;="&amp;E$4),$D11)</f>
        <v>2040</v>
      </c>
      <c r="F11" s="11" t="n">
        <f aca="false">IF(COUNTIFS(HD_Seasons!$B:$B,$B11,HD_Seasons!$C:$C,"&gt;="&amp;EDATE(F$4,-3)+1,HD_Seasons!$C:$C,"&lt;="&amp;F$4)&gt;0,AVERAGEIFS(HD_Seasons!$D:$D,HD_Seasons!$B:$B,$B11,HD_Seasons!$C:$C,"&gt;="&amp;EDATE(F$4,-3)+1,HD_Seasons!$C:$C,"&lt;="&amp;F$4),E11)</f>
        <v>2026</v>
      </c>
      <c r="G11" s="11" t="n">
        <f aca="false">IF(COUNTIFS(HD_Seasons!$B:$B,$B11,HD_Seasons!$C:$C,"&gt;="&amp;EDATE(G$4,-3)+1,HD_Seasons!$C:$C,"&lt;="&amp;G$4)&gt;0,AVERAGEIFS(HD_Seasons!$D:$D,HD_Seasons!$B:$B,$B11,HD_Seasons!$C:$C,"&gt;="&amp;EDATE(G$4,-3)+1,HD_Seasons!$C:$C,"&lt;="&amp;G$4),F11)</f>
        <v>2020.78947368421</v>
      </c>
      <c r="H11" s="11" t="n">
        <f aca="false">IF(COUNTIFS(HD_Seasons!$B:$B,$B11,HD_Seasons!$C:$C,"&gt;="&amp;EDATE(H$4,-3)+1,HD_Seasons!$C:$C,"&lt;="&amp;H$4)&gt;0,AVERAGEIFS(HD_Seasons!$D:$D,HD_Seasons!$B:$B,$B11,HD_Seasons!$C:$C,"&gt;="&amp;EDATE(H$4,-3)+1,HD_Seasons!$C:$C,"&lt;="&amp;H$4),G11)</f>
        <v>2019.28571428571</v>
      </c>
      <c r="I11" s="11" t="n">
        <f aca="false">IF(COUNTIFS(HD_Seasons!$B:$B,$B11,HD_Seasons!$C:$C,"&gt;="&amp;EDATE(I$4,-3)+1,HD_Seasons!$C:$C,"&lt;="&amp;I$4)&gt;0,AVERAGEIFS(HD_Seasons!$D:$D,HD_Seasons!$B:$B,$B11,HD_Seasons!$C:$C,"&gt;="&amp;EDATE(I$4,-3)+1,HD_Seasons!$C:$C,"&lt;="&amp;I$4),H11)</f>
        <v>2026.5</v>
      </c>
      <c r="J11" s="11" t="n">
        <f aca="false">IF(COUNTIFS(HD_Seasons!$B:$B,$B11,HD_Seasons!$C:$C,"&gt;="&amp;EDATE(J$4,-3)+1,HD_Seasons!$C:$C,"&lt;="&amp;J$4)&gt;0,AVERAGEIFS(HD_Seasons!$D:$D,HD_Seasons!$B:$B,$B11,HD_Seasons!$C:$C,"&gt;="&amp;EDATE(J$4,-3)+1,HD_Seasons!$C:$C,"&lt;="&amp;J$4),I11)</f>
        <v>1945.45454545455</v>
      </c>
      <c r="K11" s="11" t="n">
        <f aca="false">IF(COUNTIFS(HD_Seasons!$B:$B,$B11,HD_Seasons!$C:$C,"&gt;="&amp;EDATE(K$4,-3)+1,HD_Seasons!$C:$C,"&lt;="&amp;K$4)&gt;0,AVERAGEIFS(HD_Seasons!$D:$D,HD_Seasons!$B:$B,$B11,HD_Seasons!$C:$C,"&gt;="&amp;EDATE(K$4,-3)+1,HD_Seasons!$C:$C,"&lt;="&amp;K$4),J11)</f>
        <v>1910</v>
      </c>
      <c r="L11" s="11" t="n">
        <f aca="false">IF(COUNTIFS(HD_Seasons!$B:$B,$B11,HD_Seasons!$C:$C,"&gt;="&amp;EDATE(L$4,-3)+1,HD_Seasons!$C:$C,"&lt;="&amp;L$4)&gt;0,AVERAGEIFS(HD_Seasons!$D:$D,HD_Seasons!$B:$B,$B11,HD_Seasons!$C:$C,"&gt;="&amp;EDATE(L$4,-3)+1,HD_Seasons!$C:$C,"&lt;="&amp;L$4),K11)</f>
        <v>1925.55555555556</v>
      </c>
      <c r="M11" s="11" t="n">
        <f aca="false">IF(COUNTIFS(HD_Seasons!$B:$B,$B11,HD_Seasons!$C:$C,"&gt;="&amp;EDATE(M$4,-3)+1,HD_Seasons!$C:$C,"&lt;="&amp;M$4)&gt;0,AVERAGEIFS(HD_Seasons!$D:$D,HD_Seasons!$B:$B,$B11,HD_Seasons!$C:$C,"&gt;="&amp;EDATE(M$4,-3)+1,HD_Seasons!$C:$C,"&lt;="&amp;M$4),L11)</f>
        <v>2015.83333333333</v>
      </c>
      <c r="N11" s="11" t="n">
        <f aca="false">IF(COUNTIFS(HD_Seasons!$B:$B,$B11,HD_Seasons!$C:$C,"&gt;="&amp;EDATE(N$4,-3)+1,HD_Seasons!$C:$C,"&lt;="&amp;N$4)&gt;0,AVERAGEIFS(HD_Seasons!$D:$D,HD_Seasons!$B:$B,$B11,HD_Seasons!$C:$C,"&gt;="&amp;EDATE(N$4,-3)+1,HD_Seasons!$C:$C,"&lt;="&amp;N$4),M11)</f>
        <v>2092.85714285714</v>
      </c>
      <c r="O11" s="11" t="n">
        <f aca="false">IF(COUNTIFS(HD_Seasons!$B:$B,$B11,HD_Seasons!$C:$C,"&gt;="&amp;EDATE(O$4,-3)+1,HD_Seasons!$C:$C,"&lt;="&amp;O$4)&gt;0,AVERAGEIFS(HD_Seasons!$D:$D,HD_Seasons!$B:$B,$B11,HD_Seasons!$C:$C,"&gt;="&amp;EDATE(O$4,-3)+1,HD_Seasons!$C:$C,"&lt;="&amp;O$4),N11)</f>
        <v>2100.85714285714</v>
      </c>
      <c r="P11" s="11" t="n">
        <f aca="false">IF(COUNTIFS(HD_Seasons!$B:$B,$B11,HD_Seasons!$C:$C,"&gt;="&amp;EDATE(P$4,-3)+1,HD_Seasons!$C:$C,"&lt;="&amp;P$4)&gt;0,AVERAGEIFS(HD_Seasons!$D:$D,HD_Seasons!$B:$B,$B11,HD_Seasons!$C:$C,"&gt;="&amp;EDATE(P$4,-3)+1,HD_Seasons!$C:$C,"&lt;="&amp;P$4),O11)</f>
        <v>2007.28571428571</v>
      </c>
      <c r="Q11" s="11" t="n">
        <f aca="false">IF(COUNTIFS(HD_Seasons!$B:$B,$B11,HD_Seasons!$C:$C,"&gt;="&amp;EDATE(Q$4,-3)+1,HD_Seasons!$C:$C,"&lt;="&amp;Q$4)&gt;0,AVERAGEIFS(HD_Seasons!$D:$D,HD_Seasons!$B:$B,$B11,HD_Seasons!$C:$C,"&gt;="&amp;EDATE(Q$4,-3)+1,HD_Seasons!$C:$C,"&lt;="&amp;Q$4),P11)</f>
        <v>1962.66666666667</v>
      </c>
      <c r="R11" s="11" t="n">
        <f aca="false">IF(COUNTIFS(HD_Seasons!$B:$B,$B11,HD_Seasons!$C:$C,"&gt;="&amp;EDATE(R$4,-3)+1,HD_Seasons!$C:$C,"&lt;="&amp;R$4)&gt;0,AVERAGEIFS(HD_Seasons!$D:$D,HD_Seasons!$B:$B,$B11,HD_Seasons!$C:$C,"&gt;="&amp;EDATE(R$4,-3)+1,HD_Seasons!$C:$C,"&lt;="&amp;R$4),Q11)</f>
        <v>1936.75862068966</v>
      </c>
      <c r="S11" s="11" t="n">
        <f aca="false">IF(COUNTIFS(HD_Seasons!$B:$B,$B11,HD_Seasons!$C:$C,"&gt;="&amp;EDATE(S$4,-3)+1,HD_Seasons!$C:$C,"&lt;="&amp;S$4)&gt;0,AVERAGEIFS(HD_Seasons!$D:$D,HD_Seasons!$B:$B,$B11,HD_Seasons!$C:$C,"&gt;="&amp;EDATE(S$4,-3)+1,HD_Seasons!$C:$C,"&lt;="&amp;S$4),R11)</f>
        <v>1929.88461538462</v>
      </c>
      <c r="T11" s="11" t="n">
        <f aca="false">IF(COUNTIFS(HD_Seasons!$B:$B,$B11,HD_Seasons!$C:$C,"&gt;="&amp;EDATE(T$4,-3)+1,HD_Seasons!$C:$C,"&lt;="&amp;T$4)&gt;0,AVERAGEIFS(HD_Seasons!$D:$D,HD_Seasons!$B:$B,$B11,HD_Seasons!$C:$C,"&gt;="&amp;EDATE(T$4,-3)+1,HD_Seasons!$C:$C,"&lt;="&amp;T$4),S11)</f>
        <v>1895.6</v>
      </c>
      <c r="U11" s="11" t="n">
        <f aca="false">IF(COUNTIFS(HD_Seasons!$B:$B,$B11,HD_Seasons!$C:$C,"&gt;="&amp;EDATE(U$4,-3)+1,HD_Seasons!$C:$C,"&lt;="&amp;U$4)&gt;0,AVERAGEIFS(HD_Seasons!$D:$D,HD_Seasons!$B:$B,$B11,HD_Seasons!$C:$C,"&gt;="&amp;EDATE(U$4,-3)+1,HD_Seasons!$C:$C,"&lt;="&amp;U$4),T11)</f>
        <v>1864.1</v>
      </c>
      <c r="V11" s="11" t="n">
        <f aca="false">IF(COUNTIFS(HD_Seasons!$B:$B,$B11,HD_Seasons!$C:$C,"&gt;="&amp;EDATE(V$4,-3)+1,HD_Seasons!$C:$C,"&lt;="&amp;V$4)&gt;0,AVERAGEIFS(HD_Seasons!$D:$D,HD_Seasons!$B:$B,$B11,HD_Seasons!$C:$C,"&gt;="&amp;EDATE(V$4,-3)+1,HD_Seasons!$C:$C,"&lt;="&amp;V$4),U11)</f>
        <v>1837.8</v>
      </c>
      <c r="W11" s="11" t="n">
        <f aca="false">IF(COUNTIFS(HD_Seasons!$B:$B,$B11,HD_Seasons!$C:$C,"&gt;="&amp;EDATE(W$4,-3)+1,HD_Seasons!$C:$C,"&lt;="&amp;W$4)&gt;0,AVERAGEIFS(HD_Seasons!$D:$D,HD_Seasons!$B:$B,$B11,HD_Seasons!$C:$C,"&gt;="&amp;EDATE(W$4,-3)+1,HD_Seasons!$C:$C,"&lt;="&amp;W$4),V11)</f>
        <v>1929</v>
      </c>
      <c r="X11" s="11" t="n">
        <f aca="false">IF(COUNTIFS(HD_Seasons!$B:$B,$B11,HD_Seasons!$C:$C,"&gt;="&amp;EDATE(X$4,-3)+1,HD_Seasons!$C:$C,"&lt;="&amp;X$4)&gt;0,AVERAGEIFS(HD_Seasons!$D:$D,HD_Seasons!$B:$B,$B11,HD_Seasons!$C:$C,"&gt;="&amp;EDATE(X$4,-3)+1,HD_Seasons!$C:$C,"&lt;="&amp;X$4),W11)</f>
        <v>1902.25</v>
      </c>
      <c r="Y11" s="11" t="n">
        <f aca="false">IF(COUNTIFS(HD_Seasons!$B:$B,$B11,HD_Seasons!$C:$C,"&gt;="&amp;EDATE(Y$4,-3)+1,HD_Seasons!$C:$C,"&lt;="&amp;Y$4)&gt;0,AVERAGEIFS(HD_Seasons!$D:$D,HD_Seasons!$B:$B,$B11,HD_Seasons!$C:$C,"&gt;="&amp;EDATE(Y$4,-3)+1,HD_Seasons!$C:$C,"&lt;="&amp;Y$4),X11)</f>
        <v>1935.46153846154</v>
      </c>
      <c r="Z11" s="11" t="n">
        <f aca="false">IF(COUNTIFS(HD_Seasons!$B:$B,$B11,HD_Seasons!$C:$C,"&gt;="&amp;EDATE(Z$4,-3)+1,HD_Seasons!$C:$C,"&lt;="&amp;Z$4)&gt;0,AVERAGEIFS(HD_Seasons!$D:$D,HD_Seasons!$B:$B,$B11,HD_Seasons!$C:$C,"&gt;="&amp;EDATE(Z$4,-3)+1,HD_Seasons!$C:$C,"&lt;="&amp;Z$4),Y11)</f>
        <v>2006</v>
      </c>
      <c r="AA11" s="11" t="n">
        <f aca="false">IF(COUNTIFS(HD_Seasons!$B:$B,$B11,HD_Seasons!$C:$C,"&gt;="&amp;EDATE(AA$4,-3)+1,HD_Seasons!$C:$C,"&lt;="&amp;AA$4)&gt;0,AVERAGEIFS(HD_Seasons!$D:$D,HD_Seasons!$B:$B,$B11,HD_Seasons!$C:$C,"&gt;="&amp;EDATE(AA$4,-3)+1,HD_Seasons!$C:$C,"&lt;="&amp;AA$4),Z11)</f>
        <v>2077.15384615385</v>
      </c>
      <c r="AB11" s="11" t="n">
        <f aca="false">IF(COUNTIFS(HD_Seasons!$B:$B,$B11,HD_Seasons!$C:$C,"&gt;="&amp;EDATE(AB$4,-3)+1,HD_Seasons!$C:$C,"&lt;="&amp;AB$4)&gt;0,AVERAGEIFS(HD_Seasons!$D:$D,HD_Seasons!$B:$B,$B11,HD_Seasons!$C:$C,"&gt;="&amp;EDATE(AB$4,-3)+1,HD_Seasons!$C:$C,"&lt;="&amp;AB$4),AA11)</f>
        <v>2125</v>
      </c>
      <c r="AC11" s="11" t="n">
        <f aca="false">IF(COUNTIFS(HD_Seasons!$B:$B,$B11,HD_Seasons!$C:$C,"&gt;="&amp;EDATE(AC$4,-3)+1,HD_Seasons!$C:$C,"&lt;="&amp;AC$4)&gt;0,AVERAGEIFS(HD_Seasons!$D:$D,HD_Seasons!$B:$B,$B11,HD_Seasons!$C:$C,"&gt;="&amp;EDATE(AC$4,-3)+1,HD_Seasons!$C:$C,"&lt;="&amp;AC$4),AB11)</f>
        <v>2104</v>
      </c>
      <c r="AD11" s="11" t="n">
        <f aca="false">IF(COUNTIFS(HD_Seasons!$B:$B,$B11,HD_Seasons!$C:$C,"&gt;="&amp;EDATE(AD$4,-3)+1,HD_Seasons!$C:$C,"&lt;="&amp;AD$4)&gt;0,AVERAGEIFS(HD_Seasons!$D:$D,HD_Seasons!$B:$B,$B11,HD_Seasons!$C:$C,"&gt;="&amp;EDATE(AD$4,-3)+1,HD_Seasons!$C:$C,"&lt;="&amp;AD$4),AC11)</f>
        <v>2108.88888888889</v>
      </c>
    </row>
    <row r="12" customFormat="false" ht="15" hidden="false" customHeight="false" outlineLevel="0" collapsed="false">
      <c r="B12" s="8" t="s">
        <v>12</v>
      </c>
      <c r="C12" s="9" t="n">
        <v>15</v>
      </c>
      <c r="D12" s="10" t="n">
        <v>1933.5</v>
      </c>
      <c r="E12" s="11" t="n">
        <f aca="false">IF(COUNTIFS(HD_Seasons!$B:$B,$B12,HD_Seasons!$C:$C,"&gt;="&amp;EDATE(E$4,-3)+1,HD_Seasons!$C:$C,"&lt;="&amp;E$4)&gt;0,AVERAGEIFS(HD_Seasons!$D:$D,HD_Seasons!$B:$B,$B12,HD_Seasons!$C:$C,"&gt;="&amp;EDATE(E$4,-3)+1,HD_Seasons!$C:$C,"&lt;="&amp;E$4),$D12)</f>
        <v>1933.5</v>
      </c>
      <c r="F12" s="11" t="n">
        <f aca="false">IF(COUNTIFS(HD_Seasons!$B:$B,$B12,HD_Seasons!$C:$C,"&gt;="&amp;EDATE(F$4,-3)+1,HD_Seasons!$C:$C,"&lt;="&amp;F$4)&gt;0,AVERAGEIFS(HD_Seasons!$D:$D,HD_Seasons!$B:$B,$B12,HD_Seasons!$C:$C,"&gt;="&amp;EDATE(F$4,-3)+1,HD_Seasons!$C:$C,"&lt;="&amp;F$4),E12)</f>
        <v>2173</v>
      </c>
      <c r="G12" s="11" t="n">
        <f aca="false">IF(COUNTIFS(HD_Seasons!$B:$B,$B12,HD_Seasons!$C:$C,"&gt;="&amp;EDATE(G$4,-3)+1,HD_Seasons!$C:$C,"&lt;="&amp;G$4)&gt;0,AVERAGEIFS(HD_Seasons!$D:$D,HD_Seasons!$B:$B,$B12,HD_Seasons!$C:$C,"&gt;="&amp;EDATE(G$4,-3)+1,HD_Seasons!$C:$C,"&lt;="&amp;G$4),F12)</f>
        <v>2173</v>
      </c>
      <c r="H12" s="11" t="n">
        <f aca="false">IF(COUNTIFS(HD_Seasons!$B:$B,$B12,HD_Seasons!$C:$C,"&gt;="&amp;EDATE(H$4,-3)+1,HD_Seasons!$C:$C,"&lt;="&amp;H$4)&gt;0,AVERAGEIFS(HD_Seasons!$D:$D,HD_Seasons!$B:$B,$B12,HD_Seasons!$C:$C,"&gt;="&amp;EDATE(H$4,-3)+1,HD_Seasons!$C:$C,"&lt;="&amp;H$4),G12)</f>
        <v>2173</v>
      </c>
      <c r="I12" s="11" t="n">
        <f aca="false">IF(COUNTIFS(HD_Seasons!$B:$B,$B12,HD_Seasons!$C:$C,"&gt;="&amp;EDATE(I$4,-3)+1,HD_Seasons!$C:$C,"&lt;="&amp;I$4)&gt;0,AVERAGEIFS(HD_Seasons!$D:$D,HD_Seasons!$B:$B,$B12,HD_Seasons!$C:$C,"&gt;="&amp;EDATE(I$4,-3)+1,HD_Seasons!$C:$C,"&lt;="&amp;I$4),H12)</f>
        <v>2173</v>
      </c>
      <c r="J12" s="11" t="n">
        <f aca="false">IF(COUNTIFS(HD_Seasons!$B:$B,$B12,HD_Seasons!$C:$C,"&gt;="&amp;EDATE(J$4,-3)+1,HD_Seasons!$C:$C,"&lt;="&amp;J$4)&gt;0,AVERAGEIFS(HD_Seasons!$D:$D,HD_Seasons!$B:$B,$B12,HD_Seasons!$C:$C,"&gt;="&amp;EDATE(J$4,-3)+1,HD_Seasons!$C:$C,"&lt;="&amp;J$4),I12)</f>
        <v>2173</v>
      </c>
      <c r="K12" s="11" t="n">
        <f aca="false">IF(COUNTIFS(HD_Seasons!$B:$B,$B12,HD_Seasons!$C:$C,"&gt;="&amp;EDATE(K$4,-3)+1,HD_Seasons!$C:$C,"&lt;="&amp;K$4)&gt;0,AVERAGEIFS(HD_Seasons!$D:$D,HD_Seasons!$B:$B,$B12,HD_Seasons!$C:$C,"&gt;="&amp;EDATE(K$4,-3)+1,HD_Seasons!$C:$C,"&lt;="&amp;K$4),J12)</f>
        <v>2173</v>
      </c>
      <c r="L12" s="11" t="n">
        <f aca="false">IF(COUNTIFS(HD_Seasons!$B:$B,$B12,HD_Seasons!$C:$C,"&gt;="&amp;EDATE(L$4,-3)+1,HD_Seasons!$C:$C,"&lt;="&amp;L$4)&gt;0,AVERAGEIFS(HD_Seasons!$D:$D,HD_Seasons!$B:$B,$B12,HD_Seasons!$C:$C,"&gt;="&amp;EDATE(L$4,-3)+1,HD_Seasons!$C:$C,"&lt;="&amp;L$4),K12)</f>
        <v>1898</v>
      </c>
      <c r="M12" s="11" t="n">
        <f aca="false">IF(COUNTIFS(HD_Seasons!$B:$B,$B12,HD_Seasons!$C:$C,"&gt;="&amp;EDATE(M$4,-3)+1,HD_Seasons!$C:$C,"&lt;="&amp;M$4)&gt;0,AVERAGEIFS(HD_Seasons!$D:$D,HD_Seasons!$B:$B,$B12,HD_Seasons!$C:$C,"&gt;="&amp;EDATE(M$4,-3)+1,HD_Seasons!$C:$C,"&lt;="&amp;M$4),L12)</f>
        <v>1898</v>
      </c>
      <c r="N12" s="11" t="n">
        <f aca="false">IF(COUNTIFS(HD_Seasons!$B:$B,$B12,HD_Seasons!$C:$C,"&gt;="&amp;EDATE(N$4,-3)+1,HD_Seasons!$C:$C,"&lt;="&amp;N$4)&gt;0,AVERAGEIFS(HD_Seasons!$D:$D,HD_Seasons!$B:$B,$B12,HD_Seasons!$C:$C,"&gt;="&amp;EDATE(N$4,-3)+1,HD_Seasons!$C:$C,"&lt;="&amp;N$4),M12)</f>
        <v>1788.6</v>
      </c>
      <c r="O12" s="11" t="n">
        <f aca="false">IF(COUNTIFS(HD_Seasons!$B:$B,$B12,HD_Seasons!$C:$C,"&gt;="&amp;EDATE(O$4,-3)+1,HD_Seasons!$C:$C,"&lt;="&amp;O$4)&gt;0,AVERAGEIFS(HD_Seasons!$D:$D,HD_Seasons!$B:$B,$B12,HD_Seasons!$C:$C,"&gt;="&amp;EDATE(O$4,-3)+1,HD_Seasons!$C:$C,"&lt;="&amp;O$4),N12)</f>
        <v>1806.875</v>
      </c>
      <c r="P12" s="11" t="n">
        <f aca="false">IF(COUNTIFS(HD_Seasons!$B:$B,$B12,HD_Seasons!$C:$C,"&gt;="&amp;EDATE(P$4,-3)+1,HD_Seasons!$C:$C,"&lt;="&amp;P$4)&gt;0,AVERAGEIFS(HD_Seasons!$D:$D,HD_Seasons!$B:$B,$B12,HD_Seasons!$C:$C,"&gt;="&amp;EDATE(P$4,-3)+1,HD_Seasons!$C:$C,"&lt;="&amp;P$4),O12)</f>
        <v>1806.875</v>
      </c>
      <c r="Q12" s="11" t="n">
        <f aca="false">IF(COUNTIFS(HD_Seasons!$B:$B,$B12,HD_Seasons!$C:$C,"&gt;="&amp;EDATE(Q$4,-3)+1,HD_Seasons!$C:$C,"&lt;="&amp;Q$4)&gt;0,AVERAGEIFS(HD_Seasons!$D:$D,HD_Seasons!$B:$B,$B12,HD_Seasons!$C:$C,"&gt;="&amp;EDATE(Q$4,-3)+1,HD_Seasons!$C:$C,"&lt;="&amp;Q$4),P12)</f>
        <v>1891.66666666667</v>
      </c>
      <c r="R12" s="11" t="n">
        <f aca="false">IF(COUNTIFS(HD_Seasons!$B:$B,$B12,HD_Seasons!$C:$C,"&gt;="&amp;EDATE(R$4,-3)+1,HD_Seasons!$C:$C,"&lt;="&amp;R$4)&gt;0,AVERAGEIFS(HD_Seasons!$D:$D,HD_Seasons!$B:$B,$B12,HD_Seasons!$C:$C,"&gt;="&amp;EDATE(R$4,-3)+1,HD_Seasons!$C:$C,"&lt;="&amp;R$4),Q12)</f>
        <v>1945</v>
      </c>
      <c r="S12" s="11" t="n">
        <f aca="false">IF(COUNTIFS(HD_Seasons!$B:$B,$B12,HD_Seasons!$C:$C,"&gt;="&amp;EDATE(S$4,-3)+1,HD_Seasons!$C:$C,"&lt;="&amp;S$4)&gt;0,AVERAGEIFS(HD_Seasons!$D:$D,HD_Seasons!$B:$B,$B12,HD_Seasons!$C:$C,"&gt;="&amp;EDATE(S$4,-3)+1,HD_Seasons!$C:$C,"&lt;="&amp;S$4),R12)</f>
        <v>1945</v>
      </c>
      <c r="T12" s="11" t="n">
        <f aca="false">IF(COUNTIFS(HD_Seasons!$B:$B,$B12,HD_Seasons!$C:$C,"&gt;="&amp;EDATE(T$4,-3)+1,HD_Seasons!$C:$C,"&lt;="&amp;T$4)&gt;0,AVERAGEIFS(HD_Seasons!$D:$D,HD_Seasons!$B:$B,$B12,HD_Seasons!$C:$C,"&gt;="&amp;EDATE(T$4,-3)+1,HD_Seasons!$C:$C,"&lt;="&amp;T$4),S12)</f>
        <v>1991.66666666667</v>
      </c>
      <c r="U12" s="11" t="n">
        <f aca="false">IF(COUNTIFS(HD_Seasons!$B:$B,$B12,HD_Seasons!$C:$C,"&gt;="&amp;EDATE(U$4,-3)+1,HD_Seasons!$C:$C,"&lt;="&amp;U$4)&gt;0,AVERAGEIFS(HD_Seasons!$D:$D,HD_Seasons!$B:$B,$B12,HD_Seasons!$C:$C,"&gt;="&amp;EDATE(U$4,-3)+1,HD_Seasons!$C:$C,"&lt;="&amp;U$4),T12)</f>
        <v>2135</v>
      </c>
      <c r="V12" s="11" t="n">
        <f aca="false">IF(COUNTIFS(HD_Seasons!$B:$B,$B12,HD_Seasons!$C:$C,"&gt;="&amp;EDATE(V$4,-3)+1,HD_Seasons!$C:$C,"&lt;="&amp;V$4)&gt;0,AVERAGEIFS(HD_Seasons!$D:$D,HD_Seasons!$B:$B,$B12,HD_Seasons!$C:$C,"&gt;="&amp;EDATE(V$4,-3)+1,HD_Seasons!$C:$C,"&lt;="&amp;V$4),U12)</f>
        <v>2135</v>
      </c>
      <c r="W12" s="11" t="n">
        <f aca="false">IF(COUNTIFS(HD_Seasons!$B:$B,$B12,HD_Seasons!$C:$C,"&gt;="&amp;EDATE(W$4,-3)+1,HD_Seasons!$C:$C,"&lt;="&amp;W$4)&gt;0,AVERAGEIFS(HD_Seasons!$D:$D,HD_Seasons!$B:$B,$B12,HD_Seasons!$C:$C,"&gt;="&amp;EDATE(W$4,-3)+1,HD_Seasons!$C:$C,"&lt;="&amp;W$4),V12)</f>
        <v>2135</v>
      </c>
      <c r="X12" s="11" t="n">
        <f aca="false">IF(COUNTIFS(HD_Seasons!$B:$B,$B12,HD_Seasons!$C:$C,"&gt;="&amp;EDATE(X$4,-3)+1,HD_Seasons!$C:$C,"&lt;="&amp;X$4)&gt;0,AVERAGEIFS(HD_Seasons!$D:$D,HD_Seasons!$B:$B,$B12,HD_Seasons!$C:$C,"&gt;="&amp;EDATE(X$4,-3)+1,HD_Seasons!$C:$C,"&lt;="&amp;X$4),W12)</f>
        <v>1845</v>
      </c>
      <c r="Y12" s="11" t="n">
        <f aca="false">IF(COUNTIFS(HD_Seasons!$B:$B,$B12,HD_Seasons!$C:$C,"&gt;="&amp;EDATE(Y$4,-3)+1,HD_Seasons!$C:$C,"&lt;="&amp;Y$4)&gt;0,AVERAGEIFS(HD_Seasons!$D:$D,HD_Seasons!$B:$B,$B12,HD_Seasons!$C:$C,"&gt;="&amp;EDATE(Y$4,-3)+1,HD_Seasons!$C:$C,"&lt;="&amp;Y$4),X12)</f>
        <v>1978.33333333333</v>
      </c>
      <c r="Z12" s="11" t="n">
        <f aca="false">IF(COUNTIFS(HD_Seasons!$B:$B,$B12,HD_Seasons!$C:$C,"&gt;="&amp;EDATE(Z$4,-3)+1,HD_Seasons!$C:$C,"&lt;="&amp;Z$4)&gt;0,AVERAGEIFS(HD_Seasons!$D:$D,HD_Seasons!$B:$B,$B12,HD_Seasons!$C:$C,"&gt;="&amp;EDATE(Z$4,-3)+1,HD_Seasons!$C:$C,"&lt;="&amp;Z$4),Y12)</f>
        <v>1978.33333333333</v>
      </c>
      <c r="AA12" s="11" t="n">
        <f aca="false">IF(COUNTIFS(HD_Seasons!$B:$B,$B12,HD_Seasons!$C:$C,"&gt;="&amp;EDATE(AA$4,-3)+1,HD_Seasons!$C:$C,"&lt;="&amp;AA$4)&gt;0,AVERAGEIFS(HD_Seasons!$D:$D,HD_Seasons!$B:$B,$B12,HD_Seasons!$C:$C,"&gt;="&amp;EDATE(AA$4,-3)+1,HD_Seasons!$C:$C,"&lt;="&amp;AA$4),Z12)</f>
        <v>2045</v>
      </c>
      <c r="AB12" s="11" t="n">
        <f aca="false">IF(COUNTIFS(HD_Seasons!$B:$B,$B12,HD_Seasons!$C:$C,"&gt;="&amp;EDATE(AB$4,-3)+1,HD_Seasons!$C:$C,"&lt;="&amp;AB$4)&gt;0,AVERAGEIFS(HD_Seasons!$D:$D,HD_Seasons!$B:$B,$B12,HD_Seasons!$C:$C,"&gt;="&amp;EDATE(AB$4,-3)+1,HD_Seasons!$C:$C,"&lt;="&amp;AB$4),AA12)</f>
        <v>2045</v>
      </c>
      <c r="AC12" s="11" t="n">
        <f aca="false">IF(COUNTIFS(HD_Seasons!$B:$B,$B12,HD_Seasons!$C:$C,"&gt;="&amp;EDATE(AC$4,-3)+1,HD_Seasons!$C:$C,"&lt;="&amp;AC$4)&gt;0,AVERAGEIFS(HD_Seasons!$D:$D,HD_Seasons!$B:$B,$B12,HD_Seasons!$C:$C,"&gt;="&amp;EDATE(AC$4,-3)+1,HD_Seasons!$C:$C,"&lt;="&amp;AC$4),AB12)</f>
        <v>2084.5</v>
      </c>
      <c r="AD12" s="11" t="n">
        <f aca="false">IF(COUNTIFS(HD_Seasons!$B:$B,$B12,HD_Seasons!$C:$C,"&gt;="&amp;EDATE(AD$4,-3)+1,HD_Seasons!$C:$C,"&lt;="&amp;AD$4)&gt;0,AVERAGEIFS(HD_Seasons!$D:$D,HD_Seasons!$B:$B,$B12,HD_Seasons!$C:$C,"&gt;="&amp;EDATE(AD$4,-3)+1,HD_Seasons!$C:$C,"&lt;="&amp;AD$4),AC12)</f>
        <v>2087.83333333333</v>
      </c>
    </row>
    <row r="13" customFormat="false" ht="15" hidden="false" customHeight="false" outlineLevel="0" collapsed="false">
      <c r="B13" s="8" t="s">
        <v>13</v>
      </c>
      <c r="C13" s="9" t="n">
        <v>30</v>
      </c>
      <c r="D13" s="10" t="n">
        <v>1940.67</v>
      </c>
      <c r="E13" s="11" t="n">
        <f aca="false">IF(COUNTIFS(HD_Seasons!$B:$B,$B13,HD_Seasons!$C:$C,"&gt;="&amp;EDATE(E$4,-3)+1,HD_Seasons!$C:$C,"&lt;="&amp;E$4)&gt;0,AVERAGEIFS(HD_Seasons!$D:$D,HD_Seasons!$B:$B,$B13,HD_Seasons!$C:$C,"&gt;="&amp;EDATE(E$4,-3)+1,HD_Seasons!$C:$C,"&lt;="&amp;E$4),$D13)</f>
        <v>1940.67</v>
      </c>
      <c r="F13" s="11" t="n">
        <f aca="false">IF(COUNTIFS(HD_Seasons!$B:$B,$B13,HD_Seasons!$C:$C,"&gt;="&amp;EDATE(F$4,-3)+1,HD_Seasons!$C:$C,"&lt;="&amp;F$4)&gt;0,AVERAGEIFS(HD_Seasons!$D:$D,HD_Seasons!$B:$B,$B13,HD_Seasons!$C:$C,"&gt;="&amp;EDATE(F$4,-3)+1,HD_Seasons!$C:$C,"&lt;="&amp;F$4),E13)</f>
        <v>1940.67</v>
      </c>
      <c r="G13" s="11" t="n">
        <f aca="false">IF(COUNTIFS(HD_Seasons!$B:$B,$B13,HD_Seasons!$C:$C,"&gt;="&amp;EDATE(G$4,-3)+1,HD_Seasons!$C:$C,"&lt;="&amp;G$4)&gt;0,AVERAGEIFS(HD_Seasons!$D:$D,HD_Seasons!$B:$B,$B13,HD_Seasons!$C:$C,"&gt;="&amp;EDATE(G$4,-3)+1,HD_Seasons!$C:$C,"&lt;="&amp;G$4),F13)</f>
        <v>2098</v>
      </c>
      <c r="H13" s="11" t="n">
        <f aca="false">IF(COUNTIFS(HD_Seasons!$B:$B,$B13,HD_Seasons!$C:$C,"&gt;="&amp;EDATE(H$4,-3)+1,HD_Seasons!$C:$C,"&lt;="&amp;H$4)&gt;0,AVERAGEIFS(HD_Seasons!$D:$D,HD_Seasons!$B:$B,$B13,HD_Seasons!$C:$C,"&gt;="&amp;EDATE(H$4,-3)+1,HD_Seasons!$C:$C,"&lt;="&amp;H$4),G13)</f>
        <v>2098</v>
      </c>
      <c r="I13" s="11" t="n">
        <f aca="false">IF(COUNTIFS(HD_Seasons!$B:$B,$B13,HD_Seasons!$C:$C,"&gt;="&amp;EDATE(I$4,-3)+1,HD_Seasons!$C:$C,"&lt;="&amp;I$4)&gt;0,AVERAGEIFS(HD_Seasons!$D:$D,HD_Seasons!$B:$B,$B13,HD_Seasons!$C:$C,"&gt;="&amp;EDATE(I$4,-3)+1,HD_Seasons!$C:$C,"&lt;="&amp;I$4),H13)</f>
        <v>2098</v>
      </c>
      <c r="J13" s="11" t="n">
        <f aca="false">IF(COUNTIFS(HD_Seasons!$B:$B,$B13,HD_Seasons!$C:$C,"&gt;="&amp;EDATE(J$4,-3)+1,HD_Seasons!$C:$C,"&lt;="&amp;J$4)&gt;0,AVERAGEIFS(HD_Seasons!$D:$D,HD_Seasons!$B:$B,$B13,HD_Seasons!$C:$C,"&gt;="&amp;EDATE(J$4,-3)+1,HD_Seasons!$C:$C,"&lt;="&amp;J$4),I13)</f>
        <v>2098</v>
      </c>
      <c r="K13" s="11" t="n">
        <f aca="false">IF(COUNTIFS(HD_Seasons!$B:$B,$B13,HD_Seasons!$C:$C,"&gt;="&amp;EDATE(K$4,-3)+1,HD_Seasons!$C:$C,"&lt;="&amp;K$4)&gt;0,AVERAGEIFS(HD_Seasons!$D:$D,HD_Seasons!$B:$B,$B13,HD_Seasons!$C:$C,"&gt;="&amp;EDATE(K$4,-3)+1,HD_Seasons!$C:$C,"&lt;="&amp;K$4),J13)</f>
        <v>1794.75</v>
      </c>
      <c r="L13" s="11" t="n">
        <f aca="false">IF(COUNTIFS(HD_Seasons!$B:$B,$B13,HD_Seasons!$C:$C,"&gt;="&amp;EDATE(L$4,-3)+1,HD_Seasons!$C:$C,"&lt;="&amp;L$4)&gt;0,AVERAGEIFS(HD_Seasons!$D:$D,HD_Seasons!$B:$B,$B13,HD_Seasons!$C:$C,"&gt;="&amp;EDATE(L$4,-3)+1,HD_Seasons!$C:$C,"&lt;="&amp;L$4),K13)</f>
        <v>1795.83333333333</v>
      </c>
      <c r="M13" s="11" t="n">
        <f aca="false">IF(COUNTIFS(HD_Seasons!$B:$B,$B13,HD_Seasons!$C:$C,"&gt;="&amp;EDATE(M$4,-3)+1,HD_Seasons!$C:$C,"&lt;="&amp;M$4)&gt;0,AVERAGEIFS(HD_Seasons!$D:$D,HD_Seasons!$B:$B,$B13,HD_Seasons!$C:$C,"&gt;="&amp;EDATE(M$4,-3)+1,HD_Seasons!$C:$C,"&lt;="&amp;M$4),L13)</f>
        <v>1825.53333333333</v>
      </c>
      <c r="N13" s="11" t="n">
        <f aca="false">IF(COUNTIFS(HD_Seasons!$B:$B,$B13,HD_Seasons!$C:$C,"&gt;="&amp;EDATE(N$4,-3)+1,HD_Seasons!$C:$C,"&lt;="&amp;N$4)&gt;0,AVERAGEIFS(HD_Seasons!$D:$D,HD_Seasons!$B:$B,$B13,HD_Seasons!$C:$C,"&gt;="&amp;EDATE(N$4,-3)+1,HD_Seasons!$C:$C,"&lt;="&amp;N$4),M13)</f>
        <v>1865.875</v>
      </c>
      <c r="O13" s="11" t="n">
        <f aca="false">IF(COUNTIFS(HD_Seasons!$B:$B,$B13,HD_Seasons!$C:$C,"&gt;="&amp;EDATE(O$4,-3)+1,HD_Seasons!$C:$C,"&lt;="&amp;O$4)&gt;0,AVERAGEIFS(HD_Seasons!$D:$D,HD_Seasons!$B:$B,$B13,HD_Seasons!$C:$C,"&gt;="&amp;EDATE(O$4,-3)+1,HD_Seasons!$C:$C,"&lt;="&amp;O$4),N13)</f>
        <v>1890.46666666667</v>
      </c>
      <c r="P13" s="11" t="n">
        <f aca="false">IF(COUNTIFS(HD_Seasons!$B:$B,$B13,HD_Seasons!$C:$C,"&gt;="&amp;EDATE(P$4,-3)+1,HD_Seasons!$C:$C,"&lt;="&amp;P$4)&gt;0,AVERAGEIFS(HD_Seasons!$D:$D,HD_Seasons!$B:$B,$B13,HD_Seasons!$C:$C,"&gt;="&amp;EDATE(P$4,-3)+1,HD_Seasons!$C:$C,"&lt;="&amp;P$4),O13)</f>
        <v>1958.16666666667</v>
      </c>
      <c r="Q13" s="11" t="n">
        <f aca="false">IF(COUNTIFS(HD_Seasons!$B:$B,$B13,HD_Seasons!$C:$C,"&gt;="&amp;EDATE(Q$4,-3)+1,HD_Seasons!$C:$C,"&lt;="&amp;Q$4)&gt;0,AVERAGEIFS(HD_Seasons!$D:$D,HD_Seasons!$B:$B,$B13,HD_Seasons!$C:$C,"&gt;="&amp;EDATE(Q$4,-3)+1,HD_Seasons!$C:$C,"&lt;="&amp;Q$4),P13)</f>
        <v>2099</v>
      </c>
      <c r="R13" s="11" t="n">
        <f aca="false">IF(COUNTIFS(HD_Seasons!$B:$B,$B13,HD_Seasons!$C:$C,"&gt;="&amp;EDATE(R$4,-3)+1,HD_Seasons!$C:$C,"&lt;="&amp;R$4)&gt;0,AVERAGEIFS(HD_Seasons!$D:$D,HD_Seasons!$B:$B,$B13,HD_Seasons!$C:$C,"&gt;="&amp;EDATE(R$4,-3)+1,HD_Seasons!$C:$C,"&lt;="&amp;R$4),Q13)</f>
        <v>2099</v>
      </c>
      <c r="S13" s="11" t="n">
        <f aca="false">IF(COUNTIFS(HD_Seasons!$B:$B,$B13,HD_Seasons!$C:$C,"&gt;="&amp;EDATE(S$4,-3)+1,HD_Seasons!$C:$C,"&lt;="&amp;S$4)&gt;0,AVERAGEIFS(HD_Seasons!$D:$D,HD_Seasons!$B:$B,$B13,HD_Seasons!$C:$C,"&gt;="&amp;EDATE(S$4,-3)+1,HD_Seasons!$C:$C,"&lt;="&amp;S$4),R13)</f>
        <v>2099</v>
      </c>
      <c r="T13" s="11" t="n">
        <f aca="false">IF(COUNTIFS(HD_Seasons!$B:$B,$B13,HD_Seasons!$C:$C,"&gt;="&amp;EDATE(T$4,-3)+1,HD_Seasons!$C:$C,"&lt;="&amp;T$4)&gt;0,AVERAGEIFS(HD_Seasons!$D:$D,HD_Seasons!$B:$B,$B13,HD_Seasons!$C:$C,"&gt;="&amp;EDATE(T$4,-3)+1,HD_Seasons!$C:$C,"&lt;="&amp;T$4),S13)</f>
        <v>1800</v>
      </c>
      <c r="U13" s="11" t="n">
        <f aca="false">IF(COUNTIFS(HD_Seasons!$B:$B,$B13,HD_Seasons!$C:$C,"&gt;="&amp;EDATE(U$4,-3)+1,HD_Seasons!$C:$C,"&lt;="&amp;U$4)&gt;0,AVERAGEIFS(HD_Seasons!$D:$D,HD_Seasons!$B:$B,$B13,HD_Seasons!$C:$C,"&gt;="&amp;EDATE(U$4,-3)+1,HD_Seasons!$C:$C,"&lt;="&amp;U$4),T13)</f>
        <v>1799.5</v>
      </c>
      <c r="V13" s="11" t="n">
        <f aca="false">IF(COUNTIFS(HD_Seasons!$B:$B,$B13,HD_Seasons!$C:$C,"&gt;="&amp;EDATE(V$4,-3)+1,HD_Seasons!$C:$C,"&lt;="&amp;V$4)&gt;0,AVERAGEIFS(HD_Seasons!$D:$D,HD_Seasons!$B:$B,$B13,HD_Seasons!$C:$C,"&gt;="&amp;EDATE(V$4,-3)+1,HD_Seasons!$C:$C,"&lt;="&amp;V$4),U13)</f>
        <v>1866</v>
      </c>
      <c r="W13" s="11" t="n">
        <f aca="false">IF(COUNTIFS(HD_Seasons!$B:$B,$B13,HD_Seasons!$C:$C,"&gt;="&amp;EDATE(W$4,-3)+1,HD_Seasons!$C:$C,"&lt;="&amp;W$4)&gt;0,AVERAGEIFS(HD_Seasons!$D:$D,HD_Seasons!$B:$B,$B13,HD_Seasons!$C:$C,"&gt;="&amp;EDATE(W$4,-3)+1,HD_Seasons!$C:$C,"&lt;="&amp;W$4),V13)</f>
        <v>1866</v>
      </c>
      <c r="X13" s="11" t="n">
        <f aca="false">IF(COUNTIFS(HD_Seasons!$B:$B,$B13,HD_Seasons!$C:$C,"&gt;="&amp;EDATE(X$4,-3)+1,HD_Seasons!$C:$C,"&lt;="&amp;X$4)&gt;0,AVERAGEIFS(HD_Seasons!$D:$D,HD_Seasons!$B:$B,$B13,HD_Seasons!$C:$C,"&gt;="&amp;EDATE(X$4,-3)+1,HD_Seasons!$C:$C,"&lt;="&amp;X$4),W13)</f>
        <v>1849.8</v>
      </c>
      <c r="Y13" s="11" t="n">
        <f aca="false">IF(COUNTIFS(HD_Seasons!$B:$B,$B13,HD_Seasons!$C:$C,"&gt;="&amp;EDATE(Y$4,-3)+1,HD_Seasons!$C:$C,"&lt;="&amp;Y$4)&gt;0,AVERAGEIFS(HD_Seasons!$D:$D,HD_Seasons!$B:$B,$B13,HD_Seasons!$C:$C,"&gt;="&amp;EDATE(Y$4,-3)+1,HD_Seasons!$C:$C,"&lt;="&amp;Y$4),X13)</f>
        <v>1869.8</v>
      </c>
      <c r="Z13" s="11" t="n">
        <f aca="false">IF(COUNTIFS(HD_Seasons!$B:$B,$B13,HD_Seasons!$C:$C,"&gt;="&amp;EDATE(Z$4,-3)+1,HD_Seasons!$C:$C,"&lt;="&amp;Z$4)&gt;0,AVERAGEIFS(HD_Seasons!$D:$D,HD_Seasons!$B:$B,$B13,HD_Seasons!$C:$C,"&gt;="&amp;EDATE(Z$4,-3)+1,HD_Seasons!$C:$C,"&lt;="&amp;Z$4),Y13)</f>
        <v>1992</v>
      </c>
      <c r="AA13" s="11" t="n">
        <f aca="false">IF(COUNTIFS(HD_Seasons!$B:$B,$B13,HD_Seasons!$C:$C,"&gt;="&amp;EDATE(AA$4,-3)+1,HD_Seasons!$C:$C,"&lt;="&amp;AA$4)&gt;0,AVERAGEIFS(HD_Seasons!$D:$D,HD_Seasons!$B:$B,$B13,HD_Seasons!$C:$C,"&gt;="&amp;EDATE(AA$4,-3)+1,HD_Seasons!$C:$C,"&lt;="&amp;AA$4),Z13)</f>
        <v>2112.5</v>
      </c>
      <c r="AB13" s="11" t="n">
        <f aca="false">IF(COUNTIFS(HD_Seasons!$B:$B,$B13,HD_Seasons!$C:$C,"&gt;="&amp;EDATE(AB$4,-3)+1,HD_Seasons!$C:$C,"&lt;="&amp;AB$4)&gt;0,AVERAGEIFS(HD_Seasons!$D:$D,HD_Seasons!$B:$B,$B13,HD_Seasons!$C:$C,"&gt;="&amp;EDATE(AB$4,-3)+1,HD_Seasons!$C:$C,"&lt;="&amp;AB$4),AA13)</f>
        <v>2101.625</v>
      </c>
      <c r="AC13" s="11" t="n">
        <f aca="false">IF(COUNTIFS(HD_Seasons!$B:$B,$B13,HD_Seasons!$C:$C,"&gt;="&amp;EDATE(AC$4,-3)+1,HD_Seasons!$C:$C,"&lt;="&amp;AC$4)&gt;0,AVERAGEIFS(HD_Seasons!$D:$D,HD_Seasons!$B:$B,$B13,HD_Seasons!$C:$C,"&gt;="&amp;EDATE(AC$4,-3)+1,HD_Seasons!$C:$C,"&lt;="&amp;AC$4),AB13)</f>
        <v>2083.6</v>
      </c>
      <c r="AD13" s="11" t="n">
        <f aca="false">IF(COUNTIFS(HD_Seasons!$B:$B,$B13,HD_Seasons!$C:$C,"&gt;="&amp;EDATE(AD$4,-3)+1,HD_Seasons!$C:$C,"&lt;="&amp;AD$4)&gt;0,AVERAGEIFS(HD_Seasons!$D:$D,HD_Seasons!$B:$B,$B13,HD_Seasons!$C:$C,"&gt;="&amp;EDATE(AD$4,-3)+1,HD_Seasons!$C:$C,"&lt;="&amp;AD$4),AC13)</f>
        <v>2099.5</v>
      </c>
    </row>
    <row r="14" customFormat="false" ht="15" hidden="false" customHeight="false" outlineLevel="0" collapsed="false">
      <c r="B14" s="8" t="s">
        <v>14</v>
      </c>
      <c r="C14" s="9" t="n">
        <v>10</v>
      </c>
      <c r="D14" s="10" t="n">
        <v>2371</v>
      </c>
      <c r="E14" s="11" t="n">
        <f aca="false">IF(COUNTIFS(HD_Seasons!$B:$B,$B14,HD_Seasons!$C:$C,"&gt;="&amp;EDATE(E$4,-3)+1,HD_Seasons!$C:$C,"&lt;="&amp;E$4)&gt;0,AVERAGEIFS(HD_Seasons!$D:$D,HD_Seasons!$B:$B,$B14,HD_Seasons!$C:$C,"&gt;="&amp;EDATE(E$4,-3)+1,HD_Seasons!$C:$C,"&lt;="&amp;E$4),$D14)</f>
        <v>2371</v>
      </c>
      <c r="F14" s="11" t="n">
        <f aca="false">IF(COUNTIFS(HD_Seasons!$B:$B,$B14,HD_Seasons!$C:$C,"&gt;="&amp;EDATE(F$4,-3)+1,HD_Seasons!$C:$C,"&lt;="&amp;F$4)&gt;0,AVERAGEIFS(HD_Seasons!$D:$D,HD_Seasons!$B:$B,$B14,HD_Seasons!$C:$C,"&gt;="&amp;EDATE(F$4,-3)+1,HD_Seasons!$C:$C,"&lt;="&amp;F$4),E14)</f>
        <v>2357.5</v>
      </c>
      <c r="G14" s="11" t="n">
        <f aca="false">IF(COUNTIFS(HD_Seasons!$B:$B,$B14,HD_Seasons!$C:$C,"&gt;="&amp;EDATE(G$4,-3)+1,HD_Seasons!$C:$C,"&lt;="&amp;G$4)&gt;0,AVERAGEIFS(HD_Seasons!$D:$D,HD_Seasons!$B:$B,$B14,HD_Seasons!$C:$C,"&gt;="&amp;EDATE(G$4,-3)+1,HD_Seasons!$C:$C,"&lt;="&amp;G$4),F14)</f>
        <v>2355</v>
      </c>
      <c r="H14" s="11" t="n">
        <f aca="false">IF(COUNTIFS(HD_Seasons!$B:$B,$B14,HD_Seasons!$C:$C,"&gt;="&amp;EDATE(H$4,-3)+1,HD_Seasons!$C:$C,"&lt;="&amp;H$4)&gt;0,AVERAGEIFS(HD_Seasons!$D:$D,HD_Seasons!$B:$B,$B14,HD_Seasons!$C:$C,"&gt;="&amp;EDATE(H$4,-3)+1,HD_Seasons!$C:$C,"&lt;="&amp;H$4),G14)</f>
        <v>2355</v>
      </c>
      <c r="I14" s="11" t="n">
        <f aca="false">IF(COUNTIFS(HD_Seasons!$B:$B,$B14,HD_Seasons!$C:$C,"&gt;="&amp;EDATE(I$4,-3)+1,HD_Seasons!$C:$C,"&lt;="&amp;I$4)&gt;0,AVERAGEIFS(HD_Seasons!$D:$D,HD_Seasons!$B:$B,$B14,HD_Seasons!$C:$C,"&gt;="&amp;EDATE(I$4,-3)+1,HD_Seasons!$C:$C,"&lt;="&amp;I$4),H14)</f>
        <v>2357.5</v>
      </c>
      <c r="J14" s="11" t="n">
        <f aca="false">IF(COUNTIFS(HD_Seasons!$B:$B,$B14,HD_Seasons!$C:$C,"&gt;="&amp;EDATE(J$4,-3)+1,HD_Seasons!$C:$C,"&lt;="&amp;J$4)&gt;0,AVERAGEIFS(HD_Seasons!$D:$D,HD_Seasons!$B:$B,$B14,HD_Seasons!$C:$C,"&gt;="&amp;EDATE(J$4,-3)+1,HD_Seasons!$C:$C,"&lt;="&amp;J$4),I14)</f>
        <v>2357.5</v>
      </c>
      <c r="K14" s="11" t="n">
        <f aca="false">IF(COUNTIFS(HD_Seasons!$B:$B,$B14,HD_Seasons!$C:$C,"&gt;="&amp;EDATE(K$4,-3)+1,HD_Seasons!$C:$C,"&lt;="&amp;K$4)&gt;0,AVERAGEIFS(HD_Seasons!$D:$D,HD_Seasons!$B:$B,$B14,HD_Seasons!$C:$C,"&gt;="&amp;EDATE(K$4,-3)+1,HD_Seasons!$C:$C,"&lt;="&amp;K$4),J14)</f>
        <v>2105</v>
      </c>
      <c r="L14" s="11" t="n">
        <f aca="false">IF(COUNTIFS(HD_Seasons!$B:$B,$B14,HD_Seasons!$C:$C,"&gt;="&amp;EDATE(L$4,-3)+1,HD_Seasons!$C:$C,"&lt;="&amp;L$4)&gt;0,AVERAGEIFS(HD_Seasons!$D:$D,HD_Seasons!$B:$B,$B14,HD_Seasons!$C:$C,"&gt;="&amp;EDATE(L$4,-3)+1,HD_Seasons!$C:$C,"&lt;="&amp;L$4),K14)</f>
        <v>2117.5</v>
      </c>
      <c r="M14" s="11" t="n">
        <f aca="false">IF(COUNTIFS(HD_Seasons!$B:$B,$B14,HD_Seasons!$C:$C,"&gt;="&amp;EDATE(M$4,-3)+1,HD_Seasons!$C:$C,"&lt;="&amp;M$4)&gt;0,AVERAGEIFS(HD_Seasons!$D:$D,HD_Seasons!$B:$B,$B14,HD_Seasons!$C:$C,"&gt;="&amp;EDATE(M$4,-3)+1,HD_Seasons!$C:$C,"&lt;="&amp;M$4),L14)</f>
        <v>2131.66666666667</v>
      </c>
      <c r="N14" s="11" t="n">
        <f aca="false">IF(COUNTIFS(HD_Seasons!$B:$B,$B14,HD_Seasons!$C:$C,"&gt;="&amp;EDATE(N$4,-3)+1,HD_Seasons!$C:$C,"&lt;="&amp;N$4)&gt;0,AVERAGEIFS(HD_Seasons!$D:$D,HD_Seasons!$B:$B,$B14,HD_Seasons!$C:$C,"&gt;="&amp;EDATE(N$4,-3)+1,HD_Seasons!$C:$C,"&lt;="&amp;N$4),M14)</f>
        <v>2175</v>
      </c>
      <c r="O14" s="11" t="n">
        <f aca="false">IF(COUNTIFS(HD_Seasons!$B:$B,$B14,HD_Seasons!$C:$C,"&gt;="&amp;EDATE(O$4,-3)+1,HD_Seasons!$C:$C,"&lt;="&amp;O$4)&gt;0,AVERAGEIFS(HD_Seasons!$D:$D,HD_Seasons!$B:$B,$B14,HD_Seasons!$C:$C,"&gt;="&amp;EDATE(O$4,-3)+1,HD_Seasons!$C:$C,"&lt;="&amp;O$4),N14)</f>
        <v>2197.5</v>
      </c>
      <c r="P14" s="11" t="n">
        <f aca="false">IF(COUNTIFS(HD_Seasons!$B:$B,$B14,HD_Seasons!$C:$C,"&gt;="&amp;EDATE(P$4,-3)+1,HD_Seasons!$C:$C,"&lt;="&amp;P$4)&gt;0,AVERAGEIFS(HD_Seasons!$D:$D,HD_Seasons!$B:$B,$B14,HD_Seasons!$C:$C,"&gt;="&amp;EDATE(P$4,-3)+1,HD_Seasons!$C:$C,"&lt;="&amp;P$4),O14)</f>
        <v>2295.66666666667</v>
      </c>
      <c r="Q14" s="11" t="n">
        <f aca="false">IF(COUNTIFS(HD_Seasons!$B:$B,$B14,HD_Seasons!$C:$C,"&gt;="&amp;EDATE(Q$4,-3)+1,HD_Seasons!$C:$C,"&lt;="&amp;Q$4)&gt;0,AVERAGEIFS(HD_Seasons!$D:$D,HD_Seasons!$B:$B,$B14,HD_Seasons!$C:$C,"&gt;="&amp;EDATE(Q$4,-3)+1,HD_Seasons!$C:$C,"&lt;="&amp;Q$4),P14)</f>
        <v>2275.33333333333</v>
      </c>
      <c r="R14" s="11" t="n">
        <f aca="false">IF(COUNTIFS(HD_Seasons!$B:$B,$B14,HD_Seasons!$C:$C,"&gt;="&amp;EDATE(R$4,-3)+1,HD_Seasons!$C:$C,"&lt;="&amp;R$4)&gt;0,AVERAGEIFS(HD_Seasons!$D:$D,HD_Seasons!$B:$B,$B14,HD_Seasons!$C:$C,"&gt;="&amp;EDATE(R$4,-3)+1,HD_Seasons!$C:$C,"&lt;="&amp;R$4),Q14)</f>
        <v>2275.33333333333</v>
      </c>
      <c r="S14" s="11" t="n">
        <f aca="false">IF(COUNTIFS(HD_Seasons!$B:$B,$B14,HD_Seasons!$C:$C,"&gt;="&amp;EDATE(S$4,-3)+1,HD_Seasons!$C:$C,"&lt;="&amp;S$4)&gt;0,AVERAGEIFS(HD_Seasons!$D:$D,HD_Seasons!$B:$B,$B14,HD_Seasons!$C:$C,"&gt;="&amp;EDATE(S$4,-3)+1,HD_Seasons!$C:$C,"&lt;="&amp;S$4),R14)</f>
        <v>2186.5</v>
      </c>
      <c r="T14" s="11" t="n">
        <f aca="false">IF(COUNTIFS(HD_Seasons!$B:$B,$B14,HD_Seasons!$C:$C,"&gt;="&amp;EDATE(T$4,-3)+1,HD_Seasons!$C:$C,"&lt;="&amp;T$4)&gt;0,AVERAGEIFS(HD_Seasons!$D:$D,HD_Seasons!$B:$B,$B14,HD_Seasons!$C:$C,"&gt;="&amp;EDATE(T$4,-3)+1,HD_Seasons!$C:$C,"&lt;="&amp;T$4),S14)</f>
        <v>2283.66666666667</v>
      </c>
      <c r="U14" s="11" t="n">
        <f aca="false">IF(COUNTIFS(HD_Seasons!$B:$B,$B14,HD_Seasons!$C:$C,"&gt;="&amp;EDATE(U$4,-3)+1,HD_Seasons!$C:$C,"&lt;="&amp;U$4)&gt;0,AVERAGEIFS(HD_Seasons!$D:$D,HD_Seasons!$B:$B,$B14,HD_Seasons!$C:$C,"&gt;="&amp;EDATE(U$4,-3)+1,HD_Seasons!$C:$C,"&lt;="&amp;U$4),T14)</f>
        <v>2283.66666666667</v>
      </c>
      <c r="V14" s="11" t="n">
        <f aca="false">IF(COUNTIFS(HD_Seasons!$B:$B,$B14,HD_Seasons!$C:$C,"&gt;="&amp;EDATE(V$4,-3)+1,HD_Seasons!$C:$C,"&lt;="&amp;V$4)&gt;0,AVERAGEIFS(HD_Seasons!$D:$D,HD_Seasons!$B:$B,$B14,HD_Seasons!$C:$C,"&gt;="&amp;EDATE(V$4,-3)+1,HD_Seasons!$C:$C,"&lt;="&amp;V$4),U14)</f>
        <v>2326</v>
      </c>
      <c r="W14" s="11" t="n">
        <f aca="false">IF(COUNTIFS(HD_Seasons!$B:$B,$B14,HD_Seasons!$C:$C,"&gt;="&amp;EDATE(W$4,-3)+1,HD_Seasons!$C:$C,"&lt;="&amp;W$4)&gt;0,AVERAGEIFS(HD_Seasons!$D:$D,HD_Seasons!$B:$B,$B14,HD_Seasons!$C:$C,"&gt;="&amp;EDATE(W$4,-3)+1,HD_Seasons!$C:$C,"&lt;="&amp;W$4),V14)</f>
        <v>2326</v>
      </c>
      <c r="X14" s="11" t="n">
        <f aca="false">IF(COUNTIFS(HD_Seasons!$B:$B,$B14,HD_Seasons!$C:$C,"&gt;="&amp;EDATE(X$4,-3)+1,HD_Seasons!$C:$C,"&lt;="&amp;X$4)&gt;0,AVERAGEIFS(HD_Seasons!$D:$D,HD_Seasons!$B:$B,$B14,HD_Seasons!$C:$C,"&gt;="&amp;EDATE(X$4,-3)+1,HD_Seasons!$C:$C,"&lt;="&amp;X$4),W14)</f>
        <v>2326</v>
      </c>
      <c r="Y14" s="11" t="n">
        <f aca="false">IF(COUNTIFS(HD_Seasons!$B:$B,$B14,HD_Seasons!$C:$C,"&gt;="&amp;EDATE(Y$4,-3)+1,HD_Seasons!$C:$C,"&lt;="&amp;Y$4)&gt;0,AVERAGEIFS(HD_Seasons!$D:$D,HD_Seasons!$B:$B,$B14,HD_Seasons!$C:$C,"&gt;="&amp;EDATE(Y$4,-3)+1,HD_Seasons!$C:$C,"&lt;="&amp;Y$4),X14)</f>
        <v>2343.66666666667</v>
      </c>
      <c r="Z14" s="11" t="n">
        <f aca="false">IF(COUNTIFS(HD_Seasons!$B:$B,$B14,HD_Seasons!$C:$C,"&gt;="&amp;EDATE(Z$4,-3)+1,HD_Seasons!$C:$C,"&lt;="&amp;Z$4)&gt;0,AVERAGEIFS(HD_Seasons!$D:$D,HD_Seasons!$B:$B,$B14,HD_Seasons!$C:$C,"&gt;="&amp;EDATE(Z$4,-3)+1,HD_Seasons!$C:$C,"&lt;="&amp;Z$4),Y14)</f>
        <v>2343.66666666667</v>
      </c>
      <c r="AA14" s="11" t="n">
        <f aca="false">IF(COUNTIFS(HD_Seasons!$B:$B,$B14,HD_Seasons!$C:$C,"&gt;="&amp;EDATE(AA$4,-3)+1,HD_Seasons!$C:$C,"&lt;="&amp;AA$4)&gt;0,AVERAGEIFS(HD_Seasons!$D:$D,HD_Seasons!$B:$B,$B14,HD_Seasons!$C:$C,"&gt;="&amp;EDATE(AA$4,-3)+1,HD_Seasons!$C:$C,"&lt;="&amp;AA$4),Z14)</f>
        <v>2343.66666666667</v>
      </c>
      <c r="AB14" s="11" t="n">
        <f aca="false">IF(COUNTIFS(HD_Seasons!$B:$B,$B14,HD_Seasons!$C:$C,"&gt;="&amp;EDATE(AB$4,-3)+1,HD_Seasons!$C:$C,"&lt;="&amp;AB$4)&gt;0,AVERAGEIFS(HD_Seasons!$D:$D,HD_Seasons!$B:$B,$B14,HD_Seasons!$C:$C,"&gt;="&amp;EDATE(AB$4,-3)+1,HD_Seasons!$C:$C,"&lt;="&amp;AB$4),AA14)</f>
        <v>2579</v>
      </c>
      <c r="AC14" s="11" t="n">
        <f aca="false">IF(COUNTIFS(HD_Seasons!$B:$B,$B14,HD_Seasons!$C:$C,"&gt;="&amp;EDATE(AC$4,-3)+1,HD_Seasons!$C:$C,"&lt;="&amp;AC$4)&gt;0,AVERAGEIFS(HD_Seasons!$D:$D,HD_Seasons!$B:$B,$B14,HD_Seasons!$C:$C,"&gt;="&amp;EDATE(AC$4,-3)+1,HD_Seasons!$C:$C,"&lt;="&amp;AC$4),AB14)</f>
        <v>2579</v>
      </c>
      <c r="AD14" s="11" t="n">
        <f aca="false">IF(COUNTIFS(HD_Seasons!$B:$B,$B14,HD_Seasons!$C:$C,"&gt;="&amp;EDATE(AD$4,-3)+1,HD_Seasons!$C:$C,"&lt;="&amp;AD$4)&gt;0,AVERAGEIFS(HD_Seasons!$D:$D,HD_Seasons!$B:$B,$B14,HD_Seasons!$C:$C,"&gt;="&amp;EDATE(AD$4,-3)+1,HD_Seasons!$C:$C,"&lt;="&amp;AD$4),AC14)</f>
        <v>2579</v>
      </c>
    </row>
    <row r="15" customFormat="false" ht="15" hidden="false" customHeight="false" outlineLevel="0" collapsed="false">
      <c r="B15" s="8" t="s">
        <v>15</v>
      </c>
      <c r="C15" s="9" t="n">
        <v>20</v>
      </c>
      <c r="D15" s="10" t="n">
        <v>2236.89</v>
      </c>
      <c r="E15" s="11" t="n">
        <f aca="false">IF(COUNTIFS(HD_Seasons!$B:$B,$B15,HD_Seasons!$C:$C,"&gt;="&amp;EDATE(E$4,-3)+1,HD_Seasons!$C:$C,"&lt;="&amp;E$4)&gt;0,AVERAGEIFS(HD_Seasons!$D:$D,HD_Seasons!$B:$B,$B15,HD_Seasons!$C:$C,"&gt;="&amp;EDATE(E$4,-3)+1,HD_Seasons!$C:$C,"&lt;="&amp;E$4),$D15)</f>
        <v>2236.89</v>
      </c>
      <c r="F15" s="11" t="n">
        <f aca="false">IF(COUNTIFS(HD_Seasons!$B:$B,$B15,HD_Seasons!$C:$C,"&gt;="&amp;EDATE(F$4,-3)+1,HD_Seasons!$C:$C,"&lt;="&amp;F$4)&gt;0,AVERAGEIFS(HD_Seasons!$D:$D,HD_Seasons!$B:$B,$B15,HD_Seasons!$C:$C,"&gt;="&amp;EDATE(F$4,-3)+1,HD_Seasons!$C:$C,"&lt;="&amp;F$4),E15)</f>
        <v>2325</v>
      </c>
      <c r="G15" s="11" t="n">
        <f aca="false">IF(COUNTIFS(HD_Seasons!$B:$B,$B15,HD_Seasons!$C:$C,"&gt;="&amp;EDATE(G$4,-3)+1,HD_Seasons!$C:$C,"&lt;="&amp;G$4)&gt;0,AVERAGEIFS(HD_Seasons!$D:$D,HD_Seasons!$B:$B,$B15,HD_Seasons!$C:$C,"&gt;="&amp;EDATE(G$4,-3)+1,HD_Seasons!$C:$C,"&lt;="&amp;G$4),F15)</f>
        <v>2325</v>
      </c>
      <c r="H15" s="11" t="n">
        <f aca="false">IF(COUNTIFS(HD_Seasons!$B:$B,$B15,HD_Seasons!$C:$C,"&gt;="&amp;EDATE(H$4,-3)+1,HD_Seasons!$C:$C,"&lt;="&amp;H$4)&gt;0,AVERAGEIFS(HD_Seasons!$D:$D,HD_Seasons!$B:$B,$B15,HD_Seasons!$C:$C,"&gt;="&amp;EDATE(H$4,-3)+1,HD_Seasons!$C:$C,"&lt;="&amp;H$4),G15)</f>
        <v>2325</v>
      </c>
      <c r="I15" s="11" t="n">
        <f aca="false">IF(COUNTIFS(HD_Seasons!$B:$B,$B15,HD_Seasons!$C:$C,"&gt;="&amp;EDATE(I$4,-3)+1,HD_Seasons!$C:$C,"&lt;="&amp;I$4)&gt;0,AVERAGEIFS(HD_Seasons!$D:$D,HD_Seasons!$B:$B,$B15,HD_Seasons!$C:$C,"&gt;="&amp;EDATE(I$4,-3)+1,HD_Seasons!$C:$C,"&lt;="&amp;I$4),H15)</f>
        <v>2325</v>
      </c>
      <c r="J15" s="11" t="n">
        <f aca="false">IF(COUNTIFS(HD_Seasons!$B:$B,$B15,HD_Seasons!$C:$C,"&gt;="&amp;EDATE(J$4,-3)+1,HD_Seasons!$C:$C,"&lt;="&amp;J$4)&gt;0,AVERAGEIFS(HD_Seasons!$D:$D,HD_Seasons!$B:$B,$B15,HD_Seasons!$C:$C,"&gt;="&amp;EDATE(J$4,-3)+1,HD_Seasons!$C:$C,"&lt;="&amp;J$4),I15)</f>
        <v>1855</v>
      </c>
      <c r="K15" s="11" t="n">
        <f aca="false">IF(COUNTIFS(HD_Seasons!$B:$B,$B15,HD_Seasons!$C:$C,"&gt;="&amp;EDATE(K$4,-3)+1,HD_Seasons!$C:$C,"&lt;="&amp;K$4)&gt;0,AVERAGEIFS(HD_Seasons!$D:$D,HD_Seasons!$B:$B,$B15,HD_Seasons!$C:$C,"&gt;="&amp;EDATE(K$4,-3)+1,HD_Seasons!$C:$C,"&lt;="&amp;K$4),J15)</f>
        <v>1996.66666666667</v>
      </c>
      <c r="L15" s="11" t="n">
        <f aca="false">IF(COUNTIFS(HD_Seasons!$B:$B,$B15,HD_Seasons!$C:$C,"&gt;="&amp;EDATE(L$4,-3)+1,HD_Seasons!$C:$C,"&lt;="&amp;L$4)&gt;0,AVERAGEIFS(HD_Seasons!$D:$D,HD_Seasons!$B:$B,$B15,HD_Seasons!$C:$C,"&gt;="&amp;EDATE(L$4,-3)+1,HD_Seasons!$C:$C,"&lt;="&amp;L$4),K15)</f>
        <v>1996.66666666667</v>
      </c>
      <c r="M15" s="11" t="n">
        <f aca="false">IF(COUNTIFS(HD_Seasons!$B:$B,$B15,HD_Seasons!$C:$C,"&gt;="&amp;EDATE(M$4,-3)+1,HD_Seasons!$C:$C,"&lt;="&amp;M$4)&gt;0,AVERAGEIFS(HD_Seasons!$D:$D,HD_Seasons!$B:$B,$B15,HD_Seasons!$C:$C,"&gt;="&amp;EDATE(M$4,-3)+1,HD_Seasons!$C:$C,"&lt;="&amp;M$4),L15)</f>
        <v>2123.33333333333</v>
      </c>
      <c r="N15" s="11" t="n">
        <f aca="false">IF(COUNTIFS(HD_Seasons!$B:$B,$B15,HD_Seasons!$C:$C,"&gt;="&amp;EDATE(N$4,-3)+1,HD_Seasons!$C:$C,"&lt;="&amp;N$4)&gt;0,AVERAGEIFS(HD_Seasons!$D:$D,HD_Seasons!$B:$B,$B15,HD_Seasons!$C:$C,"&gt;="&amp;EDATE(N$4,-3)+1,HD_Seasons!$C:$C,"&lt;="&amp;N$4),M15)</f>
        <v>2192</v>
      </c>
      <c r="O15" s="11" t="n">
        <f aca="false">IF(COUNTIFS(HD_Seasons!$B:$B,$B15,HD_Seasons!$C:$C,"&gt;="&amp;EDATE(O$4,-3)+1,HD_Seasons!$C:$C,"&lt;="&amp;O$4)&gt;0,AVERAGEIFS(HD_Seasons!$D:$D,HD_Seasons!$B:$B,$B15,HD_Seasons!$C:$C,"&gt;="&amp;EDATE(O$4,-3)+1,HD_Seasons!$C:$C,"&lt;="&amp;O$4),N15)</f>
        <v>2192</v>
      </c>
      <c r="P15" s="11" t="n">
        <f aca="false">IF(COUNTIFS(HD_Seasons!$B:$B,$B15,HD_Seasons!$C:$C,"&gt;="&amp;EDATE(P$4,-3)+1,HD_Seasons!$C:$C,"&lt;="&amp;P$4)&gt;0,AVERAGEIFS(HD_Seasons!$D:$D,HD_Seasons!$B:$B,$B15,HD_Seasons!$C:$C,"&gt;="&amp;EDATE(P$4,-3)+1,HD_Seasons!$C:$C,"&lt;="&amp;P$4),O15)</f>
        <v>2247.5</v>
      </c>
      <c r="Q15" s="11" t="n">
        <f aca="false">IF(COUNTIFS(HD_Seasons!$B:$B,$B15,HD_Seasons!$C:$C,"&gt;="&amp;EDATE(Q$4,-3)+1,HD_Seasons!$C:$C,"&lt;="&amp;Q$4)&gt;0,AVERAGEIFS(HD_Seasons!$D:$D,HD_Seasons!$B:$B,$B15,HD_Seasons!$C:$C,"&gt;="&amp;EDATE(Q$4,-3)+1,HD_Seasons!$C:$C,"&lt;="&amp;Q$4),P15)</f>
        <v>2360</v>
      </c>
      <c r="R15" s="11" t="n">
        <f aca="false">IF(COUNTIFS(HD_Seasons!$B:$B,$B15,HD_Seasons!$C:$C,"&gt;="&amp;EDATE(R$4,-3)+1,HD_Seasons!$C:$C,"&lt;="&amp;R$4)&gt;0,AVERAGEIFS(HD_Seasons!$D:$D,HD_Seasons!$B:$B,$B15,HD_Seasons!$C:$C,"&gt;="&amp;EDATE(R$4,-3)+1,HD_Seasons!$C:$C,"&lt;="&amp;R$4),Q15)</f>
        <v>2388.33333333333</v>
      </c>
      <c r="S15" s="11" t="n">
        <f aca="false">IF(COUNTIFS(HD_Seasons!$B:$B,$B15,HD_Seasons!$C:$C,"&gt;="&amp;EDATE(S$4,-3)+1,HD_Seasons!$C:$C,"&lt;="&amp;S$4)&gt;0,AVERAGEIFS(HD_Seasons!$D:$D,HD_Seasons!$B:$B,$B15,HD_Seasons!$C:$C,"&gt;="&amp;EDATE(S$4,-3)+1,HD_Seasons!$C:$C,"&lt;="&amp;S$4),R15)</f>
        <v>2392.5</v>
      </c>
      <c r="T15" s="11" t="n">
        <f aca="false">IF(COUNTIFS(HD_Seasons!$B:$B,$B15,HD_Seasons!$C:$C,"&gt;="&amp;EDATE(T$4,-3)+1,HD_Seasons!$C:$C,"&lt;="&amp;T$4)&gt;0,AVERAGEIFS(HD_Seasons!$D:$D,HD_Seasons!$B:$B,$B15,HD_Seasons!$C:$C,"&gt;="&amp;EDATE(T$4,-3)+1,HD_Seasons!$C:$C,"&lt;="&amp;T$4),S15)</f>
        <v>2405</v>
      </c>
      <c r="U15" s="11" t="n">
        <f aca="false">IF(COUNTIFS(HD_Seasons!$B:$B,$B15,HD_Seasons!$C:$C,"&gt;="&amp;EDATE(U$4,-3)+1,HD_Seasons!$C:$C,"&lt;="&amp;U$4)&gt;0,AVERAGEIFS(HD_Seasons!$D:$D,HD_Seasons!$B:$B,$B15,HD_Seasons!$C:$C,"&gt;="&amp;EDATE(U$4,-3)+1,HD_Seasons!$C:$C,"&lt;="&amp;U$4),T15)</f>
        <v>2280</v>
      </c>
      <c r="V15" s="11" t="n">
        <f aca="false">IF(COUNTIFS(HD_Seasons!$B:$B,$B15,HD_Seasons!$C:$C,"&gt;="&amp;EDATE(V$4,-3)+1,HD_Seasons!$C:$C,"&lt;="&amp;V$4)&gt;0,AVERAGEIFS(HD_Seasons!$D:$D,HD_Seasons!$B:$B,$B15,HD_Seasons!$C:$C,"&gt;="&amp;EDATE(V$4,-3)+1,HD_Seasons!$C:$C,"&lt;="&amp;V$4),U15)</f>
        <v>2280</v>
      </c>
      <c r="W15" s="11" t="n">
        <f aca="false">IF(COUNTIFS(HD_Seasons!$B:$B,$B15,HD_Seasons!$C:$C,"&gt;="&amp;EDATE(W$4,-3)+1,HD_Seasons!$C:$C,"&lt;="&amp;W$4)&gt;0,AVERAGEIFS(HD_Seasons!$D:$D,HD_Seasons!$B:$B,$B15,HD_Seasons!$C:$C,"&gt;="&amp;EDATE(W$4,-3)+1,HD_Seasons!$C:$C,"&lt;="&amp;W$4),V15)</f>
        <v>2280</v>
      </c>
      <c r="X15" s="11" t="n">
        <f aca="false">IF(COUNTIFS(HD_Seasons!$B:$B,$B15,HD_Seasons!$C:$C,"&gt;="&amp;EDATE(X$4,-3)+1,HD_Seasons!$C:$C,"&lt;="&amp;X$4)&gt;0,AVERAGEIFS(HD_Seasons!$D:$D,HD_Seasons!$B:$B,$B15,HD_Seasons!$C:$C,"&gt;="&amp;EDATE(X$4,-3)+1,HD_Seasons!$C:$C,"&lt;="&amp;X$4),W15)</f>
        <v>1987</v>
      </c>
      <c r="Y15" s="11" t="n">
        <f aca="false">IF(COUNTIFS(HD_Seasons!$B:$B,$B15,HD_Seasons!$C:$C,"&gt;="&amp;EDATE(Y$4,-3)+1,HD_Seasons!$C:$C,"&lt;="&amp;Y$4)&gt;0,AVERAGEIFS(HD_Seasons!$D:$D,HD_Seasons!$B:$B,$B15,HD_Seasons!$C:$C,"&gt;="&amp;EDATE(Y$4,-3)+1,HD_Seasons!$C:$C,"&lt;="&amp;Y$4),X15)</f>
        <v>2172.57142857143</v>
      </c>
      <c r="Z15" s="11" t="n">
        <f aca="false">IF(COUNTIFS(HD_Seasons!$B:$B,$B15,HD_Seasons!$C:$C,"&gt;="&amp;EDATE(Z$4,-3)+1,HD_Seasons!$C:$C,"&lt;="&amp;Z$4)&gt;0,AVERAGEIFS(HD_Seasons!$D:$D,HD_Seasons!$B:$B,$B15,HD_Seasons!$C:$C,"&gt;="&amp;EDATE(Z$4,-3)+1,HD_Seasons!$C:$C,"&lt;="&amp;Z$4),Y15)</f>
        <v>2172.57142857143</v>
      </c>
      <c r="AA15" s="11" t="n">
        <f aca="false">IF(COUNTIFS(HD_Seasons!$B:$B,$B15,HD_Seasons!$C:$C,"&gt;="&amp;EDATE(AA$4,-3)+1,HD_Seasons!$C:$C,"&lt;="&amp;AA$4)&gt;0,AVERAGEIFS(HD_Seasons!$D:$D,HD_Seasons!$B:$B,$B15,HD_Seasons!$C:$C,"&gt;="&amp;EDATE(AA$4,-3)+1,HD_Seasons!$C:$C,"&lt;="&amp;AA$4),Z15)</f>
        <v>2246.8</v>
      </c>
      <c r="AB15" s="11" t="n">
        <f aca="false">IF(COUNTIFS(HD_Seasons!$B:$B,$B15,HD_Seasons!$C:$C,"&gt;="&amp;EDATE(AB$4,-3)+1,HD_Seasons!$C:$C,"&lt;="&amp;AB$4)&gt;0,AVERAGEIFS(HD_Seasons!$D:$D,HD_Seasons!$B:$B,$B15,HD_Seasons!$C:$C,"&gt;="&amp;EDATE(AB$4,-3)+1,HD_Seasons!$C:$C,"&lt;="&amp;AB$4),AA15)</f>
        <v>2554</v>
      </c>
      <c r="AC15" s="11" t="n">
        <f aca="false">IF(COUNTIFS(HD_Seasons!$B:$B,$B15,HD_Seasons!$C:$C,"&gt;="&amp;EDATE(AC$4,-3)+1,HD_Seasons!$C:$C,"&lt;="&amp;AC$4)&gt;0,AVERAGEIFS(HD_Seasons!$D:$D,HD_Seasons!$B:$B,$B15,HD_Seasons!$C:$C,"&gt;="&amp;EDATE(AC$4,-3)+1,HD_Seasons!$C:$C,"&lt;="&amp;AC$4),AB15)</f>
        <v>2554</v>
      </c>
      <c r="AD15" s="11" t="n">
        <f aca="false">IF(COUNTIFS(HD_Seasons!$B:$B,$B15,HD_Seasons!$C:$C,"&gt;="&amp;EDATE(AD$4,-3)+1,HD_Seasons!$C:$C,"&lt;="&amp;AD$4)&gt;0,AVERAGEIFS(HD_Seasons!$D:$D,HD_Seasons!$B:$B,$B15,HD_Seasons!$C:$C,"&gt;="&amp;EDATE(AD$4,-3)+1,HD_Seasons!$C:$C,"&lt;="&amp;AD$4),AC15)</f>
        <v>2554</v>
      </c>
    </row>
    <row r="16" customFormat="false" ht="15" hidden="false" customHeight="false" outlineLevel="0" collapsed="false">
      <c r="B16" s="3" t="s">
        <v>16</v>
      </c>
      <c r="E16" s="12" t="n">
        <f aca="false">SUMPRODUCT(E7:E15,$C7:$C15)/SUM($C7:$C15)</f>
        <v>1819.05527777778</v>
      </c>
      <c r="F16" s="12" t="n">
        <f aca="false">SUMPRODUCT(F7:F15,$C7:$C15)/SUM($C7:$C15)</f>
        <v>1831.59055555556</v>
      </c>
      <c r="G16" s="12" t="n">
        <f aca="false">SUMPRODUCT(G7:G15,$C7:$C15)/SUM($C7:$C15)</f>
        <v>1843.86589068826</v>
      </c>
      <c r="H16" s="12" t="n">
        <f aca="false">SUMPRODUCT(H7:H15,$C7:$C15)/SUM($C7:$C15)</f>
        <v>1837.88392857143</v>
      </c>
      <c r="I16" s="12" t="n">
        <f aca="false">SUMPRODUCT(I7:I15,$C7:$C15)/SUM($C7:$C15)</f>
        <v>1834.25433361751</v>
      </c>
      <c r="J16" s="12" t="n">
        <f aca="false">SUMPRODUCT(J7:J15,$C7:$C15)/SUM($C7:$C15)</f>
        <v>1729.60351107226</v>
      </c>
      <c r="K16" s="12" t="n">
        <f aca="false">SUMPRODUCT(K7:K15,$C7:$C15)/SUM($C7:$C15)</f>
        <v>1691.61111111111</v>
      </c>
      <c r="L16" s="12" t="n">
        <f aca="false">SUMPRODUCT(L7:L15,$C7:$C15)/SUM($C7:$C15)</f>
        <v>1685.9375</v>
      </c>
      <c r="M16" s="12" t="n">
        <f aca="false">SUMPRODUCT(M7:M15,$C7:$C15)/SUM($C7:$C15)</f>
        <v>1722.60892857143</v>
      </c>
      <c r="N16" s="12" t="n">
        <f aca="false">SUMPRODUCT(N7:N15,$C7:$C15)/SUM($C7:$C15)</f>
        <v>1763.53371407121</v>
      </c>
      <c r="O16" s="12" t="n">
        <f aca="false">SUMPRODUCT(O7:O15,$C7:$C15)/SUM($C7:$C15)</f>
        <v>1785.1849702381</v>
      </c>
      <c r="P16" s="12" t="n">
        <f aca="false">SUMPRODUCT(P7:P15,$C7:$C15)/SUM($C7:$C15)</f>
        <v>1800.70924272487</v>
      </c>
      <c r="Q16" s="12" t="n">
        <f aca="false">SUMPRODUCT(Q7:Q15,$C7:$C15)/SUM($C7:$C15)</f>
        <v>1828.86289173789</v>
      </c>
      <c r="R16" s="12" t="n">
        <f aca="false">SUMPRODUCT(R7:R15,$C7:$C15)/SUM($C7:$C15)</f>
        <v>1809.78350284836</v>
      </c>
      <c r="S16" s="12" t="n">
        <f aca="false">SUMPRODUCT(S7:S15,$C7:$C15)/SUM($C7:$C15)</f>
        <v>1781.16535547786</v>
      </c>
      <c r="T16" s="12" t="n">
        <f aca="false">SUMPRODUCT(T7:T15,$C7:$C15)/SUM($C7:$C15)</f>
        <v>1716.34907407407</v>
      </c>
      <c r="U16" s="12" t="n">
        <f aca="false">SUMPRODUCT(U7:U15,$C7:$C15)/SUM($C7:$C15)</f>
        <v>1679.63697089947</v>
      </c>
      <c r="V16" s="12" t="n">
        <f aca="false">SUMPRODUCT(V7:V15,$C7:$C15)/SUM($C7:$C15)</f>
        <v>1676.65393518519</v>
      </c>
      <c r="W16" s="12" t="n">
        <f aca="false">SUMPRODUCT(W7:W15,$C7:$C15)/SUM($C7:$C15)</f>
        <v>1698.00978535354</v>
      </c>
      <c r="X16" s="12" t="n">
        <f aca="false">SUMPRODUCT(X7:X15,$C7:$C15)/SUM($C7:$C15)</f>
        <v>1678.38017676768</v>
      </c>
      <c r="Y16" s="12" t="n">
        <f aca="false">SUMPRODUCT(Y7:Y15,$C7:$C15)/SUM($C7:$C15)</f>
        <v>1722.68074770928</v>
      </c>
      <c r="Z16" s="12" t="n">
        <f aca="false">SUMPRODUCT(Z7:Z15,$C7:$C15)/SUM($C7:$C15)</f>
        <v>1763.60901559454</v>
      </c>
      <c r="AA16" s="12" t="n">
        <f aca="false">SUMPRODUCT(AA7:AA15,$C7:$C15)/SUM($C7:$C15)</f>
        <v>1836.23011525512</v>
      </c>
      <c r="AB16" s="12" t="n">
        <f aca="false">SUMPRODUCT(AB7:AB15,$C7:$C15)/SUM($C7:$C15)</f>
        <v>1913.6579423436</v>
      </c>
      <c r="AC16" s="12" t="n">
        <f aca="false">SUMPRODUCT(AC7:AC15,$C7:$C15)/SUM($C7:$C15)</f>
        <v>1934.85596405229</v>
      </c>
      <c r="AD16" s="12" t="n">
        <f aca="false">SUMPRODUCT(AD7:AD15,$C7:$C15)/SUM($C7:$C15)</f>
        <v>1939.36375661376</v>
      </c>
    </row>
    <row r="18" customFormat="false" ht="15" hidden="false" customHeight="false" outlineLevel="0" collapsed="false">
      <c r="B18" s="6" t="s">
        <v>17</v>
      </c>
    </row>
    <row r="19" customFormat="false" ht="23.85" hidden="false" customHeight="false" outlineLevel="0" collapsed="false">
      <c r="B19" s="7" t="s">
        <v>4</v>
      </c>
      <c r="C19" s="7" t="s">
        <v>5</v>
      </c>
      <c r="D19" s="7" t="s">
        <v>18</v>
      </c>
    </row>
    <row r="20" customFormat="false" ht="15" hidden="false" customHeight="false" outlineLevel="0" collapsed="false">
      <c r="B20" s="8" t="s">
        <v>19</v>
      </c>
      <c r="C20" s="9" t="n">
        <v>106</v>
      </c>
      <c r="D20" s="10" t="n">
        <v>1431</v>
      </c>
      <c r="E20" s="11" t="n">
        <f aca="false">IF(COUNTIFS(HD_Prelude!$F:$F,$B20,HD_Prelude!$D:$D,"&gt;="&amp;EDATE(E$4,-3)+1,HD_Prelude!$D:$D,"&lt;="&amp;E$4)&gt;0,AVERAGEIFS(HD_Prelude!$E:$E,HD_Prelude!$F:$F,$B20,HD_Prelude!$D:$D,"&gt;="&amp;EDATE(E$4,-3)+1,HD_Prelude!$D:$D,"&lt;="&amp;E$4),$D20)</f>
        <v>1431</v>
      </c>
      <c r="F20" s="11" t="n">
        <f aca="false">IF(COUNTIFS(HD_Prelude!$F:$F,$B20,HD_Prelude!$D:$D,"&gt;="&amp;EDATE(F$4,-3)+1,HD_Prelude!$D:$D,"&lt;="&amp;F$4)&gt;0,AVERAGEIFS(HD_Prelude!$E:$E,HD_Prelude!$F:$F,$B20,HD_Prelude!$D:$D,"&gt;="&amp;EDATE(F$4,-3)+1,HD_Prelude!$D:$D,"&lt;="&amp;F$4),E20)</f>
        <v>1431</v>
      </c>
      <c r="G20" s="11" t="n">
        <f aca="false">IF(COUNTIFS(HD_Prelude!$F:$F,$B20,HD_Prelude!$D:$D,"&gt;="&amp;EDATE(G$4,-3)+1,HD_Prelude!$D:$D,"&lt;="&amp;G$4)&gt;0,AVERAGEIFS(HD_Prelude!$E:$E,HD_Prelude!$F:$F,$B20,HD_Prelude!$D:$D,"&gt;="&amp;EDATE(G$4,-3)+1,HD_Prelude!$D:$D,"&lt;="&amp;G$4),F20)</f>
        <v>1431</v>
      </c>
      <c r="H20" s="11" t="n">
        <f aca="false">IF(COUNTIFS(HD_Prelude!$F:$F,$B20,HD_Prelude!$D:$D,"&gt;="&amp;EDATE(H$4,-3)+1,HD_Prelude!$D:$D,"&lt;="&amp;H$4)&gt;0,AVERAGEIFS(HD_Prelude!$E:$E,HD_Prelude!$F:$F,$B20,HD_Prelude!$D:$D,"&gt;="&amp;EDATE(H$4,-3)+1,HD_Prelude!$D:$D,"&lt;="&amp;H$4),G20)</f>
        <v>1431</v>
      </c>
      <c r="I20" s="11" t="n">
        <f aca="false">IF(COUNTIFS(HD_Prelude!$F:$F,$B20,HD_Prelude!$D:$D,"&gt;="&amp;EDATE(I$4,-3)+1,HD_Prelude!$D:$D,"&lt;="&amp;I$4)&gt;0,AVERAGEIFS(HD_Prelude!$E:$E,HD_Prelude!$F:$F,$B20,HD_Prelude!$D:$D,"&gt;="&amp;EDATE(I$4,-3)+1,HD_Prelude!$D:$D,"&lt;="&amp;I$4),H20)</f>
        <v>1431</v>
      </c>
      <c r="J20" s="11" t="n">
        <f aca="false">IF(COUNTIFS(HD_Prelude!$F:$F,$B20,HD_Prelude!$D:$D,"&gt;="&amp;EDATE(J$4,-3)+1,HD_Prelude!$D:$D,"&lt;="&amp;J$4)&gt;0,AVERAGEIFS(HD_Prelude!$E:$E,HD_Prelude!$F:$F,$B20,HD_Prelude!$D:$D,"&gt;="&amp;EDATE(J$4,-3)+1,HD_Prelude!$D:$D,"&lt;="&amp;J$4),I20)</f>
        <v>1431</v>
      </c>
      <c r="K20" s="11" t="n">
        <f aca="false">IF(COUNTIFS(HD_Prelude!$F:$F,$B20,HD_Prelude!$D:$D,"&gt;="&amp;EDATE(K$4,-3)+1,HD_Prelude!$D:$D,"&lt;="&amp;K$4)&gt;0,AVERAGEIFS(HD_Prelude!$E:$E,HD_Prelude!$F:$F,$B20,HD_Prelude!$D:$D,"&gt;="&amp;EDATE(K$4,-3)+1,HD_Prelude!$D:$D,"&lt;="&amp;K$4),J20)</f>
        <v>1431</v>
      </c>
      <c r="L20" s="11" t="n">
        <f aca="false">IF(COUNTIFS(HD_Prelude!$F:$F,$B20,HD_Prelude!$D:$D,"&gt;="&amp;EDATE(L$4,-3)+1,HD_Prelude!$D:$D,"&lt;="&amp;L$4)&gt;0,AVERAGEIFS(HD_Prelude!$E:$E,HD_Prelude!$F:$F,$B20,HD_Prelude!$D:$D,"&gt;="&amp;EDATE(L$4,-3)+1,HD_Prelude!$D:$D,"&lt;="&amp;L$4),K20)</f>
        <v>1431</v>
      </c>
      <c r="M20" s="11" t="n">
        <f aca="false">IF(COUNTIFS(HD_Prelude!$F:$F,$B20,HD_Prelude!$D:$D,"&gt;="&amp;EDATE(M$4,-3)+1,HD_Prelude!$D:$D,"&lt;="&amp;M$4)&gt;0,AVERAGEIFS(HD_Prelude!$E:$E,HD_Prelude!$F:$F,$B20,HD_Prelude!$D:$D,"&gt;="&amp;EDATE(M$4,-3)+1,HD_Prelude!$D:$D,"&lt;="&amp;M$4),L20)</f>
        <v>1431</v>
      </c>
      <c r="N20" s="11" t="n">
        <f aca="false">IF(COUNTIFS(HD_Prelude!$F:$F,$B20,HD_Prelude!$D:$D,"&gt;="&amp;EDATE(N$4,-3)+1,HD_Prelude!$D:$D,"&lt;="&amp;N$4)&gt;0,AVERAGEIFS(HD_Prelude!$E:$E,HD_Prelude!$F:$F,$B20,HD_Prelude!$D:$D,"&gt;="&amp;EDATE(N$4,-3)+1,HD_Prelude!$D:$D,"&lt;="&amp;N$4),M20)</f>
        <v>1431</v>
      </c>
      <c r="O20" s="11" t="n">
        <f aca="false">IF(COUNTIFS(HD_Prelude!$F:$F,$B20,HD_Prelude!$D:$D,"&gt;="&amp;EDATE(O$4,-3)+1,HD_Prelude!$D:$D,"&lt;="&amp;O$4)&gt;0,AVERAGEIFS(HD_Prelude!$E:$E,HD_Prelude!$F:$F,$B20,HD_Prelude!$D:$D,"&gt;="&amp;EDATE(O$4,-3)+1,HD_Prelude!$D:$D,"&lt;="&amp;O$4),N20)</f>
        <v>1431</v>
      </c>
      <c r="P20" s="11" t="n">
        <f aca="false">IF(COUNTIFS(HD_Prelude!$F:$F,$B20,HD_Prelude!$D:$D,"&gt;="&amp;EDATE(P$4,-3)+1,HD_Prelude!$D:$D,"&lt;="&amp;P$4)&gt;0,AVERAGEIFS(HD_Prelude!$E:$E,HD_Prelude!$F:$F,$B20,HD_Prelude!$D:$D,"&gt;="&amp;EDATE(P$4,-3)+1,HD_Prelude!$D:$D,"&lt;="&amp;P$4),O20)</f>
        <v>1431</v>
      </c>
      <c r="Q20" s="11" t="n">
        <f aca="false">IF(COUNTIFS(HD_Prelude!$F:$F,$B20,HD_Prelude!$D:$D,"&gt;="&amp;EDATE(Q$4,-3)+1,HD_Prelude!$D:$D,"&lt;="&amp;Q$4)&gt;0,AVERAGEIFS(HD_Prelude!$E:$E,HD_Prelude!$F:$F,$B20,HD_Prelude!$D:$D,"&gt;="&amp;EDATE(Q$4,-3)+1,HD_Prelude!$D:$D,"&lt;="&amp;Q$4),P20)</f>
        <v>1431</v>
      </c>
      <c r="R20" s="11" t="n">
        <f aca="false">IF(COUNTIFS(HD_Prelude!$F:$F,$B20,HD_Prelude!$D:$D,"&gt;="&amp;EDATE(R$4,-3)+1,HD_Prelude!$D:$D,"&lt;="&amp;R$4)&gt;0,AVERAGEIFS(HD_Prelude!$E:$E,HD_Prelude!$F:$F,$B20,HD_Prelude!$D:$D,"&gt;="&amp;EDATE(R$4,-3)+1,HD_Prelude!$D:$D,"&lt;="&amp;R$4),Q20)</f>
        <v>1431</v>
      </c>
      <c r="S20" s="11" t="n">
        <f aca="false">IF(COUNTIFS(HD_Prelude!$F:$F,$B20,HD_Prelude!$D:$D,"&gt;="&amp;EDATE(S$4,-3)+1,HD_Prelude!$D:$D,"&lt;="&amp;S$4)&gt;0,AVERAGEIFS(HD_Prelude!$E:$E,HD_Prelude!$F:$F,$B20,HD_Prelude!$D:$D,"&gt;="&amp;EDATE(S$4,-3)+1,HD_Prelude!$D:$D,"&lt;="&amp;S$4),R20)</f>
        <v>1431</v>
      </c>
      <c r="T20" s="11" t="n">
        <f aca="false">IF(COUNTIFS(HD_Prelude!$F:$F,$B20,HD_Prelude!$D:$D,"&gt;="&amp;EDATE(T$4,-3)+1,HD_Prelude!$D:$D,"&lt;="&amp;T$4)&gt;0,AVERAGEIFS(HD_Prelude!$E:$E,HD_Prelude!$F:$F,$B20,HD_Prelude!$D:$D,"&gt;="&amp;EDATE(T$4,-3)+1,HD_Prelude!$D:$D,"&lt;="&amp;T$4),S20)</f>
        <v>1431</v>
      </c>
      <c r="U20" s="11" t="n">
        <f aca="false">IF(COUNTIFS(HD_Prelude!$F:$F,$B20,HD_Prelude!$D:$D,"&gt;="&amp;EDATE(U$4,-3)+1,HD_Prelude!$D:$D,"&lt;="&amp;U$4)&gt;0,AVERAGEIFS(HD_Prelude!$E:$E,HD_Prelude!$F:$F,$B20,HD_Prelude!$D:$D,"&gt;="&amp;EDATE(U$4,-3)+1,HD_Prelude!$D:$D,"&lt;="&amp;U$4),T20)</f>
        <v>1431</v>
      </c>
      <c r="V20" s="11" t="n">
        <f aca="false">IF(COUNTIFS(HD_Prelude!$F:$F,$B20,HD_Prelude!$D:$D,"&gt;="&amp;EDATE(V$4,-3)+1,HD_Prelude!$D:$D,"&lt;="&amp;V$4)&gt;0,AVERAGEIFS(HD_Prelude!$E:$E,HD_Prelude!$F:$F,$B20,HD_Prelude!$D:$D,"&gt;="&amp;EDATE(V$4,-3)+1,HD_Prelude!$D:$D,"&lt;="&amp;V$4),U20)</f>
        <v>1431</v>
      </c>
      <c r="W20" s="11" t="n">
        <f aca="false">IF(COUNTIFS(HD_Prelude!$F:$F,$B20,HD_Prelude!$D:$D,"&gt;="&amp;EDATE(W$4,-3)+1,HD_Prelude!$D:$D,"&lt;="&amp;W$4)&gt;0,AVERAGEIFS(HD_Prelude!$E:$E,HD_Prelude!$F:$F,$B20,HD_Prelude!$D:$D,"&gt;="&amp;EDATE(W$4,-3)+1,HD_Prelude!$D:$D,"&lt;="&amp;W$4),V20)</f>
        <v>1431</v>
      </c>
      <c r="X20" s="11" t="n">
        <f aca="false">IF(COUNTIFS(HD_Prelude!$F:$F,$B20,HD_Prelude!$D:$D,"&gt;="&amp;EDATE(X$4,-3)+1,HD_Prelude!$D:$D,"&lt;="&amp;X$4)&gt;0,AVERAGEIFS(HD_Prelude!$E:$E,HD_Prelude!$F:$F,$B20,HD_Prelude!$D:$D,"&gt;="&amp;EDATE(X$4,-3)+1,HD_Prelude!$D:$D,"&lt;="&amp;X$4),W20)</f>
        <v>1431</v>
      </c>
      <c r="Y20" s="11" t="n">
        <f aca="false">IF(COUNTIFS(HD_Prelude!$F:$F,$B20,HD_Prelude!$D:$D,"&gt;="&amp;EDATE(Y$4,-3)+1,HD_Prelude!$D:$D,"&lt;="&amp;Y$4)&gt;0,AVERAGEIFS(HD_Prelude!$E:$E,HD_Prelude!$F:$F,$B20,HD_Prelude!$D:$D,"&gt;="&amp;EDATE(Y$4,-3)+1,HD_Prelude!$D:$D,"&lt;="&amp;Y$4),X20)</f>
        <v>1431</v>
      </c>
      <c r="Z20" s="11" t="n">
        <f aca="false">IF(COUNTIFS(HD_Prelude!$F:$F,$B20,HD_Prelude!$D:$D,"&gt;="&amp;EDATE(Z$4,-3)+1,HD_Prelude!$D:$D,"&lt;="&amp;Z$4)&gt;0,AVERAGEIFS(HD_Prelude!$E:$E,HD_Prelude!$F:$F,$B20,HD_Prelude!$D:$D,"&gt;="&amp;EDATE(Z$4,-3)+1,HD_Prelude!$D:$D,"&lt;="&amp;Z$4),Y20)</f>
        <v>1431</v>
      </c>
      <c r="AA20" s="11" t="n">
        <f aca="false">IF(COUNTIFS(HD_Prelude!$F:$F,$B20,HD_Prelude!$D:$D,"&gt;="&amp;EDATE(AA$4,-3)+1,HD_Prelude!$D:$D,"&lt;="&amp;AA$4)&gt;0,AVERAGEIFS(HD_Prelude!$E:$E,HD_Prelude!$F:$F,$B20,HD_Prelude!$D:$D,"&gt;="&amp;EDATE(AA$4,-3)+1,HD_Prelude!$D:$D,"&lt;="&amp;AA$4),Z20)</f>
        <v>1431</v>
      </c>
      <c r="AB20" s="11" t="n">
        <f aca="false">IF(COUNTIFS(HD_Prelude!$F:$F,$B20,HD_Prelude!$D:$D,"&gt;="&amp;EDATE(AB$4,-3)+1,HD_Prelude!$D:$D,"&lt;="&amp;AB$4)&gt;0,AVERAGEIFS(HD_Prelude!$E:$E,HD_Prelude!$F:$F,$B20,HD_Prelude!$D:$D,"&gt;="&amp;EDATE(AB$4,-3)+1,HD_Prelude!$D:$D,"&lt;="&amp;AB$4),AA20)</f>
        <v>1431</v>
      </c>
      <c r="AC20" s="11" t="n">
        <f aca="false">IF(COUNTIFS(HD_Prelude!$F:$F,$B20,HD_Prelude!$D:$D,"&gt;="&amp;EDATE(AC$4,-3)+1,HD_Prelude!$D:$D,"&lt;="&amp;AC$4)&gt;0,AVERAGEIFS(HD_Prelude!$E:$E,HD_Prelude!$F:$F,$B20,HD_Prelude!$D:$D,"&gt;="&amp;EDATE(AC$4,-3)+1,HD_Prelude!$D:$D,"&lt;="&amp;AC$4),AB20)</f>
        <v>1431</v>
      </c>
      <c r="AD20" s="11" t="n">
        <f aca="false">IF(COUNTIFS(HD_Prelude!$F:$F,$B20,HD_Prelude!$D:$D,"&gt;="&amp;EDATE(AD$4,-3)+1,HD_Prelude!$D:$D,"&lt;="&amp;AD$4)&gt;0,AVERAGEIFS(HD_Prelude!$E:$E,HD_Prelude!$F:$F,$B20,HD_Prelude!$D:$D,"&gt;="&amp;EDATE(AD$4,-3)+1,HD_Prelude!$D:$D,"&lt;="&amp;AD$4),AC20)</f>
        <v>1431</v>
      </c>
    </row>
    <row r="21" customFormat="false" ht="15" hidden="false" customHeight="false" outlineLevel="0" collapsed="false">
      <c r="B21" s="8" t="s">
        <v>20</v>
      </c>
      <c r="C21" s="9" t="n">
        <v>100</v>
      </c>
      <c r="D21" s="10" t="n">
        <v>1733</v>
      </c>
      <c r="E21" s="11" t="n">
        <f aca="false">IF(COUNTIFS(HD_Prelude!$F:$F,$B21,HD_Prelude!$D:$D,"&gt;="&amp;EDATE(E$4,-3)+1,HD_Prelude!$D:$D,"&lt;="&amp;E$4)&gt;0,AVERAGEIFS(HD_Prelude!$E:$E,HD_Prelude!$F:$F,$B21,HD_Prelude!$D:$D,"&gt;="&amp;EDATE(E$4,-3)+1,HD_Prelude!$D:$D,"&lt;="&amp;E$4),$D21)</f>
        <v>1733</v>
      </c>
      <c r="F21" s="11" t="n">
        <f aca="false">IF(COUNTIFS(HD_Prelude!$F:$F,$B21,HD_Prelude!$D:$D,"&gt;="&amp;EDATE(F$4,-3)+1,HD_Prelude!$D:$D,"&lt;="&amp;F$4)&gt;0,AVERAGEIFS(HD_Prelude!$E:$E,HD_Prelude!$F:$F,$B21,HD_Prelude!$D:$D,"&gt;="&amp;EDATE(F$4,-3)+1,HD_Prelude!$D:$D,"&lt;="&amp;F$4),E21)</f>
        <v>1733</v>
      </c>
      <c r="G21" s="11" t="n">
        <f aca="false">IF(COUNTIFS(HD_Prelude!$F:$F,$B21,HD_Prelude!$D:$D,"&gt;="&amp;EDATE(G$4,-3)+1,HD_Prelude!$D:$D,"&lt;="&amp;G$4)&gt;0,AVERAGEIFS(HD_Prelude!$E:$E,HD_Prelude!$F:$F,$B21,HD_Prelude!$D:$D,"&gt;="&amp;EDATE(G$4,-3)+1,HD_Prelude!$D:$D,"&lt;="&amp;G$4),F21)</f>
        <v>1733</v>
      </c>
      <c r="H21" s="11" t="n">
        <f aca="false">IF(COUNTIFS(HD_Prelude!$F:$F,$B21,HD_Prelude!$D:$D,"&gt;="&amp;EDATE(H$4,-3)+1,HD_Prelude!$D:$D,"&lt;="&amp;H$4)&gt;0,AVERAGEIFS(HD_Prelude!$E:$E,HD_Prelude!$F:$F,$B21,HD_Prelude!$D:$D,"&gt;="&amp;EDATE(H$4,-3)+1,HD_Prelude!$D:$D,"&lt;="&amp;H$4),G21)</f>
        <v>1733</v>
      </c>
      <c r="I21" s="11" t="n">
        <f aca="false">IF(COUNTIFS(HD_Prelude!$F:$F,$B21,HD_Prelude!$D:$D,"&gt;="&amp;EDATE(I$4,-3)+1,HD_Prelude!$D:$D,"&lt;="&amp;I$4)&gt;0,AVERAGEIFS(HD_Prelude!$E:$E,HD_Prelude!$F:$F,$B21,HD_Prelude!$D:$D,"&gt;="&amp;EDATE(I$4,-3)+1,HD_Prelude!$D:$D,"&lt;="&amp;I$4),H21)</f>
        <v>1733</v>
      </c>
      <c r="J21" s="11" t="n">
        <f aca="false">IF(COUNTIFS(HD_Prelude!$F:$F,$B21,HD_Prelude!$D:$D,"&gt;="&amp;EDATE(J$4,-3)+1,HD_Prelude!$D:$D,"&lt;="&amp;J$4)&gt;0,AVERAGEIFS(HD_Prelude!$E:$E,HD_Prelude!$F:$F,$B21,HD_Prelude!$D:$D,"&gt;="&amp;EDATE(J$4,-3)+1,HD_Prelude!$D:$D,"&lt;="&amp;J$4),I21)</f>
        <v>1733</v>
      </c>
      <c r="K21" s="11" t="n">
        <f aca="false">IF(COUNTIFS(HD_Prelude!$F:$F,$B21,HD_Prelude!$D:$D,"&gt;="&amp;EDATE(K$4,-3)+1,HD_Prelude!$D:$D,"&lt;="&amp;K$4)&gt;0,AVERAGEIFS(HD_Prelude!$E:$E,HD_Prelude!$F:$F,$B21,HD_Prelude!$D:$D,"&gt;="&amp;EDATE(K$4,-3)+1,HD_Prelude!$D:$D,"&lt;="&amp;K$4),J21)</f>
        <v>1733</v>
      </c>
      <c r="L21" s="11" t="n">
        <f aca="false">IF(COUNTIFS(HD_Prelude!$F:$F,$B21,HD_Prelude!$D:$D,"&gt;="&amp;EDATE(L$4,-3)+1,HD_Prelude!$D:$D,"&lt;="&amp;L$4)&gt;0,AVERAGEIFS(HD_Prelude!$E:$E,HD_Prelude!$F:$F,$B21,HD_Prelude!$D:$D,"&gt;="&amp;EDATE(L$4,-3)+1,HD_Prelude!$D:$D,"&lt;="&amp;L$4),K21)</f>
        <v>1733</v>
      </c>
      <c r="M21" s="11" t="n">
        <f aca="false">IF(COUNTIFS(HD_Prelude!$F:$F,$B21,HD_Prelude!$D:$D,"&gt;="&amp;EDATE(M$4,-3)+1,HD_Prelude!$D:$D,"&lt;="&amp;M$4)&gt;0,AVERAGEIFS(HD_Prelude!$E:$E,HD_Prelude!$F:$F,$B21,HD_Prelude!$D:$D,"&gt;="&amp;EDATE(M$4,-3)+1,HD_Prelude!$D:$D,"&lt;="&amp;M$4),L21)</f>
        <v>1733</v>
      </c>
      <c r="N21" s="11" t="n">
        <f aca="false">IF(COUNTIFS(HD_Prelude!$F:$F,$B21,HD_Prelude!$D:$D,"&gt;="&amp;EDATE(N$4,-3)+1,HD_Prelude!$D:$D,"&lt;="&amp;N$4)&gt;0,AVERAGEIFS(HD_Prelude!$E:$E,HD_Prelude!$F:$F,$B21,HD_Prelude!$D:$D,"&gt;="&amp;EDATE(N$4,-3)+1,HD_Prelude!$D:$D,"&lt;="&amp;N$4),M21)</f>
        <v>1733</v>
      </c>
      <c r="O21" s="11" t="n">
        <f aca="false">IF(COUNTIFS(HD_Prelude!$F:$F,$B21,HD_Prelude!$D:$D,"&gt;="&amp;EDATE(O$4,-3)+1,HD_Prelude!$D:$D,"&lt;="&amp;O$4)&gt;0,AVERAGEIFS(HD_Prelude!$E:$E,HD_Prelude!$F:$F,$B21,HD_Prelude!$D:$D,"&gt;="&amp;EDATE(O$4,-3)+1,HD_Prelude!$D:$D,"&lt;="&amp;O$4),N21)</f>
        <v>1733</v>
      </c>
      <c r="P21" s="11" t="n">
        <f aca="false">IF(COUNTIFS(HD_Prelude!$F:$F,$B21,HD_Prelude!$D:$D,"&gt;="&amp;EDATE(P$4,-3)+1,HD_Prelude!$D:$D,"&lt;="&amp;P$4)&gt;0,AVERAGEIFS(HD_Prelude!$E:$E,HD_Prelude!$F:$F,$B21,HD_Prelude!$D:$D,"&gt;="&amp;EDATE(P$4,-3)+1,HD_Prelude!$D:$D,"&lt;="&amp;P$4),O21)</f>
        <v>1733</v>
      </c>
      <c r="Q21" s="11" t="n">
        <f aca="false">IF(COUNTIFS(HD_Prelude!$F:$F,$B21,HD_Prelude!$D:$D,"&gt;="&amp;EDATE(Q$4,-3)+1,HD_Prelude!$D:$D,"&lt;="&amp;Q$4)&gt;0,AVERAGEIFS(HD_Prelude!$E:$E,HD_Prelude!$F:$F,$B21,HD_Prelude!$D:$D,"&gt;="&amp;EDATE(Q$4,-3)+1,HD_Prelude!$D:$D,"&lt;="&amp;Q$4),P21)</f>
        <v>1733</v>
      </c>
      <c r="R21" s="11" t="n">
        <f aca="false">IF(COUNTIFS(HD_Prelude!$F:$F,$B21,HD_Prelude!$D:$D,"&gt;="&amp;EDATE(R$4,-3)+1,HD_Prelude!$D:$D,"&lt;="&amp;R$4)&gt;0,AVERAGEIFS(HD_Prelude!$E:$E,HD_Prelude!$F:$F,$B21,HD_Prelude!$D:$D,"&gt;="&amp;EDATE(R$4,-3)+1,HD_Prelude!$D:$D,"&lt;="&amp;R$4),Q21)</f>
        <v>1733</v>
      </c>
      <c r="S21" s="11" t="n">
        <f aca="false">IF(COUNTIFS(HD_Prelude!$F:$F,$B21,HD_Prelude!$D:$D,"&gt;="&amp;EDATE(S$4,-3)+1,HD_Prelude!$D:$D,"&lt;="&amp;S$4)&gt;0,AVERAGEIFS(HD_Prelude!$E:$E,HD_Prelude!$F:$F,$B21,HD_Prelude!$D:$D,"&gt;="&amp;EDATE(S$4,-3)+1,HD_Prelude!$D:$D,"&lt;="&amp;S$4),R21)</f>
        <v>1733</v>
      </c>
      <c r="T21" s="11" t="n">
        <f aca="false">IF(COUNTIFS(HD_Prelude!$F:$F,$B21,HD_Prelude!$D:$D,"&gt;="&amp;EDATE(T$4,-3)+1,HD_Prelude!$D:$D,"&lt;="&amp;T$4)&gt;0,AVERAGEIFS(HD_Prelude!$E:$E,HD_Prelude!$F:$F,$B21,HD_Prelude!$D:$D,"&gt;="&amp;EDATE(T$4,-3)+1,HD_Prelude!$D:$D,"&lt;="&amp;T$4),S21)</f>
        <v>1733</v>
      </c>
      <c r="U21" s="11" t="n">
        <f aca="false">IF(COUNTIFS(HD_Prelude!$F:$F,$B21,HD_Prelude!$D:$D,"&gt;="&amp;EDATE(U$4,-3)+1,HD_Prelude!$D:$D,"&lt;="&amp;U$4)&gt;0,AVERAGEIFS(HD_Prelude!$E:$E,HD_Prelude!$F:$F,$B21,HD_Prelude!$D:$D,"&gt;="&amp;EDATE(U$4,-3)+1,HD_Prelude!$D:$D,"&lt;="&amp;U$4),T21)</f>
        <v>1733</v>
      </c>
      <c r="V21" s="11" t="n">
        <f aca="false">IF(COUNTIFS(HD_Prelude!$F:$F,$B21,HD_Prelude!$D:$D,"&gt;="&amp;EDATE(V$4,-3)+1,HD_Prelude!$D:$D,"&lt;="&amp;V$4)&gt;0,AVERAGEIFS(HD_Prelude!$E:$E,HD_Prelude!$F:$F,$B21,HD_Prelude!$D:$D,"&gt;="&amp;EDATE(V$4,-3)+1,HD_Prelude!$D:$D,"&lt;="&amp;V$4),U21)</f>
        <v>1733</v>
      </c>
      <c r="W21" s="11" t="n">
        <f aca="false">IF(COUNTIFS(HD_Prelude!$F:$F,$B21,HD_Prelude!$D:$D,"&gt;="&amp;EDATE(W$4,-3)+1,HD_Prelude!$D:$D,"&lt;="&amp;W$4)&gt;0,AVERAGEIFS(HD_Prelude!$E:$E,HD_Prelude!$F:$F,$B21,HD_Prelude!$D:$D,"&gt;="&amp;EDATE(W$4,-3)+1,HD_Prelude!$D:$D,"&lt;="&amp;W$4),V21)</f>
        <v>1733</v>
      </c>
      <c r="X21" s="11" t="n">
        <f aca="false">IF(COUNTIFS(HD_Prelude!$F:$F,$B21,HD_Prelude!$D:$D,"&gt;="&amp;EDATE(X$4,-3)+1,HD_Prelude!$D:$D,"&lt;="&amp;X$4)&gt;0,AVERAGEIFS(HD_Prelude!$E:$E,HD_Prelude!$F:$F,$B21,HD_Prelude!$D:$D,"&gt;="&amp;EDATE(X$4,-3)+1,HD_Prelude!$D:$D,"&lt;="&amp;X$4),W21)</f>
        <v>1733</v>
      </c>
      <c r="Y21" s="11" t="n">
        <f aca="false">IF(COUNTIFS(HD_Prelude!$F:$F,$B21,HD_Prelude!$D:$D,"&gt;="&amp;EDATE(Y$4,-3)+1,HD_Prelude!$D:$D,"&lt;="&amp;Y$4)&gt;0,AVERAGEIFS(HD_Prelude!$E:$E,HD_Prelude!$F:$F,$B21,HD_Prelude!$D:$D,"&gt;="&amp;EDATE(Y$4,-3)+1,HD_Prelude!$D:$D,"&lt;="&amp;Y$4),X21)</f>
        <v>1733</v>
      </c>
      <c r="Z21" s="11" t="n">
        <f aca="false">IF(COUNTIFS(HD_Prelude!$F:$F,$B21,HD_Prelude!$D:$D,"&gt;="&amp;EDATE(Z$4,-3)+1,HD_Prelude!$D:$D,"&lt;="&amp;Z$4)&gt;0,AVERAGEIFS(HD_Prelude!$E:$E,HD_Prelude!$F:$F,$B21,HD_Prelude!$D:$D,"&gt;="&amp;EDATE(Z$4,-3)+1,HD_Prelude!$D:$D,"&lt;="&amp;Z$4),Y21)</f>
        <v>1733</v>
      </c>
      <c r="AA21" s="11" t="n">
        <f aca="false">IF(COUNTIFS(HD_Prelude!$F:$F,$B21,HD_Prelude!$D:$D,"&gt;="&amp;EDATE(AA$4,-3)+1,HD_Prelude!$D:$D,"&lt;="&amp;AA$4)&gt;0,AVERAGEIFS(HD_Prelude!$E:$E,HD_Prelude!$F:$F,$B21,HD_Prelude!$D:$D,"&gt;="&amp;EDATE(AA$4,-3)+1,HD_Prelude!$D:$D,"&lt;="&amp;AA$4),Z21)</f>
        <v>1733</v>
      </c>
      <c r="AB21" s="11" t="n">
        <f aca="false">IF(COUNTIFS(HD_Prelude!$F:$F,$B21,HD_Prelude!$D:$D,"&gt;="&amp;EDATE(AB$4,-3)+1,HD_Prelude!$D:$D,"&lt;="&amp;AB$4)&gt;0,AVERAGEIFS(HD_Prelude!$E:$E,HD_Prelude!$F:$F,$B21,HD_Prelude!$D:$D,"&gt;="&amp;EDATE(AB$4,-3)+1,HD_Prelude!$D:$D,"&lt;="&amp;AB$4),AA21)</f>
        <v>1733</v>
      </c>
      <c r="AC21" s="11" t="n">
        <f aca="false">IF(COUNTIFS(HD_Prelude!$F:$F,$B21,HD_Prelude!$D:$D,"&gt;="&amp;EDATE(AC$4,-3)+1,HD_Prelude!$D:$D,"&lt;="&amp;AC$4)&gt;0,AVERAGEIFS(HD_Prelude!$E:$E,HD_Prelude!$F:$F,$B21,HD_Prelude!$D:$D,"&gt;="&amp;EDATE(AC$4,-3)+1,HD_Prelude!$D:$D,"&lt;="&amp;AC$4),AB21)</f>
        <v>1733</v>
      </c>
      <c r="AD21" s="11" t="n">
        <f aca="false">IF(COUNTIFS(HD_Prelude!$F:$F,$B21,HD_Prelude!$D:$D,"&gt;="&amp;EDATE(AD$4,-3)+1,HD_Prelude!$D:$D,"&lt;="&amp;AD$4)&gt;0,AVERAGEIFS(HD_Prelude!$E:$E,HD_Prelude!$F:$F,$B21,HD_Prelude!$D:$D,"&gt;="&amp;EDATE(AD$4,-3)+1,HD_Prelude!$D:$D,"&lt;="&amp;AD$4),AC21)</f>
        <v>1733</v>
      </c>
    </row>
    <row r="22" customFormat="false" ht="15" hidden="false" customHeight="false" outlineLevel="0" collapsed="false">
      <c r="B22" s="8" t="s">
        <v>21</v>
      </c>
      <c r="C22" s="9" t="n">
        <v>30</v>
      </c>
      <c r="D22" s="10" t="n">
        <v>1767</v>
      </c>
      <c r="E22" s="11" t="n">
        <f aca="false">IF(COUNTIFS(HD_Prelude!$F:$F,$B22,HD_Prelude!$D:$D,"&gt;="&amp;EDATE(E$4,-3)+1,HD_Prelude!$D:$D,"&lt;="&amp;E$4)&gt;0,AVERAGEIFS(HD_Prelude!$E:$E,HD_Prelude!$F:$F,$B22,HD_Prelude!$D:$D,"&gt;="&amp;EDATE(E$4,-3)+1,HD_Prelude!$D:$D,"&lt;="&amp;E$4),$D22)</f>
        <v>1767</v>
      </c>
      <c r="F22" s="11" t="n">
        <f aca="false">IF(COUNTIFS(HD_Prelude!$F:$F,$B22,HD_Prelude!$D:$D,"&gt;="&amp;EDATE(F$4,-3)+1,HD_Prelude!$D:$D,"&lt;="&amp;F$4)&gt;0,AVERAGEIFS(HD_Prelude!$E:$E,HD_Prelude!$F:$F,$B22,HD_Prelude!$D:$D,"&gt;="&amp;EDATE(F$4,-3)+1,HD_Prelude!$D:$D,"&lt;="&amp;F$4),E22)</f>
        <v>1767</v>
      </c>
      <c r="G22" s="11" t="n">
        <f aca="false">IF(COUNTIFS(HD_Prelude!$F:$F,$B22,HD_Prelude!$D:$D,"&gt;="&amp;EDATE(G$4,-3)+1,HD_Prelude!$D:$D,"&lt;="&amp;G$4)&gt;0,AVERAGEIFS(HD_Prelude!$E:$E,HD_Prelude!$F:$F,$B22,HD_Prelude!$D:$D,"&gt;="&amp;EDATE(G$4,-3)+1,HD_Prelude!$D:$D,"&lt;="&amp;G$4),F22)</f>
        <v>1767</v>
      </c>
      <c r="H22" s="11" t="n">
        <f aca="false">IF(COUNTIFS(HD_Prelude!$F:$F,$B22,HD_Prelude!$D:$D,"&gt;="&amp;EDATE(H$4,-3)+1,HD_Prelude!$D:$D,"&lt;="&amp;H$4)&gt;0,AVERAGEIFS(HD_Prelude!$E:$E,HD_Prelude!$F:$F,$B22,HD_Prelude!$D:$D,"&gt;="&amp;EDATE(H$4,-3)+1,HD_Prelude!$D:$D,"&lt;="&amp;H$4),G22)</f>
        <v>1767</v>
      </c>
      <c r="I22" s="11" t="n">
        <f aca="false">IF(COUNTIFS(HD_Prelude!$F:$F,$B22,HD_Prelude!$D:$D,"&gt;="&amp;EDATE(I$4,-3)+1,HD_Prelude!$D:$D,"&lt;="&amp;I$4)&gt;0,AVERAGEIFS(HD_Prelude!$E:$E,HD_Prelude!$F:$F,$B22,HD_Prelude!$D:$D,"&gt;="&amp;EDATE(I$4,-3)+1,HD_Prelude!$D:$D,"&lt;="&amp;I$4),H22)</f>
        <v>1767</v>
      </c>
      <c r="J22" s="11" t="n">
        <f aca="false">IF(COUNTIFS(HD_Prelude!$F:$F,$B22,HD_Prelude!$D:$D,"&gt;="&amp;EDATE(J$4,-3)+1,HD_Prelude!$D:$D,"&lt;="&amp;J$4)&gt;0,AVERAGEIFS(HD_Prelude!$E:$E,HD_Prelude!$F:$F,$B22,HD_Prelude!$D:$D,"&gt;="&amp;EDATE(J$4,-3)+1,HD_Prelude!$D:$D,"&lt;="&amp;J$4),I22)</f>
        <v>1767</v>
      </c>
      <c r="K22" s="11" t="n">
        <f aca="false">IF(COUNTIFS(HD_Prelude!$F:$F,$B22,HD_Prelude!$D:$D,"&gt;="&amp;EDATE(K$4,-3)+1,HD_Prelude!$D:$D,"&lt;="&amp;K$4)&gt;0,AVERAGEIFS(HD_Prelude!$E:$E,HD_Prelude!$F:$F,$B22,HD_Prelude!$D:$D,"&gt;="&amp;EDATE(K$4,-3)+1,HD_Prelude!$D:$D,"&lt;="&amp;K$4),J22)</f>
        <v>1767</v>
      </c>
      <c r="L22" s="11" t="n">
        <f aca="false">IF(COUNTIFS(HD_Prelude!$F:$F,$B22,HD_Prelude!$D:$D,"&gt;="&amp;EDATE(L$4,-3)+1,HD_Prelude!$D:$D,"&lt;="&amp;L$4)&gt;0,AVERAGEIFS(HD_Prelude!$E:$E,HD_Prelude!$F:$F,$B22,HD_Prelude!$D:$D,"&gt;="&amp;EDATE(L$4,-3)+1,HD_Prelude!$D:$D,"&lt;="&amp;L$4),K22)</f>
        <v>1767</v>
      </c>
      <c r="M22" s="11" t="n">
        <f aca="false">IF(COUNTIFS(HD_Prelude!$F:$F,$B22,HD_Prelude!$D:$D,"&gt;="&amp;EDATE(M$4,-3)+1,HD_Prelude!$D:$D,"&lt;="&amp;M$4)&gt;0,AVERAGEIFS(HD_Prelude!$E:$E,HD_Prelude!$F:$F,$B22,HD_Prelude!$D:$D,"&gt;="&amp;EDATE(M$4,-3)+1,HD_Prelude!$D:$D,"&lt;="&amp;M$4),L22)</f>
        <v>1767</v>
      </c>
      <c r="N22" s="11" t="n">
        <f aca="false">IF(COUNTIFS(HD_Prelude!$F:$F,$B22,HD_Prelude!$D:$D,"&gt;="&amp;EDATE(N$4,-3)+1,HD_Prelude!$D:$D,"&lt;="&amp;N$4)&gt;0,AVERAGEIFS(HD_Prelude!$E:$E,HD_Prelude!$F:$F,$B22,HD_Prelude!$D:$D,"&gt;="&amp;EDATE(N$4,-3)+1,HD_Prelude!$D:$D,"&lt;="&amp;N$4),M22)</f>
        <v>1767</v>
      </c>
      <c r="O22" s="11" t="n">
        <f aca="false">IF(COUNTIFS(HD_Prelude!$F:$F,$B22,HD_Prelude!$D:$D,"&gt;="&amp;EDATE(O$4,-3)+1,HD_Prelude!$D:$D,"&lt;="&amp;O$4)&gt;0,AVERAGEIFS(HD_Prelude!$E:$E,HD_Prelude!$F:$F,$B22,HD_Prelude!$D:$D,"&gt;="&amp;EDATE(O$4,-3)+1,HD_Prelude!$D:$D,"&lt;="&amp;O$4),N22)</f>
        <v>1767</v>
      </c>
      <c r="P22" s="11" t="n">
        <f aca="false">IF(COUNTIFS(HD_Prelude!$F:$F,$B22,HD_Prelude!$D:$D,"&gt;="&amp;EDATE(P$4,-3)+1,HD_Prelude!$D:$D,"&lt;="&amp;P$4)&gt;0,AVERAGEIFS(HD_Prelude!$E:$E,HD_Prelude!$F:$F,$B22,HD_Prelude!$D:$D,"&gt;="&amp;EDATE(P$4,-3)+1,HD_Prelude!$D:$D,"&lt;="&amp;P$4),O22)</f>
        <v>1767</v>
      </c>
      <c r="Q22" s="11" t="n">
        <f aca="false">IF(COUNTIFS(HD_Prelude!$F:$F,$B22,HD_Prelude!$D:$D,"&gt;="&amp;EDATE(Q$4,-3)+1,HD_Prelude!$D:$D,"&lt;="&amp;Q$4)&gt;0,AVERAGEIFS(HD_Prelude!$E:$E,HD_Prelude!$F:$F,$B22,HD_Prelude!$D:$D,"&gt;="&amp;EDATE(Q$4,-3)+1,HD_Prelude!$D:$D,"&lt;="&amp;Q$4),P22)</f>
        <v>1767</v>
      </c>
      <c r="R22" s="11" t="n">
        <f aca="false">IF(COUNTIFS(HD_Prelude!$F:$F,$B22,HD_Prelude!$D:$D,"&gt;="&amp;EDATE(R$4,-3)+1,HD_Prelude!$D:$D,"&lt;="&amp;R$4)&gt;0,AVERAGEIFS(HD_Prelude!$E:$E,HD_Prelude!$F:$F,$B22,HD_Prelude!$D:$D,"&gt;="&amp;EDATE(R$4,-3)+1,HD_Prelude!$D:$D,"&lt;="&amp;R$4),Q22)</f>
        <v>1767</v>
      </c>
      <c r="S22" s="11" t="n">
        <f aca="false">IF(COUNTIFS(HD_Prelude!$F:$F,$B22,HD_Prelude!$D:$D,"&gt;="&amp;EDATE(S$4,-3)+1,HD_Prelude!$D:$D,"&lt;="&amp;S$4)&gt;0,AVERAGEIFS(HD_Prelude!$E:$E,HD_Prelude!$F:$F,$B22,HD_Prelude!$D:$D,"&gt;="&amp;EDATE(S$4,-3)+1,HD_Prelude!$D:$D,"&lt;="&amp;S$4),R22)</f>
        <v>1767</v>
      </c>
      <c r="T22" s="11" t="n">
        <f aca="false">IF(COUNTIFS(HD_Prelude!$F:$F,$B22,HD_Prelude!$D:$D,"&gt;="&amp;EDATE(T$4,-3)+1,HD_Prelude!$D:$D,"&lt;="&amp;T$4)&gt;0,AVERAGEIFS(HD_Prelude!$E:$E,HD_Prelude!$F:$F,$B22,HD_Prelude!$D:$D,"&gt;="&amp;EDATE(T$4,-3)+1,HD_Prelude!$D:$D,"&lt;="&amp;T$4),S22)</f>
        <v>1767</v>
      </c>
      <c r="U22" s="11" t="n">
        <f aca="false">IF(COUNTIFS(HD_Prelude!$F:$F,$B22,HD_Prelude!$D:$D,"&gt;="&amp;EDATE(U$4,-3)+1,HD_Prelude!$D:$D,"&lt;="&amp;U$4)&gt;0,AVERAGEIFS(HD_Prelude!$E:$E,HD_Prelude!$F:$F,$B22,HD_Prelude!$D:$D,"&gt;="&amp;EDATE(U$4,-3)+1,HD_Prelude!$D:$D,"&lt;="&amp;U$4),T22)</f>
        <v>1767</v>
      </c>
      <c r="V22" s="11" t="n">
        <f aca="false">IF(COUNTIFS(HD_Prelude!$F:$F,$B22,HD_Prelude!$D:$D,"&gt;="&amp;EDATE(V$4,-3)+1,HD_Prelude!$D:$D,"&lt;="&amp;V$4)&gt;0,AVERAGEIFS(HD_Prelude!$E:$E,HD_Prelude!$F:$F,$B22,HD_Prelude!$D:$D,"&gt;="&amp;EDATE(V$4,-3)+1,HD_Prelude!$D:$D,"&lt;="&amp;V$4),U22)</f>
        <v>1767</v>
      </c>
      <c r="W22" s="11" t="n">
        <f aca="false">IF(COUNTIFS(HD_Prelude!$F:$F,$B22,HD_Prelude!$D:$D,"&gt;="&amp;EDATE(W$4,-3)+1,HD_Prelude!$D:$D,"&lt;="&amp;W$4)&gt;0,AVERAGEIFS(HD_Prelude!$E:$E,HD_Prelude!$F:$F,$B22,HD_Prelude!$D:$D,"&gt;="&amp;EDATE(W$4,-3)+1,HD_Prelude!$D:$D,"&lt;="&amp;W$4),V22)</f>
        <v>1767</v>
      </c>
      <c r="X22" s="11" t="n">
        <f aca="false">IF(COUNTIFS(HD_Prelude!$F:$F,$B22,HD_Prelude!$D:$D,"&gt;="&amp;EDATE(X$4,-3)+1,HD_Prelude!$D:$D,"&lt;="&amp;X$4)&gt;0,AVERAGEIFS(HD_Prelude!$E:$E,HD_Prelude!$F:$F,$B22,HD_Prelude!$D:$D,"&gt;="&amp;EDATE(X$4,-3)+1,HD_Prelude!$D:$D,"&lt;="&amp;X$4),W22)</f>
        <v>1767</v>
      </c>
      <c r="Y22" s="11" t="n">
        <f aca="false">IF(COUNTIFS(HD_Prelude!$F:$F,$B22,HD_Prelude!$D:$D,"&gt;="&amp;EDATE(Y$4,-3)+1,HD_Prelude!$D:$D,"&lt;="&amp;Y$4)&gt;0,AVERAGEIFS(HD_Prelude!$E:$E,HD_Prelude!$F:$F,$B22,HD_Prelude!$D:$D,"&gt;="&amp;EDATE(Y$4,-3)+1,HD_Prelude!$D:$D,"&lt;="&amp;Y$4),X22)</f>
        <v>1767</v>
      </c>
      <c r="Z22" s="11" t="n">
        <f aca="false">IF(COUNTIFS(HD_Prelude!$F:$F,$B22,HD_Prelude!$D:$D,"&gt;="&amp;EDATE(Z$4,-3)+1,HD_Prelude!$D:$D,"&lt;="&amp;Z$4)&gt;0,AVERAGEIFS(HD_Prelude!$E:$E,HD_Prelude!$F:$F,$B22,HD_Prelude!$D:$D,"&gt;="&amp;EDATE(Z$4,-3)+1,HD_Prelude!$D:$D,"&lt;="&amp;Z$4),Y22)</f>
        <v>1767</v>
      </c>
      <c r="AA22" s="11" t="n">
        <f aca="false">IF(COUNTIFS(HD_Prelude!$F:$F,$B22,HD_Prelude!$D:$D,"&gt;="&amp;EDATE(AA$4,-3)+1,HD_Prelude!$D:$D,"&lt;="&amp;AA$4)&gt;0,AVERAGEIFS(HD_Prelude!$E:$E,HD_Prelude!$F:$F,$B22,HD_Prelude!$D:$D,"&gt;="&amp;EDATE(AA$4,-3)+1,HD_Prelude!$D:$D,"&lt;="&amp;AA$4),Z22)</f>
        <v>1767</v>
      </c>
      <c r="AB22" s="11" t="n">
        <f aca="false">IF(COUNTIFS(HD_Prelude!$F:$F,$B22,HD_Prelude!$D:$D,"&gt;="&amp;EDATE(AB$4,-3)+1,HD_Prelude!$D:$D,"&lt;="&amp;AB$4)&gt;0,AVERAGEIFS(HD_Prelude!$E:$E,HD_Prelude!$F:$F,$B22,HD_Prelude!$D:$D,"&gt;="&amp;EDATE(AB$4,-3)+1,HD_Prelude!$D:$D,"&lt;="&amp;AB$4),AA22)</f>
        <v>1767</v>
      </c>
      <c r="AC22" s="11" t="n">
        <f aca="false">IF(COUNTIFS(HD_Prelude!$F:$F,$B22,HD_Prelude!$D:$D,"&gt;="&amp;EDATE(AC$4,-3)+1,HD_Prelude!$D:$D,"&lt;="&amp;AC$4)&gt;0,AVERAGEIFS(HD_Prelude!$E:$E,HD_Prelude!$F:$F,$B22,HD_Prelude!$D:$D,"&gt;="&amp;EDATE(AC$4,-3)+1,HD_Prelude!$D:$D,"&lt;="&amp;AC$4),AB22)</f>
        <v>1767</v>
      </c>
      <c r="AD22" s="11" t="n">
        <f aca="false">IF(COUNTIFS(HD_Prelude!$F:$F,$B22,HD_Prelude!$D:$D,"&gt;="&amp;EDATE(AD$4,-3)+1,HD_Prelude!$D:$D,"&lt;="&amp;AD$4)&gt;0,AVERAGEIFS(HD_Prelude!$E:$E,HD_Prelude!$F:$F,$B22,HD_Prelude!$D:$D,"&gt;="&amp;EDATE(AD$4,-3)+1,HD_Prelude!$D:$D,"&lt;="&amp;AD$4),AC22)</f>
        <v>1767</v>
      </c>
    </row>
    <row r="23" customFormat="false" ht="15" hidden="false" customHeight="false" outlineLevel="0" collapsed="false">
      <c r="B23" s="8" t="s">
        <v>22</v>
      </c>
      <c r="C23" s="9" t="n">
        <v>44</v>
      </c>
      <c r="D23" s="10" t="n">
        <v>1984</v>
      </c>
      <c r="E23" s="11" t="n">
        <f aca="false">IF(COUNTIFS(HD_Prelude!$F:$F,$B23,HD_Prelude!$D:$D,"&gt;="&amp;EDATE(E$4,-3)+1,HD_Prelude!$D:$D,"&lt;="&amp;E$4)&gt;0,AVERAGEIFS(HD_Prelude!$E:$E,HD_Prelude!$F:$F,$B23,HD_Prelude!$D:$D,"&gt;="&amp;EDATE(E$4,-3)+1,HD_Prelude!$D:$D,"&lt;="&amp;E$4),$D23)</f>
        <v>1984</v>
      </c>
      <c r="F23" s="11" t="n">
        <f aca="false">IF(COUNTIFS(HD_Prelude!$F:$F,$B23,HD_Prelude!$D:$D,"&gt;="&amp;EDATE(F$4,-3)+1,HD_Prelude!$D:$D,"&lt;="&amp;F$4)&gt;0,AVERAGEIFS(HD_Prelude!$E:$E,HD_Prelude!$F:$F,$B23,HD_Prelude!$D:$D,"&gt;="&amp;EDATE(F$4,-3)+1,HD_Prelude!$D:$D,"&lt;="&amp;F$4),E23)</f>
        <v>1984</v>
      </c>
      <c r="G23" s="11" t="n">
        <f aca="false">IF(COUNTIFS(HD_Prelude!$F:$F,$B23,HD_Prelude!$D:$D,"&gt;="&amp;EDATE(G$4,-3)+1,HD_Prelude!$D:$D,"&lt;="&amp;G$4)&gt;0,AVERAGEIFS(HD_Prelude!$E:$E,HD_Prelude!$F:$F,$B23,HD_Prelude!$D:$D,"&gt;="&amp;EDATE(G$4,-3)+1,HD_Prelude!$D:$D,"&lt;="&amp;G$4),F23)</f>
        <v>1984</v>
      </c>
      <c r="H23" s="11" t="n">
        <f aca="false">IF(COUNTIFS(HD_Prelude!$F:$F,$B23,HD_Prelude!$D:$D,"&gt;="&amp;EDATE(H$4,-3)+1,HD_Prelude!$D:$D,"&lt;="&amp;H$4)&gt;0,AVERAGEIFS(HD_Prelude!$E:$E,HD_Prelude!$F:$F,$B23,HD_Prelude!$D:$D,"&gt;="&amp;EDATE(H$4,-3)+1,HD_Prelude!$D:$D,"&lt;="&amp;H$4),G23)</f>
        <v>1984</v>
      </c>
      <c r="I23" s="11" t="n">
        <f aca="false">IF(COUNTIFS(HD_Prelude!$F:$F,$B23,HD_Prelude!$D:$D,"&gt;="&amp;EDATE(I$4,-3)+1,HD_Prelude!$D:$D,"&lt;="&amp;I$4)&gt;0,AVERAGEIFS(HD_Prelude!$E:$E,HD_Prelude!$F:$F,$B23,HD_Prelude!$D:$D,"&gt;="&amp;EDATE(I$4,-3)+1,HD_Prelude!$D:$D,"&lt;="&amp;I$4),H23)</f>
        <v>1984</v>
      </c>
      <c r="J23" s="11" t="n">
        <f aca="false">IF(COUNTIFS(HD_Prelude!$F:$F,$B23,HD_Prelude!$D:$D,"&gt;="&amp;EDATE(J$4,-3)+1,HD_Prelude!$D:$D,"&lt;="&amp;J$4)&gt;0,AVERAGEIFS(HD_Prelude!$E:$E,HD_Prelude!$F:$F,$B23,HD_Prelude!$D:$D,"&gt;="&amp;EDATE(J$4,-3)+1,HD_Prelude!$D:$D,"&lt;="&amp;J$4),I23)</f>
        <v>1984</v>
      </c>
      <c r="K23" s="11" t="n">
        <f aca="false">IF(COUNTIFS(HD_Prelude!$F:$F,$B23,HD_Prelude!$D:$D,"&gt;="&amp;EDATE(K$4,-3)+1,HD_Prelude!$D:$D,"&lt;="&amp;K$4)&gt;0,AVERAGEIFS(HD_Prelude!$E:$E,HD_Prelude!$F:$F,$B23,HD_Prelude!$D:$D,"&gt;="&amp;EDATE(K$4,-3)+1,HD_Prelude!$D:$D,"&lt;="&amp;K$4),J23)</f>
        <v>1984</v>
      </c>
      <c r="L23" s="11" t="n">
        <f aca="false">IF(COUNTIFS(HD_Prelude!$F:$F,$B23,HD_Prelude!$D:$D,"&gt;="&amp;EDATE(L$4,-3)+1,HD_Prelude!$D:$D,"&lt;="&amp;L$4)&gt;0,AVERAGEIFS(HD_Prelude!$E:$E,HD_Prelude!$F:$F,$B23,HD_Prelude!$D:$D,"&gt;="&amp;EDATE(L$4,-3)+1,HD_Prelude!$D:$D,"&lt;="&amp;L$4),K23)</f>
        <v>1984</v>
      </c>
      <c r="M23" s="11" t="n">
        <f aca="false">IF(COUNTIFS(HD_Prelude!$F:$F,$B23,HD_Prelude!$D:$D,"&gt;="&amp;EDATE(M$4,-3)+1,HD_Prelude!$D:$D,"&lt;="&amp;M$4)&gt;0,AVERAGEIFS(HD_Prelude!$E:$E,HD_Prelude!$F:$F,$B23,HD_Prelude!$D:$D,"&gt;="&amp;EDATE(M$4,-3)+1,HD_Prelude!$D:$D,"&lt;="&amp;M$4),L23)</f>
        <v>1984</v>
      </c>
      <c r="N23" s="11" t="n">
        <f aca="false">IF(COUNTIFS(HD_Prelude!$F:$F,$B23,HD_Prelude!$D:$D,"&gt;="&amp;EDATE(N$4,-3)+1,HD_Prelude!$D:$D,"&lt;="&amp;N$4)&gt;0,AVERAGEIFS(HD_Prelude!$E:$E,HD_Prelude!$F:$F,$B23,HD_Prelude!$D:$D,"&gt;="&amp;EDATE(N$4,-3)+1,HD_Prelude!$D:$D,"&lt;="&amp;N$4),M23)</f>
        <v>1984</v>
      </c>
      <c r="O23" s="11" t="n">
        <f aca="false">IF(COUNTIFS(HD_Prelude!$F:$F,$B23,HD_Prelude!$D:$D,"&gt;="&amp;EDATE(O$4,-3)+1,HD_Prelude!$D:$D,"&lt;="&amp;O$4)&gt;0,AVERAGEIFS(HD_Prelude!$E:$E,HD_Prelude!$F:$F,$B23,HD_Prelude!$D:$D,"&gt;="&amp;EDATE(O$4,-3)+1,HD_Prelude!$D:$D,"&lt;="&amp;O$4),N23)</f>
        <v>1984</v>
      </c>
      <c r="P23" s="11" t="n">
        <f aca="false">IF(COUNTIFS(HD_Prelude!$F:$F,$B23,HD_Prelude!$D:$D,"&gt;="&amp;EDATE(P$4,-3)+1,HD_Prelude!$D:$D,"&lt;="&amp;P$4)&gt;0,AVERAGEIFS(HD_Prelude!$E:$E,HD_Prelude!$F:$F,$B23,HD_Prelude!$D:$D,"&gt;="&amp;EDATE(P$4,-3)+1,HD_Prelude!$D:$D,"&lt;="&amp;P$4),O23)</f>
        <v>1984</v>
      </c>
      <c r="Q23" s="11" t="n">
        <f aca="false">IF(COUNTIFS(HD_Prelude!$F:$F,$B23,HD_Prelude!$D:$D,"&gt;="&amp;EDATE(Q$4,-3)+1,HD_Prelude!$D:$D,"&lt;="&amp;Q$4)&gt;0,AVERAGEIFS(HD_Prelude!$E:$E,HD_Prelude!$F:$F,$B23,HD_Prelude!$D:$D,"&gt;="&amp;EDATE(Q$4,-3)+1,HD_Prelude!$D:$D,"&lt;="&amp;Q$4),P23)</f>
        <v>1984</v>
      </c>
      <c r="R23" s="11" t="n">
        <f aca="false">IF(COUNTIFS(HD_Prelude!$F:$F,$B23,HD_Prelude!$D:$D,"&gt;="&amp;EDATE(R$4,-3)+1,HD_Prelude!$D:$D,"&lt;="&amp;R$4)&gt;0,AVERAGEIFS(HD_Prelude!$E:$E,HD_Prelude!$F:$F,$B23,HD_Prelude!$D:$D,"&gt;="&amp;EDATE(R$4,-3)+1,HD_Prelude!$D:$D,"&lt;="&amp;R$4),Q23)</f>
        <v>1984</v>
      </c>
      <c r="S23" s="11" t="n">
        <f aca="false">IF(COUNTIFS(HD_Prelude!$F:$F,$B23,HD_Prelude!$D:$D,"&gt;="&amp;EDATE(S$4,-3)+1,HD_Prelude!$D:$D,"&lt;="&amp;S$4)&gt;0,AVERAGEIFS(HD_Prelude!$E:$E,HD_Prelude!$F:$F,$B23,HD_Prelude!$D:$D,"&gt;="&amp;EDATE(S$4,-3)+1,HD_Prelude!$D:$D,"&lt;="&amp;S$4),R23)</f>
        <v>1984</v>
      </c>
      <c r="T23" s="11" t="n">
        <f aca="false">IF(COUNTIFS(HD_Prelude!$F:$F,$B23,HD_Prelude!$D:$D,"&gt;="&amp;EDATE(T$4,-3)+1,HD_Prelude!$D:$D,"&lt;="&amp;T$4)&gt;0,AVERAGEIFS(HD_Prelude!$E:$E,HD_Prelude!$F:$F,$B23,HD_Prelude!$D:$D,"&gt;="&amp;EDATE(T$4,-3)+1,HD_Prelude!$D:$D,"&lt;="&amp;T$4),S23)</f>
        <v>1984</v>
      </c>
      <c r="U23" s="11" t="n">
        <f aca="false">IF(COUNTIFS(HD_Prelude!$F:$F,$B23,HD_Prelude!$D:$D,"&gt;="&amp;EDATE(U$4,-3)+1,HD_Prelude!$D:$D,"&lt;="&amp;U$4)&gt;0,AVERAGEIFS(HD_Prelude!$E:$E,HD_Prelude!$F:$F,$B23,HD_Prelude!$D:$D,"&gt;="&amp;EDATE(U$4,-3)+1,HD_Prelude!$D:$D,"&lt;="&amp;U$4),T23)</f>
        <v>1984</v>
      </c>
      <c r="V23" s="11" t="n">
        <f aca="false">IF(COUNTIFS(HD_Prelude!$F:$F,$B23,HD_Prelude!$D:$D,"&gt;="&amp;EDATE(V$4,-3)+1,HD_Prelude!$D:$D,"&lt;="&amp;V$4)&gt;0,AVERAGEIFS(HD_Prelude!$E:$E,HD_Prelude!$F:$F,$B23,HD_Prelude!$D:$D,"&gt;="&amp;EDATE(V$4,-3)+1,HD_Prelude!$D:$D,"&lt;="&amp;V$4),U23)</f>
        <v>1984</v>
      </c>
      <c r="W23" s="11" t="n">
        <f aca="false">IF(COUNTIFS(HD_Prelude!$F:$F,$B23,HD_Prelude!$D:$D,"&gt;="&amp;EDATE(W$4,-3)+1,HD_Prelude!$D:$D,"&lt;="&amp;W$4)&gt;0,AVERAGEIFS(HD_Prelude!$E:$E,HD_Prelude!$F:$F,$B23,HD_Prelude!$D:$D,"&gt;="&amp;EDATE(W$4,-3)+1,HD_Prelude!$D:$D,"&lt;="&amp;W$4),V23)</f>
        <v>1984</v>
      </c>
      <c r="X23" s="11" t="n">
        <f aca="false">IF(COUNTIFS(HD_Prelude!$F:$F,$B23,HD_Prelude!$D:$D,"&gt;="&amp;EDATE(X$4,-3)+1,HD_Prelude!$D:$D,"&lt;="&amp;X$4)&gt;0,AVERAGEIFS(HD_Prelude!$E:$E,HD_Prelude!$F:$F,$B23,HD_Prelude!$D:$D,"&gt;="&amp;EDATE(X$4,-3)+1,HD_Prelude!$D:$D,"&lt;="&amp;X$4),W23)</f>
        <v>1984</v>
      </c>
      <c r="Y23" s="11" t="n">
        <f aca="false">IF(COUNTIFS(HD_Prelude!$F:$F,$B23,HD_Prelude!$D:$D,"&gt;="&amp;EDATE(Y$4,-3)+1,HD_Prelude!$D:$D,"&lt;="&amp;Y$4)&gt;0,AVERAGEIFS(HD_Prelude!$E:$E,HD_Prelude!$F:$F,$B23,HD_Prelude!$D:$D,"&gt;="&amp;EDATE(Y$4,-3)+1,HD_Prelude!$D:$D,"&lt;="&amp;Y$4),X23)</f>
        <v>1984</v>
      </c>
      <c r="Z23" s="11" t="n">
        <f aca="false">IF(COUNTIFS(HD_Prelude!$F:$F,$B23,HD_Prelude!$D:$D,"&gt;="&amp;EDATE(Z$4,-3)+1,HD_Prelude!$D:$D,"&lt;="&amp;Z$4)&gt;0,AVERAGEIFS(HD_Prelude!$E:$E,HD_Prelude!$F:$F,$B23,HD_Prelude!$D:$D,"&gt;="&amp;EDATE(Z$4,-3)+1,HD_Prelude!$D:$D,"&lt;="&amp;Z$4),Y23)</f>
        <v>1984</v>
      </c>
      <c r="AA23" s="11" t="n">
        <f aca="false">IF(COUNTIFS(HD_Prelude!$F:$F,$B23,HD_Prelude!$D:$D,"&gt;="&amp;EDATE(AA$4,-3)+1,HD_Prelude!$D:$D,"&lt;="&amp;AA$4)&gt;0,AVERAGEIFS(HD_Prelude!$E:$E,HD_Prelude!$F:$F,$B23,HD_Prelude!$D:$D,"&gt;="&amp;EDATE(AA$4,-3)+1,HD_Prelude!$D:$D,"&lt;="&amp;AA$4),Z23)</f>
        <v>1984</v>
      </c>
      <c r="AB23" s="11" t="n">
        <f aca="false">IF(COUNTIFS(HD_Prelude!$F:$F,$B23,HD_Prelude!$D:$D,"&gt;="&amp;EDATE(AB$4,-3)+1,HD_Prelude!$D:$D,"&lt;="&amp;AB$4)&gt;0,AVERAGEIFS(HD_Prelude!$E:$E,HD_Prelude!$F:$F,$B23,HD_Prelude!$D:$D,"&gt;="&amp;EDATE(AB$4,-3)+1,HD_Prelude!$D:$D,"&lt;="&amp;AB$4),AA23)</f>
        <v>1984</v>
      </c>
      <c r="AC23" s="11" t="n">
        <f aca="false">IF(COUNTIFS(HD_Prelude!$F:$F,$B23,HD_Prelude!$D:$D,"&gt;="&amp;EDATE(AC$4,-3)+1,HD_Prelude!$D:$D,"&lt;="&amp;AC$4)&gt;0,AVERAGEIFS(HD_Prelude!$E:$E,HD_Prelude!$F:$F,$B23,HD_Prelude!$D:$D,"&gt;="&amp;EDATE(AC$4,-3)+1,HD_Prelude!$D:$D,"&lt;="&amp;AC$4),AB23)</f>
        <v>1984</v>
      </c>
      <c r="AD23" s="11" t="n">
        <f aca="false">IF(COUNTIFS(HD_Prelude!$F:$F,$B23,HD_Prelude!$D:$D,"&gt;="&amp;EDATE(AD$4,-3)+1,HD_Prelude!$D:$D,"&lt;="&amp;AD$4)&gt;0,AVERAGEIFS(HD_Prelude!$E:$E,HD_Prelude!$F:$F,$B23,HD_Prelude!$D:$D,"&gt;="&amp;EDATE(AD$4,-3)+1,HD_Prelude!$D:$D,"&lt;="&amp;AD$4),AC23)</f>
        <v>1984</v>
      </c>
    </row>
    <row r="24" customFormat="false" ht="15" hidden="false" customHeight="false" outlineLevel="0" collapsed="false">
      <c r="B24" s="3" t="s">
        <v>23</v>
      </c>
      <c r="E24" s="12" t="n">
        <f aca="false">SUMPRODUCT(E20:E23,$C20:$C23)/SUM($C20:$C23)</f>
        <v>1661.75714285714</v>
      </c>
      <c r="F24" s="12" t="n">
        <f aca="false">SUMPRODUCT(F20:F23,$C20:$C23)/SUM($C20:$C23)</f>
        <v>1661.75714285714</v>
      </c>
      <c r="G24" s="12" t="n">
        <f aca="false">SUMPRODUCT(G20:G23,$C20:$C23)/SUM($C20:$C23)</f>
        <v>1661.75714285714</v>
      </c>
      <c r="H24" s="12" t="n">
        <f aca="false">SUMPRODUCT(H20:H23,$C20:$C23)/SUM($C20:$C23)</f>
        <v>1661.75714285714</v>
      </c>
      <c r="I24" s="12" t="n">
        <f aca="false">SUMPRODUCT(I20:I23,$C20:$C23)/SUM($C20:$C23)</f>
        <v>1661.75714285714</v>
      </c>
      <c r="J24" s="12" t="n">
        <f aca="false">SUMPRODUCT(J20:J23,$C20:$C23)/SUM($C20:$C23)</f>
        <v>1661.75714285714</v>
      </c>
      <c r="K24" s="12" t="n">
        <f aca="false">SUMPRODUCT(K20:K23,$C20:$C23)/SUM($C20:$C23)</f>
        <v>1661.75714285714</v>
      </c>
      <c r="L24" s="12" t="n">
        <f aca="false">SUMPRODUCT(L20:L23,$C20:$C23)/SUM($C20:$C23)</f>
        <v>1661.75714285714</v>
      </c>
      <c r="M24" s="12" t="n">
        <f aca="false">SUMPRODUCT(M20:M23,$C20:$C23)/SUM($C20:$C23)</f>
        <v>1661.75714285714</v>
      </c>
      <c r="N24" s="12" t="n">
        <f aca="false">SUMPRODUCT(N20:N23,$C20:$C23)/SUM($C20:$C23)</f>
        <v>1661.75714285714</v>
      </c>
      <c r="O24" s="12" t="n">
        <f aca="false">SUMPRODUCT(O20:O23,$C20:$C23)/SUM($C20:$C23)</f>
        <v>1661.75714285714</v>
      </c>
      <c r="P24" s="12" t="n">
        <f aca="false">SUMPRODUCT(P20:P23,$C20:$C23)/SUM($C20:$C23)</f>
        <v>1661.75714285714</v>
      </c>
      <c r="Q24" s="12" t="n">
        <f aca="false">SUMPRODUCT(Q20:Q23,$C20:$C23)/SUM($C20:$C23)</f>
        <v>1661.75714285714</v>
      </c>
      <c r="R24" s="12" t="n">
        <f aca="false">SUMPRODUCT(R20:R23,$C20:$C23)/SUM($C20:$C23)</f>
        <v>1661.75714285714</v>
      </c>
      <c r="S24" s="12" t="n">
        <f aca="false">SUMPRODUCT(S20:S23,$C20:$C23)/SUM($C20:$C23)</f>
        <v>1661.75714285714</v>
      </c>
      <c r="T24" s="12" t="n">
        <f aca="false">SUMPRODUCT(T20:T23,$C20:$C23)/SUM($C20:$C23)</f>
        <v>1661.75714285714</v>
      </c>
      <c r="U24" s="12" t="n">
        <f aca="false">SUMPRODUCT(U20:U23,$C20:$C23)/SUM($C20:$C23)</f>
        <v>1661.75714285714</v>
      </c>
      <c r="V24" s="12" t="n">
        <f aca="false">SUMPRODUCT(V20:V23,$C20:$C23)/SUM($C20:$C23)</f>
        <v>1661.75714285714</v>
      </c>
      <c r="W24" s="12" t="n">
        <f aca="false">SUMPRODUCT(W20:W23,$C20:$C23)/SUM($C20:$C23)</f>
        <v>1661.75714285714</v>
      </c>
      <c r="X24" s="12" t="n">
        <f aca="false">SUMPRODUCT(X20:X23,$C20:$C23)/SUM($C20:$C23)</f>
        <v>1661.75714285714</v>
      </c>
      <c r="Y24" s="12" t="n">
        <f aca="false">SUMPRODUCT(Y20:Y23,$C20:$C23)/SUM($C20:$C23)</f>
        <v>1661.75714285714</v>
      </c>
      <c r="Z24" s="12" t="n">
        <f aca="false">SUMPRODUCT(Z20:Z23,$C20:$C23)/SUM($C20:$C23)</f>
        <v>1661.75714285714</v>
      </c>
      <c r="AA24" s="12" t="n">
        <f aca="false">SUMPRODUCT(AA20:AA23,$C20:$C23)/SUM($C20:$C23)</f>
        <v>1661.75714285714</v>
      </c>
      <c r="AB24" s="12" t="n">
        <f aca="false">SUMPRODUCT(AB20:AB23,$C20:$C23)/SUM($C20:$C23)</f>
        <v>1661.75714285714</v>
      </c>
      <c r="AC24" s="12" t="n">
        <f aca="false">SUMPRODUCT(AC20:AC23,$C20:$C23)/SUM($C20:$C23)</f>
        <v>1661.75714285714</v>
      </c>
      <c r="AD24" s="12" t="n">
        <f aca="false">SUMPRODUCT(AD20:AD23,$C20:$C23)/SUM($C20:$C23)</f>
        <v>1661.75714285714</v>
      </c>
    </row>
    <row r="25" customFormat="false" ht="15" hidden="false" customHeight="false" outlineLevel="0" collapsed="false">
      <c r="B25" s="13" t="s">
        <v>24</v>
      </c>
      <c r="D25" s="14" t="n">
        <f aca="false">COUNT(HD_Prelude!$E3:$E802)</f>
        <v>0</v>
      </c>
    </row>
  </sheetData>
  <mergeCells count="1">
    <mergeCell ref="B2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6"/>
    <col collapsed="false" customWidth="true" hidden="false" outlineLevel="0" max="9" min="7" style="0" width="15"/>
    <col collapsed="false" customWidth="true" hidden="false" outlineLevel="0" max="10" min="10" style="0" width="46"/>
  </cols>
  <sheetData>
    <row r="2" customFormat="false" ht="16.15" hidden="false" customHeight="false" outlineLevel="0" collapsed="false">
      <c r="B2" s="1" t="s">
        <v>25</v>
      </c>
    </row>
    <row r="3" customFormat="false" ht="126.85" hidden="false" customHeight="false" outlineLevel="0" collapsed="false">
      <c r="B3" s="15" t="s">
        <v>26</v>
      </c>
    </row>
    <row r="5" customFormat="false" ht="23.85" hidden="false" customHeight="false" outlineLevel="0" collapsed="false">
      <c r="B5" s="7" t="s">
        <v>27</v>
      </c>
      <c r="C5" s="7" t="s">
        <v>28</v>
      </c>
      <c r="D5" s="7" t="s">
        <v>29</v>
      </c>
      <c r="E5" s="7" t="s">
        <v>30</v>
      </c>
      <c r="F5" s="7" t="s">
        <v>31</v>
      </c>
      <c r="G5" s="7" t="s">
        <v>32</v>
      </c>
      <c r="H5" s="7" t="s">
        <v>33</v>
      </c>
      <c r="I5" s="7" t="s">
        <v>34</v>
      </c>
    </row>
    <row r="6" customFormat="false" ht="15" hidden="false" customHeight="false" outlineLevel="0" collapsed="false">
      <c r="B6" s="16" t="n">
        <v>45504</v>
      </c>
      <c r="C6" s="17" t="n">
        <f aca="false">T90_Monthly!E16</f>
        <v>1819.05527777778</v>
      </c>
      <c r="F6" s="17" t="str">
        <f aca="false">IF(T90_Monthly!$D$25=0,"",T90_Monthly!E24)</f>
        <v/>
      </c>
    </row>
    <row r="7" customFormat="false" ht="15" hidden="false" customHeight="false" outlineLevel="0" collapsed="false">
      <c r="B7" s="16" t="n">
        <v>45535</v>
      </c>
      <c r="C7" s="17" t="n">
        <f aca="false">T90_Monthly!F16</f>
        <v>1831.59055555556</v>
      </c>
      <c r="F7" s="17" t="str">
        <f aca="false">IF(T90_Monthly!$D$25=0,"",T90_Monthly!F24)</f>
        <v/>
      </c>
    </row>
    <row r="8" customFormat="false" ht="15" hidden="false" customHeight="false" outlineLevel="0" collapsed="false">
      <c r="B8" s="16" t="n">
        <v>45565</v>
      </c>
      <c r="C8" s="17" t="n">
        <f aca="false">T90_Monthly!G16</f>
        <v>1843.86589068826</v>
      </c>
      <c r="F8" s="17" t="str">
        <f aca="false">IF(T90_Monthly!$D$25=0,"",T90_Monthly!G24)</f>
        <v/>
      </c>
    </row>
    <row r="9" customFormat="false" ht="15" hidden="false" customHeight="false" outlineLevel="0" collapsed="false">
      <c r="B9" s="16" t="n">
        <v>45596</v>
      </c>
      <c r="C9" s="17" t="n">
        <f aca="false">T90_Monthly!H16</f>
        <v>1837.88392857143</v>
      </c>
      <c r="F9" s="17" t="str">
        <f aca="false">IF(T90_Monthly!$D$25=0,"",T90_Monthly!H24)</f>
        <v/>
      </c>
    </row>
    <row r="10" customFormat="false" ht="15" hidden="false" customHeight="false" outlineLevel="0" collapsed="false">
      <c r="B10" s="16" t="n">
        <v>45626</v>
      </c>
      <c r="C10" s="17" t="n">
        <f aca="false">T90_Monthly!I16</f>
        <v>1834.25433361751</v>
      </c>
      <c r="F10" s="17" t="str">
        <f aca="false">IF(T90_Monthly!$D$25=0,"",T90_Monthly!I24)</f>
        <v/>
      </c>
    </row>
    <row r="11" customFormat="false" ht="15" hidden="false" customHeight="false" outlineLevel="0" collapsed="false">
      <c r="B11" s="16" t="n">
        <v>45657</v>
      </c>
      <c r="C11" s="17" t="n">
        <f aca="false">T90_Monthly!J16</f>
        <v>1729.60351107226</v>
      </c>
      <c r="F11" s="17" t="str">
        <f aca="false">IF(T90_Monthly!$D$25=0,"",T90_Monthly!J24)</f>
        <v/>
      </c>
    </row>
    <row r="12" customFormat="false" ht="15" hidden="false" customHeight="false" outlineLevel="0" collapsed="false">
      <c r="B12" s="16" t="n">
        <v>45688</v>
      </c>
      <c r="C12" s="17" t="n">
        <f aca="false">T90_Monthly!K16</f>
        <v>1691.61111111111</v>
      </c>
      <c r="F12" s="17" t="str">
        <f aca="false">IF(T90_Monthly!$D$25=0,"",T90_Monthly!K24)</f>
        <v/>
      </c>
    </row>
    <row r="13" customFormat="false" ht="15" hidden="false" customHeight="false" outlineLevel="0" collapsed="false">
      <c r="B13" s="16" t="n">
        <v>45716</v>
      </c>
      <c r="C13" s="17" t="n">
        <f aca="false">T90_Monthly!L16</f>
        <v>1685.9375</v>
      </c>
      <c r="F13" s="17" t="str">
        <f aca="false">IF(T90_Monthly!$D$25=0,"",T90_Monthly!L24)</f>
        <v/>
      </c>
    </row>
    <row r="14" customFormat="false" ht="15" hidden="false" customHeight="false" outlineLevel="0" collapsed="false">
      <c r="B14" s="16" t="n">
        <v>45747</v>
      </c>
      <c r="C14" s="17" t="n">
        <f aca="false">T90_Monthly!M16</f>
        <v>1722.60892857143</v>
      </c>
      <c r="F14" s="17" t="str">
        <f aca="false">IF(T90_Monthly!$D$25=0,"",T90_Monthly!M24)</f>
        <v/>
      </c>
    </row>
    <row r="15" customFormat="false" ht="15" hidden="false" customHeight="false" outlineLevel="0" collapsed="false">
      <c r="B15" s="16" t="n">
        <v>45777</v>
      </c>
      <c r="C15" s="17" t="n">
        <f aca="false">T90_Monthly!N16</f>
        <v>1763.53371407121</v>
      </c>
      <c r="F15" s="17" t="str">
        <f aca="false">IF(T90_Monthly!$D$25=0,"",T90_Monthly!N24)</f>
        <v/>
      </c>
    </row>
    <row r="16" customFormat="false" ht="15" hidden="false" customHeight="false" outlineLevel="0" collapsed="false">
      <c r="B16" s="16" t="n">
        <v>45808</v>
      </c>
      <c r="C16" s="17" t="n">
        <f aca="false">T90_Monthly!O16</f>
        <v>1785.1849702381</v>
      </c>
      <c r="F16" s="17" t="str">
        <f aca="false">IF(T90_Monthly!$D$25=0,"",T90_Monthly!O24)</f>
        <v/>
      </c>
    </row>
    <row r="17" customFormat="false" ht="15" hidden="false" customHeight="false" outlineLevel="0" collapsed="false">
      <c r="B17" s="16" t="n">
        <v>45838</v>
      </c>
      <c r="C17" s="17" t="n">
        <f aca="false">T90_Monthly!P16</f>
        <v>1800.70924272487</v>
      </c>
      <c r="F17" s="17" t="str">
        <f aca="false">IF(T90_Monthly!$D$25=0,"",T90_Monthly!P24)</f>
        <v/>
      </c>
    </row>
    <row r="18" customFormat="false" ht="15" hidden="false" customHeight="false" outlineLevel="0" collapsed="false">
      <c r="B18" s="16" t="n">
        <v>45869</v>
      </c>
      <c r="C18" s="17" t="n">
        <f aca="false">T90_Monthly!Q16</f>
        <v>1828.86289173789</v>
      </c>
      <c r="F18" s="17" t="str">
        <f aca="false">IF(T90_Monthly!$D$25=0,"",T90_Monthly!Q24)</f>
        <v/>
      </c>
    </row>
    <row r="19" customFormat="false" ht="15" hidden="false" customHeight="false" outlineLevel="0" collapsed="false">
      <c r="B19" s="16" t="n">
        <v>45900</v>
      </c>
      <c r="C19" s="17" t="n">
        <f aca="false">T90_Monthly!R16</f>
        <v>1809.78350284836</v>
      </c>
      <c r="F19" s="17" t="str">
        <f aca="false">IF(T90_Monthly!$D$25=0,"",T90_Monthly!R24)</f>
        <v/>
      </c>
    </row>
    <row r="20" customFormat="false" ht="15" hidden="false" customHeight="false" outlineLevel="0" collapsed="false">
      <c r="B20" s="16" t="n">
        <v>45930</v>
      </c>
      <c r="C20" s="17" t="n">
        <f aca="false">T90_Monthly!S16</f>
        <v>1781.16535547786</v>
      </c>
      <c r="F20" s="17" t="str">
        <f aca="false">IF(T90_Monthly!$D$25=0,"",T90_Monthly!S24)</f>
        <v/>
      </c>
    </row>
    <row r="21" customFormat="false" ht="15" hidden="false" customHeight="false" outlineLevel="0" collapsed="false">
      <c r="B21" s="16" t="n">
        <v>45961</v>
      </c>
      <c r="C21" s="17" t="n">
        <f aca="false">T90_Monthly!T16</f>
        <v>1716.34907407407</v>
      </c>
      <c r="F21" s="17" t="str">
        <f aca="false">IF(T90_Monthly!$D$25=0,"",T90_Monthly!T24)</f>
        <v/>
      </c>
    </row>
    <row r="22" customFormat="false" ht="15" hidden="false" customHeight="false" outlineLevel="0" collapsed="false">
      <c r="B22" s="16" t="n">
        <v>45991</v>
      </c>
      <c r="C22" s="17" t="n">
        <f aca="false">T90_Monthly!U16</f>
        <v>1679.63697089947</v>
      </c>
      <c r="F22" s="17" t="str">
        <f aca="false">IF(T90_Monthly!$D$25=0,"",T90_Monthly!U24)</f>
        <v/>
      </c>
    </row>
    <row r="23" customFormat="false" ht="15" hidden="false" customHeight="false" outlineLevel="0" collapsed="false">
      <c r="B23" s="16" t="n">
        <v>46022</v>
      </c>
      <c r="C23" s="17" t="n">
        <f aca="false">T90_Monthly!V16</f>
        <v>1676.65393518519</v>
      </c>
      <c r="F23" s="17" t="str">
        <f aca="false">IF(T90_Monthly!$D$25=0,"",T90_Monthly!V24)</f>
        <v/>
      </c>
    </row>
    <row r="24" customFormat="false" ht="15" hidden="false" customHeight="false" outlineLevel="0" collapsed="false">
      <c r="B24" s="16" t="n">
        <v>46037</v>
      </c>
      <c r="H24" s="10" t="n">
        <v>1668</v>
      </c>
    </row>
    <row r="25" customFormat="false" ht="15" hidden="false" customHeight="false" outlineLevel="0" collapsed="false">
      <c r="B25" s="16" t="n">
        <v>46053</v>
      </c>
      <c r="C25" s="17" t="n">
        <f aca="false">T90_Monthly!W16</f>
        <v>1698.00978535354</v>
      </c>
      <c r="F25" s="17" t="str">
        <f aca="false">IF(T90_Monthly!$D$25=0,"",T90_Monthly!W24)</f>
        <v/>
      </c>
    </row>
    <row r="26" customFormat="false" ht="15" hidden="false" customHeight="false" outlineLevel="0" collapsed="false">
      <c r="B26" s="16" t="n">
        <v>46068</v>
      </c>
      <c r="H26" s="10" t="n">
        <v>1670</v>
      </c>
    </row>
    <row r="27" customFormat="false" ht="15" hidden="false" customHeight="false" outlineLevel="0" collapsed="false">
      <c r="B27" s="16" t="n">
        <v>46081</v>
      </c>
      <c r="C27" s="17" t="n">
        <f aca="false">T90_Monthly!X16</f>
        <v>1678.38017676768</v>
      </c>
      <c r="F27" s="17" t="str">
        <f aca="false">IF(T90_Monthly!$D$25=0,"",T90_Monthly!X24)</f>
        <v/>
      </c>
    </row>
    <row r="28" customFormat="false" ht="15" hidden="false" customHeight="false" outlineLevel="0" collapsed="false">
      <c r="B28" s="16" t="n">
        <v>46096</v>
      </c>
      <c r="H28" s="10" t="n">
        <v>1672</v>
      </c>
    </row>
    <row r="29" customFormat="false" ht="15" hidden="false" customHeight="false" outlineLevel="0" collapsed="false">
      <c r="B29" s="16" t="n">
        <v>46112</v>
      </c>
      <c r="C29" s="17" t="n">
        <f aca="false">T90_Monthly!Y16</f>
        <v>1722.68074770928</v>
      </c>
      <c r="F29" s="17" t="str">
        <f aca="false">IF(T90_Monthly!$D$25=0,"",T90_Monthly!Y24)</f>
        <v/>
      </c>
    </row>
    <row r="30" customFormat="false" ht="15" hidden="false" customHeight="false" outlineLevel="0" collapsed="false">
      <c r="B30" s="16" t="n">
        <v>46127</v>
      </c>
      <c r="H30" s="10" t="n">
        <v>1675</v>
      </c>
    </row>
    <row r="31" customFormat="false" ht="15" hidden="false" customHeight="false" outlineLevel="0" collapsed="false">
      <c r="B31" s="16" t="n">
        <v>46142</v>
      </c>
      <c r="C31" s="17" t="n">
        <f aca="false">T90_Monthly!Z16</f>
        <v>1763.60901559454</v>
      </c>
      <c r="F31" s="17" t="str">
        <f aca="false">IF(T90_Monthly!$D$25=0,"",T90_Monthly!Z24)</f>
        <v/>
      </c>
    </row>
    <row r="32" customFormat="false" ht="15" hidden="false" customHeight="false" outlineLevel="0" collapsed="false">
      <c r="B32" s="16" t="n">
        <v>46157</v>
      </c>
      <c r="H32" s="10" t="n">
        <v>1675</v>
      </c>
    </row>
    <row r="33" customFormat="false" ht="15" hidden="false" customHeight="false" outlineLevel="0" collapsed="false">
      <c r="B33" s="16" t="n">
        <v>46173</v>
      </c>
      <c r="C33" s="17" t="n">
        <f aca="false">T90_Monthly!AA16</f>
        <v>1836.23011525512</v>
      </c>
      <c r="F33" s="17" t="str">
        <f aca="false">IF(T90_Monthly!$D$25=0,"",T90_Monthly!AA24)</f>
        <v/>
      </c>
    </row>
    <row r="34" customFormat="false" ht="15" hidden="false" customHeight="false" outlineLevel="0" collapsed="false">
      <c r="B34" s="16" t="n">
        <v>46188</v>
      </c>
      <c r="H34" s="10" t="n">
        <v>1682</v>
      </c>
    </row>
    <row r="35" customFormat="false" ht="15" hidden="false" customHeight="false" outlineLevel="0" collapsed="false">
      <c r="B35" s="16" t="n">
        <v>46203</v>
      </c>
      <c r="C35" s="17" t="n">
        <f aca="false">T90_Monthly!AB16</f>
        <v>1913.6579423436</v>
      </c>
      <c r="F35" s="17" t="str">
        <f aca="false">IF(T90_Monthly!$D$25=0,"",T90_Monthly!AB24)</f>
        <v/>
      </c>
    </row>
    <row r="36" customFormat="false" ht="15" hidden="false" customHeight="false" outlineLevel="0" collapsed="false">
      <c r="B36" s="16" t="n">
        <v>46204</v>
      </c>
      <c r="G36" s="10" t="n">
        <v>1668</v>
      </c>
    </row>
    <row r="37" customFormat="false" ht="15" hidden="false" customHeight="false" outlineLevel="0" collapsed="false">
      <c r="B37" s="16" t="n">
        <v>46218</v>
      </c>
      <c r="H37" s="10" t="n">
        <v>1684</v>
      </c>
    </row>
    <row r="38" customFormat="false" ht="15" hidden="false" customHeight="false" outlineLevel="0" collapsed="false">
      <c r="B38" s="16" t="n">
        <v>46234</v>
      </c>
      <c r="C38" s="17" t="n">
        <f aca="false">T90_Monthly!AC16</f>
        <v>1934.85596405229</v>
      </c>
      <c r="F38" s="17" t="str">
        <f aca="false">IF(T90_Monthly!$D$25=0,"",T90_Monthly!AC24)</f>
        <v/>
      </c>
    </row>
    <row r="39" customFormat="false" ht="15" hidden="false" customHeight="false" outlineLevel="0" collapsed="false">
      <c r="B39" s="16" t="n">
        <v>46238</v>
      </c>
      <c r="D39" s="10" t="n">
        <v>1885</v>
      </c>
      <c r="E39" s="17" t="n">
        <f aca="false">L5_New_Leases!D57</f>
        <v>1884.68611111111</v>
      </c>
    </row>
    <row r="40" customFormat="false" ht="15" hidden="false" customHeight="false" outlineLevel="0" collapsed="false">
      <c r="B40" s="16" t="n">
        <v>46247</v>
      </c>
      <c r="C40" s="17" t="n">
        <f aca="false">T90_Monthly!AD16</f>
        <v>1939.36375661376</v>
      </c>
      <c r="F40" s="17" t="str">
        <f aca="false">IF(T90_Monthly!$D$25=0,"",T90_Monthly!AD24)</f>
        <v/>
      </c>
      <c r="I40" s="17" t="n">
        <f aca="false">L5_New_Leases!D44</f>
        <v>1810.61857142857</v>
      </c>
    </row>
    <row r="41" customFormat="false" ht="15" hidden="false" customHeight="false" outlineLevel="0" collapsed="false">
      <c r="B41" s="16" t="n">
        <v>46569</v>
      </c>
      <c r="G41" s="10" t="n">
        <v>1745</v>
      </c>
    </row>
    <row r="42" customFormat="false" ht="15" hidden="false" customHeight="false" outlineLevel="0" collapsed="false">
      <c r="B42" s="16" t="n">
        <v>46692</v>
      </c>
      <c r="D42" s="10" t="n">
        <v>1960</v>
      </c>
    </row>
    <row r="43" customFormat="false" ht="15" hidden="false" customHeight="false" outlineLevel="0" collapsed="false">
      <c r="B43" s="16" t="n">
        <v>46935</v>
      </c>
      <c r="G43" s="10" t="n">
        <v>1808</v>
      </c>
    </row>
    <row r="44" customFormat="false" ht="15" hidden="false" customHeight="false" outlineLevel="0" collapsed="false">
      <c r="B44" s="16" t="n">
        <v>47058</v>
      </c>
      <c r="D44" s="10" t="n">
        <v>2038</v>
      </c>
    </row>
    <row r="45" customFormat="false" ht="15" hidden="false" customHeight="false" outlineLevel="0" collapsed="false">
      <c r="B45" s="16" t="n">
        <v>47300</v>
      </c>
      <c r="G45" s="10" t="n">
        <v>1883</v>
      </c>
    </row>
    <row r="46" customFormat="false" ht="15" hidden="false" customHeight="false" outlineLevel="0" collapsed="false">
      <c r="B46" s="16" t="n">
        <v>47423</v>
      </c>
      <c r="D46" s="10" t="n">
        <v>2110</v>
      </c>
    </row>
    <row r="47" customFormat="false" ht="15" hidden="false" customHeight="false" outlineLevel="0" collapsed="false">
      <c r="B47" s="16" t="n">
        <v>47665</v>
      </c>
      <c r="G47" s="10" t="n">
        <v>1952</v>
      </c>
    </row>
    <row r="48" customFormat="false" ht="15" hidden="false" customHeight="false" outlineLevel="0" collapsed="false">
      <c r="B48" s="16" t="n">
        <v>47788</v>
      </c>
      <c r="D48" s="10" t="n">
        <v>2184</v>
      </c>
    </row>
    <row r="49" customFormat="false" ht="15" hidden="false" customHeight="false" outlineLevel="0" collapsed="false">
      <c r="B49" s="16" t="n">
        <v>48153</v>
      </c>
      <c r="D49" s="10" t="n">
        <v>2249</v>
      </c>
    </row>
    <row r="51" customFormat="false" ht="15" hidden="false" customHeight="true" outlineLevel="0" collapsed="false">
      <c r="B51" s="2" t="s">
        <v>35</v>
      </c>
      <c r="C51" s="2"/>
      <c r="D51" s="2"/>
      <c r="E51" s="2"/>
      <c r="F51" s="2"/>
      <c r="G51" s="2"/>
      <c r="H51" s="2"/>
      <c r="I51" s="2"/>
      <c r="J51" s="2"/>
    </row>
    <row r="52" customFormat="false" ht="15" hidden="false" customHeight="false" outlineLevel="0" collapsed="false">
      <c r="B52" s="2"/>
      <c r="C52" s="2"/>
      <c r="D52" s="2"/>
      <c r="E52" s="2"/>
      <c r="F52" s="2"/>
      <c r="G52" s="2"/>
      <c r="H52" s="2"/>
      <c r="I52" s="2"/>
      <c r="J52" s="2"/>
    </row>
  </sheetData>
  <mergeCells count="1">
    <mergeCell ref="B51:J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14"/>
    <col collapsed="false" customWidth="true" hidden="false" outlineLevel="0" max="5" min="5" style="0" width="10"/>
    <col collapsed="false" customWidth="true" hidden="false" outlineLevel="0" max="6" min="6" style="0" width="8"/>
  </cols>
  <sheetData>
    <row r="1" customFormat="false" ht="15" hidden="false" customHeight="false" outlineLevel="0" collapsed="false"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H1" s="13" t="s">
        <v>41</v>
      </c>
    </row>
    <row r="2" customFormat="false" ht="15" hidden="false" customHeight="false" outlineLevel="0" collapsed="false">
      <c r="B2" s="18" t="s">
        <v>7</v>
      </c>
      <c r="C2" s="19" t="n">
        <v>45636</v>
      </c>
      <c r="D2" s="10" t="n">
        <v>1145</v>
      </c>
      <c r="E2" s="18" t="s">
        <v>42</v>
      </c>
      <c r="F2" s="9" t="n">
        <v>517</v>
      </c>
    </row>
    <row r="3" customFormat="false" ht="15" hidden="false" customHeight="false" outlineLevel="0" collapsed="false">
      <c r="B3" s="18" t="s">
        <v>7</v>
      </c>
      <c r="C3" s="19" t="n">
        <v>46067</v>
      </c>
      <c r="D3" s="10" t="n">
        <v>1275</v>
      </c>
      <c r="E3" s="18" t="s">
        <v>42</v>
      </c>
      <c r="F3" s="9" t="n">
        <v>517</v>
      </c>
    </row>
    <row r="4" customFormat="false" ht="15" hidden="false" customHeight="false" outlineLevel="0" collapsed="false">
      <c r="B4" s="18" t="s">
        <v>7</v>
      </c>
      <c r="C4" s="19" t="n">
        <v>45535</v>
      </c>
      <c r="D4" s="10" t="n">
        <v>1445</v>
      </c>
      <c r="E4" s="18" t="s">
        <v>43</v>
      </c>
      <c r="F4" s="9" t="n">
        <v>517</v>
      </c>
    </row>
    <row r="5" customFormat="false" ht="15" hidden="false" customHeight="false" outlineLevel="0" collapsed="false">
      <c r="B5" s="18" t="s">
        <v>7</v>
      </c>
      <c r="C5" s="19" t="n">
        <v>45675</v>
      </c>
      <c r="D5" s="10" t="n">
        <v>1295</v>
      </c>
      <c r="E5" s="18" t="s">
        <v>43</v>
      </c>
      <c r="F5" s="9" t="n">
        <v>517</v>
      </c>
    </row>
    <row r="6" customFormat="false" ht="15" hidden="false" customHeight="false" outlineLevel="0" collapsed="false">
      <c r="B6" s="18" t="s">
        <v>7</v>
      </c>
      <c r="C6" s="19" t="n">
        <v>45637</v>
      </c>
      <c r="D6" s="10" t="n">
        <v>1445</v>
      </c>
      <c r="E6" s="18" t="s">
        <v>44</v>
      </c>
      <c r="F6" s="9" t="n">
        <v>517</v>
      </c>
    </row>
    <row r="7" customFormat="false" ht="15" hidden="false" customHeight="false" outlineLevel="0" collapsed="false">
      <c r="B7" s="18" t="s">
        <v>7</v>
      </c>
      <c r="C7" s="19" t="n">
        <v>46060</v>
      </c>
      <c r="D7" s="10" t="n">
        <v>1299</v>
      </c>
      <c r="E7" s="18" t="s">
        <v>44</v>
      </c>
      <c r="F7" s="9" t="n">
        <v>517</v>
      </c>
    </row>
    <row r="8" customFormat="false" ht="15" hidden="false" customHeight="false" outlineLevel="0" collapsed="false">
      <c r="B8" s="18" t="s">
        <v>7</v>
      </c>
      <c r="C8" s="19" t="n">
        <v>45535</v>
      </c>
      <c r="D8" s="10" t="n">
        <v>1395</v>
      </c>
      <c r="E8" s="18" t="s">
        <v>45</v>
      </c>
      <c r="F8" s="9" t="n">
        <v>517</v>
      </c>
    </row>
    <row r="9" customFormat="false" ht="15" hidden="false" customHeight="false" outlineLevel="0" collapsed="false">
      <c r="B9" s="18" t="s">
        <v>7</v>
      </c>
      <c r="C9" s="19" t="n">
        <v>45699</v>
      </c>
      <c r="D9" s="10" t="n">
        <v>1320</v>
      </c>
      <c r="E9" s="18" t="s">
        <v>45</v>
      </c>
      <c r="F9" s="9" t="n">
        <v>517</v>
      </c>
    </row>
    <row r="10" customFormat="false" ht="15" hidden="false" customHeight="false" outlineLevel="0" collapsed="false">
      <c r="B10" s="18" t="s">
        <v>7</v>
      </c>
      <c r="C10" s="19" t="n">
        <v>46055</v>
      </c>
      <c r="D10" s="10" t="n">
        <v>1325</v>
      </c>
      <c r="E10" s="18" t="s">
        <v>45</v>
      </c>
      <c r="F10" s="9" t="n">
        <v>517</v>
      </c>
    </row>
    <row r="11" customFormat="false" ht="15" hidden="false" customHeight="false" outlineLevel="0" collapsed="false">
      <c r="B11" s="18" t="s">
        <v>7</v>
      </c>
      <c r="C11" s="19" t="n">
        <v>45827</v>
      </c>
      <c r="D11" s="10" t="n">
        <v>1530</v>
      </c>
      <c r="E11" s="18" t="s">
        <v>46</v>
      </c>
      <c r="F11" s="9" t="n">
        <v>517</v>
      </c>
    </row>
    <row r="12" customFormat="false" ht="15" hidden="false" customHeight="false" outlineLevel="0" collapsed="false">
      <c r="B12" s="18" t="s">
        <v>7</v>
      </c>
      <c r="C12" s="19" t="n">
        <v>46073</v>
      </c>
      <c r="D12" s="10" t="n">
        <v>1350</v>
      </c>
      <c r="E12" s="18" t="s">
        <v>46</v>
      </c>
      <c r="F12" s="9" t="n">
        <v>517</v>
      </c>
    </row>
    <row r="13" customFormat="false" ht="15" hidden="false" customHeight="false" outlineLevel="0" collapsed="false">
      <c r="B13" s="18" t="s">
        <v>7</v>
      </c>
      <c r="C13" s="19" t="n">
        <v>45513</v>
      </c>
      <c r="D13" s="10" t="n">
        <v>1395</v>
      </c>
      <c r="E13" s="18" t="s">
        <v>47</v>
      </c>
      <c r="F13" s="9" t="n">
        <v>517</v>
      </c>
    </row>
    <row r="14" customFormat="false" ht="15" hidden="false" customHeight="false" outlineLevel="0" collapsed="false">
      <c r="B14" s="18" t="s">
        <v>7</v>
      </c>
      <c r="C14" s="19" t="n">
        <v>45637</v>
      </c>
      <c r="D14" s="10" t="n">
        <v>1395</v>
      </c>
      <c r="E14" s="18" t="s">
        <v>48</v>
      </c>
      <c r="F14" s="9" t="n">
        <v>517</v>
      </c>
    </row>
    <row r="15" customFormat="false" ht="15" hidden="false" customHeight="false" outlineLevel="0" collapsed="false">
      <c r="B15" s="18" t="s">
        <v>7</v>
      </c>
      <c r="C15" s="19" t="n">
        <v>45744</v>
      </c>
      <c r="D15" s="10" t="n">
        <v>1420</v>
      </c>
      <c r="E15" s="18" t="s">
        <v>49</v>
      </c>
      <c r="F15" s="9" t="n">
        <v>517</v>
      </c>
    </row>
    <row r="16" customFormat="false" ht="15" hidden="false" customHeight="false" outlineLevel="0" collapsed="false">
      <c r="B16" s="18" t="s">
        <v>7</v>
      </c>
      <c r="C16" s="19" t="n">
        <v>45627</v>
      </c>
      <c r="D16" s="10" t="n">
        <v>1420</v>
      </c>
      <c r="E16" s="18" t="s">
        <v>50</v>
      </c>
      <c r="F16" s="9" t="n">
        <v>517</v>
      </c>
    </row>
    <row r="17" customFormat="false" ht="15" hidden="false" customHeight="false" outlineLevel="0" collapsed="false">
      <c r="B17" s="18" t="s">
        <v>7</v>
      </c>
      <c r="C17" s="19" t="n">
        <v>45771</v>
      </c>
      <c r="D17" s="10" t="n">
        <v>1445</v>
      </c>
      <c r="E17" s="18" t="s">
        <v>51</v>
      </c>
      <c r="F17" s="9" t="n">
        <v>517</v>
      </c>
    </row>
    <row r="18" customFormat="false" ht="15" hidden="false" customHeight="false" outlineLevel="0" collapsed="false">
      <c r="B18" s="18" t="s">
        <v>7</v>
      </c>
      <c r="C18" s="19" t="n">
        <v>45505</v>
      </c>
      <c r="D18" s="10" t="n">
        <v>1420</v>
      </c>
      <c r="E18" s="18" t="s">
        <v>52</v>
      </c>
      <c r="F18" s="9" t="n">
        <v>517</v>
      </c>
    </row>
    <row r="19" customFormat="false" ht="15" hidden="false" customHeight="false" outlineLevel="0" collapsed="false">
      <c r="B19" s="18" t="s">
        <v>7</v>
      </c>
      <c r="C19" s="19" t="n">
        <v>46127</v>
      </c>
      <c r="D19" s="10" t="n">
        <v>1530</v>
      </c>
      <c r="E19" s="18" t="s">
        <v>52</v>
      </c>
      <c r="F19" s="9" t="n">
        <v>517</v>
      </c>
    </row>
    <row r="20" customFormat="false" ht="15" hidden="false" customHeight="false" outlineLevel="0" collapsed="false">
      <c r="B20" s="18" t="s">
        <v>7</v>
      </c>
      <c r="C20" s="19" t="n">
        <v>45535</v>
      </c>
      <c r="D20" s="10" t="n">
        <v>1420</v>
      </c>
      <c r="E20" s="18" t="s">
        <v>53</v>
      </c>
      <c r="F20" s="9" t="n">
        <v>517</v>
      </c>
    </row>
    <row r="21" customFormat="false" ht="15" hidden="false" customHeight="false" outlineLevel="0" collapsed="false">
      <c r="B21" s="18" t="s">
        <v>7</v>
      </c>
      <c r="C21" s="19" t="n">
        <v>45791</v>
      </c>
      <c r="D21" s="10" t="n">
        <v>1530</v>
      </c>
      <c r="E21" s="18" t="s">
        <v>53</v>
      </c>
      <c r="F21" s="9" t="n">
        <v>517</v>
      </c>
    </row>
    <row r="22" customFormat="false" ht="15" hidden="false" customHeight="false" outlineLevel="0" collapsed="false">
      <c r="B22" s="18" t="s">
        <v>7</v>
      </c>
      <c r="C22" s="19" t="n">
        <v>46129</v>
      </c>
      <c r="D22" s="10" t="n">
        <v>1530</v>
      </c>
      <c r="E22" s="18" t="s">
        <v>53</v>
      </c>
      <c r="F22" s="9" t="n">
        <v>517</v>
      </c>
    </row>
    <row r="23" customFormat="false" ht="15" hidden="false" customHeight="false" outlineLevel="0" collapsed="false">
      <c r="B23" s="18" t="s">
        <v>7</v>
      </c>
      <c r="C23" s="19" t="n">
        <v>46059</v>
      </c>
      <c r="D23" s="10" t="n">
        <v>1299</v>
      </c>
      <c r="E23" s="18" t="s">
        <v>54</v>
      </c>
      <c r="F23" s="9" t="n">
        <v>517</v>
      </c>
    </row>
    <row r="24" customFormat="false" ht="15" hidden="false" customHeight="false" outlineLevel="0" collapsed="false">
      <c r="B24" s="18" t="s">
        <v>7</v>
      </c>
      <c r="C24" s="19" t="n">
        <v>46191</v>
      </c>
      <c r="D24" s="10" t="n">
        <v>1572</v>
      </c>
      <c r="E24" s="18" t="s">
        <v>54</v>
      </c>
      <c r="F24" s="9" t="n">
        <v>517</v>
      </c>
    </row>
    <row r="25" customFormat="false" ht="15" hidden="false" customHeight="false" outlineLevel="0" collapsed="false">
      <c r="B25" s="18" t="s">
        <v>7</v>
      </c>
      <c r="C25" s="19" t="n">
        <v>45973</v>
      </c>
      <c r="D25" s="10" t="n">
        <v>1325</v>
      </c>
      <c r="E25" s="18" t="s">
        <v>55</v>
      </c>
      <c r="F25" s="9" t="n">
        <v>517</v>
      </c>
    </row>
    <row r="26" customFormat="false" ht="15" hidden="false" customHeight="false" outlineLevel="0" collapsed="false">
      <c r="B26" s="18" t="s">
        <v>7</v>
      </c>
      <c r="C26" s="19" t="n">
        <v>45806</v>
      </c>
      <c r="D26" s="10" t="n">
        <v>1530</v>
      </c>
      <c r="E26" s="18" t="s">
        <v>56</v>
      </c>
      <c r="F26" s="9" t="n">
        <v>517</v>
      </c>
    </row>
    <row r="27" customFormat="false" ht="15" hidden="false" customHeight="false" outlineLevel="0" collapsed="false">
      <c r="B27" s="18" t="s">
        <v>7</v>
      </c>
      <c r="C27" s="19" t="n">
        <v>46236</v>
      </c>
      <c r="D27" s="10" t="n">
        <v>1622</v>
      </c>
      <c r="E27" s="18" t="s">
        <v>56</v>
      </c>
      <c r="F27" s="9" t="n">
        <v>517</v>
      </c>
    </row>
    <row r="28" customFormat="false" ht="15" hidden="false" customHeight="false" outlineLevel="0" collapsed="false">
      <c r="B28" s="18" t="s">
        <v>8</v>
      </c>
      <c r="C28" s="19" t="n">
        <v>45650</v>
      </c>
      <c r="D28" s="10" t="n">
        <v>1415</v>
      </c>
      <c r="E28" s="18" t="s">
        <v>57</v>
      </c>
      <c r="F28" s="9" t="n">
        <v>693</v>
      </c>
    </row>
    <row r="29" customFormat="false" ht="15" hidden="false" customHeight="false" outlineLevel="0" collapsed="false">
      <c r="B29" s="18" t="s">
        <v>8</v>
      </c>
      <c r="C29" s="19" t="n">
        <v>45945</v>
      </c>
      <c r="D29" s="10" t="n">
        <v>1349</v>
      </c>
      <c r="E29" s="18" t="s">
        <v>57</v>
      </c>
      <c r="F29" s="9" t="n">
        <v>693</v>
      </c>
    </row>
    <row r="30" customFormat="false" ht="15" hidden="false" customHeight="false" outlineLevel="0" collapsed="false">
      <c r="B30" s="18" t="s">
        <v>8</v>
      </c>
      <c r="C30" s="19" t="n">
        <v>45931</v>
      </c>
      <c r="D30" s="10" t="n">
        <v>1349</v>
      </c>
      <c r="E30" s="18" t="s">
        <v>58</v>
      </c>
      <c r="F30" s="9" t="n">
        <v>693</v>
      </c>
    </row>
    <row r="31" customFormat="false" ht="15" hidden="false" customHeight="false" outlineLevel="0" collapsed="false">
      <c r="B31" s="18" t="s">
        <v>8</v>
      </c>
      <c r="C31" s="19" t="n">
        <v>45968</v>
      </c>
      <c r="D31" s="10" t="n">
        <v>1349</v>
      </c>
      <c r="E31" s="18" t="s">
        <v>59</v>
      </c>
      <c r="F31" s="9" t="n">
        <v>693</v>
      </c>
    </row>
    <row r="32" customFormat="false" ht="15" hidden="false" customHeight="false" outlineLevel="0" collapsed="false">
      <c r="B32" s="18" t="s">
        <v>8</v>
      </c>
      <c r="C32" s="19" t="n">
        <v>45556</v>
      </c>
      <c r="D32" s="10" t="n">
        <v>1575</v>
      </c>
      <c r="E32" s="18" t="s">
        <v>60</v>
      </c>
      <c r="F32" s="9" t="n">
        <v>693</v>
      </c>
    </row>
    <row r="33" customFormat="false" ht="15" hidden="false" customHeight="false" outlineLevel="0" collapsed="false">
      <c r="B33" s="18" t="s">
        <v>8</v>
      </c>
      <c r="C33" s="19" t="n">
        <v>45935</v>
      </c>
      <c r="D33" s="10" t="n">
        <v>1349</v>
      </c>
      <c r="E33" s="18" t="s">
        <v>60</v>
      </c>
      <c r="F33" s="9" t="n">
        <v>693</v>
      </c>
    </row>
    <row r="34" customFormat="false" ht="15" hidden="false" customHeight="false" outlineLevel="0" collapsed="false">
      <c r="B34" s="18" t="s">
        <v>8</v>
      </c>
      <c r="C34" s="19" t="n">
        <v>45937</v>
      </c>
      <c r="D34" s="10" t="n">
        <v>1349</v>
      </c>
      <c r="E34" s="18" t="s">
        <v>61</v>
      </c>
      <c r="F34" s="9" t="n">
        <v>693</v>
      </c>
    </row>
    <row r="35" customFormat="false" ht="15" hidden="false" customHeight="false" outlineLevel="0" collapsed="false">
      <c r="B35" s="18" t="s">
        <v>8</v>
      </c>
      <c r="C35" s="19" t="n">
        <v>45972</v>
      </c>
      <c r="D35" s="10" t="n">
        <v>1349</v>
      </c>
      <c r="E35" s="18" t="s">
        <v>62</v>
      </c>
      <c r="F35" s="9" t="n">
        <v>693</v>
      </c>
    </row>
    <row r="36" customFormat="false" ht="15" hidden="false" customHeight="false" outlineLevel="0" collapsed="false">
      <c r="B36" s="18" t="s">
        <v>8</v>
      </c>
      <c r="C36" s="19" t="n">
        <v>45555</v>
      </c>
      <c r="D36" s="10" t="n">
        <v>1600</v>
      </c>
      <c r="E36" s="18" t="s">
        <v>63</v>
      </c>
      <c r="F36" s="9" t="n">
        <v>693</v>
      </c>
    </row>
    <row r="37" customFormat="false" ht="15" hidden="false" customHeight="false" outlineLevel="0" collapsed="false">
      <c r="B37" s="18" t="s">
        <v>8</v>
      </c>
      <c r="C37" s="19" t="n">
        <v>45957</v>
      </c>
      <c r="D37" s="10" t="n">
        <v>1349</v>
      </c>
      <c r="E37" s="18" t="s">
        <v>63</v>
      </c>
      <c r="F37" s="9" t="n">
        <v>693</v>
      </c>
    </row>
    <row r="38" customFormat="false" ht="15" hidden="false" customHeight="false" outlineLevel="0" collapsed="false">
      <c r="B38" s="18" t="s">
        <v>8</v>
      </c>
      <c r="C38" s="19" t="n">
        <v>46022</v>
      </c>
      <c r="D38" s="10" t="n">
        <v>1349</v>
      </c>
      <c r="E38" s="18" t="s">
        <v>64</v>
      </c>
      <c r="F38" s="9" t="n">
        <v>693</v>
      </c>
    </row>
    <row r="39" customFormat="false" ht="15" hidden="false" customHeight="false" outlineLevel="0" collapsed="false">
      <c r="B39" s="18" t="s">
        <v>8</v>
      </c>
      <c r="C39" s="19" t="n">
        <v>45535</v>
      </c>
      <c r="D39" s="10" t="n">
        <v>1610</v>
      </c>
      <c r="E39" s="18" t="s">
        <v>65</v>
      </c>
      <c r="F39" s="9" t="n">
        <v>693</v>
      </c>
    </row>
    <row r="40" customFormat="false" ht="15" hidden="false" customHeight="false" outlineLevel="0" collapsed="false">
      <c r="B40" s="18" t="s">
        <v>8</v>
      </c>
      <c r="C40" s="19" t="n">
        <v>45940</v>
      </c>
      <c r="D40" s="10" t="n">
        <v>1349</v>
      </c>
      <c r="E40" s="18" t="s">
        <v>65</v>
      </c>
      <c r="F40" s="9" t="n">
        <v>693</v>
      </c>
    </row>
    <row r="41" customFormat="false" ht="15" hidden="false" customHeight="false" outlineLevel="0" collapsed="false">
      <c r="B41" s="18" t="s">
        <v>8</v>
      </c>
      <c r="C41" s="19" t="n">
        <v>45954</v>
      </c>
      <c r="D41" s="10" t="n">
        <v>1349</v>
      </c>
      <c r="E41" s="18" t="s">
        <v>66</v>
      </c>
      <c r="F41" s="9" t="n">
        <v>693</v>
      </c>
    </row>
    <row r="42" customFormat="false" ht="15" hidden="false" customHeight="false" outlineLevel="0" collapsed="false">
      <c r="B42" s="18" t="s">
        <v>8</v>
      </c>
      <c r="C42" s="19" t="n">
        <v>45994</v>
      </c>
      <c r="D42" s="10" t="n">
        <v>1349</v>
      </c>
      <c r="E42" s="18" t="s">
        <v>67</v>
      </c>
      <c r="F42" s="9" t="n">
        <v>693</v>
      </c>
    </row>
    <row r="43" customFormat="false" ht="15" hidden="false" customHeight="false" outlineLevel="0" collapsed="false">
      <c r="B43" s="18" t="s">
        <v>8</v>
      </c>
      <c r="C43" s="19" t="n">
        <v>45947</v>
      </c>
      <c r="D43" s="10" t="n">
        <v>1349</v>
      </c>
      <c r="E43" s="18" t="s">
        <v>68</v>
      </c>
      <c r="F43" s="9" t="n">
        <v>693</v>
      </c>
    </row>
    <row r="44" customFormat="false" ht="15" hidden="false" customHeight="false" outlineLevel="0" collapsed="false">
      <c r="B44" s="18" t="s">
        <v>8</v>
      </c>
      <c r="C44" s="19" t="n">
        <v>45535</v>
      </c>
      <c r="D44" s="10" t="n">
        <v>1585</v>
      </c>
      <c r="E44" s="18" t="s">
        <v>69</v>
      </c>
      <c r="F44" s="9" t="n">
        <v>693</v>
      </c>
    </row>
    <row r="45" customFormat="false" ht="15" hidden="false" customHeight="false" outlineLevel="0" collapsed="false">
      <c r="B45" s="18" t="s">
        <v>8</v>
      </c>
      <c r="C45" s="19" t="n">
        <v>45947</v>
      </c>
      <c r="D45" s="10" t="n">
        <v>1349</v>
      </c>
      <c r="E45" s="18" t="s">
        <v>69</v>
      </c>
      <c r="F45" s="9" t="n">
        <v>693</v>
      </c>
    </row>
    <row r="46" customFormat="false" ht="15" hidden="false" customHeight="false" outlineLevel="0" collapsed="false">
      <c r="B46" s="18" t="s">
        <v>8</v>
      </c>
      <c r="C46" s="19" t="n">
        <v>45530</v>
      </c>
      <c r="D46" s="10" t="n">
        <v>1585</v>
      </c>
      <c r="E46" s="18" t="s">
        <v>70</v>
      </c>
      <c r="F46" s="9" t="n">
        <v>693</v>
      </c>
    </row>
    <row r="47" customFormat="false" ht="15" hidden="false" customHeight="false" outlineLevel="0" collapsed="false">
      <c r="B47" s="18" t="s">
        <v>8</v>
      </c>
      <c r="C47" s="19" t="n">
        <v>45928</v>
      </c>
      <c r="D47" s="10" t="n">
        <v>1349</v>
      </c>
      <c r="E47" s="18" t="s">
        <v>70</v>
      </c>
      <c r="F47" s="9" t="n">
        <v>693</v>
      </c>
    </row>
    <row r="48" customFormat="false" ht="15" hidden="false" customHeight="false" outlineLevel="0" collapsed="false">
      <c r="B48" s="18" t="s">
        <v>8</v>
      </c>
      <c r="C48" s="19" t="n">
        <v>45938</v>
      </c>
      <c r="D48" s="10" t="n">
        <v>1349</v>
      </c>
      <c r="E48" s="18" t="s">
        <v>71</v>
      </c>
      <c r="F48" s="9" t="n">
        <v>693</v>
      </c>
    </row>
    <row r="49" customFormat="false" ht="15" hidden="false" customHeight="false" outlineLevel="0" collapsed="false">
      <c r="B49" s="18" t="s">
        <v>8</v>
      </c>
      <c r="C49" s="19" t="n">
        <v>45981</v>
      </c>
      <c r="D49" s="10" t="n">
        <v>1349</v>
      </c>
      <c r="E49" s="18" t="s">
        <v>72</v>
      </c>
      <c r="F49" s="9" t="n">
        <v>693</v>
      </c>
    </row>
    <row r="50" customFormat="false" ht="15" hidden="false" customHeight="false" outlineLevel="0" collapsed="false">
      <c r="B50" s="18" t="s">
        <v>8</v>
      </c>
      <c r="C50" s="19" t="n">
        <v>45660</v>
      </c>
      <c r="D50" s="10" t="n">
        <v>1385</v>
      </c>
      <c r="E50" s="18" t="s">
        <v>73</v>
      </c>
      <c r="F50" s="9" t="n">
        <v>693</v>
      </c>
    </row>
    <row r="51" customFormat="false" ht="15" hidden="false" customHeight="false" outlineLevel="0" collapsed="false">
      <c r="B51" s="18" t="s">
        <v>8</v>
      </c>
      <c r="C51" s="19" t="n">
        <v>45599</v>
      </c>
      <c r="D51" s="10" t="n">
        <v>1385</v>
      </c>
      <c r="E51" s="18" t="s">
        <v>74</v>
      </c>
      <c r="F51" s="9" t="n">
        <v>693</v>
      </c>
    </row>
    <row r="52" customFormat="false" ht="15" hidden="false" customHeight="false" outlineLevel="0" collapsed="false">
      <c r="B52" s="18" t="s">
        <v>8</v>
      </c>
      <c r="C52" s="19" t="n">
        <v>45662</v>
      </c>
      <c r="D52" s="10" t="n">
        <v>1385</v>
      </c>
      <c r="E52" s="18" t="s">
        <v>75</v>
      </c>
      <c r="F52" s="9" t="n">
        <v>693</v>
      </c>
    </row>
    <row r="53" customFormat="false" ht="15" hidden="false" customHeight="false" outlineLevel="0" collapsed="false">
      <c r="B53" s="18" t="s">
        <v>8</v>
      </c>
      <c r="C53" s="19" t="n">
        <v>45597</v>
      </c>
      <c r="D53" s="10" t="n">
        <v>1575</v>
      </c>
      <c r="E53" s="18" t="s">
        <v>76</v>
      </c>
      <c r="F53" s="9" t="n">
        <v>693</v>
      </c>
    </row>
    <row r="54" customFormat="false" ht="15" hidden="false" customHeight="false" outlineLevel="0" collapsed="false">
      <c r="B54" s="18" t="s">
        <v>8</v>
      </c>
      <c r="C54" s="19" t="n">
        <v>45760</v>
      </c>
      <c r="D54" s="10" t="n">
        <v>1395</v>
      </c>
      <c r="E54" s="18" t="s">
        <v>76</v>
      </c>
      <c r="F54" s="9" t="n">
        <v>693</v>
      </c>
    </row>
    <row r="55" customFormat="false" ht="15" hidden="false" customHeight="false" outlineLevel="0" collapsed="false">
      <c r="B55" s="18" t="s">
        <v>8</v>
      </c>
      <c r="C55" s="19" t="n">
        <v>45601</v>
      </c>
      <c r="D55" s="10" t="n">
        <v>1395</v>
      </c>
      <c r="E55" s="18" t="s">
        <v>77</v>
      </c>
      <c r="F55" s="9" t="n">
        <v>693</v>
      </c>
    </row>
    <row r="56" customFormat="false" ht="15" hidden="false" customHeight="false" outlineLevel="0" collapsed="false">
      <c r="B56" s="18" t="s">
        <v>8</v>
      </c>
      <c r="C56" s="19" t="n">
        <v>45643</v>
      </c>
      <c r="D56" s="10" t="n">
        <v>1385</v>
      </c>
      <c r="E56" s="18" t="s">
        <v>78</v>
      </c>
      <c r="F56" s="9" t="n">
        <v>693</v>
      </c>
    </row>
    <row r="57" customFormat="false" ht="15" hidden="false" customHeight="false" outlineLevel="0" collapsed="false">
      <c r="B57" s="18" t="s">
        <v>8</v>
      </c>
      <c r="C57" s="19" t="n">
        <v>45927</v>
      </c>
      <c r="D57" s="10" t="n">
        <v>1399</v>
      </c>
      <c r="E57" s="18" t="s">
        <v>78</v>
      </c>
      <c r="F57" s="9" t="n">
        <v>693</v>
      </c>
    </row>
    <row r="58" customFormat="false" ht="15" hidden="false" customHeight="false" outlineLevel="0" collapsed="false">
      <c r="B58" s="18" t="s">
        <v>8</v>
      </c>
      <c r="C58" s="19" t="n">
        <v>45930</v>
      </c>
      <c r="D58" s="10" t="n">
        <v>1399</v>
      </c>
      <c r="E58" s="18" t="s">
        <v>79</v>
      </c>
      <c r="F58" s="9" t="n">
        <v>693</v>
      </c>
    </row>
    <row r="59" customFormat="false" ht="15" hidden="false" customHeight="false" outlineLevel="0" collapsed="false">
      <c r="B59" s="18" t="s">
        <v>8</v>
      </c>
      <c r="C59" s="19" t="n">
        <v>46004</v>
      </c>
      <c r="D59" s="10" t="n">
        <v>1399</v>
      </c>
      <c r="E59" s="18" t="s">
        <v>80</v>
      </c>
      <c r="F59" s="9" t="n">
        <v>693</v>
      </c>
    </row>
    <row r="60" customFormat="false" ht="15" hidden="false" customHeight="false" outlineLevel="0" collapsed="false">
      <c r="B60" s="18" t="s">
        <v>8</v>
      </c>
      <c r="C60" s="19" t="n">
        <v>45535</v>
      </c>
      <c r="D60" s="10" t="n">
        <v>1575</v>
      </c>
      <c r="E60" s="18" t="s">
        <v>81</v>
      </c>
      <c r="F60" s="9" t="n">
        <v>693</v>
      </c>
    </row>
    <row r="61" customFormat="false" ht="15" hidden="false" customHeight="false" outlineLevel="0" collapsed="false">
      <c r="B61" s="18" t="s">
        <v>8</v>
      </c>
      <c r="C61" s="19" t="n">
        <v>45720</v>
      </c>
      <c r="D61" s="10" t="n">
        <v>1425</v>
      </c>
      <c r="E61" s="18" t="s">
        <v>81</v>
      </c>
      <c r="F61" s="9" t="n">
        <v>693</v>
      </c>
    </row>
    <row r="62" customFormat="false" ht="15" hidden="false" customHeight="false" outlineLevel="0" collapsed="false">
      <c r="B62" s="18" t="s">
        <v>8</v>
      </c>
      <c r="C62" s="19" t="n">
        <v>45932</v>
      </c>
      <c r="D62" s="10" t="n">
        <v>1399</v>
      </c>
      <c r="E62" s="18" t="s">
        <v>81</v>
      </c>
      <c r="F62" s="9" t="n">
        <v>693</v>
      </c>
    </row>
    <row r="63" customFormat="false" ht="15" hidden="false" customHeight="false" outlineLevel="0" collapsed="false">
      <c r="B63" s="18" t="s">
        <v>8</v>
      </c>
      <c r="C63" s="19" t="n">
        <v>45934</v>
      </c>
      <c r="D63" s="10" t="n">
        <v>1399</v>
      </c>
      <c r="E63" s="18" t="s">
        <v>82</v>
      </c>
      <c r="F63" s="9" t="n">
        <v>693</v>
      </c>
    </row>
    <row r="64" customFormat="false" ht="15" hidden="false" customHeight="false" outlineLevel="0" collapsed="false">
      <c r="B64" s="18" t="s">
        <v>8</v>
      </c>
      <c r="C64" s="19" t="n">
        <v>46005</v>
      </c>
      <c r="D64" s="10" t="n">
        <v>1399</v>
      </c>
      <c r="E64" s="18" t="s">
        <v>83</v>
      </c>
      <c r="F64" s="9" t="n">
        <v>693</v>
      </c>
    </row>
    <row r="65" customFormat="false" ht="15" hidden="false" customHeight="false" outlineLevel="0" collapsed="false">
      <c r="B65" s="18" t="s">
        <v>8</v>
      </c>
      <c r="C65" s="19" t="n">
        <v>45967</v>
      </c>
      <c r="D65" s="10" t="n">
        <v>1399</v>
      </c>
      <c r="E65" s="18" t="s">
        <v>84</v>
      </c>
      <c r="F65" s="9" t="n">
        <v>693</v>
      </c>
    </row>
    <row r="66" customFormat="false" ht="15" hidden="false" customHeight="false" outlineLevel="0" collapsed="false">
      <c r="B66" s="18" t="s">
        <v>8</v>
      </c>
      <c r="C66" s="19" t="n">
        <v>45535</v>
      </c>
      <c r="D66" s="10" t="n">
        <v>1585</v>
      </c>
      <c r="E66" s="18" t="s">
        <v>85</v>
      </c>
      <c r="F66" s="9" t="n">
        <v>693</v>
      </c>
    </row>
    <row r="67" customFormat="false" ht="15" hidden="false" customHeight="false" outlineLevel="0" collapsed="false">
      <c r="B67" s="18" t="s">
        <v>8</v>
      </c>
      <c r="C67" s="19" t="n">
        <v>45962</v>
      </c>
      <c r="D67" s="10" t="n">
        <v>1399</v>
      </c>
      <c r="E67" s="18" t="s">
        <v>85</v>
      </c>
      <c r="F67" s="9" t="n">
        <v>693</v>
      </c>
    </row>
    <row r="68" customFormat="false" ht="15" hidden="false" customHeight="false" outlineLevel="0" collapsed="false">
      <c r="B68" s="18" t="s">
        <v>8</v>
      </c>
      <c r="C68" s="19" t="n">
        <v>46010</v>
      </c>
      <c r="D68" s="10" t="n">
        <v>1399</v>
      </c>
      <c r="E68" s="18" t="s">
        <v>86</v>
      </c>
      <c r="F68" s="9" t="n">
        <v>693</v>
      </c>
    </row>
    <row r="69" customFormat="false" ht="15" hidden="false" customHeight="false" outlineLevel="0" collapsed="false">
      <c r="B69" s="18" t="s">
        <v>8</v>
      </c>
      <c r="C69" s="19" t="n">
        <v>45981</v>
      </c>
      <c r="D69" s="10" t="n">
        <v>1399</v>
      </c>
      <c r="E69" s="18" t="s">
        <v>87</v>
      </c>
      <c r="F69" s="9" t="n">
        <v>693</v>
      </c>
    </row>
    <row r="70" customFormat="false" ht="15" hidden="false" customHeight="false" outlineLevel="0" collapsed="false">
      <c r="B70" s="18" t="s">
        <v>8</v>
      </c>
      <c r="C70" s="19" t="n">
        <v>46043</v>
      </c>
      <c r="D70" s="10" t="n">
        <v>1399</v>
      </c>
      <c r="E70" s="18" t="s">
        <v>88</v>
      </c>
      <c r="F70" s="9" t="n">
        <v>693</v>
      </c>
    </row>
    <row r="71" customFormat="false" ht="15" hidden="false" customHeight="false" outlineLevel="0" collapsed="false">
      <c r="B71" s="18" t="s">
        <v>8</v>
      </c>
      <c r="C71" s="19" t="n">
        <v>45954</v>
      </c>
      <c r="D71" s="10" t="n">
        <v>1399</v>
      </c>
      <c r="E71" s="18" t="s">
        <v>89</v>
      </c>
      <c r="F71" s="9" t="n">
        <v>693</v>
      </c>
    </row>
    <row r="72" customFormat="false" ht="15" hidden="false" customHeight="false" outlineLevel="0" collapsed="false">
      <c r="B72" s="18" t="s">
        <v>8</v>
      </c>
      <c r="C72" s="19" t="n">
        <v>45732</v>
      </c>
      <c r="D72" s="10" t="n">
        <v>1545</v>
      </c>
      <c r="E72" s="18" t="s">
        <v>90</v>
      </c>
      <c r="F72" s="9" t="n">
        <v>693</v>
      </c>
    </row>
    <row r="73" customFormat="false" ht="15" hidden="false" customHeight="false" outlineLevel="0" collapsed="false">
      <c r="B73" s="18" t="s">
        <v>8</v>
      </c>
      <c r="C73" s="19" t="n">
        <v>45977</v>
      </c>
      <c r="D73" s="10" t="n">
        <v>1399</v>
      </c>
      <c r="E73" s="18" t="s">
        <v>90</v>
      </c>
      <c r="F73" s="9" t="n">
        <v>693</v>
      </c>
    </row>
    <row r="74" customFormat="false" ht="15" hidden="false" customHeight="false" outlineLevel="0" collapsed="false">
      <c r="B74" s="18" t="s">
        <v>8</v>
      </c>
      <c r="C74" s="19" t="n">
        <v>45714</v>
      </c>
      <c r="D74" s="10" t="n">
        <v>1410</v>
      </c>
      <c r="E74" s="18" t="s">
        <v>91</v>
      </c>
      <c r="F74" s="9" t="n">
        <v>693</v>
      </c>
    </row>
    <row r="75" customFormat="false" ht="15" hidden="false" customHeight="false" outlineLevel="0" collapsed="false">
      <c r="B75" s="18" t="s">
        <v>8</v>
      </c>
      <c r="C75" s="19" t="n">
        <v>45972</v>
      </c>
      <c r="D75" s="10" t="n">
        <v>1399</v>
      </c>
      <c r="E75" s="18" t="s">
        <v>91</v>
      </c>
      <c r="F75" s="9" t="n">
        <v>693</v>
      </c>
    </row>
    <row r="76" customFormat="false" ht="15" hidden="false" customHeight="false" outlineLevel="0" collapsed="false">
      <c r="B76" s="18" t="s">
        <v>8</v>
      </c>
      <c r="C76" s="19" t="n">
        <v>46030</v>
      </c>
      <c r="D76" s="10" t="n">
        <v>1399</v>
      </c>
      <c r="E76" s="18" t="s">
        <v>92</v>
      </c>
      <c r="F76" s="9" t="n">
        <v>693</v>
      </c>
    </row>
    <row r="77" customFormat="false" ht="15" hidden="false" customHeight="false" outlineLevel="0" collapsed="false">
      <c r="B77" s="18" t="s">
        <v>8</v>
      </c>
      <c r="C77" s="19" t="n">
        <v>46030</v>
      </c>
      <c r="D77" s="10" t="n">
        <v>1399</v>
      </c>
      <c r="E77" s="18" t="s">
        <v>93</v>
      </c>
      <c r="F77" s="9" t="n">
        <v>693</v>
      </c>
    </row>
    <row r="78" customFormat="false" ht="15" hidden="false" customHeight="false" outlineLevel="0" collapsed="false">
      <c r="B78" s="18" t="s">
        <v>8</v>
      </c>
      <c r="C78" s="19" t="n">
        <v>45997</v>
      </c>
      <c r="D78" s="10" t="n">
        <v>1399</v>
      </c>
      <c r="E78" s="18" t="s">
        <v>94</v>
      </c>
      <c r="F78" s="9" t="n">
        <v>693</v>
      </c>
    </row>
    <row r="79" customFormat="false" ht="15" hidden="false" customHeight="false" outlineLevel="0" collapsed="false">
      <c r="B79" s="18" t="s">
        <v>8</v>
      </c>
      <c r="C79" s="19" t="n">
        <v>45664</v>
      </c>
      <c r="D79" s="10" t="n">
        <v>1400</v>
      </c>
      <c r="E79" s="18" t="s">
        <v>95</v>
      </c>
      <c r="F79" s="9" t="n">
        <v>693</v>
      </c>
    </row>
    <row r="80" customFormat="false" ht="15" hidden="false" customHeight="false" outlineLevel="0" collapsed="false">
      <c r="B80" s="18" t="s">
        <v>8</v>
      </c>
      <c r="C80" s="19" t="n">
        <v>45928</v>
      </c>
      <c r="D80" s="10" t="n">
        <v>1349</v>
      </c>
      <c r="E80" s="18" t="s">
        <v>96</v>
      </c>
      <c r="F80" s="9" t="n">
        <v>693</v>
      </c>
    </row>
    <row r="81" customFormat="false" ht="15" hidden="false" customHeight="false" outlineLevel="0" collapsed="false">
      <c r="B81" s="18" t="s">
        <v>8</v>
      </c>
      <c r="C81" s="19" t="n">
        <v>46076</v>
      </c>
      <c r="D81" s="10" t="n">
        <v>1400</v>
      </c>
      <c r="E81" s="18" t="s">
        <v>96</v>
      </c>
      <c r="F81" s="9" t="n">
        <v>693</v>
      </c>
    </row>
    <row r="82" customFormat="false" ht="15" hidden="false" customHeight="false" outlineLevel="0" collapsed="false">
      <c r="B82" s="18" t="s">
        <v>8</v>
      </c>
      <c r="C82" s="19" t="n">
        <v>46066</v>
      </c>
      <c r="D82" s="10" t="n">
        <v>1400</v>
      </c>
      <c r="E82" s="18" t="s">
        <v>97</v>
      </c>
      <c r="F82" s="9" t="n">
        <v>693</v>
      </c>
    </row>
    <row r="83" customFormat="false" ht="15" hidden="false" customHeight="false" outlineLevel="0" collapsed="false">
      <c r="B83" s="18" t="s">
        <v>8</v>
      </c>
      <c r="C83" s="19" t="n">
        <v>45669</v>
      </c>
      <c r="D83" s="10" t="n">
        <v>1410</v>
      </c>
      <c r="E83" s="18" t="s">
        <v>98</v>
      </c>
      <c r="F83" s="9" t="n">
        <v>693</v>
      </c>
    </row>
    <row r="84" customFormat="false" ht="15" hidden="false" customHeight="false" outlineLevel="0" collapsed="false">
      <c r="B84" s="18" t="s">
        <v>8</v>
      </c>
      <c r="C84" s="19" t="n">
        <v>45736</v>
      </c>
      <c r="D84" s="10" t="n">
        <v>1425</v>
      </c>
      <c r="E84" s="18" t="s">
        <v>99</v>
      </c>
      <c r="F84" s="9" t="n">
        <v>693</v>
      </c>
    </row>
    <row r="85" customFormat="false" ht="15" hidden="false" customHeight="false" outlineLevel="0" collapsed="false">
      <c r="B85" s="18" t="s">
        <v>8</v>
      </c>
      <c r="C85" s="19" t="n">
        <v>45724</v>
      </c>
      <c r="D85" s="10" t="n">
        <v>1425</v>
      </c>
      <c r="E85" s="18" t="s">
        <v>100</v>
      </c>
      <c r="F85" s="9" t="n">
        <v>693</v>
      </c>
    </row>
    <row r="86" customFormat="false" ht="15" hidden="false" customHeight="false" outlineLevel="0" collapsed="false">
      <c r="B86" s="18" t="s">
        <v>8</v>
      </c>
      <c r="C86" s="19" t="n">
        <v>46053</v>
      </c>
      <c r="D86" s="10" t="n">
        <v>1425</v>
      </c>
      <c r="E86" s="18" t="s">
        <v>101</v>
      </c>
      <c r="F86" s="9" t="n">
        <v>693</v>
      </c>
    </row>
    <row r="87" customFormat="false" ht="15" hidden="false" customHeight="false" outlineLevel="0" collapsed="false">
      <c r="B87" s="18" t="s">
        <v>8</v>
      </c>
      <c r="C87" s="19" t="n">
        <v>45707</v>
      </c>
      <c r="D87" s="10" t="n">
        <v>1435</v>
      </c>
      <c r="E87" s="18" t="s">
        <v>102</v>
      </c>
      <c r="F87" s="9" t="n">
        <v>693</v>
      </c>
    </row>
    <row r="88" customFormat="false" ht="15" hidden="false" customHeight="false" outlineLevel="0" collapsed="false">
      <c r="B88" s="18" t="s">
        <v>8</v>
      </c>
      <c r="C88" s="19" t="n">
        <v>45720</v>
      </c>
      <c r="D88" s="10" t="n">
        <v>1435</v>
      </c>
      <c r="E88" s="18" t="s">
        <v>103</v>
      </c>
      <c r="F88" s="9" t="n">
        <v>693</v>
      </c>
    </row>
    <row r="89" customFormat="false" ht="15" hidden="false" customHeight="false" outlineLevel="0" collapsed="false">
      <c r="B89" s="18" t="s">
        <v>8</v>
      </c>
      <c r="C89" s="19" t="n">
        <v>45730</v>
      </c>
      <c r="D89" s="10" t="n">
        <v>1435</v>
      </c>
      <c r="E89" s="18" t="s">
        <v>104</v>
      </c>
      <c r="F89" s="9" t="n">
        <v>693</v>
      </c>
    </row>
    <row r="90" customFormat="false" ht="15" hidden="false" customHeight="false" outlineLevel="0" collapsed="false">
      <c r="B90" s="18" t="s">
        <v>8</v>
      </c>
      <c r="C90" s="19" t="n">
        <v>45748</v>
      </c>
      <c r="D90" s="10" t="n">
        <v>1435</v>
      </c>
      <c r="E90" s="18" t="s">
        <v>105</v>
      </c>
      <c r="F90" s="9" t="n">
        <v>693</v>
      </c>
    </row>
    <row r="91" customFormat="false" ht="15" hidden="false" customHeight="false" outlineLevel="0" collapsed="false">
      <c r="B91" s="18" t="s">
        <v>8</v>
      </c>
      <c r="C91" s="19" t="n">
        <v>45657</v>
      </c>
      <c r="D91" s="10" t="n">
        <v>1435</v>
      </c>
      <c r="E91" s="18" t="s">
        <v>106</v>
      </c>
      <c r="F91" s="9" t="n">
        <v>693</v>
      </c>
    </row>
    <row r="92" customFormat="false" ht="15" hidden="false" customHeight="false" outlineLevel="0" collapsed="false">
      <c r="B92" s="18" t="s">
        <v>8</v>
      </c>
      <c r="C92" s="19" t="n">
        <v>45926</v>
      </c>
      <c r="D92" s="10" t="n">
        <v>1449</v>
      </c>
      <c r="E92" s="18" t="s">
        <v>107</v>
      </c>
      <c r="F92" s="9" t="n">
        <v>693</v>
      </c>
    </row>
    <row r="93" customFormat="false" ht="15" hidden="false" customHeight="false" outlineLevel="0" collapsed="false">
      <c r="B93" s="18" t="s">
        <v>8</v>
      </c>
      <c r="C93" s="19" t="n">
        <v>45693</v>
      </c>
      <c r="D93" s="10" t="n">
        <v>1450</v>
      </c>
      <c r="E93" s="18" t="s">
        <v>108</v>
      </c>
      <c r="F93" s="9" t="n">
        <v>693</v>
      </c>
    </row>
    <row r="94" customFormat="false" ht="15" hidden="false" customHeight="false" outlineLevel="0" collapsed="false">
      <c r="B94" s="18" t="s">
        <v>8</v>
      </c>
      <c r="C94" s="19" t="n">
        <v>45633</v>
      </c>
      <c r="D94" s="10" t="n">
        <v>1435</v>
      </c>
      <c r="E94" s="18" t="s">
        <v>109</v>
      </c>
      <c r="F94" s="9" t="n">
        <v>693</v>
      </c>
    </row>
    <row r="95" customFormat="false" ht="15" hidden="false" customHeight="false" outlineLevel="0" collapsed="false">
      <c r="B95" s="18" t="s">
        <v>8</v>
      </c>
      <c r="C95" s="19" t="n">
        <v>46083</v>
      </c>
      <c r="D95" s="10" t="n">
        <v>1475</v>
      </c>
      <c r="E95" s="18" t="s">
        <v>109</v>
      </c>
      <c r="F95" s="9" t="n">
        <v>693</v>
      </c>
    </row>
    <row r="96" customFormat="false" ht="15" hidden="false" customHeight="false" outlineLevel="0" collapsed="false">
      <c r="B96" s="18" t="s">
        <v>8</v>
      </c>
      <c r="C96" s="19" t="n">
        <v>45535</v>
      </c>
      <c r="D96" s="10" t="n">
        <v>1560</v>
      </c>
      <c r="E96" s="18" t="s">
        <v>110</v>
      </c>
      <c r="F96" s="9" t="n">
        <v>693</v>
      </c>
    </row>
    <row r="97" customFormat="false" ht="15" hidden="false" customHeight="false" outlineLevel="0" collapsed="false">
      <c r="B97" s="18" t="s">
        <v>8</v>
      </c>
      <c r="C97" s="19" t="n">
        <v>45741</v>
      </c>
      <c r="D97" s="10" t="n">
        <v>1470</v>
      </c>
      <c r="E97" s="18" t="s">
        <v>110</v>
      </c>
      <c r="F97" s="9" t="n">
        <v>693</v>
      </c>
    </row>
    <row r="98" customFormat="false" ht="15" hidden="false" customHeight="false" outlineLevel="0" collapsed="false">
      <c r="B98" s="18" t="s">
        <v>8</v>
      </c>
      <c r="C98" s="19" t="n">
        <v>46079</v>
      </c>
      <c r="D98" s="10" t="n">
        <v>1475</v>
      </c>
      <c r="E98" s="18" t="s">
        <v>110</v>
      </c>
      <c r="F98" s="9" t="n">
        <v>693</v>
      </c>
    </row>
    <row r="99" customFormat="false" ht="15" hidden="false" customHeight="false" outlineLevel="0" collapsed="false">
      <c r="B99" s="18" t="s">
        <v>8</v>
      </c>
      <c r="C99" s="19" t="n">
        <v>45702</v>
      </c>
      <c r="D99" s="10" t="n">
        <v>1430</v>
      </c>
      <c r="E99" s="18" t="s">
        <v>111</v>
      </c>
      <c r="F99" s="9" t="n">
        <v>693</v>
      </c>
    </row>
    <row r="100" customFormat="false" ht="15" hidden="false" customHeight="false" outlineLevel="0" collapsed="false">
      <c r="B100" s="18" t="s">
        <v>8</v>
      </c>
      <c r="C100" s="19" t="n">
        <v>45886</v>
      </c>
      <c r="D100" s="10" t="n">
        <v>1475</v>
      </c>
      <c r="E100" s="18" t="s">
        <v>111</v>
      </c>
      <c r="F100" s="9" t="n">
        <v>693</v>
      </c>
    </row>
    <row r="101" customFormat="false" ht="15" hidden="false" customHeight="false" outlineLevel="0" collapsed="false">
      <c r="B101" s="18" t="s">
        <v>8</v>
      </c>
      <c r="C101" s="19" t="n">
        <v>45710</v>
      </c>
      <c r="D101" s="10" t="n">
        <v>1425</v>
      </c>
      <c r="E101" s="18" t="s">
        <v>112</v>
      </c>
      <c r="F101" s="9" t="n">
        <v>693</v>
      </c>
    </row>
    <row r="102" customFormat="false" ht="15" hidden="false" customHeight="false" outlineLevel="0" collapsed="false">
      <c r="B102" s="18" t="s">
        <v>8</v>
      </c>
      <c r="C102" s="19" t="n">
        <v>46011</v>
      </c>
      <c r="D102" s="10" t="n">
        <v>1475</v>
      </c>
      <c r="E102" s="18" t="s">
        <v>112</v>
      </c>
      <c r="F102" s="9" t="n">
        <v>693</v>
      </c>
    </row>
    <row r="103" customFormat="false" ht="15" hidden="false" customHeight="false" outlineLevel="0" collapsed="false">
      <c r="B103" s="18" t="s">
        <v>8</v>
      </c>
      <c r="C103" s="19" t="n">
        <v>45595</v>
      </c>
      <c r="D103" s="10" t="n">
        <v>1425</v>
      </c>
      <c r="E103" s="18" t="s">
        <v>113</v>
      </c>
      <c r="F103" s="9" t="n">
        <v>693</v>
      </c>
    </row>
    <row r="104" customFormat="false" ht="15" hidden="false" customHeight="false" outlineLevel="0" collapsed="false">
      <c r="B104" s="18" t="s">
        <v>8</v>
      </c>
      <c r="C104" s="19" t="n">
        <v>46087</v>
      </c>
      <c r="D104" s="10" t="n">
        <v>1475</v>
      </c>
      <c r="E104" s="18" t="s">
        <v>113</v>
      </c>
      <c r="F104" s="9" t="n">
        <v>693</v>
      </c>
    </row>
    <row r="105" customFormat="false" ht="15" hidden="false" customHeight="false" outlineLevel="0" collapsed="false">
      <c r="B105" s="18" t="s">
        <v>8</v>
      </c>
      <c r="C105" s="19" t="n">
        <v>45731</v>
      </c>
      <c r="D105" s="10" t="n">
        <v>1480</v>
      </c>
      <c r="E105" s="18" t="s">
        <v>114</v>
      </c>
      <c r="F105" s="9" t="n">
        <v>693</v>
      </c>
    </row>
    <row r="106" customFormat="false" ht="15" hidden="false" customHeight="false" outlineLevel="0" collapsed="false">
      <c r="B106" s="18" t="s">
        <v>8</v>
      </c>
      <c r="C106" s="19" t="n">
        <v>45757</v>
      </c>
      <c r="D106" s="10" t="n">
        <v>1485</v>
      </c>
      <c r="E106" s="18" t="s">
        <v>115</v>
      </c>
      <c r="F106" s="9" t="n">
        <v>693</v>
      </c>
    </row>
    <row r="107" customFormat="false" ht="15" hidden="false" customHeight="false" outlineLevel="0" collapsed="false">
      <c r="B107" s="18" t="s">
        <v>8</v>
      </c>
      <c r="C107" s="19" t="n">
        <v>45724</v>
      </c>
      <c r="D107" s="10" t="n">
        <v>1485</v>
      </c>
      <c r="E107" s="18" t="s">
        <v>116</v>
      </c>
      <c r="F107" s="9" t="n">
        <v>693</v>
      </c>
    </row>
    <row r="108" customFormat="false" ht="15" hidden="false" customHeight="false" outlineLevel="0" collapsed="false">
      <c r="B108" s="18" t="s">
        <v>8</v>
      </c>
      <c r="C108" s="19" t="n">
        <v>45681</v>
      </c>
      <c r="D108" s="10" t="n">
        <v>1410</v>
      </c>
      <c r="E108" s="18" t="s">
        <v>117</v>
      </c>
      <c r="F108" s="9" t="n">
        <v>693</v>
      </c>
    </row>
    <row r="109" customFormat="false" ht="15" hidden="false" customHeight="false" outlineLevel="0" collapsed="false">
      <c r="B109" s="18" t="s">
        <v>8</v>
      </c>
      <c r="C109" s="19" t="n">
        <v>46088</v>
      </c>
      <c r="D109" s="10" t="n">
        <v>1490</v>
      </c>
      <c r="E109" s="18" t="s">
        <v>117</v>
      </c>
      <c r="F109" s="9" t="n">
        <v>693</v>
      </c>
    </row>
    <row r="110" customFormat="false" ht="15" hidden="false" customHeight="false" outlineLevel="0" collapsed="false">
      <c r="B110" s="18" t="s">
        <v>8</v>
      </c>
      <c r="C110" s="19" t="n">
        <v>45535</v>
      </c>
      <c r="D110" s="10" t="n">
        <v>1575</v>
      </c>
      <c r="E110" s="18" t="s">
        <v>118</v>
      </c>
      <c r="F110" s="9" t="n">
        <v>693</v>
      </c>
    </row>
    <row r="111" customFormat="false" ht="15" hidden="false" customHeight="false" outlineLevel="0" collapsed="false">
      <c r="B111" s="18" t="s">
        <v>8</v>
      </c>
      <c r="C111" s="19" t="n">
        <v>45658</v>
      </c>
      <c r="D111" s="10" t="n">
        <v>1400</v>
      </c>
      <c r="E111" s="18" t="s">
        <v>118</v>
      </c>
      <c r="F111" s="9" t="n">
        <v>693</v>
      </c>
    </row>
    <row r="112" customFormat="false" ht="15" hidden="false" customHeight="false" outlineLevel="0" collapsed="false">
      <c r="B112" s="18" t="s">
        <v>8</v>
      </c>
      <c r="C112" s="19" t="n">
        <v>46068</v>
      </c>
      <c r="D112" s="10" t="n">
        <v>1490</v>
      </c>
      <c r="E112" s="18" t="s">
        <v>118</v>
      </c>
      <c r="F112" s="9" t="n">
        <v>693</v>
      </c>
    </row>
    <row r="113" customFormat="false" ht="15" hidden="false" customHeight="false" outlineLevel="0" collapsed="false">
      <c r="B113" s="18" t="s">
        <v>8</v>
      </c>
      <c r="C113" s="19" t="n">
        <v>46077</v>
      </c>
      <c r="D113" s="10" t="n">
        <v>1490</v>
      </c>
      <c r="E113" s="18" t="s">
        <v>119</v>
      </c>
      <c r="F113" s="9" t="n">
        <v>693</v>
      </c>
    </row>
    <row r="114" customFormat="false" ht="15" hidden="false" customHeight="false" outlineLevel="0" collapsed="false">
      <c r="B114" s="18" t="s">
        <v>8</v>
      </c>
      <c r="C114" s="19" t="n">
        <v>45758</v>
      </c>
      <c r="D114" s="10" t="n">
        <v>1485</v>
      </c>
      <c r="E114" s="18" t="s">
        <v>120</v>
      </c>
      <c r="F114" s="9" t="n">
        <v>693</v>
      </c>
    </row>
    <row r="115" customFormat="false" ht="15" hidden="false" customHeight="false" outlineLevel="0" collapsed="false">
      <c r="B115" s="18" t="s">
        <v>8</v>
      </c>
      <c r="C115" s="19" t="n">
        <v>46079</v>
      </c>
      <c r="D115" s="10" t="n">
        <v>1490</v>
      </c>
      <c r="E115" s="18" t="s">
        <v>120</v>
      </c>
      <c r="F115" s="9" t="n">
        <v>693</v>
      </c>
    </row>
    <row r="116" customFormat="false" ht="15" hidden="false" customHeight="false" outlineLevel="0" collapsed="false">
      <c r="B116" s="18" t="s">
        <v>8</v>
      </c>
      <c r="C116" s="19" t="n">
        <v>45756</v>
      </c>
      <c r="D116" s="10" t="n">
        <v>1495</v>
      </c>
      <c r="E116" s="18" t="s">
        <v>121</v>
      </c>
      <c r="F116" s="9" t="n">
        <v>693</v>
      </c>
    </row>
    <row r="117" customFormat="false" ht="15" hidden="false" customHeight="false" outlineLevel="0" collapsed="false">
      <c r="B117" s="18" t="s">
        <v>8</v>
      </c>
      <c r="C117" s="19" t="n">
        <v>45916</v>
      </c>
      <c r="D117" s="10" t="n">
        <v>1499</v>
      </c>
      <c r="E117" s="18" t="s">
        <v>122</v>
      </c>
      <c r="F117" s="9" t="n">
        <v>693</v>
      </c>
    </row>
    <row r="118" customFormat="false" ht="15" hidden="false" customHeight="false" outlineLevel="0" collapsed="false">
      <c r="B118" s="18" t="s">
        <v>8</v>
      </c>
      <c r="C118" s="19" t="n">
        <v>45909</v>
      </c>
      <c r="D118" s="10" t="n">
        <v>1499</v>
      </c>
      <c r="E118" s="18" t="s">
        <v>123</v>
      </c>
      <c r="F118" s="9" t="n">
        <v>693</v>
      </c>
    </row>
    <row r="119" customFormat="false" ht="15" hidden="false" customHeight="false" outlineLevel="0" collapsed="false">
      <c r="B119" s="18" t="s">
        <v>8</v>
      </c>
      <c r="C119" s="19" t="n">
        <v>45535</v>
      </c>
      <c r="D119" s="10" t="n">
        <v>1600</v>
      </c>
      <c r="E119" s="18" t="s">
        <v>124</v>
      </c>
      <c r="F119" s="9" t="n">
        <v>693</v>
      </c>
    </row>
    <row r="120" customFormat="false" ht="15" hidden="false" customHeight="false" outlineLevel="0" collapsed="false">
      <c r="B120" s="18" t="s">
        <v>8</v>
      </c>
      <c r="C120" s="19" t="n">
        <v>45753</v>
      </c>
      <c r="D120" s="10" t="n">
        <v>1510</v>
      </c>
      <c r="E120" s="18" t="s">
        <v>124</v>
      </c>
      <c r="F120" s="9" t="n">
        <v>693</v>
      </c>
    </row>
    <row r="121" customFormat="false" ht="15" hidden="false" customHeight="false" outlineLevel="0" collapsed="false">
      <c r="B121" s="18" t="s">
        <v>8</v>
      </c>
      <c r="C121" s="19" t="n">
        <v>45706</v>
      </c>
      <c r="D121" s="10" t="n">
        <v>1510</v>
      </c>
      <c r="E121" s="18" t="s">
        <v>125</v>
      </c>
      <c r="F121" s="9" t="n">
        <v>693</v>
      </c>
    </row>
    <row r="122" customFormat="false" ht="15" hidden="false" customHeight="false" outlineLevel="0" collapsed="false">
      <c r="B122" s="18" t="s">
        <v>8</v>
      </c>
      <c r="C122" s="19" t="n">
        <v>45596</v>
      </c>
      <c r="D122" s="10" t="n">
        <v>1425</v>
      </c>
      <c r="E122" s="18" t="s">
        <v>126</v>
      </c>
      <c r="F122" s="9" t="n">
        <v>693</v>
      </c>
    </row>
    <row r="123" customFormat="false" ht="15" hidden="false" customHeight="false" outlineLevel="0" collapsed="false">
      <c r="B123" s="18" t="s">
        <v>8</v>
      </c>
      <c r="C123" s="19" t="n">
        <v>45874</v>
      </c>
      <c r="D123" s="10" t="n">
        <v>1510</v>
      </c>
      <c r="E123" s="18" t="s">
        <v>126</v>
      </c>
      <c r="F123" s="9" t="n">
        <v>693</v>
      </c>
    </row>
    <row r="124" customFormat="false" ht="15" hidden="false" customHeight="false" outlineLevel="0" collapsed="false">
      <c r="B124" s="18" t="s">
        <v>8</v>
      </c>
      <c r="C124" s="19" t="n">
        <v>45702</v>
      </c>
      <c r="D124" s="10" t="n">
        <v>1510</v>
      </c>
      <c r="E124" s="18" t="s">
        <v>127</v>
      </c>
      <c r="F124" s="9" t="n">
        <v>693</v>
      </c>
    </row>
    <row r="125" customFormat="false" ht="15" hidden="false" customHeight="false" outlineLevel="0" collapsed="false">
      <c r="B125" s="18" t="s">
        <v>8</v>
      </c>
      <c r="C125" s="19" t="n">
        <v>45757</v>
      </c>
      <c r="D125" s="10" t="n">
        <v>1520</v>
      </c>
      <c r="E125" s="18" t="s">
        <v>128</v>
      </c>
      <c r="F125" s="9" t="n">
        <v>693</v>
      </c>
    </row>
    <row r="126" customFormat="false" ht="15" hidden="false" customHeight="false" outlineLevel="0" collapsed="false">
      <c r="B126" s="18" t="s">
        <v>8</v>
      </c>
      <c r="C126" s="19" t="n">
        <v>45727</v>
      </c>
      <c r="D126" s="10" t="n">
        <v>1535</v>
      </c>
      <c r="E126" s="18" t="s">
        <v>129</v>
      </c>
      <c r="F126" s="9" t="n">
        <v>693</v>
      </c>
    </row>
    <row r="127" customFormat="false" ht="15" hidden="false" customHeight="false" outlineLevel="0" collapsed="false">
      <c r="B127" s="18" t="s">
        <v>8</v>
      </c>
      <c r="C127" s="19" t="n">
        <v>46072</v>
      </c>
      <c r="D127" s="10" t="n">
        <v>1540</v>
      </c>
      <c r="E127" s="18" t="s">
        <v>129</v>
      </c>
      <c r="F127" s="9" t="n">
        <v>693</v>
      </c>
    </row>
    <row r="128" customFormat="false" ht="15" hidden="false" customHeight="false" outlineLevel="0" collapsed="false">
      <c r="B128" s="18" t="s">
        <v>8</v>
      </c>
      <c r="C128" s="19" t="n">
        <v>45763</v>
      </c>
      <c r="D128" s="10" t="n">
        <v>1545</v>
      </c>
      <c r="E128" s="18" t="s">
        <v>130</v>
      </c>
      <c r="F128" s="9" t="n">
        <v>693</v>
      </c>
    </row>
    <row r="129" customFormat="false" ht="15" hidden="false" customHeight="false" outlineLevel="0" collapsed="false">
      <c r="B129" s="18" t="s">
        <v>8</v>
      </c>
      <c r="C129" s="19" t="n">
        <v>45993</v>
      </c>
      <c r="D129" s="10" t="n">
        <v>1349</v>
      </c>
      <c r="E129" s="18" t="s">
        <v>131</v>
      </c>
      <c r="F129" s="9" t="n">
        <v>693</v>
      </c>
    </row>
    <row r="130" customFormat="false" ht="15" hidden="false" customHeight="false" outlineLevel="0" collapsed="false">
      <c r="B130" s="18" t="s">
        <v>8</v>
      </c>
      <c r="C130" s="19" t="n">
        <v>46129</v>
      </c>
      <c r="D130" s="10" t="n">
        <v>1549</v>
      </c>
      <c r="E130" s="18" t="s">
        <v>131</v>
      </c>
      <c r="F130" s="9" t="n">
        <v>693</v>
      </c>
    </row>
    <row r="131" customFormat="false" ht="15" hidden="false" customHeight="false" outlineLevel="0" collapsed="false">
      <c r="B131" s="18" t="s">
        <v>8</v>
      </c>
      <c r="C131" s="19" t="n">
        <v>45961</v>
      </c>
      <c r="D131" s="10" t="n">
        <v>1550</v>
      </c>
      <c r="E131" s="18" t="s">
        <v>132</v>
      </c>
      <c r="F131" s="9" t="n">
        <v>693</v>
      </c>
    </row>
    <row r="132" customFormat="false" ht="15" hidden="false" customHeight="false" outlineLevel="0" collapsed="false">
      <c r="B132" s="18" t="s">
        <v>8</v>
      </c>
      <c r="C132" s="19" t="n">
        <v>45774</v>
      </c>
      <c r="D132" s="10" t="n">
        <v>1555</v>
      </c>
      <c r="E132" s="18" t="s">
        <v>133</v>
      </c>
      <c r="F132" s="9" t="n">
        <v>693</v>
      </c>
    </row>
    <row r="133" customFormat="false" ht="15" hidden="false" customHeight="false" outlineLevel="0" collapsed="false">
      <c r="B133" s="18" t="s">
        <v>8</v>
      </c>
      <c r="C133" s="19" t="n">
        <v>45776</v>
      </c>
      <c r="D133" s="10" t="n">
        <v>1555</v>
      </c>
      <c r="E133" s="18" t="s">
        <v>134</v>
      </c>
      <c r="F133" s="9" t="n">
        <v>693</v>
      </c>
    </row>
    <row r="134" customFormat="false" ht="15" hidden="false" customHeight="false" outlineLevel="0" collapsed="false">
      <c r="B134" s="18" t="s">
        <v>8</v>
      </c>
      <c r="C134" s="19" t="n">
        <v>45775</v>
      </c>
      <c r="D134" s="10" t="n">
        <v>1555</v>
      </c>
      <c r="E134" s="18" t="s">
        <v>135</v>
      </c>
      <c r="F134" s="9" t="n">
        <v>693</v>
      </c>
    </row>
    <row r="135" customFormat="false" ht="15" hidden="false" customHeight="false" outlineLevel="0" collapsed="false">
      <c r="B135" s="18" t="s">
        <v>8</v>
      </c>
      <c r="C135" s="19" t="n">
        <v>45645</v>
      </c>
      <c r="D135" s="10" t="n">
        <v>1385</v>
      </c>
      <c r="E135" s="18" t="s">
        <v>136</v>
      </c>
      <c r="F135" s="9" t="n">
        <v>693</v>
      </c>
    </row>
    <row r="136" customFormat="false" ht="15" hidden="false" customHeight="false" outlineLevel="0" collapsed="false">
      <c r="B136" s="18" t="s">
        <v>8</v>
      </c>
      <c r="C136" s="19" t="n">
        <v>46032</v>
      </c>
      <c r="D136" s="10" t="n">
        <v>1565</v>
      </c>
      <c r="E136" s="18" t="s">
        <v>136</v>
      </c>
      <c r="F136" s="9" t="n">
        <v>693</v>
      </c>
    </row>
    <row r="137" customFormat="false" ht="15" hidden="false" customHeight="false" outlineLevel="0" collapsed="false">
      <c r="B137" s="18" t="s">
        <v>8</v>
      </c>
      <c r="C137" s="19" t="n">
        <v>45938</v>
      </c>
      <c r="D137" s="10" t="n">
        <v>1565</v>
      </c>
      <c r="E137" s="18" t="s">
        <v>137</v>
      </c>
      <c r="F137" s="9" t="n">
        <v>693</v>
      </c>
    </row>
    <row r="138" customFormat="false" ht="15" hidden="false" customHeight="false" outlineLevel="0" collapsed="false">
      <c r="B138" s="18" t="s">
        <v>8</v>
      </c>
      <c r="C138" s="19" t="n">
        <v>46098</v>
      </c>
      <c r="D138" s="10" t="n">
        <v>1570</v>
      </c>
      <c r="E138" s="18" t="s">
        <v>138</v>
      </c>
      <c r="F138" s="9" t="n">
        <v>693</v>
      </c>
    </row>
    <row r="139" customFormat="false" ht="15" hidden="false" customHeight="false" outlineLevel="0" collapsed="false">
      <c r="B139" s="18" t="s">
        <v>8</v>
      </c>
      <c r="C139" s="19" t="n">
        <v>45740</v>
      </c>
      <c r="D139" s="10" t="n">
        <v>1570</v>
      </c>
      <c r="E139" s="18" t="s">
        <v>139</v>
      </c>
      <c r="F139" s="9" t="n">
        <v>693</v>
      </c>
    </row>
    <row r="140" customFormat="false" ht="15" hidden="false" customHeight="false" outlineLevel="0" collapsed="false">
      <c r="B140" s="18" t="s">
        <v>8</v>
      </c>
      <c r="C140" s="19" t="n">
        <v>45535</v>
      </c>
      <c r="D140" s="10" t="n">
        <v>1610</v>
      </c>
      <c r="E140" s="18" t="s">
        <v>140</v>
      </c>
      <c r="F140" s="9" t="n">
        <v>693</v>
      </c>
    </row>
    <row r="141" customFormat="false" ht="15" hidden="false" customHeight="false" outlineLevel="0" collapsed="false">
      <c r="B141" s="18" t="s">
        <v>8</v>
      </c>
      <c r="C141" s="19" t="n">
        <v>45844</v>
      </c>
      <c r="D141" s="10" t="n">
        <v>1575</v>
      </c>
      <c r="E141" s="18" t="s">
        <v>140</v>
      </c>
      <c r="F141" s="9" t="n">
        <v>693</v>
      </c>
    </row>
    <row r="142" customFormat="false" ht="15" hidden="false" customHeight="false" outlineLevel="0" collapsed="false">
      <c r="B142" s="18" t="s">
        <v>8</v>
      </c>
      <c r="C142" s="19" t="n">
        <v>46134</v>
      </c>
      <c r="D142" s="10" t="n">
        <v>1575</v>
      </c>
      <c r="E142" s="18" t="s">
        <v>140</v>
      </c>
      <c r="F142" s="9" t="n">
        <v>693</v>
      </c>
    </row>
    <row r="143" customFormat="false" ht="15" hidden="false" customHeight="false" outlineLevel="0" collapsed="false">
      <c r="B143" s="18" t="s">
        <v>8</v>
      </c>
      <c r="C143" s="19" t="n">
        <v>45940</v>
      </c>
      <c r="D143" s="10" t="n">
        <v>1575</v>
      </c>
      <c r="E143" s="18" t="s">
        <v>141</v>
      </c>
      <c r="F143" s="9" t="n">
        <v>693</v>
      </c>
    </row>
    <row r="144" customFormat="false" ht="15" hidden="false" customHeight="false" outlineLevel="0" collapsed="false">
      <c r="B144" s="18" t="s">
        <v>8</v>
      </c>
      <c r="C144" s="19" t="n">
        <v>45605</v>
      </c>
      <c r="D144" s="10" t="n">
        <v>1575</v>
      </c>
      <c r="E144" s="18" t="s">
        <v>142</v>
      </c>
      <c r="F144" s="9" t="n">
        <v>693</v>
      </c>
    </row>
    <row r="145" customFormat="false" ht="15" hidden="false" customHeight="false" outlineLevel="0" collapsed="false">
      <c r="B145" s="18" t="s">
        <v>8</v>
      </c>
      <c r="C145" s="19" t="n">
        <v>45776</v>
      </c>
      <c r="D145" s="10" t="n">
        <v>1580</v>
      </c>
      <c r="E145" s="18" t="s">
        <v>143</v>
      </c>
      <c r="F145" s="9" t="n">
        <v>693</v>
      </c>
    </row>
    <row r="146" customFormat="false" ht="15" hidden="false" customHeight="false" outlineLevel="0" collapsed="false">
      <c r="B146" s="18" t="s">
        <v>8</v>
      </c>
      <c r="C146" s="19" t="n">
        <v>45778</v>
      </c>
      <c r="D146" s="10" t="n">
        <v>1580</v>
      </c>
      <c r="E146" s="18" t="s">
        <v>144</v>
      </c>
      <c r="F146" s="9" t="n">
        <v>693</v>
      </c>
    </row>
    <row r="147" customFormat="false" ht="15" hidden="false" customHeight="false" outlineLevel="0" collapsed="false">
      <c r="B147" s="18" t="s">
        <v>8</v>
      </c>
      <c r="C147" s="19" t="n">
        <v>45897</v>
      </c>
      <c r="D147" s="10" t="n">
        <v>1585</v>
      </c>
      <c r="E147" s="18" t="s">
        <v>145</v>
      </c>
      <c r="F147" s="9" t="n">
        <v>693</v>
      </c>
    </row>
    <row r="148" customFormat="false" ht="15" hidden="false" customHeight="false" outlineLevel="0" collapsed="false">
      <c r="B148" s="18" t="s">
        <v>8</v>
      </c>
      <c r="C148" s="19" t="n">
        <v>45832</v>
      </c>
      <c r="D148" s="10" t="n">
        <v>1575</v>
      </c>
      <c r="E148" s="18" t="s">
        <v>146</v>
      </c>
      <c r="F148" s="9" t="n">
        <v>693</v>
      </c>
    </row>
    <row r="149" customFormat="false" ht="15" hidden="false" customHeight="false" outlineLevel="0" collapsed="false">
      <c r="B149" s="18" t="s">
        <v>8</v>
      </c>
      <c r="C149" s="19" t="n">
        <v>46136</v>
      </c>
      <c r="D149" s="10" t="n">
        <v>1585</v>
      </c>
      <c r="E149" s="18" t="s">
        <v>146</v>
      </c>
      <c r="F149" s="9" t="n">
        <v>693</v>
      </c>
    </row>
    <row r="150" customFormat="false" ht="15" hidden="false" customHeight="false" outlineLevel="0" collapsed="false">
      <c r="B150" s="18" t="s">
        <v>8</v>
      </c>
      <c r="C150" s="19" t="n">
        <v>45551</v>
      </c>
      <c r="D150" s="10" t="n">
        <v>1585</v>
      </c>
      <c r="E150" s="18" t="s">
        <v>147</v>
      </c>
      <c r="F150" s="9" t="n">
        <v>693</v>
      </c>
    </row>
    <row r="151" customFormat="false" ht="15" hidden="false" customHeight="false" outlineLevel="0" collapsed="false">
      <c r="B151" s="18" t="s">
        <v>8</v>
      </c>
      <c r="C151" s="19" t="n">
        <v>45980</v>
      </c>
      <c r="D151" s="10" t="n">
        <v>1590</v>
      </c>
      <c r="E151" s="18" t="s">
        <v>147</v>
      </c>
      <c r="F151" s="9" t="n">
        <v>693</v>
      </c>
    </row>
    <row r="152" customFormat="false" ht="15" hidden="false" customHeight="false" outlineLevel="0" collapsed="false">
      <c r="B152" s="18" t="s">
        <v>8</v>
      </c>
      <c r="C152" s="19" t="n">
        <v>45826</v>
      </c>
      <c r="D152" s="10" t="n">
        <v>1590</v>
      </c>
      <c r="E152" s="18" t="s">
        <v>148</v>
      </c>
      <c r="F152" s="9" t="n">
        <v>693</v>
      </c>
    </row>
    <row r="153" customFormat="false" ht="15" hidden="false" customHeight="false" outlineLevel="0" collapsed="false">
      <c r="B153" s="18" t="s">
        <v>8</v>
      </c>
      <c r="C153" s="19" t="n">
        <v>45857</v>
      </c>
      <c r="D153" s="10" t="n">
        <v>1590</v>
      </c>
      <c r="E153" s="18" t="s">
        <v>149</v>
      </c>
      <c r="F153" s="9" t="n">
        <v>693</v>
      </c>
    </row>
    <row r="154" customFormat="false" ht="15" hidden="false" customHeight="false" outlineLevel="0" collapsed="false">
      <c r="B154" s="18" t="s">
        <v>8</v>
      </c>
      <c r="C154" s="19" t="n">
        <v>46136</v>
      </c>
      <c r="D154" s="10" t="n">
        <v>1595</v>
      </c>
      <c r="E154" s="18" t="s">
        <v>149</v>
      </c>
      <c r="F154" s="9" t="n">
        <v>693</v>
      </c>
    </row>
    <row r="155" customFormat="false" ht="15" hidden="false" customHeight="false" outlineLevel="0" collapsed="false">
      <c r="B155" s="18" t="s">
        <v>8</v>
      </c>
      <c r="C155" s="19" t="n">
        <v>45881</v>
      </c>
      <c r="D155" s="10" t="n">
        <v>1600</v>
      </c>
      <c r="E155" s="18" t="s">
        <v>150</v>
      </c>
      <c r="F155" s="9" t="n">
        <v>693</v>
      </c>
    </row>
    <row r="156" customFormat="false" ht="15" hidden="false" customHeight="false" outlineLevel="0" collapsed="false">
      <c r="B156" s="18" t="s">
        <v>8</v>
      </c>
      <c r="C156" s="19" t="n">
        <v>45824</v>
      </c>
      <c r="D156" s="10" t="n">
        <v>1600</v>
      </c>
      <c r="E156" s="18" t="s">
        <v>151</v>
      </c>
      <c r="F156" s="9" t="n">
        <v>693</v>
      </c>
    </row>
    <row r="157" customFormat="false" ht="15" hidden="false" customHeight="false" outlineLevel="0" collapsed="false">
      <c r="B157" s="18" t="s">
        <v>8</v>
      </c>
      <c r="C157" s="19" t="n">
        <v>45473</v>
      </c>
      <c r="D157" s="10" t="n">
        <v>1610</v>
      </c>
      <c r="E157" s="18" t="s">
        <v>152</v>
      </c>
      <c r="F157" s="9" t="n">
        <v>693</v>
      </c>
    </row>
    <row r="158" customFormat="false" ht="15" hidden="false" customHeight="false" outlineLevel="0" collapsed="false">
      <c r="B158" s="18" t="s">
        <v>8</v>
      </c>
      <c r="C158" s="19" t="n">
        <v>45692</v>
      </c>
      <c r="D158" s="10" t="n">
        <v>1425</v>
      </c>
      <c r="E158" s="18" t="s">
        <v>153</v>
      </c>
      <c r="F158" s="9" t="n">
        <v>693</v>
      </c>
    </row>
    <row r="159" customFormat="false" ht="15" hidden="false" customHeight="false" outlineLevel="0" collapsed="false">
      <c r="B159" s="18" t="s">
        <v>8</v>
      </c>
      <c r="C159" s="19" t="n">
        <v>46170</v>
      </c>
      <c r="D159" s="10" t="n">
        <v>1625</v>
      </c>
      <c r="E159" s="18" t="s">
        <v>153</v>
      </c>
      <c r="F159" s="9" t="n">
        <v>693</v>
      </c>
    </row>
    <row r="160" customFormat="false" ht="15" hidden="false" customHeight="false" outlineLevel="0" collapsed="false">
      <c r="B160" s="18" t="s">
        <v>8</v>
      </c>
      <c r="C160" s="19" t="n">
        <v>45859</v>
      </c>
      <c r="D160" s="10" t="n">
        <v>1665</v>
      </c>
      <c r="E160" s="18" t="s">
        <v>154</v>
      </c>
      <c r="F160" s="9" t="n">
        <v>693</v>
      </c>
    </row>
    <row r="161" customFormat="false" ht="15" hidden="false" customHeight="false" outlineLevel="0" collapsed="false">
      <c r="B161" s="18" t="s">
        <v>8</v>
      </c>
      <c r="C161" s="19" t="n">
        <v>46081</v>
      </c>
      <c r="D161" s="10" t="n">
        <v>1640</v>
      </c>
      <c r="E161" s="18" t="s">
        <v>154</v>
      </c>
      <c r="F161" s="9" t="n">
        <v>693</v>
      </c>
    </row>
    <row r="162" customFormat="false" ht="15" hidden="false" customHeight="false" outlineLevel="0" collapsed="false">
      <c r="B162" s="18" t="s">
        <v>8</v>
      </c>
      <c r="C162" s="19" t="n">
        <v>45755</v>
      </c>
      <c r="D162" s="10" t="n">
        <v>1520</v>
      </c>
      <c r="E162" s="18" t="s">
        <v>155</v>
      </c>
      <c r="F162" s="9" t="n">
        <v>693</v>
      </c>
    </row>
    <row r="163" customFormat="false" ht="15" hidden="false" customHeight="false" outlineLevel="0" collapsed="false">
      <c r="B163" s="18" t="s">
        <v>8</v>
      </c>
      <c r="C163" s="19" t="n">
        <v>46145</v>
      </c>
      <c r="D163" s="10" t="n">
        <v>1650</v>
      </c>
      <c r="E163" s="18" t="s">
        <v>155</v>
      </c>
      <c r="F163" s="9" t="n">
        <v>693</v>
      </c>
    </row>
    <row r="164" customFormat="false" ht="15" hidden="false" customHeight="false" outlineLevel="0" collapsed="false">
      <c r="B164" s="18" t="s">
        <v>8</v>
      </c>
      <c r="C164" s="19" t="n">
        <v>45646</v>
      </c>
      <c r="D164" s="10" t="n">
        <v>1385</v>
      </c>
      <c r="E164" s="18" t="s">
        <v>156</v>
      </c>
      <c r="F164" s="9" t="n">
        <v>693</v>
      </c>
    </row>
    <row r="165" customFormat="false" ht="15" hidden="false" customHeight="false" outlineLevel="0" collapsed="false">
      <c r="B165" s="18" t="s">
        <v>8</v>
      </c>
      <c r="C165" s="19" t="n">
        <v>45873</v>
      </c>
      <c r="D165" s="10" t="n">
        <v>1499</v>
      </c>
      <c r="E165" s="18" t="s">
        <v>156</v>
      </c>
      <c r="F165" s="9" t="n">
        <v>693</v>
      </c>
    </row>
    <row r="166" customFormat="false" ht="15" hidden="false" customHeight="false" outlineLevel="0" collapsed="false">
      <c r="B166" s="18" t="s">
        <v>8</v>
      </c>
      <c r="C166" s="19" t="n">
        <v>46200</v>
      </c>
      <c r="D166" s="10" t="n">
        <v>1668</v>
      </c>
      <c r="E166" s="18" t="s">
        <v>156</v>
      </c>
      <c r="F166" s="9" t="n">
        <v>693</v>
      </c>
    </row>
    <row r="167" customFormat="false" ht="15" hidden="false" customHeight="false" outlineLevel="0" collapsed="false">
      <c r="B167" s="18" t="s">
        <v>8</v>
      </c>
      <c r="C167" s="19" t="n">
        <v>45535</v>
      </c>
      <c r="D167" s="10" t="n">
        <v>1560</v>
      </c>
      <c r="E167" s="18" t="s">
        <v>157</v>
      </c>
      <c r="F167" s="9" t="n">
        <v>693</v>
      </c>
    </row>
    <row r="168" customFormat="false" ht="15" hidden="false" customHeight="false" outlineLevel="0" collapsed="false">
      <c r="B168" s="18" t="s">
        <v>8</v>
      </c>
      <c r="C168" s="19" t="n">
        <v>45748</v>
      </c>
      <c r="D168" s="10" t="n">
        <v>1485</v>
      </c>
      <c r="E168" s="18" t="s">
        <v>157</v>
      </c>
      <c r="F168" s="9" t="n">
        <v>693</v>
      </c>
    </row>
    <row r="169" customFormat="false" ht="15" hidden="false" customHeight="false" outlineLevel="0" collapsed="false">
      <c r="B169" s="18" t="s">
        <v>8</v>
      </c>
      <c r="C169" s="19" t="n">
        <v>46214</v>
      </c>
      <c r="D169" s="10" t="n">
        <v>1668</v>
      </c>
      <c r="E169" s="18" t="s">
        <v>157</v>
      </c>
      <c r="F169" s="9" t="n">
        <v>693</v>
      </c>
    </row>
    <row r="170" customFormat="false" ht="15" hidden="false" customHeight="false" outlineLevel="0" collapsed="false">
      <c r="B170" s="18" t="s">
        <v>8</v>
      </c>
      <c r="C170" s="19" t="n">
        <v>45839</v>
      </c>
      <c r="D170" s="10" t="n">
        <v>1575</v>
      </c>
      <c r="E170" s="18" t="s">
        <v>158</v>
      </c>
      <c r="F170" s="9" t="n">
        <v>693</v>
      </c>
    </row>
    <row r="171" customFormat="false" ht="15" hidden="false" customHeight="false" outlineLevel="0" collapsed="false">
      <c r="B171" s="18" t="s">
        <v>8</v>
      </c>
      <c r="C171" s="19" t="n">
        <v>46213</v>
      </c>
      <c r="D171" s="10" t="n">
        <v>1678</v>
      </c>
      <c r="E171" s="18" t="s">
        <v>158</v>
      </c>
      <c r="F171" s="9" t="n">
        <v>693</v>
      </c>
    </row>
    <row r="172" customFormat="false" ht="15" hidden="false" customHeight="false" outlineLevel="0" collapsed="false">
      <c r="B172" s="18" t="s">
        <v>8</v>
      </c>
      <c r="C172" s="19" t="n">
        <v>45840</v>
      </c>
      <c r="D172" s="10" t="n">
        <v>1575</v>
      </c>
      <c r="E172" s="18" t="s">
        <v>159</v>
      </c>
      <c r="F172" s="9" t="n">
        <v>693</v>
      </c>
    </row>
    <row r="173" customFormat="false" ht="15" hidden="false" customHeight="false" outlineLevel="0" collapsed="false">
      <c r="B173" s="18" t="s">
        <v>8</v>
      </c>
      <c r="C173" s="19" t="n">
        <v>46200</v>
      </c>
      <c r="D173" s="10" t="n">
        <v>1678</v>
      </c>
      <c r="E173" s="18" t="s">
        <v>159</v>
      </c>
      <c r="F173" s="9" t="n">
        <v>693</v>
      </c>
    </row>
    <row r="174" customFormat="false" ht="15" hidden="false" customHeight="false" outlineLevel="0" collapsed="false">
      <c r="B174" s="18" t="s">
        <v>8</v>
      </c>
      <c r="C174" s="19" t="n">
        <v>45864</v>
      </c>
      <c r="D174" s="10" t="n">
        <v>1600</v>
      </c>
      <c r="E174" s="18" t="s">
        <v>160</v>
      </c>
      <c r="F174" s="9" t="n">
        <v>693</v>
      </c>
    </row>
    <row r="175" customFormat="false" ht="15" hidden="false" customHeight="false" outlineLevel="0" collapsed="false">
      <c r="B175" s="18" t="s">
        <v>8</v>
      </c>
      <c r="C175" s="19" t="n">
        <v>46200</v>
      </c>
      <c r="D175" s="10" t="n">
        <v>1678</v>
      </c>
      <c r="E175" s="18" t="s">
        <v>160</v>
      </c>
      <c r="F175" s="9" t="n">
        <v>693</v>
      </c>
    </row>
    <row r="176" customFormat="false" ht="15" hidden="false" customHeight="false" outlineLevel="0" collapsed="false">
      <c r="B176" s="18" t="s">
        <v>8</v>
      </c>
      <c r="C176" s="19" t="n">
        <v>45535</v>
      </c>
      <c r="D176" s="10" t="n">
        <v>1600</v>
      </c>
      <c r="E176" s="18" t="s">
        <v>161</v>
      </c>
      <c r="F176" s="9" t="n">
        <v>693</v>
      </c>
    </row>
    <row r="177" customFormat="false" ht="15" hidden="false" customHeight="false" outlineLevel="0" collapsed="false">
      <c r="B177" s="18" t="s">
        <v>8</v>
      </c>
      <c r="C177" s="19" t="n">
        <v>45761</v>
      </c>
      <c r="D177" s="10" t="n">
        <v>1520</v>
      </c>
      <c r="E177" s="18" t="s">
        <v>161</v>
      </c>
      <c r="F177" s="9" t="n">
        <v>693</v>
      </c>
    </row>
    <row r="178" customFormat="false" ht="15" hidden="false" customHeight="false" outlineLevel="0" collapsed="false">
      <c r="B178" s="18" t="s">
        <v>8</v>
      </c>
      <c r="C178" s="19" t="n">
        <v>46200</v>
      </c>
      <c r="D178" s="10" t="n">
        <v>1678</v>
      </c>
      <c r="E178" s="18" t="s">
        <v>161</v>
      </c>
      <c r="F178" s="9" t="n">
        <v>693</v>
      </c>
    </row>
    <row r="179" customFormat="false" ht="15" hidden="false" customHeight="false" outlineLevel="0" collapsed="false">
      <c r="B179" s="18" t="s">
        <v>8</v>
      </c>
      <c r="C179" s="19" t="n">
        <v>45851</v>
      </c>
      <c r="D179" s="10" t="n">
        <v>1600</v>
      </c>
      <c r="E179" s="18" t="s">
        <v>162</v>
      </c>
      <c r="F179" s="9" t="n">
        <v>693</v>
      </c>
    </row>
    <row r="180" customFormat="false" ht="15" hidden="false" customHeight="false" outlineLevel="0" collapsed="false">
      <c r="B180" s="18" t="s">
        <v>8</v>
      </c>
      <c r="C180" s="19" t="n">
        <v>46191</v>
      </c>
      <c r="D180" s="10" t="n">
        <v>1678</v>
      </c>
      <c r="E180" s="18" t="s">
        <v>162</v>
      </c>
      <c r="F180" s="9" t="n">
        <v>693</v>
      </c>
    </row>
    <row r="181" customFormat="false" ht="15" hidden="false" customHeight="false" outlineLevel="0" collapsed="false">
      <c r="B181" s="18" t="s">
        <v>8</v>
      </c>
      <c r="C181" s="19" t="n">
        <v>45535</v>
      </c>
      <c r="D181" s="10" t="n">
        <v>1600</v>
      </c>
      <c r="E181" s="18" t="s">
        <v>163</v>
      </c>
      <c r="F181" s="9" t="n">
        <v>693</v>
      </c>
    </row>
    <row r="182" customFormat="false" ht="15" hidden="false" customHeight="false" outlineLevel="0" collapsed="false">
      <c r="B182" s="18" t="s">
        <v>8</v>
      </c>
      <c r="C182" s="19" t="n">
        <v>45667</v>
      </c>
      <c r="D182" s="10" t="n">
        <v>1425</v>
      </c>
      <c r="E182" s="18" t="s">
        <v>163</v>
      </c>
      <c r="F182" s="9" t="n">
        <v>693</v>
      </c>
    </row>
    <row r="183" customFormat="false" ht="15" hidden="false" customHeight="false" outlineLevel="0" collapsed="false">
      <c r="B183" s="18" t="s">
        <v>8</v>
      </c>
      <c r="C183" s="19" t="n">
        <v>46191</v>
      </c>
      <c r="D183" s="10" t="n">
        <v>1678</v>
      </c>
      <c r="E183" s="18" t="s">
        <v>163</v>
      </c>
      <c r="F183" s="9" t="n">
        <v>693</v>
      </c>
    </row>
    <row r="184" customFormat="false" ht="15" hidden="false" customHeight="false" outlineLevel="0" collapsed="false">
      <c r="B184" s="18" t="s">
        <v>8</v>
      </c>
      <c r="C184" s="19" t="n">
        <v>45938</v>
      </c>
      <c r="D184" s="10" t="n">
        <v>1349</v>
      </c>
      <c r="E184" s="18" t="s">
        <v>164</v>
      </c>
      <c r="F184" s="9" t="n">
        <v>693</v>
      </c>
    </row>
    <row r="185" customFormat="false" ht="15" hidden="false" customHeight="false" outlineLevel="0" collapsed="false">
      <c r="B185" s="18" t="s">
        <v>8</v>
      </c>
      <c r="C185" s="19" t="n">
        <v>46200</v>
      </c>
      <c r="D185" s="10" t="n">
        <v>1693</v>
      </c>
      <c r="E185" s="18" t="s">
        <v>164</v>
      </c>
      <c r="F185" s="9" t="n">
        <v>693</v>
      </c>
    </row>
    <row r="186" customFormat="false" ht="15" hidden="false" customHeight="false" outlineLevel="0" collapsed="false">
      <c r="B186" s="18" t="s">
        <v>8</v>
      </c>
      <c r="C186" s="19" t="n">
        <v>45870</v>
      </c>
      <c r="D186" s="10" t="n">
        <v>1475</v>
      </c>
      <c r="E186" s="18" t="s">
        <v>165</v>
      </c>
      <c r="F186" s="9" t="n">
        <v>693</v>
      </c>
    </row>
    <row r="187" customFormat="false" ht="15" hidden="false" customHeight="false" outlineLevel="0" collapsed="false">
      <c r="B187" s="18" t="s">
        <v>8</v>
      </c>
      <c r="C187" s="19" t="n">
        <v>46230</v>
      </c>
      <c r="D187" s="10" t="n">
        <v>1703</v>
      </c>
      <c r="E187" s="18" t="s">
        <v>165</v>
      </c>
      <c r="F187" s="9" t="n">
        <v>693</v>
      </c>
    </row>
    <row r="188" customFormat="false" ht="15" hidden="false" customHeight="false" outlineLevel="0" collapsed="false">
      <c r="B188" s="18" t="s">
        <v>8</v>
      </c>
      <c r="C188" s="19" t="n">
        <v>45776</v>
      </c>
      <c r="D188" s="10" t="n">
        <v>1590</v>
      </c>
      <c r="E188" s="18" t="s">
        <v>166</v>
      </c>
      <c r="F188" s="9" t="n">
        <v>693</v>
      </c>
    </row>
    <row r="189" customFormat="false" ht="15" hidden="false" customHeight="false" outlineLevel="0" collapsed="false">
      <c r="B189" s="18" t="s">
        <v>8</v>
      </c>
      <c r="C189" s="19" t="n">
        <v>46191</v>
      </c>
      <c r="D189" s="10" t="n">
        <v>1713</v>
      </c>
      <c r="E189" s="18" t="s">
        <v>166</v>
      </c>
      <c r="F189" s="9" t="n">
        <v>693</v>
      </c>
    </row>
    <row r="190" customFormat="false" ht="15" hidden="false" customHeight="false" outlineLevel="0" collapsed="false">
      <c r="B190" s="18" t="s">
        <v>8</v>
      </c>
      <c r="C190" s="19" t="n">
        <v>45536</v>
      </c>
      <c r="D190" s="10" t="n">
        <v>1610</v>
      </c>
      <c r="E190" s="18" t="s">
        <v>167</v>
      </c>
      <c r="F190" s="9" t="n">
        <v>693</v>
      </c>
    </row>
    <row r="191" customFormat="false" ht="15" hidden="false" customHeight="false" outlineLevel="0" collapsed="false">
      <c r="B191" s="18" t="s">
        <v>8</v>
      </c>
      <c r="C191" s="19" t="n">
        <v>46087</v>
      </c>
      <c r="D191" s="10" t="n">
        <v>1575</v>
      </c>
      <c r="E191" s="18" t="s">
        <v>167</v>
      </c>
      <c r="F191" s="9" t="n">
        <v>693</v>
      </c>
    </row>
    <row r="192" customFormat="false" ht="15" hidden="false" customHeight="false" outlineLevel="0" collapsed="false">
      <c r="B192" s="18" t="s">
        <v>8</v>
      </c>
      <c r="C192" s="19" t="n">
        <v>45699</v>
      </c>
      <c r="D192" s="10" t="n">
        <v>1450</v>
      </c>
      <c r="E192" s="18" t="s">
        <v>168</v>
      </c>
      <c r="F192" s="9" t="n">
        <v>693</v>
      </c>
    </row>
    <row r="193" customFormat="false" ht="15" hidden="false" customHeight="false" outlineLevel="0" collapsed="false">
      <c r="B193" s="18" t="s">
        <v>8</v>
      </c>
      <c r="C193" s="19" t="n">
        <v>46079</v>
      </c>
      <c r="D193" s="10" t="n">
        <v>1475</v>
      </c>
      <c r="E193" s="18" t="s">
        <v>168</v>
      </c>
      <c r="F193" s="9" t="n">
        <v>693</v>
      </c>
    </row>
    <row r="194" customFormat="false" ht="15" hidden="false" customHeight="false" outlineLevel="0" collapsed="false">
      <c r="B194" s="18" t="s">
        <v>8</v>
      </c>
      <c r="C194" s="19" t="n">
        <v>45960</v>
      </c>
      <c r="D194" s="10" t="n">
        <v>1349</v>
      </c>
      <c r="E194" s="18" t="s">
        <v>169</v>
      </c>
      <c r="F194" s="9" t="n">
        <v>693</v>
      </c>
    </row>
    <row r="195" customFormat="false" ht="15" hidden="false" customHeight="false" outlineLevel="0" collapsed="false">
      <c r="B195" s="18" t="s">
        <v>8</v>
      </c>
      <c r="C195" s="19" t="n">
        <v>46200</v>
      </c>
      <c r="D195" s="10" t="n">
        <v>1718</v>
      </c>
      <c r="E195" s="18" t="s">
        <v>169</v>
      </c>
      <c r="F195" s="9" t="n">
        <v>693</v>
      </c>
    </row>
    <row r="196" customFormat="false" ht="15" hidden="false" customHeight="false" outlineLevel="0" collapsed="false">
      <c r="B196" s="18" t="s">
        <v>8</v>
      </c>
      <c r="C196" s="19" t="n">
        <v>45939</v>
      </c>
      <c r="D196" s="10" t="n">
        <v>1349</v>
      </c>
      <c r="E196" s="18" t="s">
        <v>170</v>
      </c>
      <c r="F196" s="9" t="n">
        <v>693</v>
      </c>
    </row>
    <row r="197" customFormat="false" ht="15" hidden="false" customHeight="false" outlineLevel="0" collapsed="false">
      <c r="B197" s="18" t="s">
        <v>8</v>
      </c>
      <c r="C197" s="19" t="n">
        <v>46200</v>
      </c>
      <c r="D197" s="10" t="n">
        <v>1718</v>
      </c>
      <c r="E197" s="18" t="s">
        <v>170</v>
      </c>
      <c r="F197" s="9" t="n">
        <v>693</v>
      </c>
    </row>
    <row r="198" customFormat="false" ht="15" hidden="false" customHeight="false" outlineLevel="0" collapsed="false">
      <c r="B198" s="18" t="s">
        <v>8</v>
      </c>
      <c r="C198" s="19" t="n">
        <v>45563</v>
      </c>
      <c r="D198" s="10" t="n">
        <v>1575</v>
      </c>
      <c r="E198" s="18" t="s">
        <v>171</v>
      </c>
      <c r="F198" s="9" t="n">
        <v>693</v>
      </c>
    </row>
    <row r="199" customFormat="false" ht="15" hidden="false" customHeight="false" outlineLevel="0" collapsed="false">
      <c r="B199" s="18" t="s">
        <v>8</v>
      </c>
      <c r="C199" s="19" t="n">
        <v>45839</v>
      </c>
      <c r="D199" s="10" t="n">
        <v>1600</v>
      </c>
      <c r="E199" s="18" t="s">
        <v>171</v>
      </c>
      <c r="F199" s="9" t="n">
        <v>693</v>
      </c>
    </row>
    <row r="200" customFormat="false" ht="15" hidden="false" customHeight="false" outlineLevel="0" collapsed="false">
      <c r="B200" s="18" t="s">
        <v>8</v>
      </c>
      <c r="C200" s="19" t="n">
        <v>45535</v>
      </c>
      <c r="D200" s="10" t="n">
        <v>1575</v>
      </c>
      <c r="E200" s="18" t="s">
        <v>172</v>
      </c>
      <c r="F200" s="9" t="n">
        <v>693</v>
      </c>
    </row>
    <row r="201" customFormat="false" ht="15" hidden="false" customHeight="false" outlineLevel="0" collapsed="false">
      <c r="B201" s="18" t="s">
        <v>8</v>
      </c>
      <c r="C201" s="19" t="n">
        <v>45704</v>
      </c>
      <c r="D201" s="10" t="n">
        <v>1425</v>
      </c>
      <c r="E201" s="18" t="s">
        <v>172</v>
      </c>
      <c r="F201" s="9" t="n">
        <v>693</v>
      </c>
    </row>
    <row r="202" customFormat="false" ht="15" hidden="false" customHeight="false" outlineLevel="0" collapsed="false">
      <c r="B202" s="18" t="s">
        <v>8</v>
      </c>
      <c r="C202" s="19" t="n">
        <v>45873</v>
      </c>
      <c r="D202" s="10" t="n">
        <v>1525</v>
      </c>
      <c r="E202" s="18" t="s">
        <v>172</v>
      </c>
      <c r="F202" s="9" t="n">
        <v>693</v>
      </c>
    </row>
    <row r="203" customFormat="false" ht="15" hidden="false" customHeight="false" outlineLevel="0" collapsed="false">
      <c r="B203" s="18" t="s">
        <v>8</v>
      </c>
      <c r="C203" s="19" t="n">
        <v>45645</v>
      </c>
      <c r="D203" s="10" t="n">
        <v>1400</v>
      </c>
      <c r="E203" s="18" t="s">
        <v>173</v>
      </c>
      <c r="F203" s="9" t="n">
        <v>693</v>
      </c>
    </row>
    <row r="204" customFormat="false" ht="15" hidden="false" customHeight="false" outlineLevel="0" collapsed="false">
      <c r="B204" s="18" t="s">
        <v>8</v>
      </c>
      <c r="C204" s="19" t="n">
        <v>45813</v>
      </c>
      <c r="D204" s="10" t="n">
        <v>1685</v>
      </c>
      <c r="E204" s="18" t="s">
        <v>174</v>
      </c>
      <c r="F204" s="9" t="n">
        <v>693</v>
      </c>
    </row>
    <row r="205" customFormat="false" ht="15" hidden="false" customHeight="false" outlineLevel="0" collapsed="false">
      <c r="B205" s="18" t="s">
        <v>8</v>
      </c>
      <c r="C205" s="19" t="n">
        <v>46191</v>
      </c>
      <c r="D205" s="10" t="n">
        <v>1738</v>
      </c>
      <c r="E205" s="18" t="s">
        <v>174</v>
      </c>
      <c r="F205" s="9" t="n">
        <v>693</v>
      </c>
    </row>
    <row r="206" customFormat="false" ht="15" hidden="false" customHeight="false" outlineLevel="0" collapsed="false">
      <c r="B206" s="18" t="s">
        <v>8</v>
      </c>
      <c r="C206" s="19" t="n">
        <v>45521</v>
      </c>
      <c r="D206" s="10" t="n">
        <v>1575</v>
      </c>
      <c r="E206" s="18" t="s">
        <v>175</v>
      </c>
      <c r="F206" s="9" t="n">
        <v>693</v>
      </c>
    </row>
    <row r="207" customFormat="false" ht="15" hidden="false" customHeight="false" outlineLevel="0" collapsed="false">
      <c r="B207" s="18" t="s">
        <v>8</v>
      </c>
      <c r="C207" s="19" t="n">
        <v>46220</v>
      </c>
      <c r="D207" s="10" t="n">
        <v>1745</v>
      </c>
      <c r="E207" s="18" t="s">
        <v>175</v>
      </c>
      <c r="F207" s="9" t="n">
        <v>693</v>
      </c>
    </row>
    <row r="208" customFormat="false" ht="15" hidden="false" customHeight="false" outlineLevel="0" collapsed="false">
      <c r="B208" s="18" t="s">
        <v>9</v>
      </c>
      <c r="C208" s="19" t="n">
        <v>45535</v>
      </c>
      <c r="D208" s="10" t="n">
        <v>1714</v>
      </c>
      <c r="E208" s="18" t="s">
        <v>176</v>
      </c>
      <c r="F208" s="9" t="n">
        <v>746</v>
      </c>
    </row>
    <row r="209" customFormat="false" ht="15" hidden="false" customHeight="false" outlineLevel="0" collapsed="false">
      <c r="B209" s="18" t="s">
        <v>9</v>
      </c>
      <c r="C209" s="19" t="n">
        <v>46086</v>
      </c>
      <c r="D209" s="10" t="n">
        <v>1450</v>
      </c>
      <c r="E209" s="18" t="s">
        <v>176</v>
      </c>
      <c r="F209" s="9" t="n">
        <v>746</v>
      </c>
    </row>
    <row r="210" customFormat="false" ht="15" hidden="false" customHeight="false" outlineLevel="0" collapsed="false">
      <c r="B210" s="18" t="s">
        <v>9</v>
      </c>
      <c r="C210" s="19" t="n">
        <v>45543</v>
      </c>
      <c r="D210" s="10" t="n">
        <v>1664</v>
      </c>
      <c r="E210" s="18" t="s">
        <v>177</v>
      </c>
      <c r="F210" s="9" t="n">
        <v>746</v>
      </c>
    </row>
    <row r="211" customFormat="false" ht="15" hidden="false" customHeight="false" outlineLevel="0" collapsed="false">
      <c r="B211" s="18" t="s">
        <v>9</v>
      </c>
      <c r="C211" s="19" t="n">
        <v>45999</v>
      </c>
      <c r="D211" s="10" t="n">
        <v>1465</v>
      </c>
      <c r="E211" s="18" t="s">
        <v>177</v>
      </c>
      <c r="F211" s="9" t="n">
        <v>746</v>
      </c>
    </row>
    <row r="212" customFormat="false" ht="15" hidden="false" customHeight="false" outlineLevel="0" collapsed="false">
      <c r="B212" s="18" t="s">
        <v>9</v>
      </c>
      <c r="C212" s="19" t="n">
        <v>46059</v>
      </c>
      <c r="D212" s="10" t="n">
        <v>1475</v>
      </c>
      <c r="E212" s="18" t="s">
        <v>178</v>
      </c>
      <c r="F212" s="9" t="n">
        <v>746</v>
      </c>
    </row>
    <row r="213" customFormat="false" ht="15" hidden="false" customHeight="false" outlineLevel="0" collapsed="false">
      <c r="B213" s="18" t="s">
        <v>9</v>
      </c>
      <c r="C213" s="19" t="n">
        <v>46063</v>
      </c>
      <c r="D213" s="10" t="n">
        <v>1495</v>
      </c>
      <c r="E213" s="18" t="s">
        <v>179</v>
      </c>
      <c r="F213" s="9" t="n">
        <v>746</v>
      </c>
    </row>
    <row r="214" customFormat="false" ht="15" hidden="false" customHeight="false" outlineLevel="0" collapsed="false">
      <c r="B214" s="18" t="s">
        <v>9</v>
      </c>
      <c r="C214" s="19" t="n">
        <v>46050</v>
      </c>
      <c r="D214" s="10" t="n">
        <v>1495</v>
      </c>
      <c r="E214" s="18" t="s">
        <v>180</v>
      </c>
      <c r="F214" s="9" t="n">
        <v>746</v>
      </c>
    </row>
    <row r="215" customFormat="false" ht="15" hidden="false" customHeight="false" outlineLevel="0" collapsed="false">
      <c r="B215" s="18" t="s">
        <v>9</v>
      </c>
      <c r="C215" s="19" t="n">
        <v>46064</v>
      </c>
      <c r="D215" s="10" t="n">
        <v>1495</v>
      </c>
      <c r="E215" s="18" t="s">
        <v>181</v>
      </c>
      <c r="F215" s="9" t="n">
        <v>746</v>
      </c>
    </row>
    <row r="216" customFormat="false" ht="15" hidden="false" customHeight="false" outlineLevel="0" collapsed="false">
      <c r="B216" s="18" t="s">
        <v>9</v>
      </c>
      <c r="C216" s="19" t="n">
        <v>46036</v>
      </c>
      <c r="D216" s="10" t="n">
        <v>1495</v>
      </c>
      <c r="E216" s="18" t="s">
        <v>182</v>
      </c>
      <c r="F216" s="9" t="n">
        <v>746</v>
      </c>
    </row>
    <row r="217" customFormat="false" ht="15" hidden="false" customHeight="false" outlineLevel="0" collapsed="false">
      <c r="B217" s="18" t="s">
        <v>9</v>
      </c>
      <c r="C217" s="19" t="n">
        <v>45553</v>
      </c>
      <c r="D217" s="10" t="n">
        <v>1664</v>
      </c>
      <c r="E217" s="18" t="s">
        <v>183</v>
      </c>
      <c r="F217" s="9" t="n">
        <v>746</v>
      </c>
    </row>
    <row r="218" customFormat="false" ht="15" hidden="false" customHeight="false" outlineLevel="0" collapsed="false">
      <c r="B218" s="18" t="s">
        <v>9</v>
      </c>
      <c r="C218" s="19" t="n">
        <v>45983</v>
      </c>
      <c r="D218" s="10" t="n">
        <v>1499</v>
      </c>
      <c r="E218" s="18" t="s">
        <v>183</v>
      </c>
      <c r="F218" s="9" t="n">
        <v>746</v>
      </c>
    </row>
    <row r="219" customFormat="false" ht="15" hidden="false" customHeight="false" outlineLevel="0" collapsed="false">
      <c r="B219" s="18" t="s">
        <v>9</v>
      </c>
      <c r="C219" s="19" t="n">
        <v>46004</v>
      </c>
      <c r="D219" s="10" t="n">
        <v>1499</v>
      </c>
      <c r="E219" s="18" t="s">
        <v>184</v>
      </c>
      <c r="F219" s="9" t="n">
        <v>746</v>
      </c>
    </row>
    <row r="220" customFormat="false" ht="15" hidden="false" customHeight="false" outlineLevel="0" collapsed="false">
      <c r="B220" s="18" t="s">
        <v>9</v>
      </c>
      <c r="C220" s="19" t="n">
        <v>45953</v>
      </c>
      <c r="D220" s="10" t="n">
        <v>1499</v>
      </c>
      <c r="E220" s="18" t="s">
        <v>185</v>
      </c>
      <c r="F220" s="9" t="n">
        <v>746</v>
      </c>
    </row>
    <row r="221" customFormat="false" ht="15" hidden="false" customHeight="false" outlineLevel="0" collapsed="false">
      <c r="B221" s="18" t="s">
        <v>9</v>
      </c>
      <c r="C221" s="19" t="n">
        <v>45987</v>
      </c>
      <c r="D221" s="10" t="n">
        <v>1499</v>
      </c>
      <c r="E221" s="18" t="s">
        <v>186</v>
      </c>
      <c r="F221" s="9" t="n">
        <v>746</v>
      </c>
    </row>
    <row r="222" customFormat="false" ht="15" hidden="false" customHeight="false" outlineLevel="0" collapsed="false">
      <c r="B222" s="18" t="s">
        <v>9</v>
      </c>
      <c r="C222" s="19" t="n">
        <v>45538</v>
      </c>
      <c r="D222" s="10" t="n">
        <v>1689</v>
      </c>
      <c r="E222" s="18" t="s">
        <v>187</v>
      </c>
      <c r="F222" s="9" t="n">
        <v>746</v>
      </c>
    </row>
    <row r="223" customFormat="false" ht="15" hidden="false" customHeight="false" outlineLevel="0" collapsed="false">
      <c r="B223" s="18" t="s">
        <v>9</v>
      </c>
      <c r="C223" s="19" t="n">
        <v>46006</v>
      </c>
      <c r="D223" s="10" t="n">
        <v>1499</v>
      </c>
      <c r="E223" s="18" t="s">
        <v>187</v>
      </c>
      <c r="F223" s="9" t="n">
        <v>746</v>
      </c>
    </row>
    <row r="224" customFormat="false" ht="15" hidden="false" customHeight="false" outlineLevel="0" collapsed="false">
      <c r="B224" s="18" t="s">
        <v>9</v>
      </c>
      <c r="C224" s="19" t="n">
        <v>45967</v>
      </c>
      <c r="D224" s="10" t="n">
        <v>1499</v>
      </c>
      <c r="E224" s="18" t="s">
        <v>188</v>
      </c>
      <c r="F224" s="9" t="n">
        <v>746</v>
      </c>
    </row>
    <row r="225" customFormat="false" ht="15" hidden="false" customHeight="false" outlineLevel="0" collapsed="false">
      <c r="B225" s="18" t="s">
        <v>9</v>
      </c>
      <c r="C225" s="19" t="n">
        <v>45515</v>
      </c>
      <c r="D225" s="10" t="n">
        <v>1689</v>
      </c>
      <c r="E225" s="18" t="s">
        <v>189</v>
      </c>
      <c r="F225" s="9" t="n">
        <v>746</v>
      </c>
    </row>
    <row r="226" customFormat="false" ht="15" hidden="false" customHeight="false" outlineLevel="0" collapsed="false">
      <c r="B226" s="18" t="s">
        <v>9</v>
      </c>
      <c r="C226" s="19" t="n">
        <v>45928</v>
      </c>
      <c r="D226" s="10" t="n">
        <v>1499</v>
      </c>
      <c r="E226" s="18" t="s">
        <v>189</v>
      </c>
      <c r="F226" s="9" t="n">
        <v>746</v>
      </c>
    </row>
    <row r="227" customFormat="false" ht="15" hidden="false" customHeight="false" outlineLevel="0" collapsed="false">
      <c r="B227" s="18" t="s">
        <v>9</v>
      </c>
      <c r="C227" s="19" t="n">
        <v>46077</v>
      </c>
      <c r="D227" s="10" t="n">
        <v>1500</v>
      </c>
      <c r="E227" s="18" t="s">
        <v>189</v>
      </c>
      <c r="F227" s="9" t="n">
        <v>746</v>
      </c>
    </row>
    <row r="228" customFormat="false" ht="15" hidden="false" customHeight="false" outlineLevel="0" collapsed="false">
      <c r="B228" s="18" t="s">
        <v>9</v>
      </c>
      <c r="C228" s="19" t="n">
        <v>45546</v>
      </c>
      <c r="D228" s="10" t="n">
        <v>1714</v>
      </c>
      <c r="E228" s="18" t="s">
        <v>190</v>
      </c>
      <c r="F228" s="9" t="n">
        <v>746</v>
      </c>
    </row>
    <row r="229" customFormat="false" ht="15" hidden="false" customHeight="false" outlineLevel="0" collapsed="false">
      <c r="B229" s="18" t="s">
        <v>9</v>
      </c>
      <c r="C229" s="19" t="n">
        <v>46139</v>
      </c>
      <c r="D229" s="10" t="n">
        <v>1610</v>
      </c>
      <c r="E229" s="18" t="s">
        <v>190</v>
      </c>
      <c r="F229" s="9" t="n">
        <v>746</v>
      </c>
    </row>
    <row r="230" customFormat="false" ht="15" hidden="false" customHeight="false" outlineLevel="0" collapsed="false">
      <c r="B230" s="18" t="s">
        <v>9</v>
      </c>
      <c r="C230" s="19" t="n">
        <v>45557</v>
      </c>
      <c r="D230" s="10" t="n">
        <v>1714</v>
      </c>
      <c r="E230" s="18" t="s">
        <v>191</v>
      </c>
      <c r="F230" s="9" t="n">
        <v>746</v>
      </c>
    </row>
    <row r="231" customFormat="false" ht="15" hidden="false" customHeight="false" outlineLevel="0" collapsed="false">
      <c r="B231" s="18" t="s">
        <v>9</v>
      </c>
      <c r="C231" s="19" t="n">
        <v>45942</v>
      </c>
      <c r="D231" s="10" t="n">
        <v>1499</v>
      </c>
      <c r="E231" s="18" t="s">
        <v>191</v>
      </c>
      <c r="F231" s="9" t="n">
        <v>746</v>
      </c>
    </row>
    <row r="232" customFormat="false" ht="15" hidden="false" customHeight="false" outlineLevel="0" collapsed="false">
      <c r="B232" s="18" t="s">
        <v>9</v>
      </c>
      <c r="C232" s="19" t="n">
        <v>46125</v>
      </c>
      <c r="D232" s="10" t="n">
        <v>1615</v>
      </c>
      <c r="E232" s="18" t="s">
        <v>191</v>
      </c>
      <c r="F232" s="9" t="n">
        <v>746</v>
      </c>
    </row>
    <row r="233" customFormat="false" ht="15" hidden="false" customHeight="false" outlineLevel="0" collapsed="false">
      <c r="B233" s="18" t="s">
        <v>9</v>
      </c>
      <c r="C233" s="19" t="n">
        <v>45562</v>
      </c>
      <c r="D233" s="10" t="n">
        <v>1714</v>
      </c>
      <c r="E233" s="18" t="s">
        <v>192</v>
      </c>
      <c r="F233" s="9" t="n">
        <v>746</v>
      </c>
    </row>
    <row r="234" customFormat="false" ht="15" hidden="false" customHeight="false" outlineLevel="0" collapsed="false">
      <c r="B234" s="18" t="s">
        <v>9</v>
      </c>
      <c r="C234" s="19" t="n">
        <v>46112</v>
      </c>
      <c r="D234" s="10" t="n">
        <v>1625</v>
      </c>
      <c r="E234" s="18" t="s">
        <v>192</v>
      </c>
      <c r="F234" s="9" t="n">
        <v>746</v>
      </c>
    </row>
    <row r="235" customFormat="false" ht="15" hidden="false" customHeight="false" outlineLevel="0" collapsed="false">
      <c r="B235" s="18" t="s">
        <v>9</v>
      </c>
      <c r="C235" s="19" t="n">
        <v>45589</v>
      </c>
      <c r="D235" s="10" t="n">
        <v>1689</v>
      </c>
      <c r="E235" s="18" t="s">
        <v>193</v>
      </c>
      <c r="F235" s="9" t="n">
        <v>746</v>
      </c>
    </row>
    <row r="236" customFormat="false" ht="15" hidden="false" customHeight="false" outlineLevel="0" collapsed="false">
      <c r="B236" s="18" t="s">
        <v>9</v>
      </c>
      <c r="C236" s="19" t="n">
        <v>46114</v>
      </c>
      <c r="D236" s="10" t="n">
        <v>1635</v>
      </c>
      <c r="E236" s="18" t="s">
        <v>193</v>
      </c>
      <c r="F236" s="9" t="n">
        <v>746</v>
      </c>
    </row>
    <row r="237" customFormat="false" ht="15" hidden="false" customHeight="false" outlineLevel="0" collapsed="false">
      <c r="B237" s="18" t="s">
        <v>9</v>
      </c>
      <c r="C237" s="19" t="n">
        <v>45521</v>
      </c>
      <c r="D237" s="10" t="n">
        <v>1689</v>
      </c>
      <c r="E237" s="18" t="s">
        <v>194</v>
      </c>
      <c r="F237" s="9" t="n">
        <v>746</v>
      </c>
    </row>
    <row r="238" customFormat="false" ht="15" hidden="false" customHeight="false" outlineLevel="0" collapsed="false">
      <c r="B238" s="18" t="s">
        <v>9</v>
      </c>
      <c r="C238" s="19" t="n">
        <v>46110</v>
      </c>
      <c r="D238" s="10" t="n">
        <v>1635</v>
      </c>
      <c r="E238" s="18" t="s">
        <v>194</v>
      </c>
      <c r="F238" s="9" t="n">
        <v>746</v>
      </c>
    </row>
    <row r="239" customFormat="false" ht="15" hidden="false" customHeight="false" outlineLevel="0" collapsed="false">
      <c r="B239" s="18" t="s">
        <v>9</v>
      </c>
      <c r="C239" s="19" t="n">
        <v>45583</v>
      </c>
      <c r="D239" s="10" t="n">
        <v>1664</v>
      </c>
      <c r="E239" s="18" t="s">
        <v>195</v>
      </c>
      <c r="F239" s="9" t="n">
        <v>746</v>
      </c>
    </row>
    <row r="240" customFormat="false" ht="15" hidden="false" customHeight="false" outlineLevel="0" collapsed="false">
      <c r="B240" s="18" t="s">
        <v>9</v>
      </c>
      <c r="C240" s="19" t="n">
        <v>46007</v>
      </c>
      <c r="D240" s="10" t="n">
        <v>1644</v>
      </c>
      <c r="E240" s="18" t="s">
        <v>195</v>
      </c>
      <c r="F240" s="9" t="n">
        <v>746</v>
      </c>
    </row>
    <row r="241" customFormat="false" ht="15" hidden="false" customHeight="false" outlineLevel="0" collapsed="false">
      <c r="B241" s="18" t="s">
        <v>9</v>
      </c>
      <c r="C241" s="19" t="n">
        <v>46040</v>
      </c>
      <c r="D241" s="10" t="n">
        <v>1644</v>
      </c>
      <c r="E241" s="18" t="s">
        <v>196</v>
      </c>
      <c r="F241" s="9" t="n">
        <v>746</v>
      </c>
    </row>
    <row r="242" customFormat="false" ht="15" hidden="false" customHeight="false" outlineLevel="0" collapsed="false">
      <c r="B242" s="18" t="s">
        <v>9</v>
      </c>
      <c r="C242" s="19" t="n">
        <v>45908</v>
      </c>
      <c r="D242" s="10" t="n">
        <v>1694</v>
      </c>
      <c r="E242" s="18" t="s">
        <v>197</v>
      </c>
      <c r="F242" s="9" t="n">
        <v>746</v>
      </c>
    </row>
    <row r="243" customFormat="false" ht="15" hidden="false" customHeight="false" outlineLevel="0" collapsed="false">
      <c r="B243" s="18" t="s">
        <v>9</v>
      </c>
      <c r="C243" s="19" t="n">
        <v>46069</v>
      </c>
      <c r="D243" s="10" t="n">
        <v>1644</v>
      </c>
      <c r="E243" s="18" t="s">
        <v>197</v>
      </c>
      <c r="F243" s="9" t="n">
        <v>746</v>
      </c>
    </row>
    <row r="244" customFormat="false" ht="15" hidden="false" customHeight="false" outlineLevel="0" collapsed="false">
      <c r="B244" s="18" t="s">
        <v>9</v>
      </c>
      <c r="C244" s="19" t="n">
        <v>45616</v>
      </c>
      <c r="D244" s="10" t="n">
        <v>1664</v>
      </c>
      <c r="E244" s="18" t="s">
        <v>198</v>
      </c>
      <c r="F244" s="9" t="n">
        <v>746</v>
      </c>
    </row>
    <row r="245" customFormat="false" ht="15" hidden="false" customHeight="false" outlineLevel="0" collapsed="false">
      <c r="B245" s="18" t="s">
        <v>9</v>
      </c>
      <c r="C245" s="19" t="n">
        <v>46071</v>
      </c>
      <c r="D245" s="10" t="n">
        <v>1644</v>
      </c>
      <c r="E245" s="18" t="s">
        <v>198</v>
      </c>
      <c r="F245" s="9" t="n">
        <v>746</v>
      </c>
    </row>
    <row r="246" customFormat="false" ht="15" hidden="false" customHeight="false" outlineLevel="0" collapsed="false">
      <c r="B246" s="18" t="s">
        <v>9</v>
      </c>
      <c r="C246" s="19" t="n">
        <v>46095</v>
      </c>
      <c r="D246" s="10" t="n">
        <v>1650</v>
      </c>
      <c r="E246" s="18" t="s">
        <v>199</v>
      </c>
      <c r="F246" s="9" t="n">
        <v>746</v>
      </c>
    </row>
    <row r="247" customFormat="false" ht="15" hidden="false" customHeight="false" outlineLevel="0" collapsed="false">
      <c r="B247" s="18" t="s">
        <v>9</v>
      </c>
      <c r="C247" s="19" t="n">
        <v>45603</v>
      </c>
      <c r="D247" s="10" t="n">
        <v>1664</v>
      </c>
      <c r="E247" s="18" t="s">
        <v>200</v>
      </c>
      <c r="F247" s="9" t="n">
        <v>746</v>
      </c>
    </row>
    <row r="248" customFormat="false" ht="15" hidden="false" customHeight="false" outlineLevel="0" collapsed="false">
      <c r="B248" s="18" t="s">
        <v>9</v>
      </c>
      <c r="C248" s="19" t="n">
        <v>46020</v>
      </c>
      <c r="D248" s="10" t="n">
        <v>1664</v>
      </c>
      <c r="E248" s="18" t="s">
        <v>201</v>
      </c>
      <c r="F248" s="9" t="n">
        <v>746</v>
      </c>
    </row>
    <row r="249" customFormat="false" ht="15" hidden="false" customHeight="false" outlineLevel="0" collapsed="false">
      <c r="B249" s="18" t="s">
        <v>9</v>
      </c>
      <c r="C249" s="19" t="n">
        <v>45846</v>
      </c>
      <c r="D249" s="10" t="n">
        <v>1669</v>
      </c>
      <c r="E249" s="18" t="s">
        <v>202</v>
      </c>
      <c r="F249" s="9" t="n">
        <v>746</v>
      </c>
    </row>
    <row r="250" customFormat="false" ht="15" hidden="false" customHeight="false" outlineLevel="0" collapsed="false">
      <c r="B250" s="18" t="s">
        <v>9</v>
      </c>
      <c r="C250" s="19" t="n">
        <v>45535</v>
      </c>
      <c r="D250" s="10" t="n">
        <v>1664</v>
      </c>
      <c r="E250" s="18" t="s">
        <v>203</v>
      </c>
      <c r="F250" s="9" t="n">
        <v>746</v>
      </c>
    </row>
    <row r="251" customFormat="false" ht="15" hidden="false" customHeight="false" outlineLevel="0" collapsed="false">
      <c r="B251" s="18" t="s">
        <v>9</v>
      </c>
      <c r="C251" s="19" t="n">
        <v>45841</v>
      </c>
      <c r="D251" s="10" t="n">
        <v>1669</v>
      </c>
      <c r="E251" s="18" t="s">
        <v>203</v>
      </c>
      <c r="F251" s="9" t="n">
        <v>746</v>
      </c>
    </row>
    <row r="252" customFormat="false" ht="15" hidden="false" customHeight="false" outlineLevel="0" collapsed="false">
      <c r="B252" s="18" t="s">
        <v>9</v>
      </c>
      <c r="C252" s="19" t="n">
        <v>45535</v>
      </c>
      <c r="D252" s="10" t="n">
        <v>1689</v>
      </c>
      <c r="E252" s="18" t="s">
        <v>204</v>
      </c>
      <c r="F252" s="9" t="n">
        <v>746</v>
      </c>
    </row>
    <row r="253" customFormat="false" ht="15" hidden="false" customHeight="false" outlineLevel="0" collapsed="false">
      <c r="B253" s="18" t="s">
        <v>9</v>
      </c>
      <c r="C253" s="19" t="n">
        <v>45662</v>
      </c>
      <c r="D253" s="10" t="n">
        <v>1689</v>
      </c>
      <c r="E253" s="18" t="s">
        <v>204</v>
      </c>
      <c r="F253" s="9" t="n">
        <v>746</v>
      </c>
    </row>
    <row r="254" customFormat="false" ht="15" hidden="false" customHeight="false" outlineLevel="0" collapsed="false">
      <c r="B254" s="18" t="s">
        <v>9</v>
      </c>
      <c r="C254" s="19" t="n">
        <v>46077</v>
      </c>
      <c r="D254" s="10" t="n">
        <v>1689</v>
      </c>
      <c r="E254" s="18" t="s">
        <v>204</v>
      </c>
      <c r="F254" s="9" t="n">
        <v>746</v>
      </c>
    </row>
    <row r="255" customFormat="false" ht="15" hidden="false" customHeight="false" outlineLevel="0" collapsed="false">
      <c r="B255" s="18" t="s">
        <v>9</v>
      </c>
      <c r="C255" s="19" t="n">
        <v>45942</v>
      </c>
      <c r="D255" s="10" t="n">
        <v>1689</v>
      </c>
      <c r="E255" s="18" t="s">
        <v>205</v>
      </c>
      <c r="F255" s="9" t="n">
        <v>746</v>
      </c>
    </row>
    <row r="256" customFormat="false" ht="15" hidden="false" customHeight="false" outlineLevel="0" collapsed="false">
      <c r="B256" s="18" t="s">
        <v>9</v>
      </c>
      <c r="C256" s="19" t="n">
        <v>45650</v>
      </c>
      <c r="D256" s="10" t="n">
        <v>1689</v>
      </c>
      <c r="E256" s="18" t="s">
        <v>206</v>
      </c>
      <c r="F256" s="9" t="n">
        <v>746</v>
      </c>
    </row>
    <row r="257" customFormat="false" ht="15" hidden="false" customHeight="false" outlineLevel="0" collapsed="false">
      <c r="B257" s="18" t="s">
        <v>9</v>
      </c>
      <c r="C257" s="19" t="n">
        <v>45527</v>
      </c>
      <c r="D257" s="10" t="n">
        <v>1714</v>
      </c>
      <c r="E257" s="18" t="s">
        <v>207</v>
      </c>
      <c r="F257" s="9" t="n">
        <v>746</v>
      </c>
    </row>
    <row r="258" customFormat="false" ht="15" hidden="false" customHeight="false" outlineLevel="0" collapsed="false">
      <c r="B258" s="18" t="s">
        <v>9</v>
      </c>
      <c r="C258" s="19" t="n">
        <v>45885</v>
      </c>
      <c r="D258" s="10" t="n">
        <v>1714</v>
      </c>
      <c r="E258" s="18" t="s">
        <v>207</v>
      </c>
      <c r="F258" s="9" t="n">
        <v>746</v>
      </c>
    </row>
    <row r="259" customFormat="false" ht="15" hidden="false" customHeight="false" outlineLevel="0" collapsed="false">
      <c r="B259" s="18" t="s">
        <v>9</v>
      </c>
      <c r="C259" s="19" t="n">
        <v>45952</v>
      </c>
      <c r="D259" s="10" t="n">
        <v>1714</v>
      </c>
      <c r="E259" s="18" t="s">
        <v>208</v>
      </c>
      <c r="F259" s="9" t="n">
        <v>746</v>
      </c>
    </row>
    <row r="260" customFormat="false" ht="15" hidden="false" customHeight="false" outlineLevel="0" collapsed="false">
      <c r="B260" s="18" t="s">
        <v>9</v>
      </c>
      <c r="C260" s="19" t="n">
        <v>45585</v>
      </c>
      <c r="D260" s="10" t="n">
        <v>1689</v>
      </c>
      <c r="E260" s="18" t="s">
        <v>209</v>
      </c>
      <c r="F260" s="9" t="n">
        <v>746</v>
      </c>
    </row>
    <row r="261" customFormat="false" ht="15" hidden="false" customHeight="false" outlineLevel="0" collapsed="false">
      <c r="B261" s="18" t="s">
        <v>9</v>
      </c>
      <c r="C261" s="19" t="n">
        <v>46094</v>
      </c>
      <c r="D261" s="10" t="n">
        <v>1714</v>
      </c>
      <c r="E261" s="18" t="s">
        <v>209</v>
      </c>
      <c r="F261" s="9" t="n">
        <v>746</v>
      </c>
    </row>
    <row r="262" customFormat="false" ht="15" hidden="false" customHeight="false" outlineLevel="0" collapsed="false">
      <c r="B262" s="18" t="s">
        <v>9</v>
      </c>
      <c r="C262" s="19" t="n">
        <v>45561</v>
      </c>
      <c r="D262" s="10" t="n">
        <v>1714</v>
      </c>
      <c r="E262" s="18" t="s">
        <v>210</v>
      </c>
      <c r="F262" s="9" t="n">
        <v>746</v>
      </c>
    </row>
    <row r="263" customFormat="false" ht="15" hidden="false" customHeight="false" outlineLevel="0" collapsed="false">
      <c r="B263" s="18" t="s">
        <v>9</v>
      </c>
      <c r="C263" s="19" t="n">
        <v>45877</v>
      </c>
      <c r="D263" s="10" t="n">
        <v>1714</v>
      </c>
      <c r="E263" s="18" t="s">
        <v>210</v>
      </c>
      <c r="F263" s="9" t="n">
        <v>746</v>
      </c>
    </row>
    <row r="264" customFormat="false" ht="15" hidden="false" customHeight="false" outlineLevel="0" collapsed="false">
      <c r="B264" s="18" t="s">
        <v>9</v>
      </c>
      <c r="C264" s="19" t="n">
        <v>45839</v>
      </c>
      <c r="D264" s="10" t="n">
        <v>1704</v>
      </c>
      <c r="E264" s="18" t="s">
        <v>211</v>
      </c>
      <c r="F264" s="9" t="n">
        <v>746</v>
      </c>
    </row>
    <row r="265" customFormat="false" ht="15" hidden="false" customHeight="false" outlineLevel="0" collapsed="false">
      <c r="B265" s="18" t="s">
        <v>9</v>
      </c>
      <c r="C265" s="19" t="n">
        <v>46158</v>
      </c>
      <c r="D265" s="10" t="n">
        <v>1724</v>
      </c>
      <c r="E265" s="18" t="s">
        <v>211</v>
      </c>
      <c r="F265" s="9" t="n">
        <v>746</v>
      </c>
    </row>
    <row r="266" customFormat="false" ht="15" hidden="false" customHeight="false" outlineLevel="0" collapsed="false">
      <c r="B266" s="18" t="s">
        <v>9</v>
      </c>
      <c r="C266" s="19" t="n">
        <v>45711</v>
      </c>
      <c r="D266" s="10" t="n">
        <v>1689</v>
      </c>
      <c r="E266" s="18" t="s">
        <v>212</v>
      </c>
      <c r="F266" s="9" t="n">
        <v>746</v>
      </c>
    </row>
    <row r="267" customFormat="false" ht="15" hidden="false" customHeight="false" outlineLevel="0" collapsed="false">
      <c r="B267" s="18" t="s">
        <v>9</v>
      </c>
      <c r="C267" s="19" t="n">
        <v>46219</v>
      </c>
      <c r="D267" s="10" t="n">
        <v>1760</v>
      </c>
      <c r="E267" s="18" t="s">
        <v>212</v>
      </c>
      <c r="F267" s="9" t="n">
        <v>746</v>
      </c>
    </row>
    <row r="268" customFormat="false" ht="15" hidden="false" customHeight="false" outlineLevel="0" collapsed="false">
      <c r="B268" s="18" t="s">
        <v>9</v>
      </c>
      <c r="C268" s="19" t="n">
        <v>45762</v>
      </c>
      <c r="D268" s="10" t="n">
        <v>1764</v>
      </c>
      <c r="E268" s="18" t="s">
        <v>213</v>
      </c>
      <c r="F268" s="9" t="n">
        <v>746</v>
      </c>
    </row>
    <row r="269" customFormat="false" ht="15" hidden="false" customHeight="false" outlineLevel="0" collapsed="false">
      <c r="B269" s="18" t="s">
        <v>9</v>
      </c>
      <c r="C269" s="19" t="n">
        <v>45839</v>
      </c>
      <c r="D269" s="10" t="n">
        <v>1749</v>
      </c>
      <c r="E269" s="18" t="s">
        <v>214</v>
      </c>
      <c r="F269" s="9" t="n">
        <v>746</v>
      </c>
    </row>
    <row r="270" customFormat="false" ht="15" hidden="false" customHeight="false" outlineLevel="0" collapsed="false">
      <c r="B270" s="18" t="s">
        <v>9</v>
      </c>
      <c r="C270" s="19" t="n">
        <v>46193</v>
      </c>
      <c r="D270" s="10" t="n">
        <v>1769</v>
      </c>
      <c r="E270" s="18" t="s">
        <v>214</v>
      </c>
      <c r="F270" s="9" t="n">
        <v>746</v>
      </c>
    </row>
    <row r="271" customFormat="false" ht="15" hidden="false" customHeight="false" outlineLevel="0" collapsed="false">
      <c r="B271" s="18" t="s">
        <v>9</v>
      </c>
      <c r="C271" s="19" t="n">
        <v>45837</v>
      </c>
      <c r="D271" s="10" t="n">
        <v>1784</v>
      </c>
      <c r="E271" s="18" t="s">
        <v>215</v>
      </c>
      <c r="F271" s="9" t="n">
        <v>746</v>
      </c>
    </row>
    <row r="272" customFormat="false" ht="15" hidden="false" customHeight="false" outlineLevel="0" collapsed="false">
      <c r="B272" s="18" t="s">
        <v>9</v>
      </c>
      <c r="C272" s="19" t="n">
        <v>45755</v>
      </c>
      <c r="D272" s="10" t="n">
        <v>1764</v>
      </c>
      <c r="E272" s="18" t="s">
        <v>216</v>
      </c>
      <c r="F272" s="9" t="n">
        <v>746</v>
      </c>
    </row>
    <row r="273" customFormat="false" ht="15" hidden="false" customHeight="false" outlineLevel="0" collapsed="false">
      <c r="B273" s="18" t="s">
        <v>9</v>
      </c>
      <c r="C273" s="19" t="n">
        <v>46219</v>
      </c>
      <c r="D273" s="10" t="n">
        <v>1799</v>
      </c>
      <c r="E273" s="18" t="s">
        <v>216</v>
      </c>
      <c r="F273" s="9" t="n">
        <v>746</v>
      </c>
    </row>
    <row r="274" customFormat="false" ht="15" hidden="false" customHeight="false" outlineLevel="0" collapsed="false">
      <c r="B274" s="18" t="s">
        <v>9</v>
      </c>
      <c r="C274" s="19" t="n">
        <v>45580</v>
      </c>
      <c r="D274" s="10" t="n">
        <v>1664</v>
      </c>
      <c r="E274" s="18" t="s">
        <v>217</v>
      </c>
      <c r="F274" s="9" t="n">
        <v>746</v>
      </c>
    </row>
    <row r="275" customFormat="false" ht="15" hidden="false" customHeight="false" outlineLevel="0" collapsed="false">
      <c r="B275" s="18" t="s">
        <v>9</v>
      </c>
      <c r="C275" s="19" t="n">
        <v>46029</v>
      </c>
      <c r="D275" s="10" t="n">
        <v>1465</v>
      </c>
      <c r="E275" s="18" t="s">
        <v>217</v>
      </c>
      <c r="F275" s="9" t="n">
        <v>746</v>
      </c>
    </row>
    <row r="276" customFormat="false" ht="15" hidden="false" customHeight="false" outlineLevel="0" collapsed="false">
      <c r="B276" s="18" t="s">
        <v>9</v>
      </c>
      <c r="C276" s="19" t="n">
        <v>46191</v>
      </c>
      <c r="D276" s="10" t="n">
        <v>1799</v>
      </c>
      <c r="E276" s="18" t="s">
        <v>217</v>
      </c>
      <c r="F276" s="9" t="n">
        <v>746</v>
      </c>
    </row>
    <row r="277" customFormat="false" ht="15" hidden="false" customHeight="false" outlineLevel="0" collapsed="false">
      <c r="B277" s="18" t="s">
        <v>9</v>
      </c>
      <c r="C277" s="19" t="n">
        <v>45573</v>
      </c>
      <c r="D277" s="10" t="n">
        <v>1689</v>
      </c>
      <c r="E277" s="18" t="s">
        <v>218</v>
      </c>
      <c r="F277" s="9" t="n">
        <v>746</v>
      </c>
    </row>
    <row r="278" customFormat="false" ht="15" hidden="false" customHeight="false" outlineLevel="0" collapsed="false">
      <c r="B278" s="18" t="s">
        <v>9</v>
      </c>
      <c r="C278" s="19" t="n">
        <v>45879</v>
      </c>
      <c r="D278" s="10" t="n">
        <v>1700</v>
      </c>
      <c r="E278" s="18" t="s">
        <v>218</v>
      </c>
      <c r="F278" s="9" t="n">
        <v>746</v>
      </c>
    </row>
    <row r="279" customFormat="false" ht="15" hidden="false" customHeight="false" outlineLevel="0" collapsed="false">
      <c r="B279" s="18" t="s">
        <v>9</v>
      </c>
      <c r="C279" s="19" t="n">
        <v>46243</v>
      </c>
      <c r="D279" s="10" t="n">
        <v>1869</v>
      </c>
      <c r="E279" s="18" t="s">
        <v>218</v>
      </c>
      <c r="F279" s="9" t="n">
        <v>746</v>
      </c>
    </row>
    <row r="280" customFormat="false" ht="15" hidden="false" customHeight="false" outlineLevel="0" collapsed="false">
      <c r="B280" s="18" t="s">
        <v>9</v>
      </c>
      <c r="C280" s="19" t="n">
        <v>45728</v>
      </c>
      <c r="D280" s="10" t="n">
        <v>1689</v>
      </c>
      <c r="E280" s="18" t="s">
        <v>219</v>
      </c>
      <c r="F280" s="9" t="n">
        <v>746</v>
      </c>
    </row>
    <row r="281" customFormat="false" ht="15" hidden="false" customHeight="false" outlineLevel="0" collapsed="false">
      <c r="B281" s="18" t="s">
        <v>9</v>
      </c>
      <c r="C281" s="19" t="n">
        <v>46207</v>
      </c>
      <c r="D281" s="10" t="n">
        <v>1869</v>
      </c>
      <c r="E281" s="18" t="s">
        <v>219</v>
      </c>
      <c r="F281" s="9" t="n">
        <v>746</v>
      </c>
    </row>
    <row r="282" customFormat="false" ht="15" hidden="false" customHeight="false" outlineLevel="0" collapsed="false">
      <c r="B282" s="18" t="s">
        <v>10</v>
      </c>
      <c r="C282" s="19" t="n">
        <v>45998</v>
      </c>
      <c r="D282" s="10" t="n">
        <v>1650</v>
      </c>
      <c r="E282" s="18" t="s">
        <v>220</v>
      </c>
      <c r="F282" s="9" t="n">
        <v>1092</v>
      </c>
    </row>
    <row r="283" customFormat="false" ht="15" hidden="false" customHeight="false" outlineLevel="0" collapsed="false">
      <c r="B283" s="18" t="s">
        <v>10</v>
      </c>
      <c r="C283" s="19" t="n">
        <v>45533</v>
      </c>
      <c r="D283" s="10" t="n">
        <v>1935</v>
      </c>
      <c r="E283" s="18" t="s">
        <v>221</v>
      </c>
      <c r="F283" s="9" t="n">
        <v>1092</v>
      </c>
    </row>
    <row r="284" customFormat="false" ht="15" hidden="false" customHeight="false" outlineLevel="0" collapsed="false">
      <c r="B284" s="18" t="s">
        <v>10</v>
      </c>
      <c r="C284" s="19" t="n">
        <v>45971</v>
      </c>
      <c r="D284" s="10" t="n">
        <v>1679</v>
      </c>
      <c r="E284" s="18" t="s">
        <v>221</v>
      </c>
      <c r="F284" s="9" t="n">
        <v>1092</v>
      </c>
    </row>
    <row r="285" customFormat="false" ht="15" hidden="false" customHeight="false" outlineLevel="0" collapsed="false">
      <c r="B285" s="18" t="s">
        <v>10</v>
      </c>
      <c r="C285" s="19" t="n">
        <v>45938</v>
      </c>
      <c r="D285" s="10" t="n">
        <v>1685</v>
      </c>
      <c r="E285" s="18" t="s">
        <v>222</v>
      </c>
      <c r="F285" s="9" t="n">
        <v>1092</v>
      </c>
    </row>
    <row r="286" customFormat="false" ht="15" hidden="false" customHeight="false" outlineLevel="0" collapsed="false">
      <c r="B286" s="18" t="s">
        <v>10</v>
      </c>
      <c r="C286" s="19" t="n">
        <v>45960</v>
      </c>
      <c r="D286" s="10" t="n">
        <v>1685</v>
      </c>
      <c r="E286" s="18" t="s">
        <v>223</v>
      </c>
      <c r="F286" s="9" t="n">
        <v>1092</v>
      </c>
    </row>
    <row r="287" customFormat="false" ht="15" hidden="false" customHeight="false" outlineLevel="0" collapsed="false">
      <c r="B287" s="18" t="s">
        <v>10</v>
      </c>
      <c r="C287" s="19" t="n">
        <v>45664</v>
      </c>
      <c r="D287" s="10" t="n">
        <v>1690</v>
      </c>
      <c r="E287" s="18" t="s">
        <v>224</v>
      </c>
      <c r="F287" s="9" t="n">
        <v>1092</v>
      </c>
    </row>
    <row r="288" customFormat="false" ht="15" hidden="false" customHeight="false" outlineLevel="0" collapsed="false">
      <c r="B288" s="18" t="s">
        <v>10</v>
      </c>
      <c r="C288" s="19" t="n">
        <v>45949</v>
      </c>
      <c r="D288" s="10" t="n">
        <v>1695</v>
      </c>
      <c r="E288" s="18" t="s">
        <v>225</v>
      </c>
      <c r="F288" s="9" t="n">
        <v>1092</v>
      </c>
    </row>
    <row r="289" customFormat="false" ht="15" hidden="false" customHeight="false" outlineLevel="0" collapsed="false">
      <c r="B289" s="18" t="s">
        <v>10</v>
      </c>
      <c r="C289" s="19" t="n">
        <v>45971</v>
      </c>
      <c r="D289" s="10" t="n">
        <v>1695</v>
      </c>
      <c r="E289" s="18" t="s">
        <v>226</v>
      </c>
      <c r="F289" s="9" t="n">
        <v>1092</v>
      </c>
    </row>
    <row r="290" customFormat="false" ht="15" hidden="false" customHeight="false" outlineLevel="0" collapsed="false">
      <c r="B290" s="18" t="s">
        <v>10</v>
      </c>
      <c r="C290" s="19" t="n">
        <v>45535</v>
      </c>
      <c r="D290" s="10" t="n">
        <v>1960</v>
      </c>
      <c r="E290" s="18" t="s">
        <v>227</v>
      </c>
      <c r="F290" s="9" t="n">
        <v>1092</v>
      </c>
    </row>
    <row r="291" customFormat="false" ht="15" hidden="false" customHeight="false" outlineLevel="0" collapsed="false">
      <c r="B291" s="18" t="s">
        <v>10</v>
      </c>
      <c r="C291" s="19" t="n">
        <v>45975</v>
      </c>
      <c r="D291" s="10" t="n">
        <v>1695</v>
      </c>
      <c r="E291" s="18" t="s">
        <v>227</v>
      </c>
      <c r="F291" s="9" t="n">
        <v>1092</v>
      </c>
    </row>
    <row r="292" customFormat="false" ht="15" hidden="false" customHeight="false" outlineLevel="0" collapsed="false">
      <c r="B292" s="18" t="s">
        <v>10</v>
      </c>
      <c r="C292" s="19" t="n">
        <v>46054</v>
      </c>
      <c r="D292" s="10" t="n">
        <v>1699</v>
      </c>
      <c r="E292" s="18" t="s">
        <v>228</v>
      </c>
      <c r="F292" s="9" t="n">
        <v>1092</v>
      </c>
    </row>
    <row r="293" customFormat="false" ht="15" hidden="false" customHeight="false" outlineLevel="0" collapsed="false">
      <c r="B293" s="18" t="s">
        <v>10</v>
      </c>
      <c r="C293" s="19" t="n">
        <v>45535</v>
      </c>
      <c r="D293" s="10" t="n">
        <v>1935</v>
      </c>
      <c r="E293" s="18" t="s">
        <v>229</v>
      </c>
      <c r="F293" s="9" t="n">
        <v>1092</v>
      </c>
    </row>
    <row r="294" customFormat="false" ht="15" hidden="false" customHeight="false" outlineLevel="0" collapsed="false">
      <c r="B294" s="18" t="s">
        <v>10</v>
      </c>
      <c r="C294" s="19" t="n">
        <v>45723</v>
      </c>
      <c r="D294" s="10" t="n">
        <v>1715</v>
      </c>
      <c r="E294" s="18" t="s">
        <v>229</v>
      </c>
      <c r="F294" s="9" t="n">
        <v>1092</v>
      </c>
    </row>
    <row r="295" customFormat="false" ht="15" hidden="false" customHeight="false" outlineLevel="0" collapsed="false">
      <c r="B295" s="18" t="s">
        <v>10</v>
      </c>
      <c r="C295" s="19" t="n">
        <v>45702</v>
      </c>
      <c r="D295" s="10" t="n">
        <v>1715</v>
      </c>
      <c r="E295" s="18" t="s">
        <v>230</v>
      </c>
      <c r="F295" s="9" t="n">
        <v>1092</v>
      </c>
    </row>
    <row r="296" customFormat="false" ht="15" hidden="false" customHeight="false" outlineLevel="0" collapsed="false">
      <c r="B296" s="18" t="s">
        <v>10</v>
      </c>
      <c r="C296" s="19" t="n">
        <v>46054</v>
      </c>
      <c r="D296" s="10" t="n">
        <v>1725</v>
      </c>
      <c r="E296" s="18" t="s">
        <v>231</v>
      </c>
      <c r="F296" s="9" t="n">
        <v>1092</v>
      </c>
    </row>
    <row r="297" customFormat="false" ht="15" hidden="false" customHeight="false" outlineLevel="0" collapsed="false">
      <c r="B297" s="18" t="s">
        <v>10</v>
      </c>
      <c r="C297" s="19" t="n">
        <v>46026</v>
      </c>
      <c r="D297" s="10" t="n">
        <v>1735</v>
      </c>
      <c r="E297" s="18" t="s">
        <v>232</v>
      </c>
      <c r="F297" s="9" t="n">
        <v>1092</v>
      </c>
    </row>
    <row r="298" customFormat="false" ht="15" hidden="false" customHeight="false" outlineLevel="0" collapsed="false">
      <c r="B298" s="18" t="s">
        <v>10</v>
      </c>
      <c r="C298" s="19" t="n">
        <v>45629</v>
      </c>
      <c r="D298" s="10" t="n">
        <v>1765</v>
      </c>
      <c r="E298" s="18" t="s">
        <v>233</v>
      </c>
      <c r="F298" s="9" t="n">
        <v>1092</v>
      </c>
    </row>
    <row r="299" customFormat="false" ht="15" hidden="false" customHeight="false" outlineLevel="0" collapsed="false">
      <c r="B299" s="18" t="s">
        <v>10</v>
      </c>
      <c r="C299" s="19" t="n">
        <v>45535</v>
      </c>
      <c r="D299" s="10" t="n">
        <v>1985</v>
      </c>
      <c r="E299" s="18" t="s">
        <v>234</v>
      </c>
      <c r="F299" s="9" t="n">
        <v>1092</v>
      </c>
    </row>
    <row r="300" customFormat="false" ht="15" hidden="false" customHeight="false" outlineLevel="0" collapsed="false">
      <c r="B300" s="18" t="s">
        <v>10</v>
      </c>
      <c r="C300" s="19" t="n">
        <v>45702</v>
      </c>
      <c r="D300" s="10" t="n">
        <v>1765</v>
      </c>
      <c r="E300" s="18" t="s">
        <v>234</v>
      </c>
      <c r="F300" s="9" t="n">
        <v>1092</v>
      </c>
    </row>
    <row r="301" customFormat="false" ht="15" hidden="false" customHeight="false" outlineLevel="0" collapsed="false">
      <c r="B301" s="18" t="s">
        <v>10</v>
      </c>
      <c r="C301" s="19" t="n">
        <v>45706</v>
      </c>
      <c r="D301" s="10" t="n">
        <v>1765</v>
      </c>
      <c r="E301" s="18" t="s">
        <v>235</v>
      </c>
      <c r="F301" s="9" t="n">
        <v>1092</v>
      </c>
    </row>
    <row r="302" customFormat="false" ht="15" hidden="false" customHeight="false" outlineLevel="0" collapsed="false">
      <c r="B302" s="18" t="s">
        <v>10</v>
      </c>
      <c r="C302" s="19" t="n">
        <v>45703</v>
      </c>
      <c r="D302" s="10" t="n">
        <v>1715</v>
      </c>
      <c r="E302" s="18" t="s">
        <v>236</v>
      </c>
      <c r="F302" s="9" t="n">
        <v>1092</v>
      </c>
    </row>
    <row r="303" customFormat="false" ht="15" hidden="false" customHeight="false" outlineLevel="0" collapsed="false">
      <c r="B303" s="18" t="s">
        <v>10</v>
      </c>
      <c r="C303" s="19" t="n">
        <v>46067</v>
      </c>
      <c r="D303" s="10" t="n">
        <v>1799</v>
      </c>
      <c r="E303" s="18" t="s">
        <v>236</v>
      </c>
      <c r="F303" s="9" t="n">
        <v>1092</v>
      </c>
    </row>
    <row r="304" customFormat="false" ht="15" hidden="false" customHeight="false" outlineLevel="0" collapsed="false">
      <c r="B304" s="18" t="s">
        <v>10</v>
      </c>
      <c r="C304" s="19" t="n">
        <v>45493</v>
      </c>
      <c r="D304" s="10" t="n">
        <v>1960</v>
      </c>
      <c r="E304" s="18" t="s">
        <v>237</v>
      </c>
      <c r="F304" s="9" t="n">
        <v>1092</v>
      </c>
    </row>
    <row r="305" customFormat="false" ht="15" hidden="false" customHeight="false" outlineLevel="0" collapsed="false">
      <c r="B305" s="18" t="s">
        <v>10</v>
      </c>
      <c r="C305" s="19" t="n">
        <v>45899</v>
      </c>
      <c r="D305" s="10" t="n">
        <v>1799</v>
      </c>
      <c r="E305" s="18" t="s">
        <v>237</v>
      </c>
      <c r="F305" s="9" t="n">
        <v>1092</v>
      </c>
    </row>
    <row r="306" customFormat="false" ht="15" hidden="false" customHeight="false" outlineLevel="0" collapsed="false">
      <c r="B306" s="18" t="s">
        <v>10</v>
      </c>
      <c r="C306" s="19" t="n">
        <v>45541</v>
      </c>
      <c r="D306" s="10" t="n">
        <v>1985</v>
      </c>
      <c r="E306" s="18" t="s">
        <v>238</v>
      </c>
      <c r="F306" s="9" t="n">
        <v>1092</v>
      </c>
    </row>
    <row r="307" customFormat="false" ht="15" hidden="false" customHeight="false" outlineLevel="0" collapsed="false">
      <c r="B307" s="18" t="s">
        <v>10</v>
      </c>
      <c r="C307" s="19" t="n">
        <v>45810</v>
      </c>
      <c r="D307" s="10" t="n">
        <v>1850</v>
      </c>
      <c r="E307" s="18" t="s">
        <v>238</v>
      </c>
      <c r="F307" s="9" t="n">
        <v>1092</v>
      </c>
    </row>
    <row r="308" customFormat="false" ht="15" hidden="false" customHeight="false" outlineLevel="0" collapsed="false">
      <c r="B308" s="18" t="s">
        <v>10</v>
      </c>
      <c r="C308" s="19" t="n">
        <v>45724</v>
      </c>
      <c r="D308" s="10" t="n">
        <v>1715</v>
      </c>
      <c r="E308" s="18" t="s">
        <v>239</v>
      </c>
      <c r="F308" s="9" t="n">
        <v>1092</v>
      </c>
    </row>
    <row r="309" customFormat="false" ht="15" hidden="false" customHeight="false" outlineLevel="0" collapsed="false">
      <c r="B309" s="18" t="s">
        <v>10</v>
      </c>
      <c r="C309" s="19" t="n">
        <v>46089</v>
      </c>
      <c r="D309" s="10" t="n">
        <v>1875</v>
      </c>
      <c r="E309" s="18" t="s">
        <v>239</v>
      </c>
      <c r="F309" s="9" t="n">
        <v>1092</v>
      </c>
    </row>
    <row r="310" customFormat="false" ht="15" hidden="false" customHeight="false" outlineLevel="0" collapsed="false">
      <c r="B310" s="18" t="s">
        <v>10</v>
      </c>
      <c r="C310" s="19" t="n">
        <v>45771</v>
      </c>
      <c r="D310" s="10" t="n">
        <v>1885</v>
      </c>
      <c r="E310" s="18" t="s">
        <v>240</v>
      </c>
      <c r="F310" s="9" t="n">
        <v>1092</v>
      </c>
    </row>
    <row r="311" customFormat="false" ht="15" hidden="false" customHeight="false" outlineLevel="0" collapsed="false">
      <c r="B311" s="18" t="s">
        <v>10</v>
      </c>
      <c r="C311" s="19" t="n">
        <v>45800</v>
      </c>
      <c r="D311" s="10" t="n">
        <v>1995</v>
      </c>
      <c r="E311" s="18" t="s">
        <v>241</v>
      </c>
      <c r="F311" s="9" t="n">
        <v>1092</v>
      </c>
    </row>
    <row r="312" customFormat="false" ht="15" hidden="false" customHeight="false" outlineLevel="0" collapsed="false">
      <c r="B312" s="18" t="s">
        <v>10</v>
      </c>
      <c r="C312" s="19" t="n">
        <v>46043</v>
      </c>
      <c r="D312" s="10" t="n">
        <v>1995</v>
      </c>
      <c r="E312" s="18" t="s">
        <v>242</v>
      </c>
      <c r="F312" s="9" t="n">
        <v>1092</v>
      </c>
    </row>
    <row r="313" customFormat="false" ht="15" hidden="false" customHeight="false" outlineLevel="0" collapsed="false">
      <c r="B313" s="18" t="s">
        <v>10</v>
      </c>
      <c r="C313" s="19" t="n">
        <v>45501</v>
      </c>
      <c r="D313" s="10" t="n">
        <v>1960</v>
      </c>
      <c r="E313" s="18" t="s">
        <v>243</v>
      </c>
      <c r="F313" s="9" t="n">
        <v>1092</v>
      </c>
    </row>
    <row r="314" customFormat="false" ht="15" hidden="false" customHeight="false" outlineLevel="0" collapsed="false">
      <c r="B314" s="18" t="s">
        <v>10</v>
      </c>
      <c r="C314" s="19" t="n">
        <v>46130</v>
      </c>
      <c r="D314" s="10" t="n">
        <v>1995</v>
      </c>
      <c r="E314" s="18" t="s">
        <v>243</v>
      </c>
      <c r="F314" s="9" t="n">
        <v>1092</v>
      </c>
    </row>
    <row r="315" customFormat="false" ht="15" hidden="false" customHeight="false" outlineLevel="0" collapsed="false">
      <c r="B315" s="18" t="s">
        <v>10</v>
      </c>
      <c r="C315" s="19" t="n">
        <v>45958</v>
      </c>
      <c r="D315" s="10" t="n">
        <v>2020</v>
      </c>
      <c r="E315" s="18" t="s">
        <v>244</v>
      </c>
      <c r="F315" s="9" t="n">
        <v>1092</v>
      </c>
    </row>
    <row r="316" customFormat="false" ht="15" hidden="false" customHeight="false" outlineLevel="0" collapsed="false">
      <c r="B316" s="18" t="s">
        <v>10</v>
      </c>
      <c r="C316" s="19" t="n">
        <v>45679</v>
      </c>
      <c r="D316" s="10" t="n">
        <v>1765</v>
      </c>
      <c r="E316" s="18" t="s">
        <v>245</v>
      </c>
      <c r="F316" s="9" t="n">
        <v>1092</v>
      </c>
    </row>
    <row r="317" customFormat="false" ht="15" hidden="false" customHeight="false" outlineLevel="0" collapsed="false">
      <c r="B317" s="18" t="s">
        <v>10</v>
      </c>
      <c r="C317" s="19" t="n">
        <v>45701</v>
      </c>
      <c r="D317" s="10" t="n">
        <v>1790</v>
      </c>
      <c r="E317" s="18" t="s">
        <v>246</v>
      </c>
      <c r="F317" s="9" t="n">
        <v>1092</v>
      </c>
    </row>
    <row r="318" customFormat="false" ht="15" hidden="false" customHeight="false" outlineLevel="0" collapsed="false">
      <c r="B318" s="18" t="s">
        <v>10</v>
      </c>
      <c r="C318" s="19" t="n">
        <v>46223</v>
      </c>
      <c r="D318" s="10" t="n">
        <v>2034</v>
      </c>
      <c r="E318" s="18" t="s">
        <v>246</v>
      </c>
      <c r="F318" s="9" t="n">
        <v>1092</v>
      </c>
    </row>
    <row r="319" customFormat="false" ht="15" hidden="false" customHeight="false" outlineLevel="0" collapsed="false">
      <c r="B319" s="18" t="s">
        <v>10</v>
      </c>
      <c r="C319" s="19" t="n">
        <v>46153</v>
      </c>
      <c r="D319" s="10" t="n">
        <v>2065</v>
      </c>
      <c r="E319" s="18" t="s">
        <v>247</v>
      </c>
      <c r="F319" s="9" t="n">
        <v>1092</v>
      </c>
    </row>
    <row r="320" customFormat="false" ht="15" hidden="false" customHeight="false" outlineLevel="0" collapsed="false">
      <c r="B320" s="18" t="s">
        <v>11</v>
      </c>
      <c r="C320" s="19" t="n">
        <v>45521</v>
      </c>
      <c r="D320" s="10" t="n">
        <v>1825</v>
      </c>
      <c r="E320" s="18" t="s">
        <v>248</v>
      </c>
      <c r="F320" s="9" t="n">
        <v>1141</v>
      </c>
    </row>
    <row r="321" customFormat="false" ht="15" hidden="false" customHeight="false" outlineLevel="0" collapsed="false">
      <c r="B321" s="18" t="s">
        <v>11</v>
      </c>
      <c r="C321" s="19" t="n">
        <v>45950</v>
      </c>
      <c r="D321" s="10" t="n">
        <v>1775</v>
      </c>
      <c r="E321" s="18" t="s">
        <v>248</v>
      </c>
      <c r="F321" s="9" t="n">
        <v>1141</v>
      </c>
    </row>
    <row r="322" customFormat="false" ht="15" hidden="false" customHeight="false" outlineLevel="0" collapsed="false">
      <c r="B322" s="18" t="s">
        <v>11</v>
      </c>
      <c r="C322" s="19" t="n">
        <v>45687</v>
      </c>
      <c r="D322" s="10" t="n">
        <v>1995</v>
      </c>
      <c r="E322" s="18" t="s">
        <v>249</v>
      </c>
      <c r="F322" s="9" t="n">
        <v>1141</v>
      </c>
    </row>
    <row r="323" customFormat="false" ht="15" hidden="false" customHeight="false" outlineLevel="0" collapsed="false">
      <c r="B323" s="18" t="s">
        <v>11</v>
      </c>
      <c r="C323" s="19" t="n">
        <v>45936</v>
      </c>
      <c r="D323" s="10" t="n">
        <v>1775</v>
      </c>
      <c r="E323" s="18" t="s">
        <v>249</v>
      </c>
      <c r="F323" s="9" t="n">
        <v>1141</v>
      </c>
    </row>
    <row r="324" customFormat="false" ht="15" hidden="false" customHeight="false" outlineLevel="0" collapsed="false">
      <c r="B324" s="18" t="s">
        <v>11</v>
      </c>
      <c r="C324" s="19" t="n">
        <v>45527</v>
      </c>
      <c r="D324" s="10" t="n">
        <v>2045</v>
      </c>
      <c r="E324" s="18" t="s">
        <v>250</v>
      </c>
      <c r="F324" s="9" t="n">
        <v>1141</v>
      </c>
    </row>
    <row r="325" customFormat="false" ht="15" hidden="false" customHeight="false" outlineLevel="0" collapsed="false">
      <c r="B325" s="18" t="s">
        <v>11</v>
      </c>
      <c r="C325" s="19" t="n">
        <v>45930</v>
      </c>
      <c r="D325" s="10" t="n">
        <v>1775</v>
      </c>
      <c r="E325" s="18" t="s">
        <v>250</v>
      </c>
      <c r="F325" s="9" t="n">
        <v>1141</v>
      </c>
    </row>
    <row r="326" customFormat="false" ht="15" hidden="false" customHeight="false" outlineLevel="0" collapsed="false">
      <c r="B326" s="18" t="s">
        <v>11</v>
      </c>
      <c r="C326" s="19" t="n">
        <v>45945</v>
      </c>
      <c r="D326" s="10" t="n">
        <v>1795</v>
      </c>
      <c r="E326" s="18" t="s">
        <v>251</v>
      </c>
      <c r="F326" s="9" t="n">
        <v>1141</v>
      </c>
    </row>
    <row r="327" customFormat="false" ht="15" hidden="false" customHeight="false" outlineLevel="0" collapsed="false">
      <c r="B327" s="18" t="s">
        <v>11</v>
      </c>
      <c r="C327" s="19" t="n">
        <v>45638</v>
      </c>
      <c r="D327" s="10" t="n">
        <v>1795</v>
      </c>
      <c r="E327" s="18" t="s">
        <v>252</v>
      </c>
      <c r="F327" s="9" t="n">
        <v>1141</v>
      </c>
    </row>
    <row r="328" customFormat="false" ht="15" hidden="false" customHeight="false" outlineLevel="0" collapsed="false">
      <c r="B328" s="18" t="s">
        <v>11</v>
      </c>
      <c r="C328" s="19" t="n">
        <v>46052</v>
      </c>
      <c r="D328" s="10" t="n">
        <v>1799</v>
      </c>
      <c r="E328" s="18" t="s">
        <v>252</v>
      </c>
      <c r="F328" s="9" t="n">
        <v>1141</v>
      </c>
    </row>
    <row r="329" customFormat="false" ht="15" hidden="false" customHeight="false" outlineLevel="0" collapsed="false">
      <c r="B329" s="18" t="s">
        <v>11</v>
      </c>
      <c r="C329" s="19" t="n">
        <v>45661</v>
      </c>
      <c r="D329" s="10" t="n">
        <v>1795</v>
      </c>
      <c r="E329" s="18" t="s">
        <v>253</v>
      </c>
      <c r="F329" s="9" t="n">
        <v>1141</v>
      </c>
    </row>
    <row r="330" customFormat="false" ht="15" hidden="false" customHeight="false" outlineLevel="0" collapsed="false">
      <c r="B330" s="18" t="s">
        <v>11</v>
      </c>
      <c r="C330" s="19" t="n">
        <v>46076</v>
      </c>
      <c r="D330" s="10" t="n">
        <v>1799</v>
      </c>
      <c r="E330" s="18" t="s">
        <v>253</v>
      </c>
      <c r="F330" s="9" t="n">
        <v>1141</v>
      </c>
    </row>
    <row r="331" customFormat="false" ht="15" hidden="false" customHeight="false" outlineLevel="0" collapsed="false">
      <c r="B331" s="18" t="s">
        <v>11</v>
      </c>
      <c r="C331" s="19" t="n">
        <v>45535</v>
      </c>
      <c r="D331" s="10" t="n">
        <v>2020</v>
      </c>
      <c r="E331" s="18" t="s">
        <v>254</v>
      </c>
      <c r="F331" s="9" t="n">
        <v>1141</v>
      </c>
    </row>
    <row r="332" customFormat="false" ht="15" hidden="false" customHeight="false" outlineLevel="0" collapsed="false">
      <c r="B332" s="18" t="s">
        <v>11</v>
      </c>
      <c r="C332" s="19" t="n">
        <v>46055</v>
      </c>
      <c r="D332" s="10" t="n">
        <v>1825</v>
      </c>
      <c r="E332" s="18" t="s">
        <v>254</v>
      </c>
      <c r="F332" s="9" t="n">
        <v>1141</v>
      </c>
    </row>
    <row r="333" customFormat="false" ht="15" hidden="false" customHeight="false" outlineLevel="0" collapsed="false">
      <c r="B333" s="18" t="s">
        <v>11</v>
      </c>
      <c r="C333" s="19" t="n">
        <v>45847</v>
      </c>
      <c r="D333" s="10" t="n">
        <v>1844</v>
      </c>
      <c r="E333" s="18" t="s">
        <v>255</v>
      </c>
      <c r="F333" s="9" t="n">
        <v>1141</v>
      </c>
    </row>
    <row r="334" customFormat="false" ht="15" hidden="false" customHeight="false" outlineLevel="0" collapsed="false">
      <c r="B334" s="18" t="s">
        <v>11</v>
      </c>
      <c r="C334" s="19" t="n">
        <v>45654</v>
      </c>
      <c r="D334" s="10" t="n">
        <v>1845</v>
      </c>
      <c r="E334" s="18" t="s">
        <v>256</v>
      </c>
      <c r="F334" s="9" t="n">
        <v>1141</v>
      </c>
    </row>
    <row r="335" customFormat="false" ht="15" hidden="false" customHeight="false" outlineLevel="0" collapsed="false">
      <c r="B335" s="18" t="s">
        <v>11</v>
      </c>
      <c r="C335" s="19" t="n">
        <v>45638</v>
      </c>
      <c r="D335" s="10" t="n">
        <v>1845</v>
      </c>
      <c r="E335" s="18" t="s">
        <v>257</v>
      </c>
      <c r="F335" s="9" t="n">
        <v>1141</v>
      </c>
    </row>
    <row r="336" customFormat="false" ht="15" hidden="false" customHeight="false" outlineLevel="0" collapsed="false">
      <c r="B336" s="18" t="s">
        <v>11</v>
      </c>
      <c r="C336" s="19" t="n">
        <v>45859</v>
      </c>
      <c r="D336" s="10" t="n">
        <v>1869</v>
      </c>
      <c r="E336" s="18" t="s">
        <v>258</v>
      </c>
      <c r="F336" s="9" t="n">
        <v>1141</v>
      </c>
    </row>
    <row r="337" customFormat="false" ht="15" hidden="false" customHeight="false" outlineLevel="0" collapsed="false">
      <c r="B337" s="18" t="s">
        <v>11</v>
      </c>
      <c r="C337" s="19" t="n">
        <v>45535</v>
      </c>
      <c r="D337" s="10" t="n">
        <v>1995</v>
      </c>
      <c r="E337" s="18" t="s">
        <v>259</v>
      </c>
      <c r="F337" s="9" t="n">
        <v>1141</v>
      </c>
    </row>
    <row r="338" customFormat="false" ht="15" hidden="false" customHeight="false" outlineLevel="0" collapsed="false">
      <c r="B338" s="18" t="s">
        <v>11</v>
      </c>
      <c r="C338" s="19" t="n">
        <v>45866</v>
      </c>
      <c r="D338" s="10" t="n">
        <v>1869</v>
      </c>
      <c r="E338" s="18" t="s">
        <v>259</v>
      </c>
      <c r="F338" s="9" t="n">
        <v>1141</v>
      </c>
    </row>
    <row r="339" customFormat="false" ht="15" hidden="false" customHeight="false" outlineLevel="0" collapsed="false">
      <c r="B339" s="18" t="s">
        <v>11</v>
      </c>
      <c r="C339" s="19" t="n">
        <v>45595</v>
      </c>
      <c r="D339" s="10" t="n">
        <v>1825</v>
      </c>
      <c r="E339" s="18" t="s">
        <v>260</v>
      </c>
      <c r="F339" s="9" t="n">
        <v>1141</v>
      </c>
    </row>
    <row r="340" customFormat="false" ht="15" hidden="false" customHeight="false" outlineLevel="0" collapsed="false">
      <c r="B340" s="18" t="s">
        <v>11</v>
      </c>
      <c r="C340" s="19" t="n">
        <v>45836</v>
      </c>
      <c r="D340" s="10" t="n">
        <v>1874</v>
      </c>
      <c r="E340" s="18" t="s">
        <v>260</v>
      </c>
      <c r="F340" s="9" t="n">
        <v>1141</v>
      </c>
    </row>
    <row r="341" customFormat="false" ht="15" hidden="false" customHeight="false" outlineLevel="0" collapsed="false">
      <c r="B341" s="18" t="s">
        <v>11</v>
      </c>
      <c r="C341" s="19" t="n">
        <v>45853</v>
      </c>
      <c r="D341" s="10" t="n">
        <v>1879</v>
      </c>
      <c r="E341" s="18" t="s">
        <v>261</v>
      </c>
      <c r="F341" s="9" t="n">
        <v>1141</v>
      </c>
    </row>
    <row r="342" customFormat="false" ht="15" hidden="false" customHeight="false" outlineLevel="0" collapsed="false">
      <c r="B342" s="18" t="s">
        <v>11</v>
      </c>
      <c r="C342" s="19" t="n">
        <v>45849</v>
      </c>
      <c r="D342" s="10" t="n">
        <v>1894</v>
      </c>
      <c r="E342" s="18" t="s">
        <v>262</v>
      </c>
      <c r="F342" s="9" t="n">
        <v>1141</v>
      </c>
    </row>
    <row r="343" customFormat="false" ht="15" hidden="false" customHeight="false" outlineLevel="0" collapsed="false">
      <c r="B343" s="18" t="s">
        <v>11</v>
      </c>
      <c r="C343" s="19" t="n">
        <v>45535</v>
      </c>
      <c r="D343" s="10" t="n">
        <v>2045</v>
      </c>
      <c r="E343" s="18" t="s">
        <v>263</v>
      </c>
      <c r="F343" s="9" t="n">
        <v>1141</v>
      </c>
    </row>
    <row r="344" customFormat="false" ht="15" hidden="false" customHeight="false" outlineLevel="0" collapsed="false">
      <c r="B344" s="18" t="s">
        <v>11</v>
      </c>
      <c r="C344" s="19" t="n">
        <v>45890</v>
      </c>
      <c r="D344" s="10" t="n">
        <v>1894</v>
      </c>
      <c r="E344" s="18" t="s">
        <v>263</v>
      </c>
      <c r="F344" s="9" t="n">
        <v>1141</v>
      </c>
    </row>
    <row r="345" customFormat="false" ht="15" hidden="false" customHeight="false" outlineLevel="0" collapsed="false">
      <c r="B345" s="18" t="s">
        <v>11</v>
      </c>
      <c r="C345" s="19" t="n">
        <v>45535</v>
      </c>
      <c r="D345" s="10" t="n">
        <v>2045</v>
      </c>
      <c r="E345" s="18" t="s">
        <v>264</v>
      </c>
      <c r="F345" s="9" t="n">
        <v>1141</v>
      </c>
    </row>
    <row r="346" customFormat="false" ht="15" hidden="false" customHeight="false" outlineLevel="0" collapsed="false">
      <c r="B346" s="18" t="s">
        <v>11</v>
      </c>
      <c r="C346" s="19" t="n">
        <v>45834</v>
      </c>
      <c r="D346" s="10" t="n">
        <v>1894</v>
      </c>
      <c r="E346" s="18" t="s">
        <v>264</v>
      </c>
      <c r="F346" s="9" t="n">
        <v>1141</v>
      </c>
    </row>
    <row r="347" customFormat="false" ht="15" hidden="false" customHeight="false" outlineLevel="0" collapsed="false">
      <c r="B347" s="18" t="s">
        <v>11</v>
      </c>
      <c r="C347" s="19" t="n">
        <v>45853</v>
      </c>
      <c r="D347" s="10" t="n">
        <v>1894</v>
      </c>
      <c r="E347" s="18" t="s">
        <v>265</v>
      </c>
      <c r="F347" s="9" t="n">
        <v>1141</v>
      </c>
    </row>
    <row r="348" customFormat="false" ht="15" hidden="false" customHeight="false" outlineLevel="0" collapsed="false">
      <c r="B348" s="18" t="s">
        <v>11</v>
      </c>
      <c r="C348" s="19" t="n">
        <v>45840</v>
      </c>
      <c r="D348" s="10" t="n">
        <v>1894</v>
      </c>
      <c r="E348" s="18" t="s">
        <v>266</v>
      </c>
      <c r="F348" s="9" t="n">
        <v>1141</v>
      </c>
    </row>
    <row r="349" customFormat="false" ht="15" hidden="false" customHeight="false" outlineLevel="0" collapsed="false">
      <c r="B349" s="18" t="s">
        <v>11</v>
      </c>
      <c r="C349" s="19" t="n">
        <v>45632</v>
      </c>
      <c r="D349" s="10" t="n">
        <v>1795</v>
      </c>
      <c r="E349" s="18" t="s">
        <v>267</v>
      </c>
      <c r="F349" s="9" t="n">
        <v>1141</v>
      </c>
    </row>
    <row r="350" customFormat="false" ht="15" hidden="false" customHeight="false" outlineLevel="0" collapsed="false">
      <c r="B350" s="18" t="s">
        <v>11</v>
      </c>
      <c r="C350" s="19" t="n">
        <v>45915</v>
      </c>
      <c r="D350" s="10" t="n">
        <v>1895</v>
      </c>
      <c r="E350" s="18" t="s">
        <v>267</v>
      </c>
      <c r="F350" s="9" t="n">
        <v>1141</v>
      </c>
    </row>
    <row r="351" customFormat="false" ht="15" hidden="false" customHeight="false" outlineLevel="0" collapsed="false">
      <c r="B351" s="18" t="s">
        <v>11</v>
      </c>
      <c r="C351" s="19" t="n">
        <v>45958</v>
      </c>
      <c r="D351" s="10" t="n">
        <v>1900</v>
      </c>
      <c r="E351" s="18" t="s">
        <v>268</v>
      </c>
      <c r="F351" s="9" t="n">
        <v>1141</v>
      </c>
    </row>
    <row r="352" customFormat="false" ht="15" hidden="false" customHeight="false" outlineLevel="0" collapsed="false">
      <c r="B352" s="18" t="s">
        <v>11</v>
      </c>
      <c r="C352" s="19" t="n">
        <v>45878</v>
      </c>
      <c r="D352" s="10" t="n">
        <v>1919</v>
      </c>
      <c r="E352" s="18" t="s">
        <v>269</v>
      </c>
      <c r="F352" s="9" t="n">
        <v>1141</v>
      </c>
    </row>
    <row r="353" customFormat="false" ht="15" hidden="false" customHeight="false" outlineLevel="0" collapsed="false">
      <c r="B353" s="18" t="s">
        <v>11</v>
      </c>
      <c r="C353" s="19" t="n">
        <v>45869</v>
      </c>
      <c r="D353" s="10" t="n">
        <v>1919</v>
      </c>
      <c r="E353" s="18" t="s">
        <v>270</v>
      </c>
      <c r="F353" s="9" t="n">
        <v>1141</v>
      </c>
    </row>
    <row r="354" customFormat="false" ht="15" hidden="false" customHeight="false" outlineLevel="0" collapsed="false">
      <c r="B354" s="18" t="s">
        <v>11</v>
      </c>
      <c r="C354" s="19" t="n">
        <v>45505</v>
      </c>
      <c r="D354" s="10" t="n">
        <v>2045</v>
      </c>
      <c r="E354" s="18" t="s">
        <v>271</v>
      </c>
      <c r="F354" s="9" t="n">
        <v>1141</v>
      </c>
    </row>
    <row r="355" customFormat="false" ht="15" hidden="false" customHeight="false" outlineLevel="0" collapsed="false">
      <c r="B355" s="18" t="s">
        <v>11</v>
      </c>
      <c r="C355" s="19" t="n">
        <v>46060</v>
      </c>
      <c r="D355" s="10" t="n">
        <v>1919</v>
      </c>
      <c r="E355" s="18" t="s">
        <v>271</v>
      </c>
      <c r="F355" s="9" t="n">
        <v>1141</v>
      </c>
    </row>
    <row r="356" customFormat="false" ht="15" hidden="false" customHeight="false" outlineLevel="0" collapsed="false">
      <c r="B356" s="18" t="s">
        <v>11</v>
      </c>
      <c r="C356" s="19" t="n">
        <v>45920</v>
      </c>
      <c r="D356" s="10" t="n">
        <v>1919</v>
      </c>
      <c r="E356" s="18" t="s">
        <v>272</v>
      </c>
      <c r="F356" s="9" t="n">
        <v>1141</v>
      </c>
    </row>
    <row r="357" customFormat="false" ht="15" hidden="false" customHeight="false" outlineLevel="0" collapsed="false">
      <c r="B357" s="18" t="s">
        <v>11</v>
      </c>
      <c r="C357" s="19" t="n">
        <v>45675</v>
      </c>
      <c r="D357" s="10" t="n">
        <v>1995</v>
      </c>
      <c r="E357" s="18" t="s">
        <v>273</v>
      </c>
      <c r="F357" s="9" t="n">
        <v>1141</v>
      </c>
    </row>
    <row r="358" customFormat="false" ht="15" hidden="false" customHeight="false" outlineLevel="0" collapsed="false">
      <c r="B358" s="18" t="s">
        <v>11</v>
      </c>
      <c r="C358" s="19" t="n">
        <v>46083</v>
      </c>
      <c r="D358" s="10" t="n">
        <v>1919</v>
      </c>
      <c r="E358" s="18" t="s">
        <v>273</v>
      </c>
      <c r="F358" s="9" t="n">
        <v>1141</v>
      </c>
    </row>
    <row r="359" customFormat="false" ht="15" hidden="false" customHeight="false" outlineLevel="0" collapsed="false">
      <c r="B359" s="18" t="s">
        <v>11</v>
      </c>
      <c r="C359" s="19" t="n">
        <v>45535</v>
      </c>
      <c r="D359" s="10" t="n">
        <v>2020</v>
      </c>
      <c r="E359" s="18" t="s">
        <v>274</v>
      </c>
      <c r="F359" s="9" t="n">
        <v>1141</v>
      </c>
    </row>
    <row r="360" customFormat="false" ht="15" hidden="false" customHeight="false" outlineLevel="0" collapsed="false">
      <c r="B360" s="18" t="s">
        <v>11</v>
      </c>
      <c r="C360" s="19" t="n">
        <v>45883</v>
      </c>
      <c r="D360" s="10" t="n">
        <v>1919</v>
      </c>
      <c r="E360" s="18" t="s">
        <v>274</v>
      </c>
      <c r="F360" s="9" t="n">
        <v>1141</v>
      </c>
    </row>
    <row r="361" customFormat="false" ht="15" hidden="false" customHeight="false" outlineLevel="0" collapsed="false">
      <c r="B361" s="18" t="s">
        <v>11</v>
      </c>
      <c r="C361" s="19" t="n">
        <v>45835</v>
      </c>
      <c r="D361" s="10" t="n">
        <v>1919</v>
      </c>
      <c r="E361" s="18" t="s">
        <v>275</v>
      </c>
      <c r="F361" s="9" t="n">
        <v>1141</v>
      </c>
    </row>
    <row r="362" customFormat="false" ht="15" hidden="false" customHeight="false" outlineLevel="0" collapsed="false">
      <c r="B362" s="18" t="s">
        <v>11</v>
      </c>
      <c r="C362" s="19" t="n">
        <v>45871</v>
      </c>
      <c r="D362" s="10" t="n">
        <v>1929</v>
      </c>
      <c r="E362" s="18" t="s">
        <v>276</v>
      </c>
      <c r="F362" s="9" t="n">
        <v>1141</v>
      </c>
    </row>
    <row r="363" customFormat="false" ht="15" hidden="false" customHeight="false" outlineLevel="0" collapsed="false">
      <c r="B363" s="18" t="s">
        <v>11</v>
      </c>
      <c r="C363" s="19" t="n">
        <v>45893</v>
      </c>
      <c r="D363" s="10" t="n">
        <v>1944</v>
      </c>
      <c r="E363" s="18" t="s">
        <v>277</v>
      </c>
      <c r="F363" s="9" t="n">
        <v>1141</v>
      </c>
    </row>
    <row r="364" customFormat="false" ht="15" hidden="false" customHeight="false" outlineLevel="0" collapsed="false">
      <c r="B364" s="18" t="s">
        <v>11</v>
      </c>
      <c r="C364" s="19" t="n">
        <v>45930</v>
      </c>
      <c r="D364" s="10" t="n">
        <v>1944</v>
      </c>
      <c r="E364" s="18" t="s">
        <v>278</v>
      </c>
      <c r="F364" s="9" t="n">
        <v>1141</v>
      </c>
    </row>
    <row r="365" customFormat="false" ht="15" hidden="false" customHeight="false" outlineLevel="0" collapsed="false">
      <c r="B365" s="18" t="s">
        <v>11</v>
      </c>
      <c r="C365" s="19" t="n">
        <v>45611</v>
      </c>
      <c r="D365" s="10" t="n">
        <v>1995</v>
      </c>
      <c r="E365" s="18" t="s">
        <v>279</v>
      </c>
      <c r="F365" s="9" t="n">
        <v>1141</v>
      </c>
    </row>
    <row r="366" customFormat="false" ht="15" hidden="false" customHeight="false" outlineLevel="0" collapsed="false">
      <c r="B366" s="18" t="s">
        <v>11</v>
      </c>
      <c r="C366" s="19" t="n">
        <v>46072</v>
      </c>
      <c r="D366" s="10" t="n">
        <v>1944</v>
      </c>
      <c r="E366" s="18" t="s">
        <v>279</v>
      </c>
      <c r="F366" s="9" t="n">
        <v>1141</v>
      </c>
    </row>
    <row r="367" customFormat="false" ht="15" hidden="false" customHeight="false" outlineLevel="0" collapsed="false">
      <c r="B367" s="18" t="s">
        <v>11</v>
      </c>
      <c r="C367" s="19" t="n">
        <v>45561</v>
      </c>
      <c r="D367" s="10" t="n">
        <v>1995</v>
      </c>
      <c r="E367" s="18" t="s">
        <v>280</v>
      </c>
      <c r="F367" s="9" t="n">
        <v>1141</v>
      </c>
    </row>
    <row r="368" customFormat="false" ht="15" hidden="false" customHeight="false" outlineLevel="0" collapsed="false">
      <c r="B368" s="18" t="s">
        <v>11</v>
      </c>
      <c r="C368" s="19" t="n">
        <v>46084</v>
      </c>
      <c r="D368" s="10" t="n">
        <v>1944</v>
      </c>
      <c r="E368" s="18" t="s">
        <v>280</v>
      </c>
      <c r="F368" s="9" t="n">
        <v>1141</v>
      </c>
    </row>
    <row r="369" customFormat="false" ht="15" hidden="false" customHeight="false" outlineLevel="0" collapsed="false">
      <c r="B369" s="18" t="s">
        <v>11</v>
      </c>
      <c r="C369" s="19" t="n">
        <v>45564</v>
      </c>
      <c r="D369" s="10" t="n">
        <v>1995</v>
      </c>
      <c r="E369" s="18" t="s">
        <v>281</v>
      </c>
      <c r="F369" s="9" t="n">
        <v>1141</v>
      </c>
    </row>
    <row r="370" customFormat="false" ht="15" hidden="false" customHeight="false" outlineLevel="0" collapsed="false">
      <c r="B370" s="18" t="s">
        <v>11</v>
      </c>
      <c r="C370" s="19" t="n">
        <v>46072</v>
      </c>
      <c r="D370" s="10" t="n">
        <v>1944</v>
      </c>
      <c r="E370" s="18" t="s">
        <v>281</v>
      </c>
      <c r="F370" s="9" t="n">
        <v>1141</v>
      </c>
    </row>
    <row r="371" customFormat="false" ht="15" hidden="false" customHeight="false" outlineLevel="0" collapsed="false">
      <c r="B371" s="18" t="s">
        <v>11</v>
      </c>
      <c r="C371" s="19" t="n">
        <v>46031</v>
      </c>
      <c r="D371" s="10" t="n">
        <v>1969</v>
      </c>
      <c r="E371" s="18" t="s">
        <v>282</v>
      </c>
      <c r="F371" s="9" t="n">
        <v>1141</v>
      </c>
    </row>
    <row r="372" customFormat="false" ht="15" hidden="false" customHeight="false" outlineLevel="0" collapsed="false">
      <c r="B372" s="18" t="s">
        <v>11</v>
      </c>
      <c r="C372" s="19" t="n">
        <v>45517</v>
      </c>
      <c r="D372" s="10" t="n">
        <v>1995</v>
      </c>
      <c r="E372" s="18" t="s">
        <v>283</v>
      </c>
      <c r="F372" s="9" t="n">
        <v>1141</v>
      </c>
    </row>
    <row r="373" customFormat="false" ht="15" hidden="false" customHeight="false" outlineLevel="0" collapsed="false">
      <c r="B373" s="18" t="s">
        <v>11</v>
      </c>
      <c r="C373" s="19" t="n">
        <v>46124</v>
      </c>
      <c r="D373" s="10" t="n">
        <v>1985</v>
      </c>
      <c r="E373" s="18" t="s">
        <v>283</v>
      </c>
      <c r="F373" s="9" t="n">
        <v>1141</v>
      </c>
    </row>
    <row r="374" customFormat="false" ht="15" hidden="false" customHeight="false" outlineLevel="0" collapsed="false">
      <c r="B374" s="18" t="s">
        <v>11</v>
      </c>
      <c r="C374" s="19" t="n">
        <v>45550</v>
      </c>
      <c r="D374" s="10" t="n">
        <v>2020</v>
      </c>
      <c r="E374" s="18" t="s">
        <v>284</v>
      </c>
      <c r="F374" s="9" t="n">
        <v>1141</v>
      </c>
    </row>
    <row r="375" customFormat="false" ht="15" hidden="false" customHeight="false" outlineLevel="0" collapsed="false">
      <c r="B375" s="18" t="s">
        <v>11</v>
      </c>
      <c r="C375" s="19" t="n">
        <v>46100</v>
      </c>
      <c r="D375" s="10" t="n">
        <v>1990</v>
      </c>
      <c r="E375" s="18" t="s">
        <v>284</v>
      </c>
      <c r="F375" s="9" t="n">
        <v>1141</v>
      </c>
    </row>
    <row r="376" customFormat="false" ht="15" hidden="false" customHeight="false" outlineLevel="0" collapsed="false">
      <c r="B376" s="18" t="s">
        <v>11</v>
      </c>
      <c r="C376" s="19" t="n">
        <v>45585</v>
      </c>
      <c r="D376" s="10" t="n">
        <v>1995</v>
      </c>
      <c r="E376" s="18" t="s">
        <v>285</v>
      </c>
      <c r="F376" s="9" t="n">
        <v>1141</v>
      </c>
    </row>
    <row r="377" customFormat="false" ht="15" hidden="false" customHeight="false" outlineLevel="0" collapsed="false">
      <c r="B377" s="18" t="s">
        <v>11</v>
      </c>
      <c r="C377" s="19" t="n">
        <v>45706</v>
      </c>
      <c r="D377" s="10" t="n">
        <v>1995</v>
      </c>
      <c r="E377" s="18" t="s">
        <v>286</v>
      </c>
      <c r="F377" s="9" t="n">
        <v>1141</v>
      </c>
    </row>
    <row r="378" customFormat="false" ht="15" hidden="false" customHeight="false" outlineLevel="0" collapsed="false">
      <c r="B378" s="18" t="s">
        <v>11</v>
      </c>
      <c r="C378" s="19" t="n">
        <v>46037</v>
      </c>
      <c r="D378" s="10" t="n">
        <v>2019</v>
      </c>
      <c r="E378" s="18" t="s">
        <v>287</v>
      </c>
      <c r="F378" s="9" t="n">
        <v>1141</v>
      </c>
    </row>
    <row r="379" customFormat="false" ht="15" hidden="false" customHeight="false" outlineLevel="0" collapsed="false">
      <c r="B379" s="18" t="s">
        <v>11</v>
      </c>
      <c r="C379" s="19" t="n">
        <v>45622</v>
      </c>
      <c r="D379" s="10" t="n">
        <v>2020</v>
      </c>
      <c r="E379" s="18" t="s">
        <v>288</v>
      </c>
      <c r="F379" s="9" t="n">
        <v>1141</v>
      </c>
    </row>
    <row r="380" customFormat="false" ht="15" hidden="false" customHeight="false" outlineLevel="0" collapsed="false">
      <c r="B380" s="18" t="s">
        <v>11</v>
      </c>
      <c r="C380" s="19" t="n">
        <v>45609</v>
      </c>
      <c r="D380" s="10" t="n">
        <v>2020</v>
      </c>
      <c r="E380" s="18" t="s">
        <v>289</v>
      </c>
      <c r="F380" s="9" t="n">
        <v>1141</v>
      </c>
    </row>
    <row r="381" customFormat="false" ht="15" hidden="false" customHeight="false" outlineLevel="0" collapsed="false">
      <c r="B381" s="18" t="s">
        <v>11</v>
      </c>
      <c r="C381" s="19" t="n">
        <v>45490</v>
      </c>
      <c r="D381" s="10" t="n">
        <v>2020</v>
      </c>
      <c r="E381" s="18" t="s">
        <v>290</v>
      </c>
      <c r="F381" s="9" t="n">
        <v>1141</v>
      </c>
    </row>
    <row r="382" customFormat="false" ht="15" hidden="false" customHeight="false" outlineLevel="0" collapsed="false">
      <c r="B382" s="18" t="s">
        <v>11</v>
      </c>
      <c r="C382" s="19" t="n">
        <v>46088</v>
      </c>
      <c r="D382" s="10" t="n">
        <v>2020</v>
      </c>
      <c r="E382" s="18" t="s">
        <v>290</v>
      </c>
      <c r="F382" s="9" t="n">
        <v>1141</v>
      </c>
    </row>
    <row r="383" customFormat="false" ht="15" hidden="false" customHeight="false" outlineLevel="0" collapsed="false">
      <c r="B383" s="18" t="s">
        <v>11</v>
      </c>
      <c r="C383" s="19" t="n">
        <v>45585</v>
      </c>
      <c r="D383" s="10" t="n">
        <v>2020</v>
      </c>
      <c r="E383" s="18" t="s">
        <v>291</v>
      </c>
      <c r="F383" s="9" t="n">
        <v>1141</v>
      </c>
    </row>
    <row r="384" customFormat="false" ht="15" hidden="false" customHeight="false" outlineLevel="0" collapsed="false">
      <c r="B384" s="18" t="s">
        <v>11</v>
      </c>
      <c r="C384" s="19" t="n">
        <v>45541</v>
      </c>
      <c r="D384" s="10" t="n">
        <v>2045</v>
      </c>
      <c r="E384" s="18" t="s">
        <v>292</v>
      </c>
      <c r="F384" s="9" t="n">
        <v>1141</v>
      </c>
    </row>
    <row r="385" customFormat="false" ht="15" hidden="false" customHeight="false" outlineLevel="0" collapsed="false">
      <c r="B385" s="18" t="s">
        <v>11</v>
      </c>
      <c r="C385" s="19" t="n">
        <v>45473</v>
      </c>
      <c r="D385" s="10" t="n">
        <v>2045</v>
      </c>
      <c r="E385" s="18" t="s">
        <v>293</v>
      </c>
      <c r="F385" s="9" t="n">
        <v>1141</v>
      </c>
    </row>
    <row r="386" customFormat="false" ht="15" hidden="false" customHeight="false" outlineLevel="0" collapsed="false">
      <c r="B386" s="18" t="s">
        <v>11</v>
      </c>
      <c r="C386" s="19" t="n">
        <v>45752</v>
      </c>
      <c r="D386" s="10" t="n">
        <v>2080</v>
      </c>
      <c r="E386" s="18" t="s">
        <v>294</v>
      </c>
      <c r="F386" s="9" t="n">
        <v>1141</v>
      </c>
    </row>
    <row r="387" customFormat="false" ht="15" hidden="false" customHeight="false" outlineLevel="0" collapsed="false">
      <c r="B387" s="18" t="s">
        <v>11</v>
      </c>
      <c r="C387" s="19" t="n">
        <v>46129</v>
      </c>
      <c r="D387" s="10" t="n">
        <v>2045</v>
      </c>
      <c r="E387" s="18" t="s">
        <v>294</v>
      </c>
      <c r="F387" s="9" t="n">
        <v>1141</v>
      </c>
    </row>
    <row r="388" customFormat="false" ht="15" hidden="false" customHeight="false" outlineLevel="0" collapsed="false">
      <c r="B388" s="18" t="s">
        <v>11</v>
      </c>
      <c r="C388" s="19" t="n">
        <v>45827</v>
      </c>
      <c r="D388" s="10" t="n">
        <v>1894</v>
      </c>
      <c r="E388" s="18" t="s">
        <v>295</v>
      </c>
      <c r="F388" s="9" t="n">
        <v>1141</v>
      </c>
    </row>
    <row r="389" customFormat="false" ht="15" hidden="false" customHeight="false" outlineLevel="0" collapsed="false">
      <c r="B389" s="18" t="s">
        <v>11</v>
      </c>
      <c r="C389" s="19" t="n">
        <v>46158</v>
      </c>
      <c r="D389" s="10" t="n">
        <v>2055</v>
      </c>
      <c r="E389" s="18" t="s">
        <v>295</v>
      </c>
      <c r="F389" s="9" t="n">
        <v>1141</v>
      </c>
    </row>
    <row r="390" customFormat="false" ht="15" hidden="false" customHeight="false" outlineLevel="0" collapsed="false">
      <c r="B390" s="18" t="s">
        <v>11</v>
      </c>
      <c r="C390" s="19" t="n">
        <v>45493</v>
      </c>
      <c r="D390" s="10" t="n">
        <v>2055</v>
      </c>
      <c r="E390" s="18" t="s">
        <v>296</v>
      </c>
      <c r="F390" s="9" t="n">
        <v>1141</v>
      </c>
    </row>
    <row r="391" customFormat="false" ht="15" hidden="false" customHeight="false" outlineLevel="0" collapsed="false">
      <c r="B391" s="18" t="s">
        <v>11</v>
      </c>
      <c r="C391" s="19" t="n">
        <v>45883</v>
      </c>
      <c r="D391" s="10" t="n">
        <v>2055</v>
      </c>
      <c r="E391" s="18" t="s">
        <v>296</v>
      </c>
      <c r="F391" s="9" t="n">
        <v>1141</v>
      </c>
    </row>
    <row r="392" customFormat="false" ht="15" hidden="false" customHeight="false" outlineLevel="0" collapsed="false">
      <c r="B392" s="18" t="s">
        <v>11</v>
      </c>
      <c r="C392" s="19" t="n">
        <v>45767</v>
      </c>
      <c r="D392" s="10" t="n">
        <v>2045</v>
      </c>
      <c r="E392" s="18" t="s">
        <v>297</v>
      </c>
      <c r="F392" s="9" t="n">
        <v>1141</v>
      </c>
    </row>
    <row r="393" customFormat="false" ht="15" hidden="false" customHeight="false" outlineLevel="0" collapsed="false">
      <c r="B393" s="18" t="s">
        <v>11</v>
      </c>
      <c r="C393" s="19" t="n">
        <v>46132</v>
      </c>
      <c r="D393" s="10" t="n">
        <v>2060</v>
      </c>
      <c r="E393" s="18" t="s">
        <v>297</v>
      </c>
      <c r="F393" s="9" t="n">
        <v>1141</v>
      </c>
    </row>
    <row r="394" customFormat="false" ht="15" hidden="false" customHeight="false" outlineLevel="0" collapsed="false">
      <c r="B394" s="18" t="s">
        <v>11</v>
      </c>
      <c r="C394" s="19" t="n">
        <v>45830</v>
      </c>
      <c r="D394" s="10" t="n">
        <v>1904</v>
      </c>
      <c r="E394" s="18" t="s">
        <v>298</v>
      </c>
      <c r="F394" s="9" t="n">
        <v>1141</v>
      </c>
    </row>
    <row r="395" customFormat="false" ht="15" hidden="false" customHeight="false" outlineLevel="0" collapsed="false">
      <c r="B395" s="18" t="s">
        <v>11</v>
      </c>
      <c r="C395" s="19" t="n">
        <v>46187</v>
      </c>
      <c r="D395" s="10" t="n">
        <v>2065</v>
      </c>
      <c r="E395" s="18" t="s">
        <v>298</v>
      </c>
      <c r="F395" s="9" t="n">
        <v>1141</v>
      </c>
    </row>
    <row r="396" customFormat="false" ht="15" hidden="false" customHeight="false" outlineLevel="0" collapsed="false">
      <c r="B396" s="18" t="s">
        <v>11</v>
      </c>
      <c r="C396" s="19" t="n">
        <v>45741</v>
      </c>
      <c r="D396" s="10" t="n">
        <v>2045</v>
      </c>
      <c r="E396" s="18" t="s">
        <v>299</v>
      </c>
      <c r="F396" s="9" t="n">
        <v>1141</v>
      </c>
    </row>
    <row r="397" customFormat="false" ht="15" hidden="false" customHeight="false" outlineLevel="0" collapsed="false">
      <c r="B397" s="18" t="s">
        <v>11</v>
      </c>
      <c r="C397" s="19" t="n">
        <v>46088</v>
      </c>
      <c r="D397" s="10" t="n">
        <v>2070</v>
      </c>
      <c r="E397" s="18" t="s">
        <v>299</v>
      </c>
      <c r="F397" s="9" t="n">
        <v>1141</v>
      </c>
    </row>
    <row r="398" customFormat="false" ht="15" hidden="false" customHeight="false" outlineLevel="0" collapsed="false">
      <c r="B398" s="18" t="s">
        <v>11</v>
      </c>
      <c r="C398" s="19" t="n">
        <v>45882</v>
      </c>
      <c r="D398" s="10" t="n">
        <v>1869</v>
      </c>
      <c r="E398" s="18" t="s">
        <v>300</v>
      </c>
      <c r="F398" s="9" t="n">
        <v>1141</v>
      </c>
    </row>
    <row r="399" customFormat="false" ht="15" hidden="false" customHeight="false" outlineLevel="0" collapsed="false">
      <c r="B399" s="18" t="s">
        <v>11</v>
      </c>
      <c r="C399" s="19" t="n">
        <v>45535</v>
      </c>
      <c r="D399" s="10" t="n">
        <v>1995</v>
      </c>
      <c r="E399" s="18" t="s">
        <v>301</v>
      </c>
      <c r="F399" s="9" t="n">
        <v>1141</v>
      </c>
    </row>
    <row r="400" customFormat="false" ht="15" hidden="false" customHeight="false" outlineLevel="0" collapsed="false">
      <c r="B400" s="18" t="s">
        <v>11</v>
      </c>
      <c r="C400" s="19" t="n">
        <v>45834</v>
      </c>
      <c r="D400" s="10" t="n">
        <v>1919</v>
      </c>
      <c r="E400" s="18" t="s">
        <v>301</v>
      </c>
      <c r="F400" s="9" t="n">
        <v>1141</v>
      </c>
    </row>
    <row r="401" customFormat="false" ht="15" hidden="false" customHeight="false" outlineLevel="0" collapsed="false">
      <c r="B401" s="18" t="s">
        <v>11</v>
      </c>
      <c r="C401" s="19" t="n">
        <v>46216</v>
      </c>
      <c r="D401" s="10" t="n">
        <v>2080</v>
      </c>
      <c r="E401" s="18" t="s">
        <v>301</v>
      </c>
      <c r="F401" s="9" t="n">
        <v>1141</v>
      </c>
    </row>
    <row r="402" customFormat="false" ht="15" hidden="false" customHeight="false" outlineLevel="0" collapsed="false">
      <c r="B402" s="18" t="s">
        <v>11</v>
      </c>
      <c r="C402" s="19" t="n">
        <v>45904</v>
      </c>
      <c r="D402" s="10" t="n">
        <v>1919</v>
      </c>
      <c r="E402" s="18" t="s">
        <v>302</v>
      </c>
      <c r="F402" s="9" t="n">
        <v>1141</v>
      </c>
    </row>
    <row r="403" customFormat="false" ht="15" hidden="false" customHeight="false" outlineLevel="0" collapsed="false">
      <c r="B403" s="18" t="s">
        <v>11</v>
      </c>
      <c r="C403" s="19" t="n">
        <v>45848</v>
      </c>
      <c r="D403" s="10" t="n">
        <v>1869</v>
      </c>
      <c r="E403" s="18" t="s">
        <v>303</v>
      </c>
      <c r="F403" s="9" t="n">
        <v>1141</v>
      </c>
    </row>
    <row r="404" customFormat="false" ht="15" hidden="false" customHeight="false" outlineLevel="0" collapsed="false">
      <c r="B404" s="18" t="s">
        <v>11</v>
      </c>
      <c r="C404" s="19" t="n">
        <v>46158</v>
      </c>
      <c r="D404" s="10" t="n">
        <v>2080</v>
      </c>
      <c r="E404" s="18" t="s">
        <v>303</v>
      </c>
      <c r="F404" s="9" t="n">
        <v>1141</v>
      </c>
    </row>
    <row r="405" customFormat="false" ht="15" hidden="false" customHeight="false" outlineLevel="0" collapsed="false">
      <c r="B405" s="18" t="s">
        <v>11</v>
      </c>
      <c r="C405" s="19" t="n">
        <v>45535</v>
      </c>
      <c r="D405" s="10" t="n">
        <v>1995</v>
      </c>
      <c r="E405" s="18" t="s">
        <v>304</v>
      </c>
      <c r="F405" s="9" t="n">
        <v>1141</v>
      </c>
    </row>
    <row r="406" customFormat="false" ht="15" hidden="false" customHeight="false" outlineLevel="0" collapsed="false">
      <c r="B406" s="18" t="s">
        <v>11</v>
      </c>
      <c r="C406" s="19" t="n">
        <v>45825</v>
      </c>
      <c r="D406" s="10" t="n">
        <v>1919</v>
      </c>
      <c r="E406" s="18" t="s">
        <v>304</v>
      </c>
      <c r="F406" s="9" t="n">
        <v>1141</v>
      </c>
    </row>
    <row r="407" customFormat="false" ht="15" hidden="false" customHeight="false" outlineLevel="0" collapsed="false">
      <c r="B407" s="18" t="s">
        <v>11</v>
      </c>
      <c r="C407" s="19" t="n">
        <v>46227</v>
      </c>
      <c r="D407" s="10" t="n">
        <v>2080</v>
      </c>
      <c r="E407" s="18" t="s">
        <v>304</v>
      </c>
      <c r="F407" s="9" t="n">
        <v>1141</v>
      </c>
    </row>
    <row r="408" customFormat="false" ht="15" hidden="false" customHeight="false" outlineLevel="0" collapsed="false">
      <c r="B408" s="18" t="s">
        <v>11</v>
      </c>
      <c r="C408" s="19" t="n">
        <v>45890</v>
      </c>
      <c r="D408" s="10" t="n">
        <v>1894</v>
      </c>
      <c r="E408" s="18" t="s">
        <v>305</v>
      </c>
      <c r="F408" s="9" t="n">
        <v>1141</v>
      </c>
    </row>
    <row r="409" customFormat="false" ht="15" hidden="false" customHeight="false" outlineLevel="0" collapsed="false">
      <c r="B409" s="18" t="s">
        <v>11</v>
      </c>
      <c r="C409" s="19" t="n">
        <v>46153</v>
      </c>
      <c r="D409" s="10" t="n">
        <v>2095</v>
      </c>
      <c r="E409" s="18" t="s">
        <v>305</v>
      </c>
      <c r="F409" s="9" t="n">
        <v>1141</v>
      </c>
    </row>
    <row r="410" customFormat="false" ht="15" hidden="false" customHeight="false" outlineLevel="0" collapsed="false">
      <c r="B410" s="18" t="s">
        <v>11</v>
      </c>
      <c r="C410" s="19" t="n">
        <v>45548</v>
      </c>
      <c r="D410" s="10" t="n">
        <v>1995</v>
      </c>
      <c r="E410" s="18" t="s">
        <v>306</v>
      </c>
      <c r="F410" s="9" t="n">
        <v>1141</v>
      </c>
    </row>
    <row r="411" customFormat="false" ht="15" hidden="false" customHeight="false" outlineLevel="0" collapsed="false">
      <c r="B411" s="18" t="s">
        <v>11</v>
      </c>
      <c r="C411" s="19" t="n">
        <v>46231</v>
      </c>
      <c r="D411" s="10" t="n">
        <v>2105</v>
      </c>
      <c r="E411" s="18" t="s">
        <v>306</v>
      </c>
      <c r="F411" s="9" t="n">
        <v>1141</v>
      </c>
    </row>
    <row r="412" customFormat="false" ht="15" hidden="false" customHeight="false" outlineLevel="0" collapsed="false">
      <c r="B412" s="18" t="s">
        <v>11</v>
      </c>
      <c r="C412" s="19" t="n">
        <v>45891</v>
      </c>
      <c r="D412" s="10" t="n">
        <v>1894</v>
      </c>
      <c r="E412" s="18" t="s">
        <v>307</v>
      </c>
      <c r="F412" s="9" t="n">
        <v>1141</v>
      </c>
    </row>
    <row r="413" customFormat="false" ht="15" hidden="false" customHeight="false" outlineLevel="0" collapsed="false">
      <c r="B413" s="18" t="s">
        <v>11</v>
      </c>
      <c r="C413" s="19" t="n">
        <v>45932</v>
      </c>
      <c r="D413" s="10" t="n">
        <v>1944</v>
      </c>
      <c r="E413" s="18" t="s">
        <v>308</v>
      </c>
      <c r="F413" s="9" t="n">
        <v>1141</v>
      </c>
    </row>
    <row r="414" customFormat="false" ht="15" hidden="false" customHeight="false" outlineLevel="0" collapsed="false">
      <c r="B414" s="18" t="s">
        <v>11</v>
      </c>
      <c r="C414" s="19" t="n">
        <v>45821</v>
      </c>
      <c r="D414" s="10" t="n">
        <v>2118</v>
      </c>
      <c r="E414" s="18" t="s">
        <v>309</v>
      </c>
      <c r="F414" s="9" t="n">
        <v>1141</v>
      </c>
    </row>
    <row r="415" customFormat="false" ht="15" hidden="false" customHeight="false" outlineLevel="0" collapsed="false">
      <c r="B415" s="18" t="s">
        <v>11</v>
      </c>
      <c r="C415" s="19" t="n">
        <v>46153</v>
      </c>
      <c r="D415" s="10" t="n">
        <v>2120</v>
      </c>
      <c r="E415" s="18" t="s">
        <v>310</v>
      </c>
      <c r="F415" s="9" t="n">
        <v>1141</v>
      </c>
    </row>
    <row r="416" customFormat="false" ht="15" hidden="false" customHeight="false" outlineLevel="0" collapsed="false">
      <c r="B416" s="18" t="s">
        <v>11</v>
      </c>
      <c r="C416" s="19" t="n">
        <v>45791</v>
      </c>
      <c r="D416" s="10" t="n">
        <v>2153</v>
      </c>
      <c r="E416" s="18" t="s">
        <v>311</v>
      </c>
      <c r="F416" s="9" t="n">
        <v>1141</v>
      </c>
    </row>
    <row r="417" customFormat="false" ht="15" hidden="false" customHeight="false" outlineLevel="0" collapsed="false">
      <c r="B417" s="18" t="s">
        <v>11</v>
      </c>
      <c r="C417" s="19" t="n">
        <v>45773</v>
      </c>
      <c r="D417" s="10" t="n">
        <v>2095</v>
      </c>
      <c r="E417" s="18" t="s">
        <v>312</v>
      </c>
      <c r="F417" s="9" t="n">
        <v>1141</v>
      </c>
    </row>
    <row r="418" customFormat="false" ht="15" hidden="false" customHeight="false" outlineLevel="0" collapsed="false">
      <c r="B418" s="18" t="s">
        <v>11</v>
      </c>
      <c r="C418" s="19" t="n">
        <v>46239</v>
      </c>
      <c r="D418" s="10" t="n">
        <v>2155</v>
      </c>
      <c r="E418" s="18" t="s">
        <v>312</v>
      </c>
      <c r="F418" s="9" t="n">
        <v>1141</v>
      </c>
    </row>
    <row r="419" customFormat="false" ht="15" hidden="false" customHeight="false" outlineLevel="0" collapsed="false">
      <c r="B419" s="18" t="s">
        <v>11</v>
      </c>
      <c r="C419" s="19" t="n">
        <v>45896</v>
      </c>
      <c r="D419" s="10" t="n">
        <v>1954</v>
      </c>
      <c r="E419" s="18" t="s">
        <v>313</v>
      </c>
      <c r="F419" s="9" t="n">
        <v>1141</v>
      </c>
    </row>
    <row r="420" customFormat="false" ht="15" hidden="false" customHeight="false" outlineLevel="0" collapsed="false">
      <c r="B420" s="18" t="s">
        <v>11</v>
      </c>
      <c r="C420" s="19" t="n">
        <v>45801</v>
      </c>
      <c r="D420" s="10" t="n">
        <v>2168</v>
      </c>
      <c r="E420" s="18" t="s">
        <v>314</v>
      </c>
      <c r="F420" s="9" t="n">
        <v>1141</v>
      </c>
    </row>
    <row r="421" customFormat="false" ht="15" hidden="false" customHeight="false" outlineLevel="0" collapsed="false">
      <c r="B421" s="18" t="s">
        <v>11</v>
      </c>
      <c r="C421" s="19" t="n">
        <v>45839</v>
      </c>
      <c r="D421" s="10" t="n">
        <v>2019</v>
      </c>
      <c r="E421" s="18" t="s">
        <v>315</v>
      </c>
      <c r="F421" s="9" t="n">
        <v>1141</v>
      </c>
    </row>
    <row r="422" customFormat="false" ht="15" hidden="false" customHeight="false" outlineLevel="0" collapsed="false">
      <c r="B422" s="18" t="s">
        <v>11</v>
      </c>
      <c r="C422" s="19" t="n">
        <v>46204</v>
      </c>
      <c r="D422" s="10" t="n">
        <v>2180</v>
      </c>
      <c r="E422" s="18" t="s">
        <v>315</v>
      </c>
      <c r="F422" s="9" t="n">
        <v>1141</v>
      </c>
    </row>
    <row r="423" customFormat="false" ht="15" hidden="false" customHeight="false" outlineLevel="0" collapsed="false">
      <c r="B423" s="18" t="s">
        <v>11</v>
      </c>
      <c r="C423" s="19" t="n">
        <v>45762</v>
      </c>
      <c r="D423" s="10" t="n">
        <v>2120</v>
      </c>
      <c r="E423" s="18" t="s">
        <v>316</v>
      </c>
      <c r="F423" s="9" t="n">
        <v>1141</v>
      </c>
    </row>
    <row r="424" customFormat="false" ht="15" hidden="false" customHeight="false" outlineLevel="0" collapsed="false">
      <c r="B424" s="18" t="s">
        <v>11</v>
      </c>
      <c r="C424" s="19" t="n">
        <v>46230</v>
      </c>
      <c r="D424" s="10" t="n">
        <v>2180</v>
      </c>
      <c r="E424" s="18" t="s">
        <v>316</v>
      </c>
      <c r="F424" s="9" t="n">
        <v>1141</v>
      </c>
    </row>
    <row r="425" customFormat="false" ht="15" hidden="false" customHeight="false" outlineLevel="0" collapsed="false">
      <c r="B425" s="18" t="s">
        <v>11</v>
      </c>
      <c r="C425" s="19" t="n">
        <v>45584</v>
      </c>
      <c r="D425" s="10" t="n">
        <v>2245</v>
      </c>
      <c r="E425" s="18" t="s">
        <v>317</v>
      </c>
      <c r="F425" s="9" t="n">
        <v>1141</v>
      </c>
    </row>
    <row r="426" customFormat="false" ht="15" hidden="false" customHeight="false" outlineLevel="0" collapsed="false">
      <c r="B426" s="18" t="s">
        <v>11</v>
      </c>
      <c r="C426" s="19" t="n">
        <v>45707</v>
      </c>
      <c r="D426" s="10" t="n">
        <v>2270</v>
      </c>
      <c r="E426" s="18" t="s">
        <v>318</v>
      </c>
      <c r="F426" s="9" t="n">
        <v>1141</v>
      </c>
    </row>
    <row r="427" customFormat="false" ht="15" hidden="false" customHeight="false" outlineLevel="0" collapsed="false">
      <c r="B427" s="18" t="s">
        <v>11</v>
      </c>
      <c r="C427" s="19" t="n">
        <v>45853</v>
      </c>
      <c r="D427" s="10" t="n">
        <v>2504</v>
      </c>
      <c r="E427" s="18" t="s">
        <v>319</v>
      </c>
      <c r="F427" s="9" t="n">
        <v>1141</v>
      </c>
    </row>
    <row r="428" customFormat="false" ht="15" hidden="false" customHeight="false" outlineLevel="0" collapsed="false">
      <c r="B428" s="18" t="s">
        <v>11</v>
      </c>
      <c r="C428" s="19" t="n">
        <v>46122</v>
      </c>
      <c r="D428" s="10" t="n">
        <v>2620</v>
      </c>
      <c r="E428" s="18" t="s">
        <v>320</v>
      </c>
      <c r="F428" s="9" t="n">
        <v>1141</v>
      </c>
    </row>
    <row r="429" customFormat="false" ht="15" hidden="false" customHeight="false" outlineLevel="0" collapsed="false">
      <c r="B429" s="18" t="s">
        <v>11</v>
      </c>
      <c r="C429" s="19" t="n">
        <v>45535</v>
      </c>
      <c r="D429" s="10" t="n">
        <v>2245</v>
      </c>
      <c r="E429" s="18" t="s">
        <v>321</v>
      </c>
      <c r="F429" s="9" t="n">
        <v>1141</v>
      </c>
    </row>
    <row r="430" customFormat="false" ht="15" hidden="false" customHeight="false" outlineLevel="0" collapsed="false">
      <c r="B430" s="18" t="s">
        <v>12</v>
      </c>
      <c r="C430" s="19" t="n">
        <v>45764</v>
      </c>
      <c r="D430" s="10" t="n">
        <v>1670</v>
      </c>
      <c r="E430" s="18" t="s">
        <v>322</v>
      </c>
      <c r="F430" s="9" t="n">
        <v>1165</v>
      </c>
    </row>
    <row r="431" customFormat="false" ht="15" hidden="false" customHeight="false" outlineLevel="0" collapsed="false">
      <c r="B431" s="18" t="s">
        <v>12</v>
      </c>
      <c r="C431" s="19" t="n">
        <v>45770</v>
      </c>
      <c r="D431" s="10" t="n">
        <v>1735</v>
      </c>
      <c r="E431" s="18" t="s">
        <v>323</v>
      </c>
      <c r="F431" s="9" t="n">
        <v>1165</v>
      </c>
    </row>
    <row r="432" customFormat="false" ht="15" hidden="false" customHeight="false" outlineLevel="0" collapsed="false">
      <c r="B432" s="18" t="s">
        <v>12</v>
      </c>
      <c r="C432" s="19" t="n">
        <v>45781</v>
      </c>
      <c r="D432" s="10" t="n">
        <v>1820</v>
      </c>
      <c r="E432" s="18" t="s">
        <v>324</v>
      </c>
      <c r="F432" s="9" t="n">
        <v>1165</v>
      </c>
    </row>
    <row r="433" customFormat="false" ht="15" hidden="false" customHeight="false" outlineLevel="0" collapsed="false">
      <c r="B433" s="18" t="s">
        <v>12</v>
      </c>
      <c r="C433" s="19" t="n">
        <v>45791</v>
      </c>
      <c r="D433" s="10" t="n">
        <v>1820</v>
      </c>
      <c r="E433" s="18" t="s">
        <v>325</v>
      </c>
      <c r="F433" s="9" t="n">
        <v>1165</v>
      </c>
    </row>
    <row r="434" customFormat="false" ht="15" hidden="false" customHeight="false" outlineLevel="0" collapsed="false">
      <c r="B434" s="18" t="s">
        <v>12</v>
      </c>
      <c r="C434" s="19" t="n">
        <v>46066</v>
      </c>
      <c r="D434" s="10" t="n">
        <v>1845</v>
      </c>
      <c r="E434" s="18" t="s">
        <v>325</v>
      </c>
      <c r="F434" s="9" t="n">
        <v>1165</v>
      </c>
    </row>
    <row r="435" customFormat="false" ht="15" hidden="false" customHeight="false" outlineLevel="0" collapsed="false">
      <c r="B435" s="18" t="s">
        <v>12</v>
      </c>
      <c r="C435" s="19" t="n">
        <v>45791</v>
      </c>
      <c r="D435" s="10" t="n">
        <v>1885</v>
      </c>
      <c r="E435" s="18" t="s">
        <v>326</v>
      </c>
      <c r="F435" s="9" t="n">
        <v>1165</v>
      </c>
    </row>
    <row r="436" customFormat="false" ht="15" hidden="false" customHeight="false" outlineLevel="0" collapsed="false">
      <c r="B436" s="18" t="s">
        <v>12</v>
      </c>
      <c r="C436" s="19" t="n">
        <v>45706</v>
      </c>
      <c r="D436" s="10" t="n">
        <v>1898</v>
      </c>
      <c r="E436" s="18" t="s">
        <v>327</v>
      </c>
      <c r="F436" s="9" t="n">
        <v>1165</v>
      </c>
    </row>
    <row r="437" customFormat="false" ht="15" hidden="false" customHeight="false" outlineLevel="0" collapsed="false">
      <c r="B437" s="18" t="s">
        <v>12</v>
      </c>
      <c r="C437" s="19" t="n">
        <v>45877</v>
      </c>
      <c r="D437" s="10" t="n">
        <v>1920</v>
      </c>
      <c r="E437" s="18" t="s">
        <v>327</v>
      </c>
      <c r="F437" s="9" t="n">
        <v>1165</v>
      </c>
    </row>
    <row r="438" customFormat="false" ht="15" hidden="false" customHeight="false" outlineLevel="0" collapsed="false">
      <c r="B438" s="18" t="s">
        <v>12</v>
      </c>
      <c r="C438" s="19" t="n">
        <v>45863</v>
      </c>
      <c r="D438" s="10" t="n">
        <v>1920</v>
      </c>
      <c r="E438" s="18" t="s">
        <v>328</v>
      </c>
      <c r="F438" s="9" t="n">
        <v>1165</v>
      </c>
    </row>
    <row r="439" customFormat="false" ht="15" hidden="false" customHeight="false" outlineLevel="0" collapsed="false">
      <c r="B439" s="18" t="s">
        <v>12</v>
      </c>
      <c r="C439" s="19" t="n">
        <v>45535</v>
      </c>
      <c r="D439" s="10" t="n">
        <v>2173</v>
      </c>
      <c r="E439" s="18" t="s">
        <v>329</v>
      </c>
      <c r="F439" s="9" t="n">
        <v>1165</v>
      </c>
    </row>
    <row r="440" customFormat="false" ht="15" hidden="false" customHeight="false" outlineLevel="0" collapsed="false">
      <c r="B440" s="18" t="s">
        <v>12</v>
      </c>
      <c r="C440" s="19" t="n">
        <v>45753</v>
      </c>
      <c r="D440" s="10" t="n">
        <v>1820</v>
      </c>
      <c r="E440" s="18" t="s">
        <v>329</v>
      </c>
      <c r="F440" s="9" t="n">
        <v>1165</v>
      </c>
    </row>
    <row r="441" customFormat="false" ht="15" hidden="false" customHeight="false" outlineLevel="0" collapsed="false">
      <c r="B441" s="18" t="s">
        <v>12</v>
      </c>
      <c r="C441" s="19" t="n">
        <v>46090</v>
      </c>
      <c r="D441" s="10" t="n">
        <v>2045</v>
      </c>
      <c r="E441" s="18" t="s">
        <v>329</v>
      </c>
      <c r="F441" s="9" t="n">
        <v>1165</v>
      </c>
    </row>
    <row r="442" customFormat="false" ht="15" hidden="false" customHeight="false" outlineLevel="0" collapsed="false">
      <c r="B442" s="18" t="s">
        <v>12</v>
      </c>
      <c r="C442" s="19" t="n">
        <v>45874</v>
      </c>
      <c r="D442" s="10" t="n">
        <v>1920</v>
      </c>
      <c r="E442" s="18" t="s">
        <v>330</v>
      </c>
      <c r="F442" s="9" t="n">
        <v>1165</v>
      </c>
    </row>
    <row r="443" customFormat="false" ht="15" hidden="false" customHeight="false" outlineLevel="0" collapsed="false">
      <c r="B443" s="18" t="s">
        <v>12</v>
      </c>
      <c r="C443" s="19" t="n">
        <v>46235</v>
      </c>
      <c r="D443" s="10" t="n">
        <v>2052</v>
      </c>
      <c r="E443" s="18" t="s">
        <v>330</v>
      </c>
      <c r="F443" s="9" t="n">
        <v>1165</v>
      </c>
    </row>
    <row r="444" customFormat="false" ht="15" hidden="false" customHeight="false" outlineLevel="0" collapsed="false">
      <c r="B444" s="18" t="s">
        <v>12</v>
      </c>
      <c r="C444" s="19" t="n">
        <v>46216</v>
      </c>
      <c r="D444" s="10" t="n">
        <v>2052</v>
      </c>
      <c r="E444" s="18" t="s">
        <v>331</v>
      </c>
      <c r="F444" s="9" t="n">
        <v>1165</v>
      </c>
    </row>
    <row r="445" customFormat="false" ht="15" hidden="false" customHeight="false" outlineLevel="0" collapsed="false">
      <c r="B445" s="18" t="s">
        <v>12</v>
      </c>
      <c r="C445" s="19" t="n">
        <v>46237</v>
      </c>
      <c r="D445" s="10" t="n">
        <v>2077</v>
      </c>
      <c r="E445" s="18" t="s">
        <v>332</v>
      </c>
      <c r="F445" s="9" t="n">
        <v>1165</v>
      </c>
    </row>
    <row r="446" customFormat="false" ht="15" hidden="false" customHeight="false" outlineLevel="0" collapsed="false">
      <c r="B446" s="18" t="s">
        <v>12</v>
      </c>
      <c r="C446" s="19" t="n">
        <v>45774</v>
      </c>
      <c r="D446" s="10" t="n">
        <v>1820</v>
      </c>
      <c r="E446" s="18" t="s">
        <v>333</v>
      </c>
      <c r="F446" s="9" t="n">
        <v>1165</v>
      </c>
    </row>
    <row r="447" customFormat="false" ht="15" hidden="false" customHeight="false" outlineLevel="0" collapsed="false">
      <c r="B447" s="18" t="s">
        <v>12</v>
      </c>
      <c r="C447" s="19" t="n">
        <v>46104</v>
      </c>
      <c r="D447" s="10" t="n">
        <v>2045</v>
      </c>
      <c r="E447" s="18" t="s">
        <v>333</v>
      </c>
      <c r="F447" s="9" t="n">
        <v>1165</v>
      </c>
    </row>
    <row r="448" customFormat="false" ht="15" hidden="false" customHeight="false" outlineLevel="0" collapsed="false">
      <c r="B448" s="18" t="s">
        <v>12</v>
      </c>
      <c r="C448" s="19" t="n">
        <v>46235</v>
      </c>
      <c r="D448" s="10" t="n">
        <v>2077</v>
      </c>
      <c r="E448" s="18" t="s">
        <v>333</v>
      </c>
      <c r="F448" s="9" t="n">
        <v>1165</v>
      </c>
    </row>
    <row r="449" customFormat="false" ht="15" hidden="false" customHeight="false" outlineLevel="0" collapsed="false">
      <c r="B449" s="18" t="s">
        <v>12</v>
      </c>
      <c r="C449" s="19" t="n">
        <v>45800</v>
      </c>
      <c r="D449" s="10" t="n">
        <v>1885</v>
      </c>
      <c r="E449" s="18" t="s">
        <v>334</v>
      </c>
      <c r="F449" s="9" t="n">
        <v>1165</v>
      </c>
    </row>
    <row r="450" customFormat="false" ht="15" hidden="false" customHeight="false" outlineLevel="0" collapsed="false">
      <c r="B450" s="18" t="s">
        <v>12</v>
      </c>
      <c r="C450" s="19" t="n">
        <v>46213</v>
      </c>
      <c r="D450" s="10" t="n">
        <v>2117</v>
      </c>
      <c r="E450" s="18" t="s">
        <v>334</v>
      </c>
      <c r="F450" s="9" t="n">
        <v>1165</v>
      </c>
    </row>
    <row r="451" customFormat="false" ht="15" hidden="false" customHeight="false" outlineLevel="0" collapsed="false">
      <c r="B451" s="18" t="s">
        <v>12</v>
      </c>
      <c r="C451" s="19" t="n">
        <v>45957</v>
      </c>
      <c r="D451" s="10" t="n">
        <v>2135</v>
      </c>
      <c r="E451" s="18" t="s">
        <v>335</v>
      </c>
      <c r="F451" s="9" t="n">
        <v>1165</v>
      </c>
    </row>
    <row r="452" customFormat="false" ht="15" hidden="false" customHeight="false" outlineLevel="0" collapsed="false">
      <c r="B452" s="18" t="s">
        <v>12</v>
      </c>
      <c r="C452" s="19" t="n">
        <v>45869</v>
      </c>
      <c r="D452" s="10" t="n">
        <v>2020</v>
      </c>
      <c r="E452" s="18" t="s">
        <v>336</v>
      </c>
      <c r="F452" s="9" t="n">
        <v>1165</v>
      </c>
    </row>
    <row r="453" customFormat="false" ht="15" hidden="false" customHeight="false" outlineLevel="0" collapsed="false">
      <c r="B453" s="18" t="s">
        <v>12</v>
      </c>
      <c r="C453" s="19" t="n">
        <v>46244</v>
      </c>
      <c r="D453" s="10" t="n">
        <v>2152</v>
      </c>
      <c r="E453" s="18" t="s">
        <v>336</v>
      </c>
      <c r="F453" s="9" t="n">
        <v>1165</v>
      </c>
    </row>
    <row r="454" customFormat="false" ht="15" hidden="false" customHeight="false" outlineLevel="0" collapsed="false">
      <c r="B454" s="18" t="s">
        <v>13</v>
      </c>
      <c r="C454" s="19" t="n">
        <v>45743</v>
      </c>
      <c r="D454" s="10" t="n">
        <v>1795</v>
      </c>
      <c r="E454" s="18" t="s">
        <v>337</v>
      </c>
      <c r="F454" s="9" t="n">
        <v>1177</v>
      </c>
    </row>
    <row r="455" customFormat="false" ht="15" hidden="false" customHeight="false" outlineLevel="0" collapsed="false">
      <c r="B455" s="18" t="s">
        <v>13</v>
      </c>
      <c r="C455" s="19" t="n">
        <v>45727</v>
      </c>
      <c r="D455" s="10" t="n">
        <v>1798</v>
      </c>
      <c r="E455" s="18" t="s">
        <v>338</v>
      </c>
      <c r="F455" s="9" t="n">
        <v>1177</v>
      </c>
    </row>
    <row r="456" customFormat="false" ht="15" hidden="false" customHeight="false" outlineLevel="0" collapsed="false">
      <c r="B456" s="18" t="s">
        <v>13</v>
      </c>
      <c r="C456" s="19" t="n">
        <v>45965</v>
      </c>
      <c r="D456" s="10" t="n">
        <v>1799</v>
      </c>
      <c r="E456" s="18" t="s">
        <v>339</v>
      </c>
      <c r="F456" s="9" t="n">
        <v>1177</v>
      </c>
    </row>
    <row r="457" customFormat="false" ht="15" hidden="false" customHeight="false" outlineLevel="0" collapsed="false">
      <c r="B457" s="18" t="s">
        <v>13</v>
      </c>
      <c r="C457" s="19" t="n">
        <v>46058</v>
      </c>
      <c r="D457" s="10" t="n">
        <v>1800</v>
      </c>
      <c r="E457" s="18" t="s">
        <v>340</v>
      </c>
      <c r="F457" s="9" t="n">
        <v>1177</v>
      </c>
    </row>
    <row r="458" customFormat="false" ht="15" hidden="false" customHeight="false" outlineLevel="0" collapsed="false">
      <c r="B458" s="18" t="s">
        <v>13</v>
      </c>
      <c r="C458" s="19" t="n">
        <v>46050</v>
      </c>
      <c r="D458" s="10" t="n">
        <v>1800</v>
      </c>
      <c r="E458" s="18" t="s">
        <v>341</v>
      </c>
      <c r="F458" s="9" t="n">
        <v>1177</v>
      </c>
    </row>
    <row r="459" customFormat="false" ht="15" hidden="false" customHeight="false" outlineLevel="0" collapsed="false">
      <c r="B459" s="18" t="s">
        <v>13</v>
      </c>
      <c r="C459" s="19" t="n">
        <v>45661</v>
      </c>
      <c r="D459" s="10" t="n">
        <v>1798</v>
      </c>
      <c r="E459" s="18" t="s">
        <v>342</v>
      </c>
      <c r="F459" s="9" t="n">
        <v>1177</v>
      </c>
    </row>
    <row r="460" customFormat="false" ht="15" hidden="false" customHeight="false" outlineLevel="0" collapsed="false">
      <c r="B460" s="18" t="s">
        <v>13</v>
      </c>
      <c r="C460" s="19" t="n">
        <v>45939</v>
      </c>
      <c r="D460" s="10" t="n">
        <v>1800</v>
      </c>
      <c r="E460" s="18" t="s">
        <v>342</v>
      </c>
      <c r="F460" s="9" t="n">
        <v>1177</v>
      </c>
    </row>
    <row r="461" customFormat="false" ht="15" hidden="false" customHeight="false" outlineLevel="0" collapsed="false">
      <c r="B461" s="18" t="s">
        <v>13</v>
      </c>
      <c r="C461" s="19" t="n">
        <v>45687</v>
      </c>
      <c r="D461" s="10" t="n">
        <v>1750</v>
      </c>
      <c r="E461" s="18" t="s">
        <v>343</v>
      </c>
      <c r="F461" s="9" t="n">
        <v>1177</v>
      </c>
    </row>
    <row r="462" customFormat="false" ht="15" hidden="false" customHeight="false" outlineLevel="0" collapsed="false">
      <c r="B462" s="18" t="s">
        <v>13</v>
      </c>
      <c r="C462" s="19" t="n">
        <v>46069</v>
      </c>
      <c r="D462" s="10" t="n">
        <v>1800</v>
      </c>
      <c r="E462" s="18" t="s">
        <v>343</v>
      </c>
      <c r="F462" s="9" t="n">
        <v>1177</v>
      </c>
    </row>
    <row r="463" customFormat="false" ht="15" hidden="false" customHeight="false" outlineLevel="0" collapsed="false">
      <c r="B463" s="18" t="s">
        <v>13</v>
      </c>
      <c r="C463" s="19" t="n">
        <v>45744</v>
      </c>
      <c r="D463" s="10" t="n">
        <v>1800</v>
      </c>
      <c r="E463" s="18" t="s">
        <v>344</v>
      </c>
      <c r="F463" s="9" t="n">
        <v>1177</v>
      </c>
    </row>
    <row r="464" customFormat="false" ht="15" hidden="false" customHeight="false" outlineLevel="0" collapsed="false">
      <c r="B464" s="18" t="s">
        <v>13</v>
      </c>
      <c r="C464" s="19" t="n">
        <v>45735</v>
      </c>
      <c r="D464" s="10" t="n">
        <v>1820</v>
      </c>
      <c r="E464" s="18" t="s">
        <v>345</v>
      </c>
      <c r="F464" s="9" t="n">
        <v>1177</v>
      </c>
    </row>
    <row r="465" customFormat="false" ht="15" hidden="false" customHeight="false" outlineLevel="0" collapsed="false">
      <c r="B465" s="18" t="s">
        <v>13</v>
      </c>
      <c r="C465" s="19" t="n">
        <v>45665</v>
      </c>
      <c r="D465" s="10" t="n">
        <v>1833</v>
      </c>
      <c r="E465" s="18" t="s">
        <v>346</v>
      </c>
      <c r="F465" s="9" t="n">
        <v>1177</v>
      </c>
    </row>
    <row r="466" customFormat="false" ht="15" hidden="false" customHeight="false" outlineLevel="0" collapsed="false">
      <c r="B466" s="18" t="s">
        <v>13</v>
      </c>
      <c r="C466" s="19" t="n">
        <v>45742</v>
      </c>
      <c r="D466" s="10" t="n">
        <v>1845</v>
      </c>
      <c r="E466" s="18" t="s">
        <v>347</v>
      </c>
      <c r="F466" s="9" t="n">
        <v>1177</v>
      </c>
    </row>
    <row r="467" customFormat="false" ht="15" hidden="false" customHeight="false" outlineLevel="0" collapsed="false">
      <c r="B467" s="18" t="s">
        <v>13</v>
      </c>
      <c r="C467" s="19" t="n">
        <v>45739</v>
      </c>
      <c r="D467" s="10" t="n">
        <v>1770</v>
      </c>
      <c r="E467" s="18" t="s">
        <v>348</v>
      </c>
      <c r="F467" s="9" t="n">
        <v>1177</v>
      </c>
    </row>
    <row r="468" customFormat="false" ht="15" hidden="false" customHeight="false" outlineLevel="0" collapsed="false">
      <c r="B468" s="18" t="s">
        <v>13</v>
      </c>
      <c r="C468" s="19" t="n">
        <v>46071</v>
      </c>
      <c r="D468" s="10" t="n">
        <v>1850</v>
      </c>
      <c r="E468" s="18" t="s">
        <v>348</v>
      </c>
      <c r="F468" s="9" t="n">
        <v>1177</v>
      </c>
    </row>
    <row r="469" customFormat="false" ht="15" hidden="false" customHeight="false" outlineLevel="0" collapsed="false">
      <c r="B469" s="18" t="s">
        <v>13</v>
      </c>
      <c r="C469" s="19" t="n">
        <v>45770</v>
      </c>
      <c r="D469" s="10" t="n">
        <v>1870</v>
      </c>
      <c r="E469" s="18" t="s">
        <v>349</v>
      </c>
      <c r="F469" s="9" t="n">
        <v>1177</v>
      </c>
    </row>
    <row r="470" customFormat="false" ht="15" hidden="false" customHeight="false" outlineLevel="0" collapsed="false">
      <c r="B470" s="18" t="s">
        <v>13</v>
      </c>
      <c r="C470" s="19" t="n">
        <v>45742</v>
      </c>
      <c r="D470" s="10" t="n">
        <v>1935</v>
      </c>
      <c r="E470" s="18" t="s">
        <v>350</v>
      </c>
      <c r="F470" s="9" t="n">
        <v>1177</v>
      </c>
    </row>
    <row r="471" customFormat="false" ht="15" hidden="false" customHeight="false" outlineLevel="0" collapsed="false">
      <c r="B471" s="18" t="s">
        <v>13</v>
      </c>
      <c r="C471" s="19" t="n">
        <v>45730</v>
      </c>
      <c r="D471" s="10" t="n">
        <v>1960</v>
      </c>
      <c r="E471" s="18" t="s">
        <v>351</v>
      </c>
      <c r="F471" s="9" t="n">
        <v>1177</v>
      </c>
    </row>
    <row r="472" customFormat="false" ht="15" hidden="false" customHeight="false" outlineLevel="0" collapsed="false">
      <c r="B472" s="18" t="s">
        <v>13</v>
      </c>
      <c r="C472" s="19" t="n">
        <v>45759</v>
      </c>
      <c r="D472" s="10" t="n">
        <v>1970</v>
      </c>
      <c r="E472" s="18" t="s">
        <v>352</v>
      </c>
      <c r="F472" s="9" t="n">
        <v>1177</v>
      </c>
    </row>
    <row r="473" customFormat="false" ht="15" hidden="false" customHeight="false" outlineLevel="0" collapsed="false">
      <c r="B473" s="18" t="s">
        <v>13</v>
      </c>
      <c r="C473" s="19" t="n">
        <v>46203</v>
      </c>
      <c r="D473" s="10" t="n">
        <v>1995</v>
      </c>
      <c r="E473" s="18" t="s">
        <v>353</v>
      </c>
      <c r="F473" s="9" t="n">
        <v>1177</v>
      </c>
    </row>
    <row r="474" customFormat="false" ht="15" hidden="false" customHeight="false" outlineLevel="0" collapsed="false">
      <c r="B474" s="18" t="s">
        <v>13</v>
      </c>
      <c r="C474" s="19" t="n">
        <v>46011</v>
      </c>
      <c r="D474" s="10" t="n">
        <v>1999</v>
      </c>
      <c r="E474" s="18" t="s">
        <v>354</v>
      </c>
      <c r="F474" s="9" t="n">
        <v>1177</v>
      </c>
    </row>
    <row r="475" customFormat="false" ht="15" hidden="false" customHeight="false" outlineLevel="0" collapsed="false">
      <c r="B475" s="18" t="s">
        <v>13</v>
      </c>
      <c r="C475" s="19" t="n">
        <v>45750</v>
      </c>
      <c r="D475" s="10" t="n">
        <v>1820</v>
      </c>
      <c r="E475" s="18" t="s">
        <v>355</v>
      </c>
      <c r="F475" s="9" t="n">
        <v>1177</v>
      </c>
    </row>
    <row r="476" customFormat="false" ht="15" hidden="false" customHeight="false" outlineLevel="0" collapsed="false">
      <c r="B476" s="18" t="s">
        <v>13</v>
      </c>
      <c r="C476" s="19" t="n">
        <v>46144</v>
      </c>
      <c r="D476" s="10" t="n">
        <v>2020</v>
      </c>
      <c r="E476" s="18" t="s">
        <v>355</v>
      </c>
      <c r="F476" s="9" t="n">
        <v>1177</v>
      </c>
    </row>
    <row r="477" customFormat="false" ht="15" hidden="false" customHeight="false" outlineLevel="0" collapsed="false">
      <c r="B477" s="18" t="s">
        <v>13</v>
      </c>
      <c r="C477" s="19" t="n">
        <v>45669</v>
      </c>
      <c r="D477" s="10" t="n">
        <v>1798</v>
      </c>
      <c r="E477" s="18" t="s">
        <v>356</v>
      </c>
      <c r="F477" s="9" t="n">
        <v>1177</v>
      </c>
    </row>
    <row r="478" customFormat="false" ht="15" hidden="false" customHeight="false" outlineLevel="0" collapsed="false">
      <c r="B478" s="18" t="s">
        <v>13</v>
      </c>
      <c r="C478" s="19" t="n">
        <v>46177</v>
      </c>
      <c r="D478" s="10" t="n">
        <v>2096</v>
      </c>
      <c r="E478" s="18" t="s">
        <v>356</v>
      </c>
      <c r="F478" s="9" t="n">
        <v>1177</v>
      </c>
    </row>
    <row r="479" customFormat="false" ht="15" hidden="false" customHeight="false" outlineLevel="0" collapsed="false">
      <c r="B479" s="18" t="s">
        <v>13</v>
      </c>
      <c r="C479" s="19" t="n">
        <v>45561</v>
      </c>
      <c r="D479" s="10" t="n">
        <v>2098</v>
      </c>
      <c r="E479" s="18" t="s">
        <v>357</v>
      </c>
      <c r="F479" s="9" t="n">
        <v>1177</v>
      </c>
    </row>
    <row r="480" customFormat="false" ht="15" hidden="false" customHeight="false" outlineLevel="0" collapsed="false">
      <c r="B480" s="18" t="s">
        <v>13</v>
      </c>
      <c r="C480" s="19" t="n">
        <v>45580</v>
      </c>
      <c r="D480" s="10" t="n">
        <v>2098</v>
      </c>
      <c r="E480" s="18" t="s">
        <v>358</v>
      </c>
      <c r="F480" s="9" t="n">
        <v>1177</v>
      </c>
    </row>
    <row r="481" customFormat="false" ht="15" hidden="false" customHeight="false" outlineLevel="0" collapsed="false">
      <c r="B481" s="18" t="s">
        <v>13</v>
      </c>
      <c r="C481" s="19" t="n">
        <v>46093</v>
      </c>
      <c r="D481" s="10" t="n">
        <v>2099</v>
      </c>
      <c r="E481" s="18" t="s">
        <v>358</v>
      </c>
      <c r="F481" s="9" t="n">
        <v>1177</v>
      </c>
    </row>
    <row r="482" customFormat="false" ht="15" hidden="false" customHeight="false" outlineLevel="0" collapsed="false">
      <c r="B482" s="18" t="s">
        <v>13</v>
      </c>
      <c r="C482" s="19" t="n">
        <v>45791</v>
      </c>
      <c r="D482" s="10" t="n">
        <v>2099</v>
      </c>
      <c r="E482" s="18" t="s">
        <v>359</v>
      </c>
      <c r="F482" s="9" t="n">
        <v>1177</v>
      </c>
    </row>
    <row r="483" customFormat="false" ht="15" hidden="false" customHeight="false" outlineLevel="0" collapsed="false">
      <c r="B483" s="18" t="s">
        <v>13</v>
      </c>
      <c r="C483" s="19" t="n">
        <v>46115</v>
      </c>
      <c r="D483" s="10" t="n">
        <v>2110</v>
      </c>
      <c r="E483" s="18" t="s">
        <v>359</v>
      </c>
      <c r="F483" s="9" t="n">
        <v>1177</v>
      </c>
    </row>
    <row r="484" customFormat="false" ht="15" hidden="false" customHeight="false" outlineLevel="0" collapsed="false">
      <c r="B484" s="18" t="s">
        <v>13</v>
      </c>
      <c r="C484" s="19" t="n">
        <v>45758</v>
      </c>
      <c r="D484" s="10" t="n">
        <v>1970</v>
      </c>
      <c r="E484" s="18" t="s">
        <v>360</v>
      </c>
      <c r="F484" s="9" t="n">
        <v>1177</v>
      </c>
    </row>
    <row r="485" customFormat="false" ht="15" hidden="false" customHeight="false" outlineLevel="0" collapsed="false">
      <c r="B485" s="18" t="s">
        <v>13</v>
      </c>
      <c r="C485" s="19" t="n">
        <v>46139</v>
      </c>
      <c r="D485" s="10" t="n">
        <v>2135</v>
      </c>
      <c r="E485" s="18" t="s">
        <v>360</v>
      </c>
      <c r="F485" s="9" t="n">
        <v>1177</v>
      </c>
    </row>
    <row r="486" customFormat="false" ht="15" hidden="false" customHeight="false" outlineLevel="0" collapsed="false">
      <c r="B486" s="18" t="s">
        <v>13</v>
      </c>
      <c r="C486" s="19" t="n">
        <v>45761</v>
      </c>
      <c r="D486" s="10" t="n">
        <v>2020</v>
      </c>
      <c r="E486" s="18" t="s">
        <v>361</v>
      </c>
      <c r="F486" s="9" t="n">
        <v>1177</v>
      </c>
    </row>
    <row r="487" customFormat="false" ht="15" hidden="false" customHeight="false" outlineLevel="0" collapsed="false">
      <c r="B487" s="18" t="s">
        <v>13</v>
      </c>
      <c r="C487" s="19" t="n">
        <v>46195</v>
      </c>
      <c r="D487" s="10" t="n">
        <v>2146</v>
      </c>
      <c r="E487" s="18" t="s">
        <v>361</v>
      </c>
      <c r="F487" s="9" t="n">
        <v>1177</v>
      </c>
    </row>
    <row r="488" customFormat="false" ht="15" hidden="false" customHeight="false" outlineLevel="0" collapsed="false">
      <c r="B488" s="18" t="s">
        <v>13</v>
      </c>
      <c r="C488" s="19" t="n">
        <v>45700</v>
      </c>
      <c r="D488" s="10" t="n">
        <v>1798</v>
      </c>
      <c r="E488" s="18" t="s">
        <v>362</v>
      </c>
      <c r="F488" s="9" t="n">
        <v>1177</v>
      </c>
    </row>
    <row r="489" customFormat="false" ht="15" hidden="false" customHeight="false" outlineLevel="0" collapsed="false">
      <c r="B489" s="18" t="s">
        <v>13</v>
      </c>
      <c r="C489" s="19" t="n">
        <v>46142</v>
      </c>
      <c r="D489" s="10" t="n">
        <v>2150</v>
      </c>
      <c r="E489" s="18" t="s">
        <v>362</v>
      </c>
      <c r="F489" s="9" t="n">
        <v>1177</v>
      </c>
    </row>
    <row r="490" customFormat="false" ht="15" hidden="false" customHeight="false" outlineLevel="0" collapsed="false">
      <c r="B490" s="18" t="s">
        <v>13</v>
      </c>
      <c r="C490" s="19" t="n">
        <v>45703</v>
      </c>
      <c r="D490" s="10" t="n">
        <v>1798</v>
      </c>
      <c r="E490" s="18" t="s">
        <v>363</v>
      </c>
      <c r="F490" s="9" t="n">
        <v>1177</v>
      </c>
    </row>
    <row r="491" customFormat="false" ht="15" hidden="false" customHeight="false" outlineLevel="0" collapsed="false">
      <c r="B491" s="18" t="s">
        <v>13</v>
      </c>
      <c r="C491" s="19" t="n">
        <v>46158</v>
      </c>
      <c r="D491" s="10" t="n">
        <v>2161</v>
      </c>
      <c r="E491" s="18" t="s">
        <v>363</v>
      </c>
      <c r="F491" s="9" t="n">
        <v>1177</v>
      </c>
    </row>
    <row r="492" customFormat="false" ht="15" hidden="false" customHeight="false" outlineLevel="0" collapsed="false">
      <c r="B492" s="18" t="s">
        <v>13</v>
      </c>
      <c r="C492" s="19" t="n">
        <v>45737</v>
      </c>
      <c r="D492" s="10" t="n">
        <v>1885</v>
      </c>
      <c r="E492" s="18" t="s">
        <v>364</v>
      </c>
      <c r="F492" s="9" t="n">
        <v>1177</v>
      </c>
    </row>
    <row r="493" customFormat="false" ht="15" hidden="false" customHeight="false" outlineLevel="0" collapsed="false">
      <c r="B493" s="18" t="s">
        <v>14</v>
      </c>
      <c r="C493" s="19" t="n">
        <v>45666</v>
      </c>
      <c r="D493" s="10" t="n">
        <v>2105</v>
      </c>
      <c r="E493" s="18" t="s">
        <v>365</v>
      </c>
      <c r="F493" s="9" t="n">
        <v>1328</v>
      </c>
    </row>
    <row r="494" customFormat="false" ht="15" hidden="false" customHeight="false" outlineLevel="0" collapsed="false">
      <c r="B494" s="18" t="s">
        <v>14</v>
      </c>
      <c r="C494" s="19" t="n">
        <v>45843</v>
      </c>
      <c r="D494" s="10" t="n">
        <v>2174</v>
      </c>
      <c r="E494" s="18" t="s">
        <v>366</v>
      </c>
      <c r="F494" s="9" t="n">
        <v>1328</v>
      </c>
    </row>
    <row r="495" customFormat="false" ht="15" hidden="false" customHeight="false" outlineLevel="0" collapsed="false">
      <c r="B495" s="18" t="s">
        <v>14</v>
      </c>
      <c r="C495" s="19" t="n">
        <v>45511</v>
      </c>
      <c r="D495" s="10" t="n">
        <v>2350</v>
      </c>
      <c r="E495" s="18" t="s">
        <v>367</v>
      </c>
      <c r="F495" s="9" t="n">
        <v>1328</v>
      </c>
    </row>
    <row r="496" customFormat="false" ht="15" hidden="false" customHeight="false" outlineLevel="0" collapsed="false">
      <c r="B496" s="18" t="s">
        <v>14</v>
      </c>
      <c r="C496" s="19" t="n">
        <v>45925</v>
      </c>
      <c r="D496" s="10" t="n">
        <v>2199</v>
      </c>
      <c r="E496" s="18" t="s">
        <v>367</v>
      </c>
      <c r="F496" s="9" t="n">
        <v>1328</v>
      </c>
    </row>
    <row r="497" customFormat="false" ht="15" hidden="false" customHeight="false" outlineLevel="0" collapsed="false">
      <c r="B497" s="18" t="s">
        <v>14</v>
      </c>
      <c r="C497" s="19" t="n">
        <v>45764</v>
      </c>
      <c r="D497" s="10" t="n">
        <v>2235</v>
      </c>
      <c r="E497" s="18" t="s">
        <v>368</v>
      </c>
      <c r="F497" s="9" t="n">
        <v>1328</v>
      </c>
    </row>
    <row r="498" customFormat="false" ht="15" hidden="false" customHeight="false" outlineLevel="0" collapsed="false">
      <c r="B498" s="18" t="s">
        <v>14</v>
      </c>
      <c r="C498" s="19" t="n">
        <v>45813</v>
      </c>
      <c r="D498" s="10" t="n">
        <v>2326</v>
      </c>
      <c r="E498" s="18" t="s">
        <v>369</v>
      </c>
      <c r="F498" s="9" t="n">
        <v>1328</v>
      </c>
    </row>
    <row r="499" customFormat="false" ht="15" hidden="false" customHeight="false" outlineLevel="0" collapsed="false">
      <c r="B499" s="18" t="s">
        <v>14</v>
      </c>
      <c r="C499" s="19" t="n">
        <v>45738</v>
      </c>
      <c r="D499" s="10" t="n">
        <v>2160</v>
      </c>
      <c r="E499" s="18" t="s">
        <v>370</v>
      </c>
      <c r="F499" s="9" t="n">
        <v>1328</v>
      </c>
    </row>
    <row r="500" customFormat="false" ht="15" hidden="false" customHeight="false" outlineLevel="0" collapsed="false">
      <c r="B500" s="18" t="s">
        <v>14</v>
      </c>
      <c r="C500" s="19" t="n">
        <v>45958</v>
      </c>
      <c r="D500" s="10" t="n">
        <v>2326</v>
      </c>
      <c r="E500" s="18" t="s">
        <v>370</v>
      </c>
      <c r="F500" s="9" t="n">
        <v>1328</v>
      </c>
    </row>
    <row r="501" customFormat="false" ht="15" hidden="false" customHeight="false" outlineLevel="0" collapsed="false">
      <c r="B501" s="18" t="s">
        <v>14</v>
      </c>
      <c r="C501" s="19" t="n">
        <v>46099</v>
      </c>
      <c r="D501" s="10" t="n">
        <v>2340</v>
      </c>
      <c r="E501" s="18" t="s">
        <v>370</v>
      </c>
      <c r="F501" s="9" t="n">
        <v>1328</v>
      </c>
    </row>
    <row r="502" customFormat="false" ht="15" hidden="false" customHeight="false" outlineLevel="0" collapsed="false">
      <c r="B502" s="18" t="s">
        <v>14</v>
      </c>
      <c r="C502" s="19" t="n">
        <v>45540</v>
      </c>
      <c r="D502" s="10" t="n">
        <v>2350</v>
      </c>
      <c r="E502" s="18" t="s">
        <v>371</v>
      </c>
      <c r="F502" s="9" t="n">
        <v>1328</v>
      </c>
    </row>
    <row r="503" customFormat="false" ht="15" hidden="false" customHeight="false" outlineLevel="0" collapsed="false">
      <c r="B503" s="18" t="s">
        <v>14</v>
      </c>
      <c r="C503" s="19" t="n">
        <v>46110</v>
      </c>
      <c r="D503" s="10" t="n">
        <v>2340</v>
      </c>
      <c r="E503" s="18" t="s">
        <v>371</v>
      </c>
      <c r="F503" s="9" t="n">
        <v>1328</v>
      </c>
    </row>
    <row r="504" customFormat="false" ht="15" hidden="false" customHeight="false" outlineLevel="0" collapsed="false">
      <c r="B504" s="18" t="s">
        <v>14</v>
      </c>
      <c r="C504" s="19" t="n">
        <v>45693</v>
      </c>
      <c r="D504" s="10" t="n">
        <v>2130</v>
      </c>
      <c r="E504" s="18" t="s">
        <v>372</v>
      </c>
      <c r="F504" s="9" t="n">
        <v>1328</v>
      </c>
    </row>
    <row r="505" customFormat="false" ht="15" hidden="false" customHeight="false" outlineLevel="0" collapsed="false">
      <c r="B505" s="18" t="s">
        <v>14</v>
      </c>
      <c r="C505" s="19" t="n">
        <v>46092</v>
      </c>
      <c r="D505" s="10" t="n">
        <v>2351</v>
      </c>
      <c r="E505" s="18" t="s">
        <v>372</v>
      </c>
      <c r="F505" s="9" t="n">
        <v>1328</v>
      </c>
    </row>
    <row r="506" customFormat="false" ht="15" hidden="false" customHeight="false" outlineLevel="0" collapsed="false">
      <c r="B506" s="18" t="s">
        <v>14</v>
      </c>
      <c r="C506" s="19" t="n">
        <v>45931</v>
      </c>
      <c r="D506" s="10" t="n">
        <v>2326</v>
      </c>
      <c r="E506" s="18" t="s">
        <v>373</v>
      </c>
      <c r="F506" s="9" t="n">
        <v>1328</v>
      </c>
    </row>
    <row r="507" customFormat="false" ht="15" hidden="false" customHeight="false" outlineLevel="0" collapsed="false">
      <c r="B507" s="18" t="s">
        <v>14</v>
      </c>
      <c r="C507" s="19" t="n">
        <v>46226</v>
      </c>
      <c r="D507" s="10" t="n">
        <v>2579</v>
      </c>
      <c r="E507" s="18" t="s">
        <v>373</v>
      </c>
      <c r="F507" s="9" t="n">
        <v>1328</v>
      </c>
    </row>
    <row r="508" customFormat="false" ht="15" hidden="false" customHeight="false" outlineLevel="0" collapsed="false">
      <c r="B508" s="18" t="s">
        <v>14</v>
      </c>
      <c r="C508" s="19" t="n">
        <v>45535</v>
      </c>
      <c r="D508" s="10" t="n">
        <v>2365</v>
      </c>
      <c r="E508" s="18" t="s">
        <v>374</v>
      </c>
      <c r="F508" s="9" t="n">
        <v>1328</v>
      </c>
    </row>
    <row r="509" customFormat="false" ht="15" hidden="false" customHeight="false" outlineLevel="0" collapsed="false">
      <c r="B509" s="18" t="s">
        <v>14</v>
      </c>
      <c r="C509" s="19" t="n">
        <v>45812</v>
      </c>
      <c r="D509" s="10" t="n">
        <v>2326</v>
      </c>
      <c r="E509" s="18" t="s">
        <v>374</v>
      </c>
      <c r="F509" s="9" t="n">
        <v>1328</v>
      </c>
    </row>
    <row r="510" customFormat="false" ht="15" hidden="false" customHeight="false" outlineLevel="0" collapsed="false">
      <c r="B510" s="18" t="s">
        <v>14</v>
      </c>
      <c r="C510" s="19" t="n">
        <v>46184</v>
      </c>
      <c r="D510" s="10" t="n">
        <v>2579</v>
      </c>
      <c r="E510" s="18" t="s">
        <v>374</v>
      </c>
      <c r="F510" s="9" t="n">
        <v>1328</v>
      </c>
    </row>
    <row r="511" customFormat="false" ht="15" hidden="false" customHeight="false" outlineLevel="0" collapsed="false">
      <c r="B511" s="18" t="s">
        <v>15</v>
      </c>
      <c r="C511" s="19" t="n">
        <v>45642</v>
      </c>
      <c r="D511" s="10" t="n">
        <v>1855</v>
      </c>
      <c r="E511" s="18" t="s">
        <v>375</v>
      </c>
      <c r="F511" s="9" t="n">
        <v>1340</v>
      </c>
    </row>
    <row r="512" customFormat="false" ht="15" hidden="false" customHeight="false" outlineLevel="0" collapsed="false">
      <c r="B512" s="18" t="s">
        <v>15</v>
      </c>
      <c r="C512" s="19" t="n">
        <v>46064</v>
      </c>
      <c r="D512" s="10" t="n">
        <v>1975</v>
      </c>
      <c r="E512" s="18" t="s">
        <v>376</v>
      </c>
      <c r="F512" s="9" t="n">
        <v>1340</v>
      </c>
    </row>
    <row r="513" customFormat="false" ht="15" hidden="false" customHeight="false" outlineLevel="0" collapsed="false">
      <c r="B513" s="18" t="s">
        <v>15</v>
      </c>
      <c r="C513" s="19" t="n">
        <v>46084</v>
      </c>
      <c r="D513" s="10" t="n">
        <v>1999</v>
      </c>
      <c r="E513" s="18" t="s">
        <v>377</v>
      </c>
      <c r="F513" s="9" t="n">
        <v>1340</v>
      </c>
    </row>
    <row r="514" customFormat="false" ht="15" hidden="false" customHeight="false" outlineLevel="0" collapsed="false">
      <c r="B514" s="18" t="s">
        <v>15</v>
      </c>
      <c r="C514" s="19" t="n">
        <v>46055</v>
      </c>
      <c r="D514" s="10" t="n">
        <v>1999</v>
      </c>
      <c r="E514" s="18" t="s">
        <v>378</v>
      </c>
      <c r="F514" s="9" t="n">
        <v>1340</v>
      </c>
    </row>
    <row r="515" customFormat="false" ht="15" hidden="false" customHeight="false" outlineLevel="0" collapsed="false">
      <c r="B515" s="18" t="s">
        <v>15</v>
      </c>
      <c r="C515" s="19" t="n">
        <v>45665</v>
      </c>
      <c r="D515" s="10" t="n">
        <v>2055</v>
      </c>
      <c r="E515" s="18" t="s">
        <v>379</v>
      </c>
      <c r="F515" s="9" t="n">
        <v>1340</v>
      </c>
    </row>
    <row r="516" customFormat="false" ht="15" hidden="false" customHeight="false" outlineLevel="0" collapsed="false">
      <c r="B516" s="18" t="s">
        <v>15</v>
      </c>
      <c r="C516" s="19" t="n">
        <v>45671</v>
      </c>
      <c r="D516" s="10" t="n">
        <v>2080</v>
      </c>
      <c r="E516" s="18" t="s">
        <v>380</v>
      </c>
      <c r="F516" s="9" t="n">
        <v>1340</v>
      </c>
    </row>
    <row r="517" customFormat="false" ht="15" hidden="false" customHeight="false" outlineLevel="0" collapsed="false">
      <c r="B517" s="18" t="s">
        <v>15</v>
      </c>
      <c r="C517" s="19" t="n">
        <v>45734</v>
      </c>
      <c r="D517" s="10" t="n">
        <v>2235</v>
      </c>
      <c r="E517" s="18" t="s">
        <v>381</v>
      </c>
      <c r="F517" s="9" t="n">
        <v>1340</v>
      </c>
    </row>
    <row r="518" customFormat="false" ht="15" hidden="false" customHeight="false" outlineLevel="0" collapsed="false">
      <c r="B518" s="18" t="s">
        <v>15</v>
      </c>
      <c r="C518" s="19" t="n">
        <v>45751</v>
      </c>
      <c r="D518" s="10" t="n">
        <v>2245</v>
      </c>
      <c r="E518" s="18" t="s">
        <v>382</v>
      </c>
      <c r="F518" s="9" t="n">
        <v>1340</v>
      </c>
    </row>
    <row r="519" customFormat="false" ht="15" hidden="false" customHeight="false" outlineLevel="0" collapsed="false">
      <c r="B519" s="18" t="s">
        <v>15</v>
      </c>
      <c r="C519" s="19" t="n">
        <v>46086</v>
      </c>
      <c r="D519" s="10" t="n">
        <v>2250</v>
      </c>
      <c r="E519" s="18" t="s">
        <v>382</v>
      </c>
      <c r="F519" s="9" t="n">
        <v>1340</v>
      </c>
    </row>
    <row r="520" customFormat="false" ht="15" hidden="false" customHeight="false" outlineLevel="0" collapsed="false">
      <c r="B520" s="18" t="s">
        <v>15</v>
      </c>
      <c r="C520" s="19" t="n">
        <v>45540</v>
      </c>
      <c r="D520" s="10" t="n">
        <v>2325</v>
      </c>
      <c r="E520" s="18" t="s">
        <v>383</v>
      </c>
      <c r="F520" s="9" t="n">
        <v>1340</v>
      </c>
    </row>
    <row r="521" customFormat="false" ht="15" hidden="false" customHeight="false" outlineLevel="0" collapsed="false">
      <c r="B521" s="18" t="s">
        <v>15</v>
      </c>
      <c r="C521" s="19" t="n">
        <v>46106</v>
      </c>
      <c r="D521" s="10" t="n">
        <v>2280</v>
      </c>
      <c r="E521" s="18" t="s">
        <v>383</v>
      </c>
      <c r="F521" s="9" t="n">
        <v>1340</v>
      </c>
    </row>
    <row r="522" customFormat="false" ht="15" hidden="false" customHeight="false" outlineLevel="0" collapsed="false">
      <c r="B522" s="18" t="s">
        <v>15</v>
      </c>
      <c r="C522" s="19" t="n">
        <v>45535</v>
      </c>
      <c r="D522" s="10" t="n">
        <v>2325</v>
      </c>
      <c r="E522" s="18" t="s">
        <v>384</v>
      </c>
      <c r="F522" s="9" t="n">
        <v>1340</v>
      </c>
    </row>
    <row r="523" customFormat="false" ht="15" hidden="false" customHeight="false" outlineLevel="0" collapsed="false">
      <c r="B523" s="18" t="s">
        <v>15</v>
      </c>
      <c r="C523" s="19" t="n">
        <v>46094</v>
      </c>
      <c r="D523" s="10" t="n">
        <v>2325</v>
      </c>
      <c r="E523" s="18" t="s">
        <v>384</v>
      </c>
      <c r="F523" s="9" t="n">
        <v>1340</v>
      </c>
    </row>
    <row r="524" customFormat="false" ht="15" hidden="false" customHeight="false" outlineLevel="0" collapsed="false">
      <c r="B524" s="18" t="s">
        <v>15</v>
      </c>
      <c r="C524" s="19" t="n">
        <v>45848</v>
      </c>
      <c r="D524" s="10" t="n">
        <v>2380</v>
      </c>
      <c r="E524" s="18" t="s">
        <v>385</v>
      </c>
      <c r="F524" s="9" t="n">
        <v>1340</v>
      </c>
    </row>
    <row r="525" customFormat="false" ht="15" hidden="false" customHeight="false" outlineLevel="0" collapsed="false">
      <c r="B525" s="18" t="s">
        <v>15</v>
      </c>
      <c r="C525" s="19" t="n">
        <v>45825</v>
      </c>
      <c r="D525" s="10" t="n">
        <v>2380</v>
      </c>
      <c r="E525" s="18" t="s">
        <v>386</v>
      </c>
      <c r="F525" s="9" t="n">
        <v>1340</v>
      </c>
    </row>
    <row r="526" customFormat="false" ht="15" hidden="false" customHeight="false" outlineLevel="0" collapsed="false">
      <c r="B526" s="18" t="s">
        <v>15</v>
      </c>
      <c r="C526" s="19" t="n">
        <v>46092</v>
      </c>
      <c r="D526" s="10" t="n">
        <v>2380</v>
      </c>
      <c r="E526" s="18" t="s">
        <v>386</v>
      </c>
      <c r="F526" s="9" t="n">
        <v>1340</v>
      </c>
    </row>
    <row r="527" customFormat="false" ht="15" hidden="false" customHeight="false" outlineLevel="0" collapsed="false">
      <c r="B527" s="18" t="s">
        <v>15</v>
      </c>
      <c r="C527" s="19" t="n">
        <v>45809</v>
      </c>
      <c r="D527" s="10" t="n">
        <v>2380</v>
      </c>
      <c r="E527" s="18" t="s">
        <v>387</v>
      </c>
      <c r="F527" s="9" t="n">
        <v>1340</v>
      </c>
    </row>
    <row r="528" customFormat="false" ht="15" hidden="false" customHeight="false" outlineLevel="0" collapsed="false">
      <c r="B528" s="18" t="s">
        <v>15</v>
      </c>
      <c r="C528" s="19" t="n">
        <v>45762</v>
      </c>
      <c r="D528" s="10" t="n">
        <v>2085</v>
      </c>
      <c r="E528" s="18" t="s">
        <v>388</v>
      </c>
      <c r="F528" s="9" t="n">
        <v>1340</v>
      </c>
    </row>
    <row r="529" customFormat="false" ht="15" hidden="false" customHeight="false" outlineLevel="0" collapsed="false">
      <c r="B529" s="18" t="s">
        <v>15</v>
      </c>
      <c r="C529" s="19" t="n">
        <v>45840</v>
      </c>
      <c r="D529" s="10" t="n">
        <v>2330</v>
      </c>
      <c r="E529" s="18" t="s">
        <v>389</v>
      </c>
      <c r="F529" s="9" t="n">
        <v>1340</v>
      </c>
    </row>
    <row r="530" customFormat="false" ht="15" hidden="false" customHeight="false" outlineLevel="0" collapsed="false">
      <c r="B530" s="18" t="s">
        <v>15</v>
      </c>
      <c r="C530" s="19" t="n">
        <v>45839</v>
      </c>
      <c r="D530" s="10" t="n">
        <v>2330</v>
      </c>
      <c r="E530" s="18" t="s">
        <v>390</v>
      </c>
      <c r="F530" s="9" t="n">
        <v>1340</v>
      </c>
    </row>
    <row r="531" customFormat="false" ht="15" hidden="false" customHeight="false" outlineLevel="0" collapsed="false">
      <c r="B531" s="18" t="s">
        <v>15</v>
      </c>
      <c r="C531" s="19" t="n">
        <v>45776</v>
      </c>
      <c r="D531" s="10" t="n">
        <v>2235</v>
      </c>
      <c r="E531" s="18" t="s">
        <v>391</v>
      </c>
      <c r="F531" s="9" t="n">
        <v>1340</v>
      </c>
    </row>
    <row r="532" customFormat="false" ht="15" hidden="false" customHeight="false" outlineLevel="0" collapsed="false">
      <c r="B532" s="18" t="s">
        <v>15</v>
      </c>
      <c r="C532" s="19" t="n">
        <v>46184</v>
      </c>
      <c r="D532" s="10" t="n">
        <v>2529</v>
      </c>
      <c r="E532" s="18" t="s">
        <v>391</v>
      </c>
      <c r="F532" s="9" t="n">
        <v>1340</v>
      </c>
    </row>
    <row r="533" customFormat="false" ht="15" hidden="false" customHeight="false" outlineLevel="0" collapsed="false">
      <c r="B533" s="18" t="s">
        <v>15</v>
      </c>
      <c r="C533" s="19" t="n">
        <v>45756</v>
      </c>
      <c r="D533" s="10" t="n">
        <v>2160</v>
      </c>
      <c r="E533" s="18" t="s">
        <v>392</v>
      </c>
      <c r="F533" s="9" t="n">
        <v>1340</v>
      </c>
    </row>
    <row r="534" customFormat="false" ht="15" hidden="false" customHeight="false" outlineLevel="0" collapsed="false">
      <c r="B534" s="18" t="s">
        <v>15</v>
      </c>
      <c r="C534" s="19" t="n">
        <v>45870</v>
      </c>
      <c r="D534" s="10" t="n">
        <v>2530</v>
      </c>
      <c r="E534" s="18" t="s">
        <v>393</v>
      </c>
      <c r="F534" s="9" t="n">
        <v>1340</v>
      </c>
    </row>
    <row r="535" customFormat="false" ht="15" hidden="false" customHeight="false" outlineLevel="0" collapsed="false">
      <c r="B535" s="18" t="s">
        <v>15</v>
      </c>
      <c r="C535" s="19" t="n">
        <v>45939</v>
      </c>
      <c r="D535" s="10" t="n">
        <v>2280</v>
      </c>
      <c r="E535" s="18" t="s">
        <v>394</v>
      </c>
      <c r="F535" s="9" t="n">
        <v>1340</v>
      </c>
    </row>
    <row r="536" customFormat="false" ht="15" hidden="false" customHeight="false" outlineLevel="0" collapsed="false">
      <c r="B536" s="18" t="s">
        <v>15</v>
      </c>
      <c r="C536" s="19" t="n">
        <v>46190</v>
      </c>
      <c r="D536" s="10" t="n">
        <v>2579</v>
      </c>
      <c r="E536" s="18" t="s">
        <v>394</v>
      </c>
      <c r="F536" s="9" t="n">
        <v>1340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8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4"/>
    <col collapsed="false" customWidth="true" hidden="false" outlineLevel="0" max="8" min="8" style="0" width="60"/>
  </cols>
  <sheetData>
    <row r="1" customFormat="false" ht="15" hidden="false" customHeight="true" outlineLevel="0" collapsed="false">
      <c r="B1" s="20" t="s">
        <v>395</v>
      </c>
      <c r="C1" s="20" t="s">
        <v>40</v>
      </c>
      <c r="D1" s="20" t="s">
        <v>37</v>
      </c>
      <c r="E1" s="20" t="s">
        <v>38</v>
      </c>
      <c r="F1" s="3" t="s">
        <v>36</v>
      </c>
      <c r="H1" s="2" t="s">
        <v>396</v>
      </c>
    </row>
    <row r="2" customFormat="false" ht="15" hidden="false" customHeight="false" outlineLevel="0" collapsed="false">
      <c r="B2" s="13" t="s">
        <v>397</v>
      </c>
      <c r="C2" s="13" t="s">
        <v>398</v>
      </c>
      <c r="D2" s="13" t="s">
        <v>399</v>
      </c>
      <c r="E2" s="13" t="s">
        <v>400</v>
      </c>
      <c r="F2" s="8" t="str">
        <f aca="false">IF($C2="","",IFERROR(INDEX({"1x1-pp";"2x2a-pp";"2x2b-pp";"3x2-pp"},MATCH($C2,{787;1092;1172;1291},0)),""))</f>
        <v/>
      </c>
      <c r="H2" s="2"/>
    </row>
    <row r="3" customFormat="false" ht="15" hidden="false" customHeight="false" outlineLevel="0" collapsed="false">
      <c r="F3" s="8" t="str">
        <f aca="false">IF($C3="","",IFERROR(INDEX({"1x1-pp";"2x2a-pp";"2x2b-pp";"3x2-pp"},MATCH($C3,{787;1092;1172;1291},0)),""))</f>
        <v/>
      </c>
      <c r="H3" s="2"/>
    </row>
    <row r="4" customFormat="false" ht="15" hidden="false" customHeight="false" outlineLevel="0" collapsed="false">
      <c r="F4" s="8" t="str">
        <f aca="false">IF($C4="","",IFERROR(INDEX({"1x1-pp";"2x2a-pp";"2x2b-pp";"3x2-pp"},MATCH($C4,{787;1092;1172;1291},0)),""))</f>
        <v/>
      </c>
      <c r="H4" s="2"/>
    </row>
    <row r="5" customFormat="false" ht="15" hidden="false" customHeight="false" outlineLevel="0" collapsed="false">
      <c r="F5" s="8" t="str">
        <f aca="false">IF($C5="","",IFERROR(INDEX({"1x1-pp";"2x2a-pp";"2x2b-pp";"3x2-pp"},MATCH($C5,{787;1092;1172;1291},0)),""))</f>
        <v/>
      </c>
      <c r="H5" s="2"/>
    </row>
    <row r="6" customFormat="false" ht="15" hidden="false" customHeight="false" outlineLevel="0" collapsed="false">
      <c r="F6" s="8" t="str">
        <f aca="false">IF($C6="","",IFERROR(INDEX({"1x1-pp";"2x2a-pp";"2x2b-pp";"3x2-pp"},MATCH($C6,{787;1092;1172;1291},0)),""))</f>
        <v/>
      </c>
      <c r="H6" s="2"/>
    </row>
    <row r="7" customFormat="false" ht="15" hidden="false" customHeight="false" outlineLevel="0" collapsed="false">
      <c r="F7" s="8" t="str">
        <f aca="false">IF($C7="","",IFERROR(INDEX({"1x1-pp";"2x2a-pp";"2x2b-pp";"3x2-pp"},MATCH($C7,{787;1092;1172;1291},0)),""))</f>
        <v/>
      </c>
      <c r="H7" s="2"/>
    </row>
    <row r="8" customFormat="false" ht="15" hidden="false" customHeight="false" outlineLevel="0" collapsed="false">
      <c r="F8" s="8" t="str">
        <f aca="false">IF($C8="","",IFERROR(INDEX({"1x1-pp";"2x2a-pp";"2x2b-pp";"3x2-pp"},MATCH($C8,{787;1092;1172;1291},0)),""))</f>
        <v/>
      </c>
      <c r="H8" s="2"/>
    </row>
    <row r="9" customFormat="false" ht="15" hidden="false" customHeight="false" outlineLevel="0" collapsed="false">
      <c r="F9" s="8" t="str">
        <f aca="false">IF($C9="","",IFERROR(INDEX({"1x1-pp";"2x2a-pp";"2x2b-pp";"3x2-pp"},MATCH($C9,{787;1092;1172;1291},0)),""))</f>
        <v/>
      </c>
    </row>
    <row r="10" customFormat="false" ht="15" hidden="false" customHeight="false" outlineLevel="0" collapsed="false">
      <c r="F10" s="8" t="str">
        <f aca="false">IF($C10="","",IFERROR(INDEX({"1x1-pp";"2x2a-pp";"2x2b-pp";"3x2-pp"},MATCH($C10,{787;1092;1172;1291},0)),""))</f>
        <v/>
      </c>
    </row>
    <row r="11" customFormat="false" ht="15" hidden="false" customHeight="false" outlineLevel="0" collapsed="false">
      <c r="F11" s="8" t="str">
        <f aca="false">IF($C11="","",IFERROR(INDEX({"1x1-pp";"2x2a-pp";"2x2b-pp";"3x2-pp"},MATCH($C11,{787;1092;1172;1291},0)),""))</f>
        <v/>
      </c>
    </row>
    <row r="12" customFormat="false" ht="15" hidden="false" customHeight="false" outlineLevel="0" collapsed="false">
      <c r="F12" s="8" t="str">
        <f aca="false">IF($C12="","",IFERROR(INDEX({"1x1-pp";"2x2a-pp";"2x2b-pp";"3x2-pp"},MATCH($C12,{787;1092;1172;1291},0)),""))</f>
        <v/>
      </c>
    </row>
    <row r="13" customFormat="false" ht="15" hidden="false" customHeight="false" outlineLevel="0" collapsed="false">
      <c r="F13" s="8" t="str">
        <f aca="false">IF($C13="","",IFERROR(INDEX({"1x1-pp";"2x2a-pp";"2x2b-pp";"3x2-pp"},MATCH($C13,{787;1092;1172;1291},0)),""))</f>
        <v/>
      </c>
    </row>
    <row r="14" customFormat="false" ht="15" hidden="false" customHeight="false" outlineLevel="0" collapsed="false">
      <c r="F14" s="8" t="str">
        <f aca="false">IF($C14="","",IFERROR(INDEX({"1x1-pp";"2x2a-pp";"2x2b-pp";"3x2-pp"},MATCH($C14,{787;1092;1172;1291},0)),""))</f>
        <v/>
      </c>
    </row>
    <row r="15" customFormat="false" ht="15" hidden="false" customHeight="false" outlineLevel="0" collapsed="false">
      <c r="F15" s="8" t="str">
        <f aca="false">IF($C15="","",IFERROR(INDEX({"1x1-pp";"2x2a-pp";"2x2b-pp";"3x2-pp"},MATCH($C15,{787;1092;1172;1291},0)),""))</f>
        <v/>
      </c>
    </row>
    <row r="16" customFormat="false" ht="15" hidden="false" customHeight="false" outlineLevel="0" collapsed="false">
      <c r="F16" s="8" t="str">
        <f aca="false">IF($C16="","",IFERROR(INDEX({"1x1-pp";"2x2a-pp";"2x2b-pp";"3x2-pp"},MATCH($C16,{787;1092;1172;1291},0)),""))</f>
        <v/>
      </c>
    </row>
    <row r="17" customFormat="false" ht="15" hidden="false" customHeight="false" outlineLevel="0" collapsed="false">
      <c r="F17" s="8" t="str">
        <f aca="false">IF($C17="","",IFERROR(INDEX({"1x1-pp";"2x2a-pp";"2x2b-pp";"3x2-pp"},MATCH($C17,{787;1092;1172;1291},0)),""))</f>
        <v/>
      </c>
    </row>
    <row r="18" customFormat="false" ht="15" hidden="false" customHeight="false" outlineLevel="0" collapsed="false">
      <c r="F18" s="8" t="str">
        <f aca="false">IF($C18="","",IFERROR(INDEX({"1x1-pp";"2x2a-pp";"2x2b-pp";"3x2-pp"},MATCH($C18,{787;1092;1172;1291},0)),""))</f>
        <v/>
      </c>
    </row>
    <row r="19" customFormat="false" ht="15" hidden="false" customHeight="false" outlineLevel="0" collapsed="false">
      <c r="F19" s="8" t="str">
        <f aca="false">IF($C19="","",IFERROR(INDEX({"1x1-pp";"2x2a-pp";"2x2b-pp";"3x2-pp"},MATCH($C19,{787;1092;1172;1291},0)),""))</f>
        <v/>
      </c>
    </row>
    <row r="20" customFormat="false" ht="15" hidden="false" customHeight="false" outlineLevel="0" collapsed="false">
      <c r="F20" s="8" t="str">
        <f aca="false">IF($C20="","",IFERROR(INDEX({"1x1-pp";"2x2a-pp";"2x2b-pp";"3x2-pp"},MATCH($C20,{787;1092;1172;1291},0)),""))</f>
        <v/>
      </c>
    </row>
    <row r="21" customFormat="false" ht="15" hidden="false" customHeight="false" outlineLevel="0" collapsed="false">
      <c r="F21" s="8" t="str">
        <f aca="false">IF($C21="","",IFERROR(INDEX({"1x1-pp";"2x2a-pp";"2x2b-pp";"3x2-pp"},MATCH($C21,{787;1092;1172;1291},0)),""))</f>
        <v/>
      </c>
    </row>
    <row r="22" customFormat="false" ht="15" hidden="false" customHeight="false" outlineLevel="0" collapsed="false">
      <c r="F22" s="8" t="str">
        <f aca="false">IF($C22="","",IFERROR(INDEX({"1x1-pp";"2x2a-pp";"2x2b-pp";"3x2-pp"},MATCH($C22,{787;1092;1172;1291},0)),""))</f>
        <v/>
      </c>
    </row>
    <row r="23" customFormat="false" ht="15" hidden="false" customHeight="false" outlineLevel="0" collapsed="false">
      <c r="F23" s="8" t="str">
        <f aca="false">IF($C23="","",IFERROR(INDEX({"1x1-pp";"2x2a-pp";"2x2b-pp";"3x2-pp"},MATCH($C23,{787;1092;1172;1291},0)),""))</f>
        <v/>
      </c>
    </row>
    <row r="24" customFormat="false" ht="15" hidden="false" customHeight="false" outlineLevel="0" collapsed="false">
      <c r="F24" s="8" t="str">
        <f aca="false">IF($C24="","",IFERROR(INDEX({"1x1-pp";"2x2a-pp";"2x2b-pp";"3x2-pp"},MATCH($C24,{787;1092;1172;1291},0)),""))</f>
        <v/>
      </c>
    </row>
    <row r="25" customFormat="false" ht="15" hidden="false" customHeight="false" outlineLevel="0" collapsed="false">
      <c r="F25" s="8" t="str">
        <f aca="false">IF($C25="","",IFERROR(INDEX({"1x1-pp";"2x2a-pp";"2x2b-pp";"3x2-pp"},MATCH($C25,{787;1092;1172;1291},0)),""))</f>
        <v/>
      </c>
    </row>
    <row r="26" customFormat="false" ht="15" hidden="false" customHeight="false" outlineLevel="0" collapsed="false">
      <c r="F26" s="8" t="str">
        <f aca="false">IF($C26="","",IFERROR(INDEX({"1x1-pp";"2x2a-pp";"2x2b-pp";"3x2-pp"},MATCH($C26,{787;1092;1172;1291},0)),""))</f>
        <v/>
      </c>
    </row>
    <row r="27" customFormat="false" ht="15" hidden="false" customHeight="false" outlineLevel="0" collapsed="false">
      <c r="F27" s="8" t="str">
        <f aca="false">IF($C27="","",IFERROR(INDEX({"1x1-pp";"2x2a-pp";"2x2b-pp";"3x2-pp"},MATCH($C27,{787;1092;1172;1291},0)),""))</f>
        <v/>
      </c>
    </row>
    <row r="28" customFormat="false" ht="15" hidden="false" customHeight="false" outlineLevel="0" collapsed="false">
      <c r="F28" s="8" t="str">
        <f aca="false">IF($C28="","",IFERROR(INDEX({"1x1-pp";"2x2a-pp";"2x2b-pp";"3x2-pp"},MATCH($C28,{787;1092;1172;1291},0)),""))</f>
        <v/>
      </c>
    </row>
    <row r="29" customFormat="false" ht="15" hidden="false" customHeight="false" outlineLevel="0" collapsed="false">
      <c r="F29" s="8" t="str">
        <f aca="false">IF($C29="","",IFERROR(INDEX({"1x1-pp";"2x2a-pp";"2x2b-pp";"3x2-pp"},MATCH($C29,{787;1092;1172;1291},0)),""))</f>
        <v/>
      </c>
    </row>
    <row r="30" customFormat="false" ht="15" hidden="false" customHeight="false" outlineLevel="0" collapsed="false">
      <c r="F30" s="8" t="str">
        <f aca="false">IF($C30="","",IFERROR(INDEX({"1x1-pp";"2x2a-pp";"2x2b-pp";"3x2-pp"},MATCH($C30,{787;1092;1172;1291},0)),""))</f>
        <v/>
      </c>
    </row>
    <row r="31" customFormat="false" ht="15" hidden="false" customHeight="false" outlineLevel="0" collapsed="false">
      <c r="F31" s="8" t="str">
        <f aca="false">IF($C31="","",IFERROR(INDEX({"1x1-pp";"2x2a-pp";"2x2b-pp";"3x2-pp"},MATCH($C31,{787;1092;1172;1291},0)),""))</f>
        <v/>
      </c>
    </row>
    <row r="32" customFormat="false" ht="15" hidden="false" customHeight="false" outlineLevel="0" collapsed="false">
      <c r="F32" s="8" t="str">
        <f aca="false">IF($C32="","",IFERROR(INDEX({"1x1-pp";"2x2a-pp";"2x2b-pp";"3x2-pp"},MATCH($C32,{787;1092;1172;1291},0)),""))</f>
        <v/>
      </c>
    </row>
    <row r="33" customFormat="false" ht="15" hidden="false" customHeight="false" outlineLevel="0" collapsed="false">
      <c r="F33" s="8" t="str">
        <f aca="false">IF($C33="","",IFERROR(INDEX({"1x1-pp";"2x2a-pp";"2x2b-pp";"3x2-pp"},MATCH($C33,{787;1092;1172;1291},0)),""))</f>
        <v/>
      </c>
    </row>
    <row r="34" customFormat="false" ht="15" hidden="false" customHeight="false" outlineLevel="0" collapsed="false">
      <c r="F34" s="8" t="str">
        <f aca="false">IF($C34="","",IFERROR(INDEX({"1x1-pp";"2x2a-pp";"2x2b-pp";"3x2-pp"},MATCH($C34,{787;1092;1172;1291},0)),""))</f>
        <v/>
      </c>
    </row>
    <row r="35" customFormat="false" ht="15" hidden="false" customHeight="false" outlineLevel="0" collapsed="false">
      <c r="F35" s="8" t="str">
        <f aca="false">IF($C35="","",IFERROR(INDEX({"1x1-pp";"2x2a-pp";"2x2b-pp";"3x2-pp"},MATCH($C35,{787;1092;1172;1291},0)),""))</f>
        <v/>
      </c>
    </row>
    <row r="36" customFormat="false" ht="15" hidden="false" customHeight="false" outlineLevel="0" collapsed="false">
      <c r="F36" s="8" t="str">
        <f aca="false">IF($C36="","",IFERROR(INDEX({"1x1-pp";"2x2a-pp";"2x2b-pp";"3x2-pp"},MATCH($C36,{787;1092;1172;1291},0)),""))</f>
        <v/>
      </c>
    </row>
    <row r="37" customFormat="false" ht="15" hidden="false" customHeight="false" outlineLevel="0" collapsed="false">
      <c r="F37" s="8" t="str">
        <f aca="false">IF($C37="","",IFERROR(INDEX({"1x1-pp";"2x2a-pp";"2x2b-pp";"3x2-pp"},MATCH($C37,{787;1092;1172;1291},0)),""))</f>
        <v/>
      </c>
    </row>
    <row r="38" customFormat="false" ht="15" hidden="false" customHeight="false" outlineLevel="0" collapsed="false">
      <c r="F38" s="8" t="str">
        <f aca="false">IF($C38="","",IFERROR(INDEX({"1x1-pp";"2x2a-pp";"2x2b-pp";"3x2-pp"},MATCH($C38,{787;1092;1172;1291},0)),""))</f>
        <v/>
      </c>
    </row>
    <row r="39" customFormat="false" ht="15" hidden="false" customHeight="false" outlineLevel="0" collapsed="false">
      <c r="F39" s="8" t="str">
        <f aca="false">IF($C39="","",IFERROR(INDEX({"1x1-pp";"2x2a-pp";"2x2b-pp";"3x2-pp"},MATCH($C39,{787;1092;1172;1291},0)),""))</f>
        <v/>
      </c>
    </row>
    <row r="40" customFormat="false" ht="15" hidden="false" customHeight="false" outlineLevel="0" collapsed="false">
      <c r="F40" s="8" t="str">
        <f aca="false">IF($C40="","",IFERROR(INDEX({"1x1-pp";"2x2a-pp";"2x2b-pp";"3x2-pp"},MATCH($C40,{787;1092;1172;1291},0)),""))</f>
        <v/>
      </c>
    </row>
    <row r="41" customFormat="false" ht="15" hidden="false" customHeight="false" outlineLevel="0" collapsed="false">
      <c r="F41" s="8" t="str">
        <f aca="false">IF($C41="","",IFERROR(INDEX({"1x1-pp";"2x2a-pp";"2x2b-pp";"3x2-pp"},MATCH($C41,{787;1092;1172;1291},0)),""))</f>
        <v/>
      </c>
    </row>
    <row r="42" customFormat="false" ht="15" hidden="false" customHeight="false" outlineLevel="0" collapsed="false">
      <c r="F42" s="8" t="str">
        <f aca="false">IF($C42="","",IFERROR(INDEX({"1x1-pp";"2x2a-pp";"2x2b-pp";"3x2-pp"},MATCH($C42,{787;1092;1172;1291},0)),""))</f>
        <v/>
      </c>
    </row>
    <row r="43" customFormat="false" ht="15" hidden="false" customHeight="false" outlineLevel="0" collapsed="false">
      <c r="F43" s="8" t="str">
        <f aca="false">IF($C43="","",IFERROR(INDEX({"1x1-pp";"2x2a-pp";"2x2b-pp";"3x2-pp"},MATCH($C43,{787;1092;1172;1291},0)),""))</f>
        <v/>
      </c>
    </row>
    <row r="44" customFormat="false" ht="15" hidden="false" customHeight="false" outlineLevel="0" collapsed="false">
      <c r="F44" s="8" t="str">
        <f aca="false">IF($C44="","",IFERROR(INDEX({"1x1-pp";"2x2a-pp";"2x2b-pp";"3x2-pp"},MATCH($C44,{787;1092;1172;1291},0)),""))</f>
        <v/>
      </c>
    </row>
    <row r="45" customFormat="false" ht="15" hidden="false" customHeight="false" outlineLevel="0" collapsed="false">
      <c r="F45" s="8" t="str">
        <f aca="false">IF($C45="","",IFERROR(INDEX({"1x1-pp";"2x2a-pp";"2x2b-pp";"3x2-pp"},MATCH($C45,{787;1092;1172;1291},0)),""))</f>
        <v/>
      </c>
    </row>
    <row r="46" customFormat="false" ht="15" hidden="false" customHeight="false" outlineLevel="0" collapsed="false">
      <c r="F46" s="8" t="str">
        <f aca="false">IF($C46="","",IFERROR(INDEX({"1x1-pp";"2x2a-pp";"2x2b-pp";"3x2-pp"},MATCH($C46,{787;1092;1172;1291},0)),""))</f>
        <v/>
      </c>
    </row>
    <row r="47" customFormat="false" ht="15" hidden="false" customHeight="false" outlineLevel="0" collapsed="false">
      <c r="F47" s="8" t="str">
        <f aca="false">IF($C47="","",IFERROR(INDEX({"1x1-pp";"2x2a-pp";"2x2b-pp";"3x2-pp"},MATCH($C47,{787;1092;1172;1291},0)),""))</f>
        <v/>
      </c>
    </row>
    <row r="48" customFormat="false" ht="15" hidden="false" customHeight="false" outlineLevel="0" collapsed="false">
      <c r="F48" s="8" t="str">
        <f aca="false">IF($C48="","",IFERROR(INDEX({"1x1-pp";"2x2a-pp";"2x2b-pp";"3x2-pp"},MATCH($C48,{787;1092;1172;1291},0)),""))</f>
        <v/>
      </c>
    </row>
    <row r="49" customFormat="false" ht="15" hidden="false" customHeight="false" outlineLevel="0" collapsed="false">
      <c r="F49" s="8" t="str">
        <f aca="false">IF($C49="","",IFERROR(INDEX({"1x1-pp";"2x2a-pp";"2x2b-pp";"3x2-pp"},MATCH($C49,{787;1092;1172;1291},0)),""))</f>
        <v/>
      </c>
    </row>
    <row r="50" customFormat="false" ht="15" hidden="false" customHeight="false" outlineLevel="0" collapsed="false">
      <c r="F50" s="8" t="str">
        <f aca="false">IF($C50="","",IFERROR(INDEX({"1x1-pp";"2x2a-pp";"2x2b-pp";"3x2-pp"},MATCH($C50,{787;1092;1172;1291},0)),""))</f>
        <v/>
      </c>
    </row>
    <row r="51" customFormat="false" ht="15" hidden="false" customHeight="false" outlineLevel="0" collapsed="false">
      <c r="F51" s="8" t="str">
        <f aca="false">IF($C51="","",IFERROR(INDEX({"1x1-pp";"2x2a-pp";"2x2b-pp";"3x2-pp"},MATCH($C51,{787;1092;1172;1291},0)),""))</f>
        <v/>
      </c>
    </row>
    <row r="52" customFormat="false" ht="15" hidden="false" customHeight="false" outlineLevel="0" collapsed="false">
      <c r="F52" s="8" t="str">
        <f aca="false">IF($C52="","",IFERROR(INDEX({"1x1-pp";"2x2a-pp";"2x2b-pp";"3x2-pp"},MATCH($C52,{787;1092;1172;1291},0)),""))</f>
        <v/>
      </c>
    </row>
    <row r="53" customFormat="false" ht="15" hidden="false" customHeight="false" outlineLevel="0" collapsed="false">
      <c r="F53" s="8" t="str">
        <f aca="false">IF($C53="","",IFERROR(INDEX({"1x1-pp";"2x2a-pp";"2x2b-pp";"3x2-pp"},MATCH($C53,{787;1092;1172;1291},0)),""))</f>
        <v/>
      </c>
    </row>
    <row r="54" customFormat="false" ht="15" hidden="false" customHeight="false" outlineLevel="0" collapsed="false">
      <c r="F54" s="8" t="str">
        <f aca="false">IF($C54="","",IFERROR(INDEX({"1x1-pp";"2x2a-pp";"2x2b-pp";"3x2-pp"},MATCH($C54,{787;1092;1172;1291},0)),""))</f>
        <v/>
      </c>
    </row>
    <row r="55" customFormat="false" ht="15" hidden="false" customHeight="false" outlineLevel="0" collapsed="false">
      <c r="F55" s="8" t="str">
        <f aca="false">IF($C55="","",IFERROR(INDEX({"1x1-pp";"2x2a-pp";"2x2b-pp";"3x2-pp"},MATCH($C55,{787;1092;1172;1291},0)),""))</f>
        <v/>
      </c>
    </row>
    <row r="56" customFormat="false" ht="15" hidden="false" customHeight="false" outlineLevel="0" collapsed="false">
      <c r="F56" s="8" t="str">
        <f aca="false">IF($C56="","",IFERROR(INDEX({"1x1-pp";"2x2a-pp";"2x2b-pp";"3x2-pp"},MATCH($C56,{787;1092;1172;1291},0)),""))</f>
        <v/>
      </c>
    </row>
    <row r="57" customFormat="false" ht="15" hidden="false" customHeight="false" outlineLevel="0" collapsed="false">
      <c r="F57" s="8" t="str">
        <f aca="false">IF($C57="","",IFERROR(INDEX({"1x1-pp";"2x2a-pp";"2x2b-pp";"3x2-pp"},MATCH($C57,{787;1092;1172;1291},0)),""))</f>
        <v/>
      </c>
    </row>
    <row r="58" customFormat="false" ht="15" hidden="false" customHeight="false" outlineLevel="0" collapsed="false">
      <c r="F58" s="8" t="str">
        <f aca="false">IF($C58="","",IFERROR(INDEX({"1x1-pp";"2x2a-pp";"2x2b-pp";"3x2-pp"},MATCH($C58,{787;1092;1172;1291},0)),""))</f>
        <v/>
      </c>
    </row>
    <row r="59" customFormat="false" ht="15" hidden="false" customHeight="false" outlineLevel="0" collapsed="false">
      <c r="F59" s="8" t="str">
        <f aca="false">IF($C59="","",IFERROR(INDEX({"1x1-pp";"2x2a-pp";"2x2b-pp";"3x2-pp"},MATCH($C59,{787;1092;1172;1291},0)),""))</f>
        <v/>
      </c>
    </row>
    <row r="60" customFormat="false" ht="15" hidden="false" customHeight="false" outlineLevel="0" collapsed="false">
      <c r="F60" s="8" t="str">
        <f aca="false">IF($C60="","",IFERROR(INDEX({"1x1-pp";"2x2a-pp";"2x2b-pp";"3x2-pp"},MATCH($C60,{787;1092;1172;1291},0)),""))</f>
        <v/>
      </c>
    </row>
    <row r="61" customFormat="false" ht="15" hidden="false" customHeight="false" outlineLevel="0" collapsed="false">
      <c r="F61" s="8" t="str">
        <f aca="false">IF($C61="","",IFERROR(INDEX({"1x1-pp";"2x2a-pp";"2x2b-pp";"3x2-pp"},MATCH($C61,{787;1092;1172;1291},0)),""))</f>
        <v/>
      </c>
    </row>
    <row r="62" customFormat="false" ht="15" hidden="false" customHeight="false" outlineLevel="0" collapsed="false">
      <c r="F62" s="8" t="str">
        <f aca="false">IF($C62="","",IFERROR(INDEX({"1x1-pp";"2x2a-pp";"2x2b-pp";"3x2-pp"},MATCH($C62,{787;1092;1172;1291},0)),""))</f>
        <v/>
      </c>
    </row>
    <row r="63" customFormat="false" ht="15" hidden="false" customHeight="false" outlineLevel="0" collapsed="false">
      <c r="F63" s="8" t="str">
        <f aca="false">IF($C63="","",IFERROR(INDEX({"1x1-pp";"2x2a-pp";"2x2b-pp";"3x2-pp"},MATCH($C63,{787;1092;1172;1291},0)),""))</f>
        <v/>
      </c>
    </row>
    <row r="64" customFormat="false" ht="15" hidden="false" customHeight="false" outlineLevel="0" collapsed="false">
      <c r="F64" s="8" t="str">
        <f aca="false">IF($C64="","",IFERROR(INDEX({"1x1-pp";"2x2a-pp";"2x2b-pp";"3x2-pp"},MATCH($C64,{787;1092;1172;1291},0)),""))</f>
        <v/>
      </c>
    </row>
    <row r="65" customFormat="false" ht="15" hidden="false" customHeight="false" outlineLevel="0" collapsed="false">
      <c r="F65" s="8" t="str">
        <f aca="false">IF($C65="","",IFERROR(INDEX({"1x1-pp";"2x2a-pp";"2x2b-pp";"3x2-pp"},MATCH($C65,{787;1092;1172;1291},0)),""))</f>
        <v/>
      </c>
    </row>
    <row r="66" customFormat="false" ht="15" hidden="false" customHeight="false" outlineLevel="0" collapsed="false">
      <c r="F66" s="8" t="str">
        <f aca="false">IF($C66="","",IFERROR(INDEX({"1x1-pp";"2x2a-pp";"2x2b-pp";"3x2-pp"},MATCH($C66,{787;1092;1172;1291},0)),""))</f>
        <v/>
      </c>
    </row>
    <row r="67" customFormat="false" ht="15" hidden="false" customHeight="false" outlineLevel="0" collapsed="false">
      <c r="F67" s="8" t="str">
        <f aca="false">IF($C67="","",IFERROR(INDEX({"1x1-pp";"2x2a-pp";"2x2b-pp";"3x2-pp"},MATCH($C67,{787;1092;1172;1291},0)),""))</f>
        <v/>
      </c>
    </row>
    <row r="68" customFormat="false" ht="15" hidden="false" customHeight="false" outlineLevel="0" collapsed="false">
      <c r="F68" s="8" t="str">
        <f aca="false">IF($C68="","",IFERROR(INDEX({"1x1-pp";"2x2a-pp";"2x2b-pp";"3x2-pp"},MATCH($C68,{787;1092;1172;1291},0)),""))</f>
        <v/>
      </c>
    </row>
    <row r="69" customFormat="false" ht="15" hidden="false" customHeight="false" outlineLevel="0" collapsed="false">
      <c r="F69" s="8" t="str">
        <f aca="false">IF($C69="","",IFERROR(INDEX({"1x1-pp";"2x2a-pp";"2x2b-pp";"3x2-pp"},MATCH($C69,{787;1092;1172;1291},0)),""))</f>
        <v/>
      </c>
    </row>
    <row r="70" customFormat="false" ht="15" hidden="false" customHeight="false" outlineLevel="0" collapsed="false">
      <c r="F70" s="8" t="str">
        <f aca="false">IF($C70="","",IFERROR(INDEX({"1x1-pp";"2x2a-pp";"2x2b-pp";"3x2-pp"},MATCH($C70,{787;1092;1172;1291},0)),""))</f>
        <v/>
      </c>
    </row>
    <row r="71" customFormat="false" ht="15" hidden="false" customHeight="false" outlineLevel="0" collapsed="false">
      <c r="F71" s="8" t="str">
        <f aca="false">IF($C71="","",IFERROR(INDEX({"1x1-pp";"2x2a-pp";"2x2b-pp";"3x2-pp"},MATCH($C71,{787;1092;1172;1291},0)),""))</f>
        <v/>
      </c>
    </row>
    <row r="72" customFormat="false" ht="15" hidden="false" customHeight="false" outlineLevel="0" collapsed="false">
      <c r="F72" s="8" t="str">
        <f aca="false">IF($C72="","",IFERROR(INDEX({"1x1-pp";"2x2a-pp";"2x2b-pp";"3x2-pp"},MATCH($C72,{787;1092;1172;1291},0)),""))</f>
        <v/>
      </c>
    </row>
    <row r="73" customFormat="false" ht="15" hidden="false" customHeight="false" outlineLevel="0" collapsed="false">
      <c r="F73" s="8" t="str">
        <f aca="false">IF($C73="","",IFERROR(INDEX({"1x1-pp";"2x2a-pp";"2x2b-pp";"3x2-pp"},MATCH($C73,{787;1092;1172;1291},0)),""))</f>
        <v/>
      </c>
    </row>
    <row r="74" customFormat="false" ht="15" hidden="false" customHeight="false" outlineLevel="0" collapsed="false">
      <c r="F74" s="8" t="str">
        <f aca="false">IF($C74="","",IFERROR(INDEX({"1x1-pp";"2x2a-pp";"2x2b-pp";"3x2-pp"},MATCH($C74,{787;1092;1172;1291},0)),""))</f>
        <v/>
      </c>
    </row>
    <row r="75" customFormat="false" ht="15" hidden="false" customHeight="false" outlineLevel="0" collapsed="false">
      <c r="F75" s="8" t="str">
        <f aca="false">IF($C75="","",IFERROR(INDEX({"1x1-pp";"2x2a-pp";"2x2b-pp";"3x2-pp"},MATCH($C75,{787;1092;1172;1291},0)),""))</f>
        <v/>
      </c>
    </row>
    <row r="76" customFormat="false" ht="15" hidden="false" customHeight="false" outlineLevel="0" collapsed="false">
      <c r="F76" s="8" t="str">
        <f aca="false">IF($C76="","",IFERROR(INDEX({"1x1-pp";"2x2a-pp";"2x2b-pp";"3x2-pp"},MATCH($C76,{787;1092;1172;1291},0)),""))</f>
        <v/>
      </c>
    </row>
    <row r="77" customFormat="false" ht="15" hidden="false" customHeight="false" outlineLevel="0" collapsed="false">
      <c r="F77" s="8" t="str">
        <f aca="false">IF($C77="","",IFERROR(INDEX({"1x1-pp";"2x2a-pp";"2x2b-pp";"3x2-pp"},MATCH($C77,{787;1092;1172;1291},0)),""))</f>
        <v/>
      </c>
    </row>
    <row r="78" customFormat="false" ht="15" hidden="false" customHeight="false" outlineLevel="0" collapsed="false">
      <c r="F78" s="8" t="str">
        <f aca="false">IF($C78="","",IFERROR(INDEX({"1x1-pp";"2x2a-pp";"2x2b-pp";"3x2-pp"},MATCH($C78,{787;1092;1172;1291},0)),""))</f>
        <v/>
      </c>
    </row>
    <row r="79" customFormat="false" ht="15" hidden="false" customHeight="false" outlineLevel="0" collapsed="false">
      <c r="F79" s="8" t="str">
        <f aca="false">IF($C79="","",IFERROR(INDEX({"1x1-pp";"2x2a-pp";"2x2b-pp";"3x2-pp"},MATCH($C79,{787;1092;1172;1291},0)),""))</f>
        <v/>
      </c>
    </row>
    <row r="80" customFormat="false" ht="15" hidden="false" customHeight="false" outlineLevel="0" collapsed="false">
      <c r="F80" s="8" t="str">
        <f aca="false">IF($C80="","",IFERROR(INDEX({"1x1-pp";"2x2a-pp";"2x2b-pp";"3x2-pp"},MATCH($C80,{787;1092;1172;1291},0)),""))</f>
        <v/>
      </c>
    </row>
    <row r="81" customFormat="false" ht="15" hidden="false" customHeight="false" outlineLevel="0" collapsed="false">
      <c r="F81" s="8" t="str">
        <f aca="false">IF($C81="","",IFERROR(INDEX({"1x1-pp";"2x2a-pp";"2x2b-pp";"3x2-pp"},MATCH($C81,{787;1092;1172;1291},0)),""))</f>
        <v/>
      </c>
    </row>
    <row r="82" customFormat="false" ht="15" hidden="false" customHeight="false" outlineLevel="0" collapsed="false">
      <c r="F82" s="8" t="str">
        <f aca="false">IF($C82="","",IFERROR(INDEX({"1x1-pp";"2x2a-pp";"2x2b-pp";"3x2-pp"},MATCH($C82,{787;1092;1172;1291},0)),""))</f>
        <v/>
      </c>
    </row>
    <row r="83" customFormat="false" ht="15" hidden="false" customHeight="false" outlineLevel="0" collapsed="false">
      <c r="F83" s="8" t="str">
        <f aca="false">IF($C83="","",IFERROR(INDEX({"1x1-pp";"2x2a-pp";"2x2b-pp";"3x2-pp"},MATCH($C83,{787;1092;1172;1291},0)),""))</f>
        <v/>
      </c>
    </row>
    <row r="84" customFormat="false" ht="15" hidden="false" customHeight="false" outlineLevel="0" collapsed="false">
      <c r="F84" s="8" t="str">
        <f aca="false">IF($C84="","",IFERROR(INDEX({"1x1-pp";"2x2a-pp";"2x2b-pp";"3x2-pp"},MATCH($C84,{787;1092;1172;1291},0)),""))</f>
        <v/>
      </c>
    </row>
    <row r="85" customFormat="false" ht="15" hidden="false" customHeight="false" outlineLevel="0" collapsed="false">
      <c r="F85" s="8" t="str">
        <f aca="false">IF($C85="","",IFERROR(INDEX({"1x1-pp";"2x2a-pp";"2x2b-pp";"3x2-pp"},MATCH($C85,{787;1092;1172;1291},0)),""))</f>
        <v/>
      </c>
    </row>
    <row r="86" customFormat="false" ht="15" hidden="false" customHeight="false" outlineLevel="0" collapsed="false">
      <c r="F86" s="8" t="str">
        <f aca="false">IF($C86="","",IFERROR(INDEX({"1x1-pp";"2x2a-pp";"2x2b-pp";"3x2-pp"},MATCH($C86,{787;1092;1172;1291},0)),""))</f>
        <v/>
      </c>
    </row>
    <row r="87" customFormat="false" ht="15" hidden="false" customHeight="false" outlineLevel="0" collapsed="false">
      <c r="F87" s="8" t="str">
        <f aca="false">IF($C87="","",IFERROR(INDEX({"1x1-pp";"2x2a-pp";"2x2b-pp";"3x2-pp"},MATCH($C87,{787;1092;1172;1291},0)),""))</f>
        <v/>
      </c>
    </row>
    <row r="88" customFormat="false" ht="15" hidden="false" customHeight="false" outlineLevel="0" collapsed="false">
      <c r="F88" s="8" t="str">
        <f aca="false">IF($C88="","",IFERROR(INDEX({"1x1-pp";"2x2a-pp";"2x2b-pp";"3x2-pp"},MATCH($C88,{787;1092;1172;1291},0)),""))</f>
        <v/>
      </c>
    </row>
    <row r="89" customFormat="false" ht="15" hidden="false" customHeight="false" outlineLevel="0" collapsed="false">
      <c r="F89" s="8" t="str">
        <f aca="false">IF($C89="","",IFERROR(INDEX({"1x1-pp";"2x2a-pp";"2x2b-pp";"3x2-pp"},MATCH($C89,{787;1092;1172;1291},0)),""))</f>
        <v/>
      </c>
    </row>
    <row r="90" customFormat="false" ht="15" hidden="false" customHeight="false" outlineLevel="0" collapsed="false">
      <c r="F90" s="8" t="str">
        <f aca="false">IF($C90="","",IFERROR(INDEX({"1x1-pp";"2x2a-pp";"2x2b-pp";"3x2-pp"},MATCH($C90,{787;1092;1172;1291},0)),""))</f>
        <v/>
      </c>
    </row>
    <row r="91" customFormat="false" ht="15" hidden="false" customHeight="false" outlineLevel="0" collapsed="false">
      <c r="F91" s="8" t="str">
        <f aca="false">IF($C91="","",IFERROR(INDEX({"1x1-pp";"2x2a-pp";"2x2b-pp";"3x2-pp"},MATCH($C91,{787;1092;1172;1291},0)),""))</f>
        <v/>
      </c>
    </row>
    <row r="92" customFormat="false" ht="15" hidden="false" customHeight="false" outlineLevel="0" collapsed="false">
      <c r="F92" s="8" t="str">
        <f aca="false">IF($C92="","",IFERROR(INDEX({"1x1-pp";"2x2a-pp";"2x2b-pp";"3x2-pp"},MATCH($C92,{787;1092;1172;1291},0)),""))</f>
        <v/>
      </c>
    </row>
    <row r="93" customFormat="false" ht="15" hidden="false" customHeight="false" outlineLevel="0" collapsed="false">
      <c r="F93" s="8" t="str">
        <f aca="false">IF($C93="","",IFERROR(INDEX({"1x1-pp";"2x2a-pp";"2x2b-pp";"3x2-pp"},MATCH($C93,{787;1092;1172;1291},0)),""))</f>
        <v/>
      </c>
    </row>
    <row r="94" customFormat="false" ht="15" hidden="false" customHeight="false" outlineLevel="0" collapsed="false">
      <c r="F94" s="8" t="str">
        <f aca="false">IF($C94="","",IFERROR(INDEX({"1x1-pp";"2x2a-pp";"2x2b-pp";"3x2-pp"},MATCH($C94,{787;1092;1172;1291},0)),""))</f>
        <v/>
      </c>
    </row>
    <row r="95" customFormat="false" ht="15" hidden="false" customHeight="false" outlineLevel="0" collapsed="false">
      <c r="F95" s="8" t="str">
        <f aca="false">IF($C95="","",IFERROR(INDEX({"1x1-pp";"2x2a-pp";"2x2b-pp";"3x2-pp"},MATCH($C95,{787;1092;1172;1291},0)),""))</f>
        <v/>
      </c>
    </row>
    <row r="96" customFormat="false" ht="15" hidden="false" customHeight="false" outlineLevel="0" collapsed="false">
      <c r="F96" s="8" t="str">
        <f aca="false">IF($C96="","",IFERROR(INDEX({"1x1-pp";"2x2a-pp";"2x2b-pp";"3x2-pp"},MATCH($C96,{787;1092;1172;1291},0)),""))</f>
        <v/>
      </c>
    </row>
    <row r="97" customFormat="false" ht="15" hidden="false" customHeight="false" outlineLevel="0" collapsed="false">
      <c r="F97" s="8" t="str">
        <f aca="false">IF($C97="","",IFERROR(INDEX({"1x1-pp";"2x2a-pp";"2x2b-pp";"3x2-pp"},MATCH($C97,{787;1092;1172;1291},0)),""))</f>
        <v/>
      </c>
    </row>
    <row r="98" customFormat="false" ht="15" hidden="false" customHeight="false" outlineLevel="0" collapsed="false">
      <c r="F98" s="8" t="str">
        <f aca="false">IF($C98="","",IFERROR(INDEX({"1x1-pp";"2x2a-pp";"2x2b-pp";"3x2-pp"},MATCH($C98,{787;1092;1172;1291},0)),""))</f>
        <v/>
      </c>
    </row>
    <row r="99" customFormat="false" ht="15" hidden="false" customHeight="false" outlineLevel="0" collapsed="false">
      <c r="F99" s="8" t="str">
        <f aca="false">IF($C99="","",IFERROR(INDEX({"1x1-pp";"2x2a-pp";"2x2b-pp";"3x2-pp"},MATCH($C99,{787;1092;1172;1291},0)),""))</f>
        <v/>
      </c>
    </row>
    <row r="100" customFormat="false" ht="15" hidden="false" customHeight="false" outlineLevel="0" collapsed="false">
      <c r="F100" s="8" t="str">
        <f aca="false">IF($C100="","",IFERROR(INDEX({"1x1-pp";"2x2a-pp";"2x2b-pp";"3x2-pp"},MATCH($C100,{787;1092;1172;1291},0)),""))</f>
        <v/>
      </c>
    </row>
    <row r="101" customFormat="false" ht="15" hidden="false" customHeight="false" outlineLevel="0" collapsed="false">
      <c r="F101" s="8" t="str">
        <f aca="false">IF($C101="","",IFERROR(INDEX({"1x1-pp";"2x2a-pp";"2x2b-pp";"3x2-pp"},MATCH($C101,{787;1092;1172;1291},0)),""))</f>
        <v/>
      </c>
    </row>
    <row r="102" customFormat="false" ht="15" hidden="false" customHeight="false" outlineLevel="0" collapsed="false">
      <c r="F102" s="8" t="str">
        <f aca="false">IF($C102="","",IFERROR(INDEX({"1x1-pp";"2x2a-pp";"2x2b-pp";"3x2-pp"},MATCH($C102,{787;1092;1172;1291},0)),""))</f>
        <v/>
      </c>
    </row>
    <row r="103" customFormat="false" ht="15" hidden="false" customHeight="false" outlineLevel="0" collapsed="false">
      <c r="F103" s="8" t="str">
        <f aca="false">IF($C103="","",IFERROR(INDEX({"1x1-pp";"2x2a-pp";"2x2b-pp";"3x2-pp"},MATCH($C103,{787;1092;1172;1291},0)),""))</f>
        <v/>
      </c>
    </row>
    <row r="104" customFormat="false" ht="15" hidden="false" customHeight="false" outlineLevel="0" collapsed="false">
      <c r="F104" s="8" t="str">
        <f aca="false">IF($C104="","",IFERROR(INDEX({"1x1-pp";"2x2a-pp";"2x2b-pp";"3x2-pp"},MATCH($C104,{787;1092;1172;1291},0)),""))</f>
        <v/>
      </c>
    </row>
    <row r="105" customFormat="false" ht="15" hidden="false" customHeight="false" outlineLevel="0" collapsed="false">
      <c r="F105" s="8" t="str">
        <f aca="false">IF($C105="","",IFERROR(INDEX({"1x1-pp";"2x2a-pp";"2x2b-pp";"3x2-pp"},MATCH($C105,{787;1092;1172;1291},0)),""))</f>
        <v/>
      </c>
    </row>
    <row r="106" customFormat="false" ht="15" hidden="false" customHeight="false" outlineLevel="0" collapsed="false">
      <c r="F106" s="8" t="str">
        <f aca="false">IF($C106="","",IFERROR(INDEX({"1x1-pp";"2x2a-pp";"2x2b-pp";"3x2-pp"},MATCH($C106,{787;1092;1172;1291},0)),""))</f>
        <v/>
      </c>
    </row>
    <row r="107" customFormat="false" ht="15" hidden="false" customHeight="false" outlineLevel="0" collapsed="false">
      <c r="F107" s="8" t="str">
        <f aca="false">IF($C107="","",IFERROR(INDEX({"1x1-pp";"2x2a-pp";"2x2b-pp";"3x2-pp"},MATCH($C107,{787;1092;1172;1291},0)),""))</f>
        <v/>
      </c>
    </row>
    <row r="108" customFormat="false" ht="15" hidden="false" customHeight="false" outlineLevel="0" collapsed="false">
      <c r="F108" s="8" t="str">
        <f aca="false">IF($C108="","",IFERROR(INDEX({"1x1-pp";"2x2a-pp";"2x2b-pp";"3x2-pp"},MATCH($C108,{787;1092;1172;1291},0)),""))</f>
        <v/>
      </c>
    </row>
    <row r="109" customFormat="false" ht="15" hidden="false" customHeight="false" outlineLevel="0" collapsed="false">
      <c r="F109" s="8" t="str">
        <f aca="false">IF($C109="","",IFERROR(INDEX({"1x1-pp";"2x2a-pp";"2x2b-pp";"3x2-pp"},MATCH($C109,{787;1092;1172;1291},0)),""))</f>
        <v/>
      </c>
    </row>
    <row r="110" customFormat="false" ht="15" hidden="false" customHeight="false" outlineLevel="0" collapsed="false">
      <c r="F110" s="8" t="str">
        <f aca="false">IF($C110="","",IFERROR(INDEX({"1x1-pp";"2x2a-pp";"2x2b-pp";"3x2-pp"},MATCH($C110,{787;1092;1172;1291},0)),""))</f>
        <v/>
      </c>
    </row>
    <row r="111" customFormat="false" ht="15" hidden="false" customHeight="false" outlineLevel="0" collapsed="false">
      <c r="F111" s="8" t="str">
        <f aca="false">IF($C111="","",IFERROR(INDEX({"1x1-pp";"2x2a-pp";"2x2b-pp";"3x2-pp"},MATCH($C111,{787;1092;1172;1291},0)),""))</f>
        <v/>
      </c>
    </row>
    <row r="112" customFormat="false" ht="15" hidden="false" customHeight="false" outlineLevel="0" collapsed="false">
      <c r="F112" s="8" t="str">
        <f aca="false">IF($C112="","",IFERROR(INDEX({"1x1-pp";"2x2a-pp";"2x2b-pp";"3x2-pp"},MATCH($C112,{787;1092;1172;1291},0)),""))</f>
        <v/>
      </c>
    </row>
    <row r="113" customFormat="false" ht="15" hidden="false" customHeight="false" outlineLevel="0" collapsed="false">
      <c r="F113" s="8" t="str">
        <f aca="false">IF($C113="","",IFERROR(INDEX({"1x1-pp";"2x2a-pp";"2x2b-pp";"3x2-pp"},MATCH($C113,{787;1092;1172;1291},0)),""))</f>
        <v/>
      </c>
    </row>
    <row r="114" customFormat="false" ht="15" hidden="false" customHeight="false" outlineLevel="0" collapsed="false">
      <c r="F114" s="8" t="str">
        <f aca="false">IF($C114="","",IFERROR(INDEX({"1x1-pp";"2x2a-pp";"2x2b-pp";"3x2-pp"},MATCH($C114,{787;1092;1172;1291},0)),""))</f>
        <v/>
      </c>
    </row>
    <row r="115" customFormat="false" ht="15" hidden="false" customHeight="false" outlineLevel="0" collapsed="false">
      <c r="F115" s="8" t="str">
        <f aca="false">IF($C115="","",IFERROR(INDEX({"1x1-pp";"2x2a-pp";"2x2b-pp";"3x2-pp"},MATCH($C115,{787;1092;1172;1291},0)),""))</f>
        <v/>
      </c>
    </row>
    <row r="116" customFormat="false" ht="15" hidden="false" customHeight="false" outlineLevel="0" collapsed="false">
      <c r="F116" s="8" t="str">
        <f aca="false">IF($C116="","",IFERROR(INDEX({"1x1-pp";"2x2a-pp";"2x2b-pp";"3x2-pp"},MATCH($C116,{787;1092;1172;1291},0)),""))</f>
        <v/>
      </c>
    </row>
    <row r="117" customFormat="false" ht="15" hidden="false" customHeight="false" outlineLevel="0" collapsed="false">
      <c r="F117" s="8" t="str">
        <f aca="false">IF($C117="","",IFERROR(INDEX({"1x1-pp";"2x2a-pp";"2x2b-pp";"3x2-pp"},MATCH($C117,{787;1092;1172;1291},0)),""))</f>
        <v/>
      </c>
    </row>
    <row r="118" customFormat="false" ht="15" hidden="false" customHeight="false" outlineLevel="0" collapsed="false">
      <c r="F118" s="8" t="str">
        <f aca="false">IF($C118="","",IFERROR(INDEX({"1x1-pp";"2x2a-pp";"2x2b-pp";"3x2-pp"},MATCH($C118,{787;1092;1172;1291},0)),""))</f>
        <v/>
      </c>
    </row>
    <row r="119" customFormat="false" ht="15" hidden="false" customHeight="false" outlineLevel="0" collapsed="false">
      <c r="F119" s="8" t="str">
        <f aca="false">IF($C119="","",IFERROR(INDEX({"1x1-pp";"2x2a-pp";"2x2b-pp";"3x2-pp"},MATCH($C119,{787;1092;1172;1291},0)),""))</f>
        <v/>
      </c>
    </row>
    <row r="120" customFormat="false" ht="15" hidden="false" customHeight="false" outlineLevel="0" collapsed="false">
      <c r="F120" s="8" t="str">
        <f aca="false">IF($C120="","",IFERROR(INDEX({"1x1-pp";"2x2a-pp";"2x2b-pp";"3x2-pp"},MATCH($C120,{787;1092;1172;1291},0)),""))</f>
        <v/>
      </c>
    </row>
    <row r="121" customFormat="false" ht="15" hidden="false" customHeight="false" outlineLevel="0" collapsed="false">
      <c r="F121" s="8" t="str">
        <f aca="false">IF($C121="","",IFERROR(INDEX({"1x1-pp";"2x2a-pp";"2x2b-pp";"3x2-pp"},MATCH($C121,{787;1092;1172;1291},0)),""))</f>
        <v/>
      </c>
    </row>
    <row r="122" customFormat="false" ht="15" hidden="false" customHeight="false" outlineLevel="0" collapsed="false">
      <c r="F122" s="8" t="str">
        <f aca="false">IF($C122="","",IFERROR(INDEX({"1x1-pp";"2x2a-pp";"2x2b-pp";"3x2-pp"},MATCH($C122,{787;1092;1172;1291},0)),""))</f>
        <v/>
      </c>
    </row>
    <row r="123" customFormat="false" ht="15" hidden="false" customHeight="false" outlineLevel="0" collapsed="false">
      <c r="F123" s="8" t="str">
        <f aca="false">IF($C123="","",IFERROR(INDEX({"1x1-pp";"2x2a-pp";"2x2b-pp";"3x2-pp"},MATCH($C123,{787;1092;1172;1291},0)),""))</f>
        <v/>
      </c>
    </row>
    <row r="124" customFormat="false" ht="15" hidden="false" customHeight="false" outlineLevel="0" collapsed="false">
      <c r="F124" s="8" t="str">
        <f aca="false">IF($C124="","",IFERROR(INDEX({"1x1-pp";"2x2a-pp";"2x2b-pp";"3x2-pp"},MATCH($C124,{787;1092;1172;1291},0)),""))</f>
        <v/>
      </c>
    </row>
    <row r="125" customFormat="false" ht="15" hidden="false" customHeight="false" outlineLevel="0" collapsed="false">
      <c r="F125" s="8" t="str">
        <f aca="false">IF($C125="","",IFERROR(INDEX({"1x1-pp";"2x2a-pp";"2x2b-pp";"3x2-pp"},MATCH($C125,{787;1092;1172;1291},0)),""))</f>
        <v/>
      </c>
    </row>
    <row r="126" customFormat="false" ht="15" hidden="false" customHeight="false" outlineLevel="0" collapsed="false">
      <c r="F126" s="8" t="str">
        <f aca="false">IF($C126="","",IFERROR(INDEX({"1x1-pp";"2x2a-pp";"2x2b-pp";"3x2-pp"},MATCH($C126,{787;1092;1172;1291},0)),""))</f>
        <v/>
      </c>
    </row>
    <row r="127" customFormat="false" ht="15" hidden="false" customHeight="false" outlineLevel="0" collapsed="false">
      <c r="F127" s="8" t="str">
        <f aca="false">IF($C127="","",IFERROR(INDEX({"1x1-pp";"2x2a-pp";"2x2b-pp";"3x2-pp"},MATCH($C127,{787;1092;1172;1291},0)),""))</f>
        <v/>
      </c>
    </row>
    <row r="128" customFormat="false" ht="15" hidden="false" customHeight="false" outlineLevel="0" collapsed="false">
      <c r="F128" s="8" t="str">
        <f aca="false">IF($C128="","",IFERROR(INDEX({"1x1-pp";"2x2a-pp";"2x2b-pp";"3x2-pp"},MATCH($C128,{787;1092;1172;1291},0)),""))</f>
        <v/>
      </c>
    </row>
    <row r="129" customFormat="false" ht="15" hidden="false" customHeight="false" outlineLevel="0" collapsed="false">
      <c r="F129" s="8" t="str">
        <f aca="false">IF($C129="","",IFERROR(INDEX({"1x1-pp";"2x2a-pp";"2x2b-pp";"3x2-pp"},MATCH($C129,{787;1092;1172;1291},0)),""))</f>
        <v/>
      </c>
    </row>
    <row r="130" customFormat="false" ht="15" hidden="false" customHeight="false" outlineLevel="0" collapsed="false">
      <c r="F130" s="8" t="str">
        <f aca="false">IF($C130="","",IFERROR(INDEX({"1x1-pp";"2x2a-pp";"2x2b-pp";"3x2-pp"},MATCH($C130,{787;1092;1172;1291},0)),""))</f>
        <v/>
      </c>
    </row>
    <row r="131" customFormat="false" ht="15" hidden="false" customHeight="false" outlineLevel="0" collapsed="false">
      <c r="F131" s="8" t="str">
        <f aca="false">IF($C131="","",IFERROR(INDEX({"1x1-pp";"2x2a-pp";"2x2b-pp";"3x2-pp"},MATCH($C131,{787;1092;1172;1291},0)),""))</f>
        <v/>
      </c>
    </row>
    <row r="132" customFormat="false" ht="15" hidden="false" customHeight="false" outlineLevel="0" collapsed="false">
      <c r="F132" s="8" t="str">
        <f aca="false">IF($C132="","",IFERROR(INDEX({"1x1-pp";"2x2a-pp";"2x2b-pp";"3x2-pp"},MATCH($C132,{787;1092;1172;1291},0)),""))</f>
        <v/>
      </c>
    </row>
    <row r="133" customFormat="false" ht="15" hidden="false" customHeight="false" outlineLevel="0" collapsed="false">
      <c r="F133" s="8" t="str">
        <f aca="false">IF($C133="","",IFERROR(INDEX({"1x1-pp";"2x2a-pp";"2x2b-pp";"3x2-pp"},MATCH($C133,{787;1092;1172;1291},0)),""))</f>
        <v/>
      </c>
    </row>
    <row r="134" customFormat="false" ht="15" hidden="false" customHeight="false" outlineLevel="0" collapsed="false">
      <c r="F134" s="8" t="str">
        <f aca="false">IF($C134="","",IFERROR(INDEX({"1x1-pp";"2x2a-pp";"2x2b-pp";"3x2-pp"},MATCH($C134,{787;1092;1172;1291},0)),""))</f>
        <v/>
      </c>
    </row>
    <row r="135" customFormat="false" ht="15" hidden="false" customHeight="false" outlineLevel="0" collapsed="false">
      <c r="F135" s="8" t="str">
        <f aca="false">IF($C135="","",IFERROR(INDEX({"1x1-pp";"2x2a-pp";"2x2b-pp";"3x2-pp"},MATCH($C135,{787;1092;1172;1291},0)),""))</f>
        <v/>
      </c>
    </row>
    <row r="136" customFormat="false" ht="15" hidden="false" customHeight="false" outlineLevel="0" collapsed="false">
      <c r="F136" s="8" t="str">
        <f aca="false">IF($C136="","",IFERROR(INDEX({"1x1-pp";"2x2a-pp";"2x2b-pp";"3x2-pp"},MATCH($C136,{787;1092;1172;1291},0)),""))</f>
        <v/>
      </c>
    </row>
    <row r="137" customFormat="false" ht="15" hidden="false" customHeight="false" outlineLevel="0" collapsed="false">
      <c r="F137" s="8" t="str">
        <f aca="false">IF($C137="","",IFERROR(INDEX({"1x1-pp";"2x2a-pp";"2x2b-pp";"3x2-pp"},MATCH($C137,{787;1092;1172;1291},0)),""))</f>
        <v/>
      </c>
    </row>
    <row r="138" customFormat="false" ht="15" hidden="false" customHeight="false" outlineLevel="0" collapsed="false">
      <c r="F138" s="8" t="str">
        <f aca="false">IF($C138="","",IFERROR(INDEX({"1x1-pp";"2x2a-pp";"2x2b-pp";"3x2-pp"},MATCH($C138,{787;1092;1172;1291},0)),""))</f>
        <v/>
      </c>
    </row>
    <row r="139" customFormat="false" ht="15" hidden="false" customHeight="false" outlineLevel="0" collapsed="false">
      <c r="F139" s="8" t="str">
        <f aca="false">IF($C139="","",IFERROR(INDEX({"1x1-pp";"2x2a-pp";"2x2b-pp";"3x2-pp"},MATCH($C139,{787;1092;1172;1291},0)),""))</f>
        <v/>
      </c>
    </row>
    <row r="140" customFormat="false" ht="15" hidden="false" customHeight="false" outlineLevel="0" collapsed="false">
      <c r="F140" s="8" t="str">
        <f aca="false">IF($C140="","",IFERROR(INDEX({"1x1-pp";"2x2a-pp";"2x2b-pp";"3x2-pp"},MATCH($C140,{787;1092;1172;1291},0)),""))</f>
        <v/>
      </c>
    </row>
    <row r="141" customFormat="false" ht="15" hidden="false" customHeight="false" outlineLevel="0" collapsed="false">
      <c r="F141" s="8" t="str">
        <f aca="false">IF($C141="","",IFERROR(INDEX({"1x1-pp";"2x2a-pp";"2x2b-pp";"3x2-pp"},MATCH($C141,{787;1092;1172;1291},0)),""))</f>
        <v/>
      </c>
    </row>
    <row r="142" customFormat="false" ht="15" hidden="false" customHeight="false" outlineLevel="0" collapsed="false">
      <c r="F142" s="8" t="str">
        <f aca="false">IF($C142="","",IFERROR(INDEX({"1x1-pp";"2x2a-pp";"2x2b-pp";"3x2-pp"},MATCH($C142,{787;1092;1172;1291},0)),""))</f>
        <v/>
      </c>
    </row>
    <row r="143" customFormat="false" ht="15" hidden="false" customHeight="false" outlineLevel="0" collapsed="false">
      <c r="F143" s="8" t="str">
        <f aca="false">IF($C143="","",IFERROR(INDEX({"1x1-pp";"2x2a-pp";"2x2b-pp";"3x2-pp"},MATCH($C143,{787;1092;1172;1291},0)),""))</f>
        <v/>
      </c>
    </row>
    <row r="144" customFormat="false" ht="15" hidden="false" customHeight="false" outlineLevel="0" collapsed="false">
      <c r="F144" s="8" t="str">
        <f aca="false">IF($C144="","",IFERROR(INDEX({"1x1-pp";"2x2a-pp";"2x2b-pp";"3x2-pp"},MATCH($C144,{787;1092;1172;1291},0)),""))</f>
        <v/>
      </c>
    </row>
    <row r="145" customFormat="false" ht="15" hidden="false" customHeight="false" outlineLevel="0" collapsed="false">
      <c r="F145" s="8" t="str">
        <f aca="false">IF($C145="","",IFERROR(INDEX({"1x1-pp";"2x2a-pp";"2x2b-pp";"3x2-pp"},MATCH($C145,{787;1092;1172;1291},0)),""))</f>
        <v/>
      </c>
    </row>
    <row r="146" customFormat="false" ht="15" hidden="false" customHeight="false" outlineLevel="0" collapsed="false">
      <c r="F146" s="8" t="str">
        <f aca="false">IF($C146="","",IFERROR(INDEX({"1x1-pp";"2x2a-pp";"2x2b-pp";"3x2-pp"},MATCH($C146,{787;1092;1172;1291},0)),""))</f>
        <v/>
      </c>
    </row>
    <row r="147" customFormat="false" ht="15" hidden="false" customHeight="false" outlineLevel="0" collapsed="false">
      <c r="F147" s="8" t="str">
        <f aca="false">IF($C147="","",IFERROR(INDEX({"1x1-pp";"2x2a-pp";"2x2b-pp";"3x2-pp"},MATCH($C147,{787;1092;1172;1291},0)),""))</f>
        <v/>
      </c>
    </row>
    <row r="148" customFormat="false" ht="15" hidden="false" customHeight="false" outlineLevel="0" collapsed="false">
      <c r="F148" s="8" t="str">
        <f aca="false">IF($C148="","",IFERROR(INDEX({"1x1-pp";"2x2a-pp";"2x2b-pp";"3x2-pp"},MATCH($C148,{787;1092;1172;1291},0)),""))</f>
        <v/>
      </c>
    </row>
    <row r="149" customFormat="false" ht="15" hidden="false" customHeight="false" outlineLevel="0" collapsed="false">
      <c r="F149" s="8" t="str">
        <f aca="false">IF($C149="","",IFERROR(INDEX({"1x1-pp";"2x2a-pp";"2x2b-pp";"3x2-pp"},MATCH($C149,{787;1092;1172;1291},0)),""))</f>
        <v/>
      </c>
    </row>
    <row r="150" customFormat="false" ht="15" hidden="false" customHeight="false" outlineLevel="0" collapsed="false">
      <c r="F150" s="8" t="str">
        <f aca="false">IF($C150="","",IFERROR(INDEX({"1x1-pp";"2x2a-pp";"2x2b-pp";"3x2-pp"},MATCH($C150,{787;1092;1172;1291},0)),""))</f>
        <v/>
      </c>
    </row>
    <row r="151" customFormat="false" ht="15" hidden="false" customHeight="false" outlineLevel="0" collapsed="false">
      <c r="F151" s="8" t="str">
        <f aca="false">IF($C151="","",IFERROR(INDEX({"1x1-pp";"2x2a-pp";"2x2b-pp";"3x2-pp"},MATCH($C151,{787;1092;1172;1291},0)),""))</f>
        <v/>
      </c>
    </row>
    <row r="152" customFormat="false" ht="15" hidden="false" customHeight="false" outlineLevel="0" collapsed="false">
      <c r="F152" s="8" t="str">
        <f aca="false">IF($C152="","",IFERROR(INDEX({"1x1-pp";"2x2a-pp";"2x2b-pp";"3x2-pp"},MATCH($C152,{787;1092;1172;1291},0)),""))</f>
        <v/>
      </c>
    </row>
    <row r="153" customFormat="false" ht="15" hidden="false" customHeight="false" outlineLevel="0" collapsed="false">
      <c r="F153" s="8" t="str">
        <f aca="false">IF($C153="","",IFERROR(INDEX({"1x1-pp";"2x2a-pp";"2x2b-pp";"3x2-pp"},MATCH($C153,{787;1092;1172;1291},0)),""))</f>
        <v/>
      </c>
    </row>
    <row r="154" customFormat="false" ht="15" hidden="false" customHeight="false" outlineLevel="0" collapsed="false">
      <c r="F154" s="8" t="str">
        <f aca="false">IF($C154="","",IFERROR(INDEX({"1x1-pp";"2x2a-pp";"2x2b-pp";"3x2-pp"},MATCH($C154,{787;1092;1172;1291},0)),""))</f>
        <v/>
      </c>
    </row>
    <row r="155" customFormat="false" ht="15" hidden="false" customHeight="false" outlineLevel="0" collapsed="false">
      <c r="F155" s="8" t="str">
        <f aca="false">IF($C155="","",IFERROR(INDEX({"1x1-pp";"2x2a-pp";"2x2b-pp";"3x2-pp"},MATCH($C155,{787;1092;1172;1291},0)),""))</f>
        <v/>
      </c>
    </row>
    <row r="156" customFormat="false" ht="15" hidden="false" customHeight="false" outlineLevel="0" collapsed="false">
      <c r="F156" s="8" t="str">
        <f aca="false">IF($C156="","",IFERROR(INDEX({"1x1-pp";"2x2a-pp";"2x2b-pp";"3x2-pp"},MATCH($C156,{787;1092;1172;1291},0)),""))</f>
        <v/>
      </c>
    </row>
    <row r="157" customFormat="false" ht="15" hidden="false" customHeight="false" outlineLevel="0" collapsed="false">
      <c r="F157" s="8" t="str">
        <f aca="false">IF($C157="","",IFERROR(INDEX({"1x1-pp";"2x2a-pp";"2x2b-pp";"3x2-pp"},MATCH($C157,{787;1092;1172;1291},0)),""))</f>
        <v/>
      </c>
    </row>
    <row r="158" customFormat="false" ht="15" hidden="false" customHeight="false" outlineLevel="0" collapsed="false">
      <c r="F158" s="8" t="str">
        <f aca="false">IF($C158="","",IFERROR(INDEX({"1x1-pp";"2x2a-pp";"2x2b-pp";"3x2-pp"},MATCH($C158,{787;1092;1172;1291},0)),""))</f>
        <v/>
      </c>
    </row>
    <row r="159" customFormat="false" ht="15" hidden="false" customHeight="false" outlineLevel="0" collapsed="false">
      <c r="F159" s="8" t="str">
        <f aca="false">IF($C159="","",IFERROR(INDEX({"1x1-pp";"2x2a-pp";"2x2b-pp";"3x2-pp"},MATCH($C159,{787;1092;1172;1291},0)),""))</f>
        <v/>
      </c>
    </row>
    <row r="160" customFormat="false" ht="15" hidden="false" customHeight="false" outlineLevel="0" collapsed="false">
      <c r="F160" s="8" t="str">
        <f aca="false">IF($C160="","",IFERROR(INDEX({"1x1-pp";"2x2a-pp";"2x2b-pp";"3x2-pp"},MATCH($C160,{787;1092;1172;1291},0)),""))</f>
        <v/>
      </c>
    </row>
    <row r="161" customFormat="false" ht="15" hidden="false" customHeight="false" outlineLevel="0" collapsed="false">
      <c r="F161" s="8" t="str">
        <f aca="false">IF($C161="","",IFERROR(INDEX({"1x1-pp";"2x2a-pp";"2x2b-pp";"3x2-pp"},MATCH($C161,{787;1092;1172;1291},0)),""))</f>
        <v/>
      </c>
    </row>
    <row r="162" customFormat="false" ht="15" hidden="false" customHeight="false" outlineLevel="0" collapsed="false">
      <c r="F162" s="8" t="str">
        <f aca="false">IF($C162="","",IFERROR(INDEX({"1x1-pp";"2x2a-pp";"2x2b-pp";"3x2-pp"},MATCH($C162,{787;1092;1172;1291},0)),""))</f>
        <v/>
      </c>
    </row>
    <row r="163" customFormat="false" ht="15" hidden="false" customHeight="false" outlineLevel="0" collapsed="false">
      <c r="F163" s="8" t="str">
        <f aca="false">IF($C163="","",IFERROR(INDEX({"1x1-pp";"2x2a-pp";"2x2b-pp";"3x2-pp"},MATCH($C163,{787;1092;1172;1291},0)),""))</f>
        <v/>
      </c>
    </row>
    <row r="164" customFormat="false" ht="15" hidden="false" customHeight="false" outlineLevel="0" collapsed="false">
      <c r="F164" s="8" t="str">
        <f aca="false">IF($C164="","",IFERROR(INDEX({"1x1-pp";"2x2a-pp";"2x2b-pp";"3x2-pp"},MATCH($C164,{787;1092;1172;1291},0)),""))</f>
        <v/>
      </c>
    </row>
    <row r="165" customFormat="false" ht="15" hidden="false" customHeight="false" outlineLevel="0" collapsed="false">
      <c r="F165" s="8" t="str">
        <f aca="false">IF($C165="","",IFERROR(INDEX({"1x1-pp";"2x2a-pp";"2x2b-pp";"3x2-pp"},MATCH($C165,{787;1092;1172;1291},0)),""))</f>
        <v/>
      </c>
    </row>
    <row r="166" customFormat="false" ht="15" hidden="false" customHeight="false" outlineLevel="0" collapsed="false">
      <c r="F166" s="8" t="str">
        <f aca="false">IF($C166="","",IFERROR(INDEX({"1x1-pp";"2x2a-pp";"2x2b-pp";"3x2-pp"},MATCH($C166,{787;1092;1172;1291},0)),""))</f>
        <v/>
      </c>
    </row>
    <row r="167" customFormat="false" ht="15" hidden="false" customHeight="false" outlineLevel="0" collapsed="false">
      <c r="F167" s="8" t="str">
        <f aca="false">IF($C167="","",IFERROR(INDEX({"1x1-pp";"2x2a-pp";"2x2b-pp";"3x2-pp"},MATCH($C167,{787;1092;1172;1291},0)),""))</f>
        <v/>
      </c>
    </row>
    <row r="168" customFormat="false" ht="15" hidden="false" customHeight="false" outlineLevel="0" collapsed="false">
      <c r="F168" s="8" t="str">
        <f aca="false">IF($C168="","",IFERROR(INDEX({"1x1-pp";"2x2a-pp";"2x2b-pp";"3x2-pp"},MATCH($C168,{787;1092;1172;1291},0)),""))</f>
        <v/>
      </c>
    </row>
    <row r="169" customFormat="false" ht="15" hidden="false" customHeight="false" outlineLevel="0" collapsed="false">
      <c r="F169" s="8" t="str">
        <f aca="false">IF($C169="","",IFERROR(INDEX({"1x1-pp";"2x2a-pp";"2x2b-pp";"3x2-pp"},MATCH($C169,{787;1092;1172;1291},0)),""))</f>
        <v/>
      </c>
    </row>
    <row r="170" customFormat="false" ht="15" hidden="false" customHeight="false" outlineLevel="0" collapsed="false">
      <c r="F170" s="8" t="str">
        <f aca="false">IF($C170="","",IFERROR(INDEX({"1x1-pp";"2x2a-pp";"2x2b-pp";"3x2-pp"},MATCH($C170,{787;1092;1172;1291},0)),""))</f>
        <v/>
      </c>
    </row>
    <row r="171" customFormat="false" ht="15" hidden="false" customHeight="false" outlineLevel="0" collapsed="false">
      <c r="F171" s="8" t="str">
        <f aca="false">IF($C171="","",IFERROR(INDEX({"1x1-pp";"2x2a-pp";"2x2b-pp";"3x2-pp"},MATCH($C171,{787;1092;1172;1291},0)),""))</f>
        <v/>
      </c>
    </row>
    <row r="172" customFormat="false" ht="15" hidden="false" customHeight="false" outlineLevel="0" collapsed="false">
      <c r="F172" s="8" t="str">
        <f aca="false">IF($C172="","",IFERROR(INDEX({"1x1-pp";"2x2a-pp";"2x2b-pp";"3x2-pp"},MATCH($C172,{787;1092;1172;1291},0)),""))</f>
        <v/>
      </c>
    </row>
    <row r="173" customFormat="false" ht="15" hidden="false" customHeight="false" outlineLevel="0" collapsed="false">
      <c r="F173" s="8" t="str">
        <f aca="false">IF($C173="","",IFERROR(INDEX({"1x1-pp";"2x2a-pp";"2x2b-pp";"3x2-pp"},MATCH($C173,{787;1092;1172;1291},0)),""))</f>
        <v/>
      </c>
    </row>
    <row r="174" customFormat="false" ht="15" hidden="false" customHeight="false" outlineLevel="0" collapsed="false">
      <c r="F174" s="8" t="str">
        <f aca="false">IF($C174="","",IFERROR(INDEX({"1x1-pp";"2x2a-pp";"2x2b-pp";"3x2-pp"},MATCH($C174,{787;1092;1172;1291},0)),""))</f>
        <v/>
      </c>
    </row>
    <row r="175" customFormat="false" ht="15" hidden="false" customHeight="false" outlineLevel="0" collapsed="false">
      <c r="F175" s="8" t="str">
        <f aca="false">IF($C175="","",IFERROR(INDEX({"1x1-pp";"2x2a-pp";"2x2b-pp";"3x2-pp"},MATCH($C175,{787;1092;1172;1291},0)),""))</f>
        <v/>
      </c>
    </row>
    <row r="176" customFormat="false" ht="15" hidden="false" customHeight="false" outlineLevel="0" collapsed="false">
      <c r="F176" s="8" t="str">
        <f aca="false">IF($C176="","",IFERROR(INDEX({"1x1-pp";"2x2a-pp";"2x2b-pp";"3x2-pp"},MATCH($C176,{787;1092;1172;1291},0)),""))</f>
        <v/>
      </c>
    </row>
    <row r="177" customFormat="false" ht="15" hidden="false" customHeight="false" outlineLevel="0" collapsed="false">
      <c r="F177" s="8" t="str">
        <f aca="false">IF($C177="","",IFERROR(INDEX({"1x1-pp";"2x2a-pp";"2x2b-pp";"3x2-pp"},MATCH($C177,{787;1092;1172;1291},0)),""))</f>
        <v/>
      </c>
    </row>
    <row r="178" customFormat="false" ht="15" hidden="false" customHeight="false" outlineLevel="0" collapsed="false">
      <c r="F178" s="8" t="str">
        <f aca="false">IF($C178="","",IFERROR(INDEX({"1x1-pp";"2x2a-pp";"2x2b-pp";"3x2-pp"},MATCH($C178,{787;1092;1172;1291},0)),""))</f>
        <v/>
      </c>
    </row>
    <row r="179" customFormat="false" ht="15" hidden="false" customHeight="false" outlineLevel="0" collapsed="false">
      <c r="F179" s="8" t="str">
        <f aca="false">IF($C179="","",IFERROR(INDEX({"1x1-pp";"2x2a-pp";"2x2b-pp";"3x2-pp"},MATCH($C179,{787;1092;1172;1291},0)),""))</f>
        <v/>
      </c>
    </row>
    <row r="180" customFormat="false" ht="15" hidden="false" customHeight="false" outlineLevel="0" collapsed="false">
      <c r="F180" s="8" t="str">
        <f aca="false">IF($C180="","",IFERROR(INDEX({"1x1-pp";"2x2a-pp";"2x2b-pp";"3x2-pp"},MATCH($C180,{787;1092;1172;1291},0)),""))</f>
        <v/>
      </c>
    </row>
    <row r="181" customFormat="false" ht="15" hidden="false" customHeight="false" outlineLevel="0" collapsed="false">
      <c r="F181" s="8" t="str">
        <f aca="false">IF($C181="","",IFERROR(INDEX({"1x1-pp";"2x2a-pp";"2x2b-pp";"3x2-pp"},MATCH($C181,{787;1092;1172;1291},0)),""))</f>
        <v/>
      </c>
    </row>
    <row r="182" customFormat="false" ht="15" hidden="false" customHeight="false" outlineLevel="0" collapsed="false">
      <c r="F182" s="8" t="str">
        <f aca="false">IF($C182="","",IFERROR(INDEX({"1x1-pp";"2x2a-pp";"2x2b-pp";"3x2-pp"},MATCH($C182,{787;1092;1172;1291},0)),""))</f>
        <v/>
      </c>
    </row>
    <row r="183" customFormat="false" ht="15" hidden="false" customHeight="false" outlineLevel="0" collapsed="false">
      <c r="F183" s="8" t="str">
        <f aca="false">IF($C183="","",IFERROR(INDEX({"1x1-pp";"2x2a-pp";"2x2b-pp";"3x2-pp"},MATCH($C183,{787;1092;1172;1291},0)),""))</f>
        <v/>
      </c>
    </row>
    <row r="184" customFormat="false" ht="15" hidden="false" customHeight="false" outlineLevel="0" collapsed="false">
      <c r="F184" s="8" t="str">
        <f aca="false">IF($C184="","",IFERROR(INDEX({"1x1-pp";"2x2a-pp";"2x2b-pp";"3x2-pp"},MATCH($C184,{787;1092;1172;1291},0)),""))</f>
        <v/>
      </c>
    </row>
    <row r="185" customFormat="false" ht="15" hidden="false" customHeight="false" outlineLevel="0" collapsed="false">
      <c r="F185" s="8" t="str">
        <f aca="false">IF($C185="","",IFERROR(INDEX({"1x1-pp";"2x2a-pp";"2x2b-pp";"3x2-pp"},MATCH($C185,{787;1092;1172;1291},0)),""))</f>
        <v/>
      </c>
    </row>
    <row r="186" customFormat="false" ht="15" hidden="false" customHeight="false" outlineLevel="0" collapsed="false">
      <c r="F186" s="8" t="str">
        <f aca="false">IF($C186="","",IFERROR(INDEX({"1x1-pp";"2x2a-pp";"2x2b-pp";"3x2-pp"},MATCH($C186,{787;1092;1172;1291},0)),""))</f>
        <v/>
      </c>
    </row>
    <row r="187" customFormat="false" ht="15" hidden="false" customHeight="false" outlineLevel="0" collapsed="false">
      <c r="F187" s="8" t="str">
        <f aca="false">IF($C187="","",IFERROR(INDEX({"1x1-pp";"2x2a-pp";"2x2b-pp";"3x2-pp"},MATCH($C187,{787;1092;1172;1291},0)),""))</f>
        <v/>
      </c>
    </row>
    <row r="188" customFormat="false" ht="15" hidden="false" customHeight="false" outlineLevel="0" collapsed="false">
      <c r="F188" s="8" t="str">
        <f aca="false">IF($C188="","",IFERROR(INDEX({"1x1-pp";"2x2a-pp";"2x2b-pp";"3x2-pp"},MATCH($C188,{787;1092;1172;1291},0)),""))</f>
        <v/>
      </c>
    </row>
    <row r="189" customFormat="false" ht="15" hidden="false" customHeight="false" outlineLevel="0" collapsed="false">
      <c r="F189" s="8" t="str">
        <f aca="false">IF($C189="","",IFERROR(INDEX({"1x1-pp";"2x2a-pp";"2x2b-pp";"3x2-pp"},MATCH($C189,{787;1092;1172;1291},0)),""))</f>
        <v/>
      </c>
    </row>
    <row r="190" customFormat="false" ht="15" hidden="false" customHeight="false" outlineLevel="0" collapsed="false">
      <c r="F190" s="8" t="str">
        <f aca="false">IF($C190="","",IFERROR(INDEX({"1x1-pp";"2x2a-pp";"2x2b-pp";"3x2-pp"},MATCH($C190,{787;1092;1172;1291},0)),""))</f>
        <v/>
      </c>
    </row>
    <row r="191" customFormat="false" ht="15" hidden="false" customHeight="false" outlineLevel="0" collapsed="false">
      <c r="F191" s="8" t="str">
        <f aca="false">IF($C191="","",IFERROR(INDEX({"1x1-pp";"2x2a-pp";"2x2b-pp";"3x2-pp"},MATCH($C191,{787;1092;1172;1291},0)),""))</f>
        <v/>
      </c>
    </row>
    <row r="192" customFormat="false" ht="15" hidden="false" customHeight="false" outlineLevel="0" collapsed="false">
      <c r="F192" s="8" t="str">
        <f aca="false">IF($C192="","",IFERROR(INDEX({"1x1-pp";"2x2a-pp";"2x2b-pp";"3x2-pp"},MATCH($C192,{787;1092;1172;1291},0)),""))</f>
        <v/>
      </c>
    </row>
    <row r="193" customFormat="false" ht="15" hidden="false" customHeight="false" outlineLevel="0" collapsed="false">
      <c r="F193" s="8" t="str">
        <f aca="false">IF($C193="","",IFERROR(INDEX({"1x1-pp";"2x2a-pp";"2x2b-pp";"3x2-pp"},MATCH($C193,{787;1092;1172;1291},0)),""))</f>
        <v/>
      </c>
    </row>
    <row r="194" customFormat="false" ht="15" hidden="false" customHeight="false" outlineLevel="0" collapsed="false">
      <c r="F194" s="8" t="str">
        <f aca="false">IF($C194="","",IFERROR(INDEX({"1x1-pp";"2x2a-pp";"2x2b-pp";"3x2-pp"},MATCH($C194,{787;1092;1172;1291},0)),""))</f>
        <v/>
      </c>
    </row>
    <row r="195" customFormat="false" ht="15" hidden="false" customHeight="false" outlineLevel="0" collapsed="false">
      <c r="F195" s="8" t="str">
        <f aca="false">IF($C195="","",IFERROR(INDEX({"1x1-pp";"2x2a-pp";"2x2b-pp";"3x2-pp"},MATCH($C195,{787;1092;1172;1291},0)),""))</f>
        <v/>
      </c>
    </row>
    <row r="196" customFormat="false" ht="15" hidden="false" customHeight="false" outlineLevel="0" collapsed="false">
      <c r="F196" s="8" t="str">
        <f aca="false">IF($C196="","",IFERROR(INDEX({"1x1-pp";"2x2a-pp";"2x2b-pp";"3x2-pp"},MATCH($C196,{787;1092;1172;1291},0)),""))</f>
        <v/>
      </c>
    </row>
    <row r="197" customFormat="false" ht="15" hidden="false" customHeight="false" outlineLevel="0" collapsed="false">
      <c r="F197" s="8" t="str">
        <f aca="false">IF($C197="","",IFERROR(INDEX({"1x1-pp";"2x2a-pp";"2x2b-pp";"3x2-pp"},MATCH($C197,{787;1092;1172;1291},0)),""))</f>
        <v/>
      </c>
    </row>
    <row r="198" customFormat="false" ht="15" hidden="false" customHeight="false" outlineLevel="0" collapsed="false">
      <c r="F198" s="8" t="str">
        <f aca="false">IF($C198="","",IFERROR(INDEX({"1x1-pp";"2x2a-pp";"2x2b-pp";"3x2-pp"},MATCH($C198,{787;1092;1172;1291},0)),""))</f>
        <v/>
      </c>
    </row>
    <row r="199" customFormat="false" ht="15" hidden="false" customHeight="false" outlineLevel="0" collapsed="false">
      <c r="F199" s="8" t="str">
        <f aca="false">IF($C199="","",IFERROR(INDEX({"1x1-pp";"2x2a-pp";"2x2b-pp";"3x2-pp"},MATCH($C199,{787;1092;1172;1291},0)),""))</f>
        <v/>
      </c>
    </row>
    <row r="200" customFormat="false" ht="15" hidden="false" customHeight="false" outlineLevel="0" collapsed="false">
      <c r="F200" s="8" t="str">
        <f aca="false">IF($C200="","",IFERROR(INDEX({"1x1-pp";"2x2a-pp";"2x2b-pp";"3x2-pp"},MATCH($C200,{787;1092;1172;1291},0)),""))</f>
        <v/>
      </c>
    </row>
    <row r="201" customFormat="false" ht="15" hidden="false" customHeight="false" outlineLevel="0" collapsed="false">
      <c r="F201" s="8" t="str">
        <f aca="false">IF($C201="","",IFERROR(INDEX({"1x1-pp";"2x2a-pp";"2x2b-pp";"3x2-pp"},MATCH($C201,{787;1092;1172;1291},0)),""))</f>
        <v/>
      </c>
    </row>
    <row r="202" customFormat="false" ht="15" hidden="false" customHeight="false" outlineLevel="0" collapsed="false">
      <c r="F202" s="8" t="str">
        <f aca="false">IF($C202="","",IFERROR(INDEX({"1x1-pp";"2x2a-pp";"2x2b-pp";"3x2-pp"},MATCH($C202,{787;1092;1172;1291},0)),""))</f>
        <v/>
      </c>
    </row>
    <row r="203" customFormat="false" ht="15" hidden="false" customHeight="false" outlineLevel="0" collapsed="false">
      <c r="F203" s="8" t="str">
        <f aca="false">IF($C203="","",IFERROR(INDEX({"1x1-pp";"2x2a-pp";"2x2b-pp";"3x2-pp"},MATCH($C203,{787;1092;1172;1291},0)),""))</f>
        <v/>
      </c>
    </row>
    <row r="204" customFormat="false" ht="15" hidden="false" customHeight="false" outlineLevel="0" collapsed="false">
      <c r="F204" s="8" t="str">
        <f aca="false">IF($C204="","",IFERROR(INDEX({"1x1-pp";"2x2a-pp";"2x2b-pp";"3x2-pp"},MATCH($C204,{787;1092;1172;1291},0)),""))</f>
        <v/>
      </c>
    </row>
    <row r="205" customFormat="false" ht="15" hidden="false" customHeight="false" outlineLevel="0" collapsed="false">
      <c r="F205" s="8" t="str">
        <f aca="false">IF($C205="","",IFERROR(INDEX({"1x1-pp";"2x2a-pp";"2x2b-pp";"3x2-pp"},MATCH($C205,{787;1092;1172;1291},0)),""))</f>
        <v/>
      </c>
    </row>
    <row r="206" customFormat="false" ht="15" hidden="false" customHeight="false" outlineLevel="0" collapsed="false">
      <c r="F206" s="8" t="str">
        <f aca="false">IF($C206="","",IFERROR(INDEX({"1x1-pp";"2x2a-pp";"2x2b-pp";"3x2-pp"},MATCH($C206,{787;1092;1172;1291},0)),""))</f>
        <v/>
      </c>
    </row>
    <row r="207" customFormat="false" ht="15" hidden="false" customHeight="false" outlineLevel="0" collapsed="false">
      <c r="F207" s="8" t="str">
        <f aca="false">IF($C207="","",IFERROR(INDEX({"1x1-pp";"2x2a-pp";"2x2b-pp";"3x2-pp"},MATCH($C207,{787;1092;1172;1291},0)),""))</f>
        <v/>
      </c>
    </row>
    <row r="208" customFormat="false" ht="15" hidden="false" customHeight="false" outlineLevel="0" collapsed="false">
      <c r="F208" s="8" t="str">
        <f aca="false">IF($C208="","",IFERROR(INDEX({"1x1-pp";"2x2a-pp";"2x2b-pp";"3x2-pp"},MATCH($C208,{787;1092;1172;1291},0)),""))</f>
        <v/>
      </c>
    </row>
    <row r="209" customFormat="false" ht="15" hidden="false" customHeight="false" outlineLevel="0" collapsed="false">
      <c r="F209" s="8" t="str">
        <f aca="false">IF($C209="","",IFERROR(INDEX({"1x1-pp";"2x2a-pp";"2x2b-pp";"3x2-pp"},MATCH($C209,{787;1092;1172;1291},0)),""))</f>
        <v/>
      </c>
    </row>
    <row r="210" customFormat="false" ht="15" hidden="false" customHeight="false" outlineLevel="0" collapsed="false">
      <c r="F210" s="8" t="str">
        <f aca="false">IF($C210="","",IFERROR(INDEX({"1x1-pp";"2x2a-pp";"2x2b-pp";"3x2-pp"},MATCH($C210,{787;1092;1172;1291},0)),""))</f>
        <v/>
      </c>
    </row>
    <row r="211" customFormat="false" ht="15" hidden="false" customHeight="false" outlineLevel="0" collapsed="false">
      <c r="F211" s="8" t="str">
        <f aca="false">IF($C211="","",IFERROR(INDEX({"1x1-pp";"2x2a-pp";"2x2b-pp";"3x2-pp"},MATCH($C211,{787;1092;1172;1291},0)),""))</f>
        <v/>
      </c>
    </row>
    <row r="212" customFormat="false" ht="15" hidden="false" customHeight="false" outlineLevel="0" collapsed="false">
      <c r="F212" s="8" t="str">
        <f aca="false">IF($C212="","",IFERROR(INDEX({"1x1-pp";"2x2a-pp";"2x2b-pp";"3x2-pp"},MATCH($C212,{787;1092;1172;1291},0)),""))</f>
        <v/>
      </c>
    </row>
    <row r="213" customFormat="false" ht="15" hidden="false" customHeight="false" outlineLevel="0" collapsed="false">
      <c r="F213" s="8" t="str">
        <f aca="false">IF($C213="","",IFERROR(INDEX({"1x1-pp";"2x2a-pp";"2x2b-pp";"3x2-pp"},MATCH($C213,{787;1092;1172;1291},0)),""))</f>
        <v/>
      </c>
    </row>
    <row r="214" customFormat="false" ht="15" hidden="false" customHeight="false" outlineLevel="0" collapsed="false">
      <c r="F214" s="8" t="str">
        <f aca="false">IF($C214="","",IFERROR(INDEX({"1x1-pp";"2x2a-pp";"2x2b-pp";"3x2-pp"},MATCH($C214,{787;1092;1172;1291},0)),""))</f>
        <v/>
      </c>
    </row>
    <row r="215" customFormat="false" ht="15" hidden="false" customHeight="false" outlineLevel="0" collapsed="false">
      <c r="F215" s="8" t="str">
        <f aca="false">IF($C215="","",IFERROR(INDEX({"1x1-pp";"2x2a-pp";"2x2b-pp";"3x2-pp"},MATCH($C215,{787;1092;1172;1291},0)),""))</f>
        <v/>
      </c>
    </row>
    <row r="216" customFormat="false" ht="15" hidden="false" customHeight="false" outlineLevel="0" collapsed="false">
      <c r="F216" s="8" t="str">
        <f aca="false">IF($C216="","",IFERROR(INDEX({"1x1-pp";"2x2a-pp";"2x2b-pp";"3x2-pp"},MATCH($C216,{787;1092;1172;1291},0)),""))</f>
        <v/>
      </c>
    </row>
    <row r="217" customFormat="false" ht="15" hidden="false" customHeight="false" outlineLevel="0" collapsed="false">
      <c r="F217" s="8" t="str">
        <f aca="false">IF($C217="","",IFERROR(INDEX({"1x1-pp";"2x2a-pp";"2x2b-pp";"3x2-pp"},MATCH($C217,{787;1092;1172;1291},0)),""))</f>
        <v/>
      </c>
    </row>
    <row r="218" customFormat="false" ht="15" hidden="false" customHeight="false" outlineLevel="0" collapsed="false">
      <c r="F218" s="8" t="str">
        <f aca="false">IF($C218="","",IFERROR(INDEX({"1x1-pp";"2x2a-pp";"2x2b-pp";"3x2-pp"},MATCH($C218,{787;1092;1172;1291},0)),""))</f>
        <v/>
      </c>
    </row>
    <row r="219" customFormat="false" ht="15" hidden="false" customHeight="false" outlineLevel="0" collapsed="false">
      <c r="F219" s="8" t="str">
        <f aca="false">IF($C219="","",IFERROR(INDEX({"1x1-pp";"2x2a-pp";"2x2b-pp";"3x2-pp"},MATCH($C219,{787;1092;1172;1291},0)),""))</f>
        <v/>
      </c>
    </row>
    <row r="220" customFormat="false" ht="15" hidden="false" customHeight="false" outlineLevel="0" collapsed="false">
      <c r="F220" s="8" t="str">
        <f aca="false">IF($C220="","",IFERROR(INDEX({"1x1-pp";"2x2a-pp";"2x2b-pp";"3x2-pp"},MATCH($C220,{787;1092;1172;1291},0)),""))</f>
        <v/>
      </c>
    </row>
    <row r="221" customFormat="false" ht="15" hidden="false" customHeight="false" outlineLevel="0" collapsed="false">
      <c r="F221" s="8" t="str">
        <f aca="false">IF($C221="","",IFERROR(INDEX({"1x1-pp";"2x2a-pp";"2x2b-pp";"3x2-pp"},MATCH($C221,{787;1092;1172;1291},0)),""))</f>
        <v/>
      </c>
    </row>
    <row r="222" customFormat="false" ht="15" hidden="false" customHeight="false" outlineLevel="0" collapsed="false">
      <c r="F222" s="8" t="str">
        <f aca="false">IF($C222="","",IFERROR(INDEX({"1x1-pp";"2x2a-pp";"2x2b-pp";"3x2-pp"},MATCH($C222,{787;1092;1172;1291},0)),""))</f>
        <v/>
      </c>
    </row>
    <row r="223" customFormat="false" ht="15" hidden="false" customHeight="false" outlineLevel="0" collapsed="false">
      <c r="F223" s="8" t="str">
        <f aca="false">IF($C223="","",IFERROR(INDEX({"1x1-pp";"2x2a-pp";"2x2b-pp";"3x2-pp"},MATCH($C223,{787;1092;1172;1291},0)),""))</f>
        <v/>
      </c>
    </row>
    <row r="224" customFormat="false" ht="15" hidden="false" customHeight="false" outlineLevel="0" collapsed="false">
      <c r="F224" s="8" t="str">
        <f aca="false">IF($C224="","",IFERROR(INDEX({"1x1-pp";"2x2a-pp";"2x2b-pp";"3x2-pp"},MATCH($C224,{787;1092;1172;1291},0)),""))</f>
        <v/>
      </c>
    </row>
    <row r="225" customFormat="false" ht="15" hidden="false" customHeight="false" outlineLevel="0" collapsed="false">
      <c r="F225" s="8" t="str">
        <f aca="false">IF($C225="","",IFERROR(INDEX({"1x1-pp";"2x2a-pp";"2x2b-pp";"3x2-pp"},MATCH($C225,{787;1092;1172;1291},0)),""))</f>
        <v/>
      </c>
    </row>
    <row r="226" customFormat="false" ht="15" hidden="false" customHeight="false" outlineLevel="0" collapsed="false">
      <c r="F226" s="8" t="str">
        <f aca="false">IF($C226="","",IFERROR(INDEX({"1x1-pp";"2x2a-pp";"2x2b-pp";"3x2-pp"},MATCH($C226,{787;1092;1172;1291},0)),""))</f>
        <v/>
      </c>
    </row>
    <row r="227" customFormat="false" ht="15" hidden="false" customHeight="false" outlineLevel="0" collapsed="false">
      <c r="F227" s="8" t="str">
        <f aca="false">IF($C227="","",IFERROR(INDEX({"1x1-pp";"2x2a-pp";"2x2b-pp";"3x2-pp"},MATCH($C227,{787;1092;1172;1291},0)),""))</f>
        <v/>
      </c>
    </row>
    <row r="228" customFormat="false" ht="15" hidden="false" customHeight="false" outlineLevel="0" collapsed="false">
      <c r="F228" s="8" t="str">
        <f aca="false">IF($C228="","",IFERROR(INDEX({"1x1-pp";"2x2a-pp";"2x2b-pp";"3x2-pp"},MATCH($C228,{787;1092;1172;1291},0)),""))</f>
        <v/>
      </c>
    </row>
    <row r="229" customFormat="false" ht="15" hidden="false" customHeight="false" outlineLevel="0" collapsed="false">
      <c r="F229" s="8" t="str">
        <f aca="false">IF($C229="","",IFERROR(INDEX({"1x1-pp";"2x2a-pp";"2x2b-pp";"3x2-pp"},MATCH($C229,{787;1092;1172;1291},0)),""))</f>
        <v/>
      </c>
    </row>
    <row r="230" customFormat="false" ht="15" hidden="false" customHeight="false" outlineLevel="0" collapsed="false">
      <c r="F230" s="8" t="str">
        <f aca="false">IF($C230="","",IFERROR(INDEX({"1x1-pp";"2x2a-pp";"2x2b-pp";"3x2-pp"},MATCH($C230,{787;1092;1172;1291},0)),""))</f>
        <v/>
      </c>
    </row>
    <row r="231" customFormat="false" ht="15" hidden="false" customHeight="false" outlineLevel="0" collapsed="false">
      <c r="F231" s="8" t="str">
        <f aca="false">IF($C231="","",IFERROR(INDEX({"1x1-pp";"2x2a-pp";"2x2b-pp";"3x2-pp"},MATCH($C231,{787;1092;1172;1291},0)),""))</f>
        <v/>
      </c>
    </row>
    <row r="232" customFormat="false" ht="15" hidden="false" customHeight="false" outlineLevel="0" collapsed="false">
      <c r="F232" s="8" t="str">
        <f aca="false">IF($C232="","",IFERROR(INDEX({"1x1-pp";"2x2a-pp";"2x2b-pp";"3x2-pp"},MATCH($C232,{787;1092;1172;1291},0)),""))</f>
        <v/>
      </c>
    </row>
    <row r="233" customFormat="false" ht="15" hidden="false" customHeight="false" outlineLevel="0" collapsed="false">
      <c r="F233" s="8" t="str">
        <f aca="false">IF($C233="","",IFERROR(INDEX({"1x1-pp";"2x2a-pp";"2x2b-pp";"3x2-pp"},MATCH($C233,{787;1092;1172;1291},0)),""))</f>
        <v/>
      </c>
    </row>
    <row r="234" customFormat="false" ht="15" hidden="false" customHeight="false" outlineLevel="0" collapsed="false">
      <c r="F234" s="8" t="str">
        <f aca="false">IF($C234="","",IFERROR(INDEX({"1x1-pp";"2x2a-pp";"2x2b-pp";"3x2-pp"},MATCH($C234,{787;1092;1172;1291},0)),""))</f>
        <v/>
      </c>
    </row>
    <row r="235" customFormat="false" ht="15" hidden="false" customHeight="false" outlineLevel="0" collapsed="false">
      <c r="F235" s="8" t="str">
        <f aca="false">IF($C235="","",IFERROR(INDEX({"1x1-pp";"2x2a-pp";"2x2b-pp";"3x2-pp"},MATCH($C235,{787;1092;1172;1291},0)),""))</f>
        <v/>
      </c>
    </row>
    <row r="236" customFormat="false" ht="15" hidden="false" customHeight="false" outlineLevel="0" collapsed="false">
      <c r="F236" s="8" t="str">
        <f aca="false">IF($C236="","",IFERROR(INDEX({"1x1-pp";"2x2a-pp";"2x2b-pp";"3x2-pp"},MATCH($C236,{787;1092;1172;1291},0)),""))</f>
        <v/>
      </c>
    </row>
    <row r="237" customFormat="false" ht="15" hidden="false" customHeight="false" outlineLevel="0" collapsed="false">
      <c r="F237" s="8" t="str">
        <f aca="false">IF($C237="","",IFERROR(INDEX({"1x1-pp";"2x2a-pp";"2x2b-pp";"3x2-pp"},MATCH($C237,{787;1092;1172;1291},0)),""))</f>
        <v/>
      </c>
    </row>
    <row r="238" customFormat="false" ht="15" hidden="false" customHeight="false" outlineLevel="0" collapsed="false">
      <c r="F238" s="8" t="str">
        <f aca="false">IF($C238="","",IFERROR(INDEX({"1x1-pp";"2x2a-pp";"2x2b-pp";"3x2-pp"},MATCH($C238,{787;1092;1172;1291},0)),""))</f>
        <v/>
      </c>
    </row>
    <row r="239" customFormat="false" ht="15" hidden="false" customHeight="false" outlineLevel="0" collapsed="false">
      <c r="F239" s="8" t="str">
        <f aca="false">IF($C239="","",IFERROR(INDEX({"1x1-pp";"2x2a-pp";"2x2b-pp";"3x2-pp"},MATCH($C239,{787;1092;1172;1291},0)),""))</f>
        <v/>
      </c>
    </row>
    <row r="240" customFormat="false" ht="15" hidden="false" customHeight="false" outlineLevel="0" collapsed="false">
      <c r="F240" s="8" t="str">
        <f aca="false">IF($C240="","",IFERROR(INDEX({"1x1-pp";"2x2a-pp";"2x2b-pp";"3x2-pp"},MATCH($C240,{787;1092;1172;1291},0)),""))</f>
        <v/>
      </c>
    </row>
    <row r="241" customFormat="false" ht="15" hidden="false" customHeight="false" outlineLevel="0" collapsed="false">
      <c r="F241" s="8" t="str">
        <f aca="false">IF($C241="","",IFERROR(INDEX({"1x1-pp";"2x2a-pp";"2x2b-pp";"3x2-pp"},MATCH($C241,{787;1092;1172;1291},0)),""))</f>
        <v/>
      </c>
    </row>
    <row r="242" customFormat="false" ht="15" hidden="false" customHeight="false" outlineLevel="0" collapsed="false">
      <c r="F242" s="8" t="str">
        <f aca="false">IF($C242="","",IFERROR(INDEX({"1x1-pp";"2x2a-pp";"2x2b-pp";"3x2-pp"},MATCH($C242,{787;1092;1172;1291},0)),""))</f>
        <v/>
      </c>
    </row>
    <row r="243" customFormat="false" ht="15" hidden="false" customHeight="false" outlineLevel="0" collapsed="false">
      <c r="F243" s="8" t="str">
        <f aca="false">IF($C243="","",IFERROR(INDEX({"1x1-pp";"2x2a-pp";"2x2b-pp";"3x2-pp"},MATCH($C243,{787;1092;1172;1291},0)),""))</f>
        <v/>
      </c>
    </row>
    <row r="244" customFormat="false" ht="15" hidden="false" customHeight="false" outlineLevel="0" collapsed="false">
      <c r="F244" s="8" t="str">
        <f aca="false">IF($C244="","",IFERROR(INDEX({"1x1-pp";"2x2a-pp";"2x2b-pp";"3x2-pp"},MATCH($C244,{787;1092;1172;1291},0)),""))</f>
        <v/>
      </c>
    </row>
    <row r="245" customFormat="false" ht="15" hidden="false" customHeight="false" outlineLevel="0" collapsed="false">
      <c r="F245" s="8" t="str">
        <f aca="false">IF($C245="","",IFERROR(INDEX({"1x1-pp";"2x2a-pp";"2x2b-pp";"3x2-pp"},MATCH($C245,{787;1092;1172;1291},0)),""))</f>
        <v/>
      </c>
    </row>
    <row r="246" customFormat="false" ht="15" hidden="false" customHeight="false" outlineLevel="0" collapsed="false">
      <c r="F246" s="8" t="str">
        <f aca="false">IF($C246="","",IFERROR(INDEX({"1x1-pp";"2x2a-pp";"2x2b-pp";"3x2-pp"},MATCH($C246,{787;1092;1172;1291},0)),""))</f>
        <v/>
      </c>
    </row>
    <row r="247" customFormat="false" ht="15" hidden="false" customHeight="false" outlineLevel="0" collapsed="false">
      <c r="F247" s="8" t="str">
        <f aca="false">IF($C247="","",IFERROR(INDEX({"1x1-pp";"2x2a-pp";"2x2b-pp";"3x2-pp"},MATCH($C247,{787;1092;1172;1291},0)),""))</f>
        <v/>
      </c>
    </row>
    <row r="248" customFormat="false" ht="15" hidden="false" customHeight="false" outlineLevel="0" collapsed="false">
      <c r="F248" s="8" t="str">
        <f aca="false">IF($C248="","",IFERROR(INDEX({"1x1-pp";"2x2a-pp";"2x2b-pp";"3x2-pp"},MATCH($C248,{787;1092;1172;1291},0)),""))</f>
        <v/>
      </c>
    </row>
    <row r="249" customFormat="false" ht="15" hidden="false" customHeight="false" outlineLevel="0" collapsed="false">
      <c r="F249" s="8" t="str">
        <f aca="false">IF($C249="","",IFERROR(INDEX({"1x1-pp";"2x2a-pp";"2x2b-pp";"3x2-pp"},MATCH($C249,{787;1092;1172;1291},0)),""))</f>
        <v/>
      </c>
    </row>
    <row r="250" customFormat="false" ht="15" hidden="false" customHeight="false" outlineLevel="0" collapsed="false">
      <c r="F250" s="8" t="str">
        <f aca="false">IF($C250="","",IFERROR(INDEX({"1x1-pp";"2x2a-pp";"2x2b-pp";"3x2-pp"},MATCH($C250,{787;1092;1172;1291},0)),""))</f>
        <v/>
      </c>
    </row>
    <row r="251" customFormat="false" ht="15" hidden="false" customHeight="false" outlineLevel="0" collapsed="false">
      <c r="F251" s="8" t="str">
        <f aca="false">IF($C251="","",IFERROR(INDEX({"1x1-pp";"2x2a-pp";"2x2b-pp";"3x2-pp"},MATCH($C251,{787;1092;1172;1291},0)),""))</f>
        <v/>
      </c>
    </row>
    <row r="252" customFormat="false" ht="15" hidden="false" customHeight="false" outlineLevel="0" collapsed="false">
      <c r="F252" s="8" t="str">
        <f aca="false">IF($C252="","",IFERROR(INDEX({"1x1-pp";"2x2a-pp";"2x2b-pp";"3x2-pp"},MATCH($C252,{787;1092;1172;1291},0)),""))</f>
        <v/>
      </c>
    </row>
    <row r="253" customFormat="false" ht="15" hidden="false" customHeight="false" outlineLevel="0" collapsed="false">
      <c r="F253" s="8" t="str">
        <f aca="false">IF($C253="","",IFERROR(INDEX({"1x1-pp";"2x2a-pp";"2x2b-pp";"3x2-pp"},MATCH($C253,{787;1092;1172;1291},0)),""))</f>
        <v/>
      </c>
    </row>
    <row r="254" customFormat="false" ht="15" hidden="false" customHeight="false" outlineLevel="0" collapsed="false">
      <c r="F254" s="8" t="str">
        <f aca="false">IF($C254="","",IFERROR(INDEX({"1x1-pp";"2x2a-pp";"2x2b-pp";"3x2-pp"},MATCH($C254,{787;1092;1172;1291},0)),""))</f>
        <v/>
      </c>
    </row>
    <row r="255" customFormat="false" ht="15" hidden="false" customHeight="false" outlineLevel="0" collapsed="false">
      <c r="F255" s="8" t="str">
        <f aca="false">IF($C255="","",IFERROR(INDEX({"1x1-pp";"2x2a-pp";"2x2b-pp";"3x2-pp"},MATCH($C255,{787;1092;1172;1291},0)),""))</f>
        <v/>
      </c>
    </row>
    <row r="256" customFormat="false" ht="15" hidden="false" customHeight="false" outlineLevel="0" collapsed="false">
      <c r="F256" s="8" t="str">
        <f aca="false">IF($C256="","",IFERROR(INDEX({"1x1-pp";"2x2a-pp";"2x2b-pp";"3x2-pp"},MATCH($C256,{787;1092;1172;1291},0)),""))</f>
        <v/>
      </c>
    </row>
    <row r="257" customFormat="false" ht="15" hidden="false" customHeight="false" outlineLevel="0" collapsed="false">
      <c r="F257" s="8" t="str">
        <f aca="false">IF($C257="","",IFERROR(INDEX({"1x1-pp";"2x2a-pp";"2x2b-pp";"3x2-pp"},MATCH($C257,{787;1092;1172;1291},0)),""))</f>
        <v/>
      </c>
    </row>
    <row r="258" customFormat="false" ht="15" hidden="false" customHeight="false" outlineLevel="0" collapsed="false">
      <c r="F258" s="8" t="str">
        <f aca="false">IF($C258="","",IFERROR(INDEX({"1x1-pp";"2x2a-pp";"2x2b-pp";"3x2-pp"},MATCH($C258,{787;1092;1172;1291},0)),""))</f>
        <v/>
      </c>
    </row>
    <row r="259" customFormat="false" ht="15" hidden="false" customHeight="false" outlineLevel="0" collapsed="false">
      <c r="F259" s="8" t="str">
        <f aca="false">IF($C259="","",IFERROR(INDEX({"1x1-pp";"2x2a-pp";"2x2b-pp";"3x2-pp"},MATCH($C259,{787;1092;1172;1291},0)),""))</f>
        <v/>
      </c>
    </row>
    <row r="260" customFormat="false" ht="15" hidden="false" customHeight="false" outlineLevel="0" collapsed="false">
      <c r="F260" s="8" t="str">
        <f aca="false">IF($C260="","",IFERROR(INDEX({"1x1-pp";"2x2a-pp";"2x2b-pp";"3x2-pp"},MATCH($C260,{787;1092;1172;1291},0)),""))</f>
        <v/>
      </c>
    </row>
    <row r="261" customFormat="false" ht="15" hidden="false" customHeight="false" outlineLevel="0" collapsed="false">
      <c r="F261" s="8" t="str">
        <f aca="false">IF($C261="","",IFERROR(INDEX({"1x1-pp";"2x2a-pp";"2x2b-pp";"3x2-pp"},MATCH($C261,{787;1092;1172;1291},0)),""))</f>
        <v/>
      </c>
    </row>
    <row r="262" customFormat="false" ht="15" hidden="false" customHeight="false" outlineLevel="0" collapsed="false">
      <c r="F262" s="8" t="str">
        <f aca="false">IF($C262="","",IFERROR(INDEX({"1x1-pp";"2x2a-pp";"2x2b-pp";"3x2-pp"},MATCH($C262,{787;1092;1172;1291},0)),""))</f>
        <v/>
      </c>
    </row>
    <row r="263" customFormat="false" ht="15" hidden="false" customHeight="false" outlineLevel="0" collapsed="false">
      <c r="F263" s="8" t="str">
        <f aca="false">IF($C263="","",IFERROR(INDEX({"1x1-pp";"2x2a-pp";"2x2b-pp";"3x2-pp"},MATCH($C263,{787;1092;1172;1291},0)),""))</f>
        <v/>
      </c>
    </row>
    <row r="264" customFormat="false" ht="15" hidden="false" customHeight="false" outlineLevel="0" collapsed="false">
      <c r="F264" s="8" t="str">
        <f aca="false">IF($C264="","",IFERROR(INDEX({"1x1-pp";"2x2a-pp";"2x2b-pp";"3x2-pp"},MATCH($C264,{787;1092;1172;1291},0)),""))</f>
        <v/>
      </c>
    </row>
    <row r="265" customFormat="false" ht="15" hidden="false" customHeight="false" outlineLevel="0" collapsed="false">
      <c r="F265" s="8" t="str">
        <f aca="false">IF($C265="","",IFERROR(INDEX({"1x1-pp";"2x2a-pp";"2x2b-pp";"3x2-pp"},MATCH($C265,{787;1092;1172;1291},0)),""))</f>
        <v/>
      </c>
    </row>
    <row r="266" customFormat="false" ht="15" hidden="false" customHeight="false" outlineLevel="0" collapsed="false">
      <c r="F266" s="8" t="str">
        <f aca="false">IF($C266="","",IFERROR(INDEX({"1x1-pp";"2x2a-pp";"2x2b-pp";"3x2-pp"},MATCH($C266,{787;1092;1172;1291},0)),""))</f>
        <v/>
      </c>
    </row>
    <row r="267" customFormat="false" ht="15" hidden="false" customHeight="false" outlineLevel="0" collapsed="false">
      <c r="F267" s="8" t="str">
        <f aca="false">IF($C267="","",IFERROR(INDEX({"1x1-pp";"2x2a-pp";"2x2b-pp";"3x2-pp"},MATCH($C267,{787;1092;1172;1291},0)),""))</f>
        <v/>
      </c>
    </row>
    <row r="268" customFormat="false" ht="15" hidden="false" customHeight="false" outlineLevel="0" collapsed="false">
      <c r="F268" s="8" t="str">
        <f aca="false">IF($C268="","",IFERROR(INDEX({"1x1-pp";"2x2a-pp";"2x2b-pp";"3x2-pp"},MATCH($C268,{787;1092;1172;1291},0)),""))</f>
        <v/>
      </c>
    </row>
    <row r="269" customFormat="false" ht="15" hidden="false" customHeight="false" outlineLevel="0" collapsed="false">
      <c r="F269" s="8" t="str">
        <f aca="false">IF($C269="","",IFERROR(INDEX({"1x1-pp";"2x2a-pp";"2x2b-pp";"3x2-pp"},MATCH($C269,{787;1092;1172;1291},0)),""))</f>
        <v/>
      </c>
    </row>
    <row r="270" customFormat="false" ht="15" hidden="false" customHeight="false" outlineLevel="0" collapsed="false">
      <c r="F270" s="8" t="str">
        <f aca="false">IF($C270="","",IFERROR(INDEX({"1x1-pp";"2x2a-pp";"2x2b-pp";"3x2-pp"},MATCH($C270,{787;1092;1172;1291},0)),""))</f>
        <v/>
      </c>
    </row>
    <row r="271" customFormat="false" ht="15" hidden="false" customHeight="false" outlineLevel="0" collapsed="false">
      <c r="F271" s="8" t="str">
        <f aca="false">IF($C271="","",IFERROR(INDEX({"1x1-pp";"2x2a-pp";"2x2b-pp";"3x2-pp"},MATCH($C271,{787;1092;1172;1291},0)),""))</f>
        <v/>
      </c>
    </row>
    <row r="272" customFormat="false" ht="15" hidden="false" customHeight="false" outlineLevel="0" collapsed="false">
      <c r="F272" s="8" t="str">
        <f aca="false">IF($C272="","",IFERROR(INDEX({"1x1-pp";"2x2a-pp";"2x2b-pp";"3x2-pp"},MATCH($C272,{787;1092;1172;1291},0)),""))</f>
        <v/>
      </c>
    </row>
    <row r="273" customFormat="false" ht="15" hidden="false" customHeight="false" outlineLevel="0" collapsed="false">
      <c r="F273" s="8" t="str">
        <f aca="false">IF($C273="","",IFERROR(INDEX({"1x1-pp";"2x2a-pp";"2x2b-pp";"3x2-pp"},MATCH($C273,{787;1092;1172;1291},0)),""))</f>
        <v/>
      </c>
    </row>
    <row r="274" customFormat="false" ht="15" hidden="false" customHeight="false" outlineLevel="0" collapsed="false">
      <c r="F274" s="8" t="str">
        <f aca="false">IF($C274="","",IFERROR(INDEX({"1x1-pp";"2x2a-pp";"2x2b-pp";"3x2-pp"},MATCH($C274,{787;1092;1172;1291},0)),""))</f>
        <v/>
      </c>
    </row>
    <row r="275" customFormat="false" ht="15" hidden="false" customHeight="false" outlineLevel="0" collapsed="false">
      <c r="F275" s="8" t="str">
        <f aca="false">IF($C275="","",IFERROR(INDEX({"1x1-pp";"2x2a-pp";"2x2b-pp";"3x2-pp"},MATCH($C275,{787;1092;1172;1291},0)),""))</f>
        <v/>
      </c>
    </row>
    <row r="276" customFormat="false" ht="15" hidden="false" customHeight="false" outlineLevel="0" collapsed="false">
      <c r="F276" s="8" t="str">
        <f aca="false">IF($C276="","",IFERROR(INDEX({"1x1-pp";"2x2a-pp";"2x2b-pp";"3x2-pp"},MATCH($C276,{787;1092;1172;1291},0)),""))</f>
        <v/>
      </c>
    </row>
    <row r="277" customFormat="false" ht="15" hidden="false" customHeight="false" outlineLevel="0" collapsed="false">
      <c r="F277" s="8" t="str">
        <f aca="false">IF($C277="","",IFERROR(INDEX({"1x1-pp";"2x2a-pp";"2x2b-pp";"3x2-pp"},MATCH($C277,{787;1092;1172;1291},0)),""))</f>
        <v/>
      </c>
    </row>
    <row r="278" customFormat="false" ht="15" hidden="false" customHeight="false" outlineLevel="0" collapsed="false">
      <c r="F278" s="8" t="str">
        <f aca="false">IF($C278="","",IFERROR(INDEX({"1x1-pp";"2x2a-pp";"2x2b-pp";"3x2-pp"},MATCH($C278,{787;1092;1172;1291},0)),""))</f>
        <v/>
      </c>
    </row>
    <row r="279" customFormat="false" ht="15" hidden="false" customHeight="false" outlineLevel="0" collapsed="false">
      <c r="F279" s="8" t="str">
        <f aca="false">IF($C279="","",IFERROR(INDEX({"1x1-pp";"2x2a-pp";"2x2b-pp";"3x2-pp"},MATCH($C279,{787;1092;1172;1291},0)),""))</f>
        <v/>
      </c>
    </row>
    <row r="280" customFormat="false" ht="15" hidden="false" customHeight="false" outlineLevel="0" collapsed="false">
      <c r="F280" s="8" t="str">
        <f aca="false">IF($C280="","",IFERROR(INDEX({"1x1-pp";"2x2a-pp";"2x2b-pp";"3x2-pp"},MATCH($C280,{787;1092;1172;1291},0)),""))</f>
        <v/>
      </c>
    </row>
    <row r="281" customFormat="false" ht="15" hidden="false" customHeight="false" outlineLevel="0" collapsed="false">
      <c r="F281" s="8" t="str">
        <f aca="false">IF($C281="","",IFERROR(INDEX({"1x1-pp";"2x2a-pp";"2x2b-pp";"3x2-pp"},MATCH($C281,{787;1092;1172;1291},0)),""))</f>
        <v/>
      </c>
    </row>
    <row r="282" customFormat="false" ht="15" hidden="false" customHeight="false" outlineLevel="0" collapsed="false">
      <c r="F282" s="8" t="str">
        <f aca="false">IF($C282="","",IFERROR(INDEX({"1x1-pp";"2x2a-pp";"2x2b-pp";"3x2-pp"},MATCH($C282,{787;1092;1172;1291},0)),""))</f>
        <v/>
      </c>
    </row>
    <row r="283" customFormat="false" ht="15" hidden="false" customHeight="false" outlineLevel="0" collapsed="false">
      <c r="F283" s="8" t="str">
        <f aca="false">IF($C283="","",IFERROR(INDEX({"1x1-pp";"2x2a-pp";"2x2b-pp";"3x2-pp"},MATCH($C283,{787;1092;1172;1291},0)),""))</f>
        <v/>
      </c>
    </row>
    <row r="284" customFormat="false" ht="15" hidden="false" customHeight="false" outlineLevel="0" collapsed="false">
      <c r="F284" s="8" t="str">
        <f aca="false">IF($C284="","",IFERROR(INDEX({"1x1-pp";"2x2a-pp";"2x2b-pp";"3x2-pp"},MATCH($C284,{787;1092;1172;1291},0)),""))</f>
        <v/>
      </c>
    </row>
    <row r="285" customFormat="false" ht="15" hidden="false" customHeight="false" outlineLevel="0" collapsed="false">
      <c r="F285" s="8" t="str">
        <f aca="false">IF($C285="","",IFERROR(INDEX({"1x1-pp";"2x2a-pp";"2x2b-pp";"3x2-pp"},MATCH($C285,{787;1092;1172;1291},0)),""))</f>
        <v/>
      </c>
    </row>
    <row r="286" customFormat="false" ht="15" hidden="false" customHeight="false" outlineLevel="0" collapsed="false">
      <c r="F286" s="8" t="str">
        <f aca="false">IF($C286="","",IFERROR(INDEX({"1x1-pp";"2x2a-pp";"2x2b-pp";"3x2-pp"},MATCH($C286,{787;1092;1172;1291},0)),""))</f>
        <v/>
      </c>
    </row>
    <row r="287" customFormat="false" ht="15" hidden="false" customHeight="false" outlineLevel="0" collapsed="false">
      <c r="F287" s="8" t="str">
        <f aca="false">IF($C287="","",IFERROR(INDEX({"1x1-pp";"2x2a-pp";"2x2b-pp";"3x2-pp"},MATCH($C287,{787;1092;1172;1291},0)),""))</f>
        <v/>
      </c>
    </row>
    <row r="288" customFormat="false" ht="15" hidden="false" customHeight="false" outlineLevel="0" collapsed="false">
      <c r="F288" s="8" t="str">
        <f aca="false">IF($C288="","",IFERROR(INDEX({"1x1-pp";"2x2a-pp";"2x2b-pp";"3x2-pp"},MATCH($C288,{787;1092;1172;1291},0)),""))</f>
        <v/>
      </c>
    </row>
    <row r="289" customFormat="false" ht="15" hidden="false" customHeight="false" outlineLevel="0" collapsed="false">
      <c r="F289" s="8" t="str">
        <f aca="false">IF($C289="","",IFERROR(INDEX({"1x1-pp";"2x2a-pp";"2x2b-pp";"3x2-pp"},MATCH($C289,{787;1092;1172;1291},0)),""))</f>
        <v/>
      </c>
    </row>
    <row r="290" customFormat="false" ht="15" hidden="false" customHeight="false" outlineLevel="0" collapsed="false">
      <c r="F290" s="8" t="str">
        <f aca="false">IF($C290="","",IFERROR(INDEX({"1x1-pp";"2x2a-pp";"2x2b-pp";"3x2-pp"},MATCH($C290,{787;1092;1172;1291},0)),""))</f>
        <v/>
      </c>
    </row>
    <row r="291" customFormat="false" ht="15" hidden="false" customHeight="false" outlineLevel="0" collapsed="false">
      <c r="F291" s="8" t="str">
        <f aca="false">IF($C291="","",IFERROR(INDEX({"1x1-pp";"2x2a-pp";"2x2b-pp";"3x2-pp"},MATCH($C291,{787;1092;1172;1291},0)),""))</f>
        <v/>
      </c>
    </row>
    <row r="292" customFormat="false" ht="15" hidden="false" customHeight="false" outlineLevel="0" collapsed="false">
      <c r="F292" s="8" t="str">
        <f aca="false">IF($C292="","",IFERROR(INDEX({"1x1-pp";"2x2a-pp";"2x2b-pp";"3x2-pp"},MATCH($C292,{787;1092;1172;1291},0)),""))</f>
        <v/>
      </c>
    </row>
    <row r="293" customFormat="false" ht="15" hidden="false" customHeight="false" outlineLevel="0" collapsed="false">
      <c r="F293" s="8" t="str">
        <f aca="false">IF($C293="","",IFERROR(INDEX({"1x1-pp";"2x2a-pp";"2x2b-pp";"3x2-pp"},MATCH($C293,{787;1092;1172;1291},0)),""))</f>
        <v/>
      </c>
    </row>
    <row r="294" customFormat="false" ht="15" hidden="false" customHeight="false" outlineLevel="0" collapsed="false">
      <c r="F294" s="8" t="str">
        <f aca="false">IF($C294="","",IFERROR(INDEX({"1x1-pp";"2x2a-pp";"2x2b-pp";"3x2-pp"},MATCH($C294,{787;1092;1172;1291},0)),""))</f>
        <v/>
      </c>
    </row>
    <row r="295" customFormat="false" ht="15" hidden="false" customHeight="false" outlineLevel="0" collapsed="false">
      <c r="F295" s="8" t="str">
        <f aca="false">IF($C295="","",IFERROR(INDEX({"1x1-pp";"2x2a-pp";"2x2b-pp";"3x2-pp"},MATCH($C295,{787;1092;1172;1291},0)),""))</f>
        <v/>
      </c>
    </row>
    <row r="296" customFormat="false" ht="15" hidden="false" customHeight="false" outlineLevel="0" collapsed="false">
      <c r="F296" s="8" t="str">
        <f aca="false">IF($C296="","",IFERROR(INDEX({"1x1-pp";"2x2a-pp";"2x2b-pp";"3x2-pp"},MATCH($C296,{787;1092;1172;1291},0)),""))</f>
        <v/>
      </c>
    </row>
    <row r="297" customFormat="false" ht="15" hidden="false" customHeight="false" outlineLevel="0" collapsed="false">
      <c r="F297" s="8" t="str">
        <f aca="false">IF($C297="","",IFERROR(INDEX({"1x1-pp";"2x2a-pp";"2x2b-pp";"3x2-pp"},MATCH($C297,{787;1092;1172;1291},0)),""))</f>
        <v/>
      </c>
    </row>
    <row r="298" customFormat="false" ht="15" hidden="false" customHeight="false" outlineLevel="0" collapsed="false">
      <c r="F298" s="8" t="str">
        <f aca="false">IF($C298="","",IFERROR(INDEX({"1x1-pp";"2x2a-pp";"2x2b-pp";"3x2-pp"},MATCH($C298,{787;1092;1172;1291},0)),""))</f>
        <v/>
      </c>
    </row>
    <row r="299" customFormat="false" ht="15" hidden="false" customHeight="false" outlineLevel="0" collapsed="false">
      <c r="F299" s="8" t="str">
        <f aca="false">IF($C299="","",IFERROR(INDEX({"1x1-pp";"2x2a-pp";"2x2b-pp";"3x2-pp"},MATCH($C299,{787;1092;1172;1291},0)),""))</f>
        <v/>
      </c>
    </row>
    <row r="300" customFormat="false" ht="15" hidden="false" customHeight="false" outlineLevel="0" collapsed="false">
      <c r="F300" s="8" t="str">
        <f aca="false">IF($C300="","",IFERROR(INDEX({"1x1-pp";"2x2a-pp";"2x2b-pp";"3x2-pp"},MATCH($C300,{787;1092;1172;1291},0)),""))</f>
        <v/>
      </c>
    </row>
    <row r="301" customFormat="false" ht="15" hidden="false" customHeight="false" outlineLevel="0" collapsed="false">
      <c r="F301" s="8" t="str">
        <f aca="false">IF($C301="","",IFERROR(INDEX({"1x1-pp";"2x2a-pp";"2x2b-pp";"3x2-pp"},MATCH($C301,{787;1092;1172;1291},0)),""))</f>
        <v/>
      </c>
    </row>
    <row r="302" customFormat="false" ht="15" hidden="false" customHeight="false" outlineLevel="0" collapsed="false">
      <c r="F302" s="8" t="str">
        <f aca="false">IF($C302="","",IFERROR(INDEX({"1x1-pp";"2x2a-pp";"2x2b-pp";"3x2-pp"},MATCH($C302,{787;1092;1172;1291},0)),""))</f>
        <v/>
      </c>
    </row>
    <row r="303" customFormat="false" ht="15" hidden="false" customHeight="false" outlineLevel="0" collapsed="false">
      <c r="F303" s="8" t="str">
        <f aca="false">IF($C303="","",IFERROR(INDEX({"1x1-pp";"2x2a-pp";"2x2b-pp";"3x2-pp"},MATCH($C303,{787;1092;1172;1291},0)),""))</f>
        <v/>
      </c>
    </row>
    <row r="304" customFormat="false" ht="15" hidden="false" customHeight="false" outlineLevel="0" collapsed="false">
      <c r="F304" s="8" t="str">
        <f aca="false">IF($C304="","",IFERROR(INDEX({"1x1-pp";"2x2a-pp";"2x2b-pp";"3x2-pp"},MATCH($C304,{787;1092;1172;1291},0)),""))</f>
        <v/>
      </c>
    </row>
    <row r="305" customFormat="false" ht="15" hidden="false" customHeight="false" outlineLevel="0" collapsed="false">
      <c r="F305" s="8" t="str">
        <f aca="false">IF($C305="","",IFERROR(INDEX({"1x1-pp";"2x2a-pp";"2x2b-pp";"3x2-pp"},MATCH($C305,{787;1092;1172;1291},0)),""))</f>
        <v/>
      </c>
    </row>
    <row r="306" customFormat="false" ht="15" hidden="false" customHeight="false" outlineLevel="0" collapsed="false">
      <c r="F306" s="8" t="str">
        <f aca="false">IF($C306="","",IFERROR(INDEX({"1x1-pp";"2x2a-pp";"2x2b-pp";"3x2-pp"},MATCH($C306,{787;1092;1172;1291},0)),""))</f>
        <v/>
      </c>
    </row>
    <row r="307" customFormat="false" ht="15" hidden="false" customHeight="false" outlineLevel="0" collapsed="false">
      <c r="F307" s="8" t="str">
        <f aca="false">IF($C307="","",IFERROR(INDEX({"1x1-pp";"2x2a-pp";"2x2b-pp";"3x2-pp"},MATCH($C307,{787;1092;1172;1291},0)),""))</f>
        <v/>
      </c>
    </row>
    <row r="308" customFormat="false" ht="15" hidden="false" customHeight="false" outlineLevel="0" collapsed="false">
      <c r="F308" s="8" t="str">
        <f aca="false">IF($C308="","",IFERROR(INDEX({"1x1-pp";"2x2a-pp";"2x2b-pp";"3x2-pp"},MATCH($C308,{787;1092;1172;1291},0)),""))</f>
        <v/>
      </c>
    </row>
    <row r="309" customFormat="false" ht="15" hidden="false" customHeight="false" outlineLevel="0" collapsed="false">
      <c r="F309" s="8" t="str">
        <f aca="false">IF($C309="","",IFERROR(INDEX({"1x1-pp";"2x2a-pp";"2x2b-pp";"3x2-pp"},MATCH($C309,{787;1092;1172;1291},0)),""))</f>
        <v/>
      </c>
    </row>
    <row r="310" customFormat="false" ht="15" hidden="false" customHeight="false" outlineLevel="0" collapsed="false">
      <c r="F310" s="8" t="str">
        <f aca="false">IF($C310="","",IFERROR(INDEX({"1x1-pp";"2x2a-pp";"2x2b-pp";"3x2-pp"},MATCH($C310,{787;1092;1172;1291},0)),""))</f>
        <v/>
      </c>
    </row>
    <row r="311" customFormat="false" ht="15" hidden="false" customHeight="false" outlineLevel="0" collapsed="false">
      <c r="F311" s="8" t="str">
        <f aca="false">IF($C311="","",IFERROR(INDEX({"1x1-pp";"2x2a-pp";"2x2b-pp";"3x2-pp"},MATCH($C311,{787;1092;1172;1291},0)),""))</f>
        <v/>
      </c>
    </row>
    <row r="312" customFormat="false" ht="15" hidden="false" customHeight="false" outlineLevel="0" collapsed="false">
      <c r="F312" s="8" t="str">
        <f aca="false">IF($C312="","",IFERROR(INDEX({"1x1-pp";"2x2a-pp";"2x2b-pp";"3x2-pp"},MATCH($C312,{787;1092;1172;1291},0)),""))</f>
        <v/>
      </c>
    </row>
    <row r="313" customFormat="false" ht="15" hidden="false" customHeight="false" outlineLevel="0" collapsed="false">
      <c r="F313" s="8" t="str">
        <f aca="false">IF($C313="","",IFERROR(INDEX({"1x1-pp";"2x2a-pp";"2x2b-pp";"3x2-pp"},MATCH($C313,{787;1092;1172;1291},0)),""))</f>
        <v/>
      </c>
    </row>
    <row r="314" customFormat="false" ht="15" hidden="false" customHeight="false" outlineLevel="0" collapsed="false">
      <c r="F314" s="8" t="str">
        <f aca="false">IF($C314="","",IFERROR(INDEX({"1x1-pp";"2x2a-pp";"2x2b-pp";"3x2-pp"},MATCH($C314,{787;1092;1172;1291},0)),""))</f>
        <v/>
      </c>
    </row>
    <row r="315" customFormat="false" ht="15" hidden="false" customHeight="false" outlineLevel="0" collapsed="false">
      <c r="F315" s="8" t="str">
        <f aca="false">IF($C315="","",IFERROR(INDEX({"1x1-pp";"2x2a-pp";"2x2b-pp";"3x2-pp"},MATCH($C315,{787;1092;1172;1291},0)),""))</f>
        <v/>
      </c>
    </row>
    <row r="316" customFormat="false" ht="15" hidden="false" customHeight="false" outlineLevel="0" collapsed="false">
      <c r="F316" s="8" t="str">
        <f aca="false">IF($C316="","",IFERROR(INDEX({"1x1-pp";"2x2a-pp";"2x2b-pp";"3x2-pp"},MATCH($C316,{787;1092;1172;1291},0)),""))</f>
        <v/>
      </c>
    </row>
    <row r="317" customFormat="false" ht="15" hidden="false" customHeight="false" outlineLevel="0" collapsed="false">
      <c r="F317" s="8" t="str">
        <f aca="false">IF($C317="","",IFERROR(INDEX({"1x1-pp";"2x2a-pp";"2x2b-pp";"3x2-pp"},MATCH($C317,{787;1092;1172;1291},0)),""))</f>
        <v/>
      </c>
    </row>
    <row r="318" customFormat="false" ht="15" hidden="false" customHeight="false" outlineLevel="0" collapsed="false">
      <c r="F318" s="8" t="str">
        <f aca="false">IF($C318="","",IFERROR(INDEX({"1x1-pp";"2x2a-pp";"2x2b-pp";"3x2-pp"},MATCH($C318,{787;1092;1172;1291},0)),""))</f>
        <v/>
      </c>
    </row>
    <row r="319" customFormat="false" ht="15" hidden="false" customHeight="false" outlineLevel="0" collapsed="false">
      <c r="F319" s="8" t="str">
        <f aca="false">IF($C319="","",IFERROR(INDEX({"1x1-pp";"2x2a-pp";"2x2b-pp";"3x2-pp"},MATCH($C319,{787;1092;1172;1291},0)),""))</f>
        <v/>
      </c>
    </row>
    <row r="320" customFormat="false" ht="15" hidden="false" customHeight="false" outlineLevel="0" collapsed="false">
      <c r="F320" s="8" t="str">
        <f aca="false">IF($C320="","",IFERROR(INDEX({"1x1-pp";"2x2a-pp";"2x2b-pp";"3x2-pp"},MATCH($C320,{787;1092;1172;1291},0)),""))</f>
        <v/>
      </c>
    </row>
    <row r="321" customFormat="false" ht="15" hidden="false" customHeight="false" outlineLevel="0" collapsed="false">
      <c r="F321" s="8" t="str">
        <f aca="false">IF($C321="","",IFERROR(INDEX({"1x1-pp";"2x2a-pp";"2x2b-pp";"3x2-pp"},MATCH($C321,{787;1092;1172;1291},0)),""))</f>
        <v/>
      </c>
    </row>
    <row r="322" customFormat="false" ht="15" hidden="false" customHeight="false" outlineLevel="0" collapsed="false">
      <c r="F322" s="8" t="str">
        <f aca="false">IF($C322="","",IFERROR(INDEX({"1x1-pp";"2x2a-pp";"2x2b-pp";"3x2-pp"},MATCH($C322,{787;1092;1172;1291},0)),""))</f>
        <v/>
      </c>
    </row>
    <row r="323" customFormat="false" ht="15" hidden="false" customHeight="false" outlineLevel="0" collapsed="false">
      <c r="F323" s="8" t="str">
        <f aca="false">IF($C323="","",IFERROR(INDEX({"1x1-pp";"2x2a-pp";"2x2b-pp";"3x2-pp"},MATCH($C323,{787;1092;1172;1291},0)),""))</f>
        <v/>
      </c>
    </row>
    <row r="324" customFormat="false" ht="15" hidden="false" customHeight="false" outlineLevel="0" collapsed="false">
      <c r="F324" s="8" t="str">
        <f aca="false">IF($C324="","",IFERROR(INDEX({"1x1-pp";"2x2a-pp";"2x2b-pp";"3x2-pp"},MATCH($C324,{787;1092;1172;1291},0)),""))</f>
        <v/>
      </c>
    </row>
    <row r="325" customFormat="false" ht="15" hidden="false" customHeight="false" outlineLevel="0" collapsed="false">
      <c r="F325" s="8" t="str">
        <f aca="false">IF($C325="","",IFERROR(INDEX({"1x1-pp";"2x2a-pp";"2x2b-pp";"3x2-pp"},MATCH($C325,{787;1092;1172;1291},0)),""))</f>
        <v/>
      </c>
    </row>
    <row r="326" customFormat="false" ht="15" hidden="false" customHeight="false" outlineLevel="0" collapsed="false">
      <c r="F326" s="8" t="str">
        <f aca="false">IF($C326="","",IFERROR(INDEX({"1x1-pp";"2x2a-pp";"2x2b-pp";"3x2-pp"},MATCH($C326,{787;1092;1172;1291},0)),""))</f>
        <v/>
      </c>
    </row>
    <row r="327" customFormat="false" ht="15" hidden="false" customHeight="false" outlineLevel="0" collapsed="false">
      <c r="F327" s="8" t="str">
        <f aca="false">IF($C327="","",IFERROR(INDEX({"1x1-pp";"2x2a-pp";"2x2b-pp";"3x2-pp"},MATCH($C327,{787;1092;1172;1291},0)),""))</f>
        <v/>
      </c>
    </row>
    <row r="328" customFormat="false" ht="15" hidden="false" customHeight="false" outlineLevel="0" collapsed="false">
      <c r="F328" s="8" t="str">
        <f aca="false">IF($C328="","",IFERROR(INDEX({"1x1-pp";"2x2a-pp";"2x2b-pp";"3x2-pp"},MATCH($C328,{787;1092;1172;1291},0)),""))</f>
        <v/>
      </c>
    </row>
    <row r="329" customFormat="false" ht="15" hidden="false" customHeight="false" outlineLevel="0" collapsed="false">
      <c r="F329" s="8" t="str">
        <f aca="false">IF($C329="","",IFERROR(INDEX({"1x1-pp";"2x2a-pp";"2x2b-pp";"3x2-pp"},MATCH($C329,{787;1092;1172;1291},0)),""))</f>
        <v/>
      </c>
    </row>
    <row r="330" customFormat="false" ht="15" hidden="false" customHeight="false" outlineLevel="0" collapsed="false">
      <c r="F330" s="8" t="str">
        <f aca="false">IF($C330="","",IFERROR(INDEX({"1x1-pp";"2x2a-pp";"2x2b-pp";"3x2-pp"},MATCH($C330,{787;1092;1172;1291},0)),""))</f>
        <v/>
      </c>
    </row>
    <row r="331" customFormat="false" ht="15" hidden="false" customHeight="false" outlineLevel="0" collapsed="false">
      <c r="F331" s="8" t="str">
        <f aca="false">IF($C331="","",IFERROR(INDEX({"1x1-pp";"2x2a-pp";"2x2b-pp";"3x2-pp"},MATCH($C331,{787;1092;1172;1291},0)),""))</f>
        <v/>
      </c>
    </row>
    <row r="332" customFormat="false" ht="15" hidden="false" customHeight="false" outlineLevel="0" collapsed="false">
      <c r="F332" s="8" t="str">
        <f aca="false">IF($C332="","",IFERROR(INDEX({"1x1-pp";"2x2a-pp";"2x2b-pp";"3x2-pp"},MATCH($C332,{787;1092;1172;1291},0)),""))</f>
        <v/>
      </c>
    </row>
    <row r="333" customFormat="false" ht="15" hidden="false" customHeight="false" outlineLevel="0" collapsed="false">
      <c r="F333" s="8" t="str">
        <f aca="false">IF($C333="","",IFERROR(INDEX({"1x1-pp";"2x2a-pp";"2x2b-pp";"3x2-pp"},MATCH($C333,{787;1092;1172;1291},0)),""))</f>
        <v/>
      </c>
    </row>
    <row r="334" customFormat="false" ht="15" hidden="false" customHeight="false" outlineLevel="0" collapsed="false">
      <c r="F334" s="8" t="str">
        <f aca="false">IF($C334="","",IFERROR(INDEX({"1x1-pp";"2x2a-pp";"2x2b-pp";"3x2-pp"},MATCH($C334,{787;1092;1172;1291},0)),""))</f>
        <v/>
      </c>
    </row>
    <row r="335" customFormat="false" ht="15" hidden="false" customHeight="false" outlineLevel="0" collapsed="false">
      <c r="F335" s="8" t="str">
        <f aca="false">IF($C335="","",IFERROR(INDEX({"1x1-pp";"2x2a-pp";"2x2b-pp";"3x2-pp"},MATCH($C335,{787;1092;1172;1291},0)),""))</f>
        <v/>
      </c>
    </row>
    <row r="336" customFormat="false" ht="15" hidden="false" customHeight="false" outlineLevel="0" collapsed="false">
      <c r="F336" s="8" t="str">
        <f aca="false">IF($C336="","",IFERROR(INDEX({"1x1-pp";"2x2a-pp";"2x2b-pp";"3x2-pp"},MATCH($C336,{787;1092;1172;1291},0)),""))</f>
        <v/>
      </c>
    </row>
    <row r="337" customFormat="false" ht="15" hidden="false" customHeight="false" outlineLevel="0" collapsed="false">
      <c r="F337" s="8" t="str">
        <f aca="false">IF($C337="","",IFERROR(INDEX({"1x1-pp";"2x2a-pp";"2x2b-pp";"3x2-pp"},MATCH($C337,{787;1092;1172;1291},0)),""))</f>
        <v/>
      </c>
    </row>
    <row r="338" customFormat="false" ht="15" hidden="false" customHeight="false" outlineLevel="0" collapsed="false">
      <c r="F338" s="8" t="str">
        <f aca="false">IF($C338="","",IFERROR(INDEX({"1x1-pp";"2x2a-pp";"2x2b-pp";"3x2-pp"},MATCH($C338,{787;1092;1172;1291},0)),""))</f>
        <v/>
      </c>
    </row>
    <row r="339" customFormat="false" ht="15" hidden="false" customHeight="false" outlineLevel="0" collapsed="false">
      <c r="F339" s="8" t="str">
        <f aca="false">IF($C339="","",IFERROR(INDEX({"1x1-pp";"2x2a-pp";"2x2b-pp";"3x2-pp"},MATCH($C339,{787;1092;1172;1291},0)),""))</f>
        <v/>
      </c>
    </row>
    <row r="340" customFormat="false" ht="15" hidden="false" customHeight="false" outlineLevel="0" collapsed="false">
      <c r="F340" s="8" t="str">
        <f aca="false">IF($C340="","",IFERROR(INDEX({"1x1-pp";"2x2a-pp";"2x2b-pp";"3x2-pp"},MATCH($C340,{787;1092;1172;1291},0)),""))</f>
        <v/>
      </c>
    </row>
    <row r="341" customFormat="false" ht="15" hidden="false" customHeight="false" outlineLevel="0" collapsed="false">
      <c r="F341" s="8" t="str">
        <f aca="false">IF($C341="","",IFERROR(INDEX({"1x1-pp";"2x2a-pp";"2x2b-pp";"3x2-pp"},MATCH($C341,{787;1092;1172;1291},0)),""))</f>
        <v/>
      </c>
    </row>
    <row r="342" customFormat="false" ht="15" hidden="false" customHeight="false" outlineLevel="0" collapsed="false">
      <c r="F342" s="8" t="str">
        <f aca="false">IF($C342="","",IFERROR(INDEX({"1x1-pp";"2x2a-pp";"2x2b-pp";"3x2-pp"},MATCH($C342,{787;1092;1172;1291},0)),""))</f>
        <v/>
      </c>
    </row>
    <row r="343" customFormat="false" ht="15" hidden="false" customHeight="false" outlineLevel="0" collapsed="false">
      <c r="F343" s="8" t="str">
        <f aca="false">IF($C343="","",IFERROR(INDEX({"1x1-pp";"2x2a-pp";"2x2b-pp";"3x2-pp"},MATCH($C343,{787;1092;1172;1291},0)),""))</f>
        <v/>
      </c>
    </row>
    <row r="344" customFormat="false" ht="15" hidden="false" customHeight="false" outlineLevel="0" collapsed="false">
      <c r="F344" s="8" t="str">
        <f aca="false">IF($C344="","",IFERROR(INDEX({"1x1-pp";"2x2a-pp";"2x2b-pp";"3x2-pp"},MATCH($C344,{787;1092;1172;1291},0)),""))</f>
        <v/>
      </c>
    </row>
    <row r="345" customFormat="false" ht="15" hidden="false" customHeight="false" outlineLevel="0" collapsed="false">
      <c r="F345" s="8" t="str">
        <f aca="false">IF($C345="","",IFERROR(INDEX({"1x1-pp";"2x2a-pp";"2x2b-pp";"3x2-pp"},MATCH($C345,{787;1092;1172;1291},0)),""))</f>
        <v/>
      </c>
    </row>
    <row r="346" customFormat="false" ht="15" hidden="false" customHeight="false" outlineLevel="0" collapsed="false">
      <c r="F346" s="8" t="str">
        <f aca="false">IF($C346="","",IFERROR(INDEX({"1x1-pp";"2x2a-pp";"2x2b-pp";"3x2-pp"},MATCH($C346,{787;1092;1172;1291},0)),""))</f>
        <v/>
      </c>
    </row>
    <row r="347" customFormat="false" ht="15" hidden="false" customHeight="false" outlineLevel="0" collapsed="false">
      <c r="F347" s="8" t="str">
        <f aca="false">IF($C347="","",IFERROR(INDEX({"1x1-pp";"2x2a-pp";"2x2b-pp";"3x2-pp"},MATCH($C347,{787;1092;1172;1291},0)),""))</f>
        <v/>
      </c>
    </row>
    <row r="348" customFormat="false" ht="15" hidden="false" customHeight="false" outlineLevel="0" collapsed="false">
      <c r="F348" s="8" t="str">
        <f aca="false">IF($C348="","",IFERROR(INDEX({"1x1-pp";"2x2a-pp";"2x2b-pp";"3x2-pp"},MATCH($C348,{787;1092;1172;1291},0)),""))</f>
        <v/>
      </c>
    </row>
    <row r="349" customFormat="false" ht="15" hidden="false" customHeight="false" outlineLevel="0" collapsed="false">
      <c r="F349" s="8" t="str">
        <f aca="false">IF($C349="","",IFERROR(INDEX({"1x1-pp";"2x2a-pp";"2x2b-pp";"3x2-pp"},MATCH($C349,{787;1092;1172;1291},0)),""))</f>
        <v/>
      </c>
    </row>
    <row r="350" customFormat="false" ht="15" hidden="false" customHeight="false" outlineLevel="0" collapsed="false">
      <c r="F350" s="8" t="str">
        <f aca="false">IF($C350="","",IFERROR(INDEX({"1x1-pp";"2x2a-pp";"2x2b-pp";"3x2-pp"},MATCH($C350,{787;1092;1172;1291},0)),""))</f>
        <v/>
      </c>
    </row>
    <row r="351" customFormat="false" ht="15" hidden="false" customHeight="false" outlineLevel="0" collapsed="false">
      <c r="F351" s="8" t="str">
        <f aca="false">IF($C351="","",IFERROR(INDEX({"1x1-pp";"2x2a-pp";"2x2b-pp";"3x2-pp"},MATCH($C351,{787;1092;1172;1291},0)),""))</f>
        <v/>
      </c>
    </row>
    <row r="352" customFormat="false" ht="15" hidden="false" customHeight="false" outlineLevel="0" collapsed="false">
      <c r="F352" s="8" t="str">
        <f aca="false">IF($C352="","",IFERROR(INDEX({"1x1-pp";"2x2a-pp";"2x2b-pp";"3x2-pp"},MATCH($C352,{787;1092;1172;1291},0)),""))</f>
        <v/>
      </c>
    </row>
    <row r="353" customFormat="false" ht="15" hidden="false" customHeight="false" outlineLevel="0" collapsed="false">
      <c r="F353" s="8" t="str">
        <f aca="false">IF($C353="","",IFERROR(INDEX({"1x1-pp";"2x2a-pp";"2x2b-pp";"3x2-pp"},MATCH($C353,{787;1092;1172;1291},0)),""))</f>
        <v/>
      </c>
    </row>
    <row r="354" customFormat="false" ht="15" hidden="false" customHeight="false" outlineLevel="0" collapsed="false">
      <c r="F354" s="8" t="str">
        <f aca="false">IF($C354="","",IFERROR(INDEX({"1x1-pp";"2x2a-pp";"2x2b-pp";"3x2-pp"},MATCH($C354,{787;1092;1172;1291},0)),""))</f>
        <v/>
      </c>
    </row>
    <row r="355" customFormat="false" ht="15" hidden="false" customHeight="false" outlineLevel="0" collapsed="false">
      <c r="F355" s="8" t="str">
        <f aca="false">IF($C355="","",IFERROR(INDEX({"1x1-pp";"2x2a-pp";"2x2b-pp";"3x2-pp"},MATCH($C355,{787;1092;1172;1291},0)),""))</f>
        <v/>
      </c>
    </row>
    <row r="356" customFormat="false" ht="15" hidden="false" customHeight="false" outlineLevel="0" collapsed="false">
      <c r="F356" s="8" t="str">
        <f aca="false">IF($C356="","",IFERROR(INDEX({"1x1-pp";"2x2a-pp";"2x2b-pp";"3x2-pp"},MATCH($C356,{787;1092;1172;1291},0)),""))</f>
        <v/>
      </c>
    </row>
    <row r="357" customFormat="false" ht="15" hidden="false" customHeight="false" outlineLevel="0" collapsed="false">
      <c r="F357" s="8" t="str">
        <f aca="false">IF($C357="","",IFERROR(INDEX({"1x1-pp";"2x2a-pp";"2x2b-pp";"3x2-pp"},MATCH($C357,{787;1092;1172;1291},0)),""))</f>
        <v/>
      </c>
    </row>
    <row r="358" customFormat="false" ht="15" hidden="false" customHeight="false" outlineLevel="0" collapsed="false">
      <c r="F358" s="8" t="str">
        <f aca="false">IF($C358="","",IFERROR(INDEX({"1x1-pp";"2x2a-pp";"2x2b-pp";"3x2-pp"},MATCH($C358,{787;1092;1172;1291},0)),""))</f>
        <v/>
      </c>
    </row>
    <row r="359" customFormat="false" ht="15" hidden="false" customHeight="false" outlineLevel="0" collapsed="false">
      <c r="F359" s="8" t="str">
        <f aca="false">IF($C359="","",IFERROR(INDEX({"1x1-pp";"2x2a-pp";"2x2b-pp";"3x2-pp"},MATCH($C359,{787;1092;1172;1291},0)),""))</f>
        <v/>
      </c>
    </row>
    <row r="360" customFormat="false" ht="15" hidden="false" customHeight="false" outlineLevel="0" collapsed="false">
      <c r="F360" s="8" t="str">
        <f aca="false">IF($C360="","",IFERROR(INDEX({"1x1-pp";"2x2a-pp";"2x2b-pp";"3x2-pp"},MATCH($C360,{787;1092;1172;1291},0)),""))</f>
        <v/>
      </c>
    </row>
    <row r="361" customFormat="false" ht="15" hidden="false" customHeight="false" outlineLevel="0" collapsed="false">
      <c r="F361" s="8" t="str">
        <f aca="false">IF($C361="","",IFERROR(INDEX({"1x1-pp";"2x2a-pp";"2x2b-pp";"3x2-pp"},MATCH($C361,{787;1092;1172;1291},0)),""))</f>
        <v/>
      </c>
    </row>
    <row r="362" customFormat="false" ht="15" hidden="false" customHeight="false" outlineLevel="0" collapsed="false">
      <c r="F362" s="8" t="str">
        <f aca="false">IF($C362="","",IFERROR(INDEX({"1x1-pp";"2x2a-pp";"2x2b-pp";"3x2-pp"},MATCH($C362,{787;1092;1172;1291},0)),""))</f>
        <v/>
      </c>
    </row>
    <row r="363" customFormat="false" ht="15" hidden="false" customHeight="false" outlineLevel="0" collapsed="false">
      <c r="F363" s="8" t="str">
        <f aca="false">IF($C363="","",IFERROR(INDEX({"1x1-pp";"2x2a-pp";"2x2b-pp";"3x2-pp"},MATCH($C363,{787;1092;1172;1291},0)),""))</f>
        <v/>
      </c>
    </row>
    <row r="364" customFormat="false" ht="15" hidden="false" customHeight="false" outlineLevel="0" collapsed="false">
      <c r="F364" s="8" t="str">
        <f aca="false">IF($C364="","",IFERROR(INDEX({"1x1-pp";"2x2a-pp";"2x2b-pp";"3x2-pp"},MATCH($C364,{787;1092;1172;1291},0)),""))</f>
        <v/>
      </c>
    </row>
    <row r="365" customFormat="false" ht="15" hidden="false" customHeight="false" outlineLevel="0" collapsed="false">
      <c r="F365" s="8" t="str">
        <f aca="false">IF($C365="","",IFERROR(INDEX({"1x1-pp";"2x2a-pp";"2x2b-pp";"3x2-pp"},MATCH($C365,{787;1092;1172;1291},0)),""))</f>
        <v/>
      </c>
    </row>
    <row r="366" customFormat="false" ht="15" hidden="false" customHeight="false" outlineLevel="0" collapsed="false">
      <c r="F366" s="8" t="str">
        <f aca="false">IF($C366="","",IFERROR(INDEX({"1x1-pp";"2x2a-pp";"2x2b-pp";"3x2-pp"},MATCH($C366,{787;1092;1172;1291},0)),""))</f>
        <v/>
      </c>
    </row>
    <row r="367" customFormat="false" ht="15" hidden="false" customHeight="false" outlineLevel="0" collapsed="false">
      <c r="F367" s="8" t="str">
        <f aca="false">IF($C367="","",IFERROR(INDEX({"1x1-pp";"2x2a-pp";"2x2b-pp";"3x2-pp"},MATCH($C367,{787;1092;1172;1291},0)),""))</f>
        <v/>
      </c>
    </row>
    <row r="368" customFormat="false" ht="15" hidden="false" customHeight="false" outlineLevel="0" collapsed="false">
      <c r="F368" s="8" t="str">
        <f aca="false">IF($C368="","",IFERROR(INDEX({"1x1-pp";"2x2a-pp";"2x2b-pp";"3x2-pp"},MATCH($C368,{787;1092;1172;1291},0)),""))</f>
        <v/>
      </c>
    </row>
    <row r="369" customFormat="false" ht="15" hidden="false" customHeight="false" outlineLevel="0" collapsed="false">
      <c r="F369" s="8" t="str">
        <f aca="false">IF($C369="","",IFERROR(INDEX({"1x1-pp";"2x2a-pp";"2x2b-pp";"3x2-pp"},MATCH($C369,{787;1092;1172;1291},0)),""))</f>
        <v/>
      </c>
    </row>
    <row r="370" customFormat="false" ht="15" hidden="false" customHeight="false" outlineLevel="0" collapsed="false">
      <c r="F370" s="8" t="str">
        <f aca="false">IF($C370="","",IFERROR(INDEX({"1x1-pp";"2x2a-pp";"2x2b-pp";"3x2-pp"},MATCH($C370,{787;1092;1172;1291},0)),""))</f>
        <v/>
      </c>
    </row>
    <row r="371" customFormat="false" ht="15" hidden="false" customHeight="false" outlineLevel="0" collapsed="false">
      <c r="F371" s="8" t="str">
        <f aca="false">IF($C371="","",IFERROR(INDEX({"1x1-pp";"2x2a-pp";"2x2b-pp";"3x2-pp"},MATCH($C371,{787;1092;1172;1291},0)),""))</f>
        <v/>
      </c>
    </row>
    <row r="372" customFormat="false" ht="15" hidden="false" customHeight="false" outlineLevel="0" collapsed="false">
      <c r="F372" s="8" t="str">
        <f aca="false">IF($C372="","",IFERROR(INDEX({"1x1-pp";"2x2a-pp";"2x2b-pp";"3x2-pp"},MATCH($C372,{787;1092;1172;1291},0)),""))</f>
        <v/>
      </c>
    </row>
    <row r="373" customFormat="false" ht="15" hidden="false" customHeight="false" outlineLevel="0" collapsed="false">
      <c r="F373" s="8" t="str">
        <f aca="false">IF($C373="","",IFERROR(INDEX({"1x1-pp";"2x2a-pp";"2x2b-pp";"3x2-pp"},MATCH($C373,{787;1092;1172;1291},0)),""))</f>
        <v/>
      </c>
    </row>
    <row r="374" customFormat="false" ht="15" hidden="false" customHeight="false" outlineLevel="0" collapsed="false">
      <c r="F374" s="8" t="str">
        <f aca="false">IF($C374="","",IFERROR(INDEX({"1x1-pp";"2x2a-pp";"2x2b-pp";"3x2-pp"},MATCH($C374,{787;1092;1172;1291},0)),""))</f>
        <v/>
      </c>
    </row>
    <row r="375" customFormat="false" ht="15" hidden="false" customHeight="false" outlineLevel="0" collapsed="false">
      <c r="F375" s="8" t="str">
        <f aca="false">IF($C375="","",IFERROR(INDEX({"1x1-pp";"2x2a-pp";"2x2b-pp";"3x2-pp"},MATCH($C375,{787;1092;1172;1291},0)),""))</f>
        <v/>
      </c>
    </row>
    <row r="376" customFormat="false" ht="15" hidden="false" customHeight="false" outlineLevel="0" collapsed="false">
      <c r="F376" s="8" t="str">
        <f aca="false">IF($C376="","",IFERROR(INDEX({"1x1-pp";"2x2a-pp";"2x2b-pp";"3x2-pp"},MATCH($C376,{787;1092;1172;1291},0)),""))</f>
        <v/>
      </c>
    </row>
    <row r="377" customFormat="false" ht="15" hidden="false" customHeight="false" outlineLevel="0" collapsed="false">
      <c r="F377" s="8" t="str">
        <f aca="false">IF($C377="","",IFERROR(INDEX({"1x1-pp";"2x2a-pp";"2x2b-pp";"3x2-pp"},MATCH($C377,{787;1092;1172;1291},0)),""))</f>
        <v/>
      </c>
    </row>
    <row r="378" customFormat="false" ht="15" hidden="false" customHeight="false" outlineLevel="0" collapsed="false">
      <c r="F378" s="8" t="str">
        <f aca="false">IF($C378="","",IFERROR(INDEX({"1x1-pp";"2x2a-pp";"2x2b-pp";"3x2-pp"},MATCH($C378,{787;1092;1172;1291},0)),""))</f>
        <v/>
      </c>
    </row>
    <row r="379" customFormat="false" ht="15" hidden="false" customHeight="false" outlineLevel="0" collapsed="false">
      <c r="F379" s="8" t="str">
        <f aca="false">IF($C379="","",IFERROR(INDEX({"1x1-pp";"2x2a-pp";"2x2b-pp";"3x2-pp"},MATCH($C379,{787;1092;1172;1291},0)),""))</f>
        <v/>
      </c>
    </row>
    <row r="380" customFormat="false" ht="15" hidden="false" customHeight="false" outlineLevel="0" collapsed="false">
      <c r="F380" s="8" t="str">
        <f aca="false">IF($C380="","",IFERROR(INDEX({"1x1-pp";"2x2a-pp";"2x2b-pp";"3x2-pp"},MATCH($C380,{787;1092;1172;1291},0)),""))</f>
        <v/>
      </c>
    </row>
    <row r="381" customFormat="false" ht="15" hidden="false" customHeight="false" outlineLevel="0" collapsed="false">
      <c r="F381" s="8" t="str">
        <f aca="false">IF($C381="","",IFERROR(INDEX({"1x1-pp";"2x2a-pp";"2x2b-pp";"3x2-pp"},MATCH($C381,{787;1092;1172;1291},0)),""))</f>
        <v/>
      </c>
    </row>
    <row r="382" customFormat="false" ht="15" hidden="false" customHeight="false" outlineLevel="0" collapsed="false">
      <c r="F382" s="8" t="str">
        <f aca="false">IF($C382="","",IFERROR(INDEX({"1x1-pp";"2x2a-pp";"2x2b-pp";"3x2-pp"},MATCH($C382,{787;1092;1172;1291},0)),""))</f>
        <v/>
      </c>
    </row>
    <row r="383" customFormat="false" ht="15" hidden="false" customHeight="false" outlineLevel="0" collapsed="false">
      <c r="F383" s="8" t="str">
        <f aca="false">IF($C383="","",IFERROR(INDEX({"1x1-pp";"2x2a-pp";"2x2b-pp";"3x2-pp"},MATCH($C383,{787;1092;1172;1291},0)),""))</f>
        <v/>
      </c>
    </row>
    <row r="384" customFormat="false" ht="15" hidden="false" customHeight="false" outlineLevel="0" collapsed="false">
      <c r="F384" s="8" t="str">
        <f aca="false">IF($C384="","",IFERROR(INDEX({"1x1-pp";"2x2a-pp";"2x2b-pp";"3x2-pp"},MATCH($C384,{787;1092;1172;1291},0)),""))</f>
        <v/>
      </c>
    </row>
    <row r="385" customFormat="false" ht="15" hidden="false" customHeight="false" outlineLevel="0" collapsed="false">
      <c r="F385" s="8" t="str">
        <f aca="false">IF($C385="","",IFERROR(INDEX({"1x1-pp";"2x2a-pp";"2x2b-pp";"3x2-pp"},MATCH($C385,{787;1092;1172;1291},0)),""))</f>
        <v/>
      </c>
    </row>
    <row r="386" customFormat="false" ht="15" hidden="false" customHeight="false" outlineLevel="0" collapsed="false">
      <c r="F386" s="8" t="str">
        <f aca="false">IF($C386="","",IFERROR(INDEX({"1x1-pp";"2x2a-pp";"2x2b-pp";"3x2-pp"},MATCH($C386,{787;1092;1172;1291},0)),""))</f>
        <v/>
      </c>
    </row>
    <row r="387" customFormat="false" ht="15" hidden="false" customHeight="false" outlineLevel="0" collapsed="false">
      <c r="F387" s="8" t="str">
        <f aca="false">IF($C387="","",IFERROR(INDEX({"1x1-pp";"2x2a-pp";"2x2b-pp";"3x2-pp"},MATCH($C387,{787;1092;1172;1291},0)),""))</f>
        <v/>
      </c>
    </row>
    <row r="388" customFormat="false" ht="15" hidden="false" customHeight="false" outlineLevel="0" collapsed="false">
      <c r="F388" s="8" t="str">
        <f aca="false">IF($C388="","",IFERROR(INDEX({"1x1-pp";"2x2a-pp";"2x2b-pp";"3x2-pp"},MATCH($C388,{787;1092;1172;1291},0)),""))</f>
        <v/>
      </c>
    </row>
    <row r="389" customFormat="false" ht="15" hidden="false" customHeight="false" outlineLevel="0" collapsed="false">
      <c r="F389" s="8" t="str">
        <f aca="false">IF($C389="","",IFERROR(INDEX({"1x1-pp";"2x2a-pp";"2x2b-pp";"3x2-pp"},MATCH($C389,{787;1092;1172;1291},0)),""))</f>
        <v/>
      </c>
    </row>
    <row r="390" customFormat="false" ht="15" hidden="false" customHeight="false" outlineLevel="0" collapsed="false">
      <c r="F390" s="8" t="str">
        <f aca="false">IF($C390="","",IFERROR(INDEX({"1x1-pp";"2x2a-pp";"2x2b-pp";"3x2-pp"},MATCH($C390,{787;1092;1172;1291},0)),""))</f>
        <v/>
      </c>
    </row>
    <row r="391" customFormat="false" ht="15" hidden="false" customHeight="false" outlineLevel="0" collapsed="false">
      <c r="F391" s="8" t="str">
        <f aca="false">IF($C391="","",IFERROR(INDEX({"1x1-pp";"2x2a-pp";"2x2b-pp";"3x2-pp"},MATCH($C391,{787;1092;1172;1291},0)),""))</f>
        <v/>
      </c>
    </row>
    <row r="392" customFormat="false" ht="15" hidden="false" customHeight="false" outlineLevel="0" collapsed="false">
      <c r="F392" s="8" t="str">
        <f aca="false">IF($C392="","",IFERROR(INDEX({"1x1-pp";"2x2a-pp";"2x2b-pp";"3x2-pp"},MATCH($C392,{787;1092;1172;1291},0)),""))</f>
        <v/>
      </c>
    </row>
    <row r="393" customFormat="false" ht="15" hidden="false" customHeight="false" outlineLevel="0" collapsed="false">
      <c r="F393" s="8" t="str">
        <f aca="false">IF($C393="","",IFERROR(INDEX({"1x1-pp";"2x2a-pp";"2x2b-pp";"3x2-pp"},MATCH($C393,{787;1092;1172;1291},0)),""))</f>
        <v/>
      </c>
    </row>
    <row r="394" customFormat="false" ht="15" hidden="false" customHeight="false" outlineLevel="0" collapsed="false">
      <c r="F394" s="8" t="str">
        <f aca="false">IF($C394="","",IFERROR(INDEX({"1x1-pp";"2x2a-pp";"2x2b-pp";"3x2-pp"},MATCH($C394,{787;1092;1172;1291},0)),""))</f>
        <v/>
      </c>
    </row>
    <row r="395" customFormat="false" ht="15" hidden="false" customHeight="false" outlineLevel="0" collapsed="false">
      <c r="F395" s="8" t="str">
        <f aca="false">IF($C395="","",IFERROR(INDEX({"1x1-pp";"2x2a-pp";"2x2b-pp";"3x2-pp"},MATCH($C395,{787;1092;1172;1291},0)),""))</f>
        <v/>
      </c>
    </row>
    <row r="396" customFormat="false" ht="15" hidden="false" customHeight="false" outlineLevel="0" collapsed="false">
      <c r="F396" s="8" t="str">
        <f aca="false">IF($C396="","",IFERROR(INDEX({"1x1-pp";"2x2a-pp";"2x2b-pp";"3x2-pp"},MATCH($C396,{787;1092;1172;1291},0)),""))</f>
        <v/>
      </c>
    </row>
    <row r="397" customFormat="false" ht="15" hidden="false" customHeight="false" outlineLevel="0" collapsed="false">
      <c r="F397" s="8" t="str">
        <f aca="false">IF($C397="","",IFERROR(INDEX({"1x1-pp";"2x2a-pp";"2x2b-pp";"3x2-pp"},MATCH($C397,{787;1092;1172;1291},0)),""))</f>
        <v/>
      </c>
    </row>
    <row r="398" customFormat="false" ht="15" hidden="false" customHeight="false" outlineLevel="0" collapsed="false">
      <c r="F398" s="8" t="str">
        <f aca="false">IF($C398="","",IFERROR(INDEX({"1x1-pp";"2x2a-pp";"2x2b-pp";"3x2-pp"},MATCH($C398,{787;1092;1172;1291},0)),""))</f>
        <v/>
      </c>
    </row>
    <row r="399" customFormat="false" ht="15" hidden="false" customHeight="false" outlineLevel="0" collapsed="false">
      <c r="F399" s="8" t="str">
        <f aca="false">IF($C399="","",IFERROR(INDEX({"1x1-pp";"2x2a-pp";"2x2b-pp";"3x2-pp"},MATCH($C399,{787;1092;1172;1291},0)),""))</f>
        <v/>
      </c>
    </row>
    <row r="400" customFormat="false" ht="15" hidden="false" customHeight="false" outlineLevel="0" collapsed="false">
      <c r="F400" s="8" t="str">
        <f aca="false">IF($C400="","",IFERROR(INDEX({"1x1-pp";"2x2a-pp";"2x2b-pp";"3x2-pp"},MATCH($C400,{787;1092;1172;1291},0)),""))</f>
        <v/>
      </c>
    </row>
    <row r="401" customFormat="false" ht="15" hidden="false" customHeight="false" outlineLevel="0" collapsed="false">
      <c r="F401" s="8" t="str">
        <f aca="false">IF($C401="","",IFERROR(INDEX({"1x1-pp";"2x2a-pp";"2x2b-pp";"3x2-pp"},MATCH($C401,{787;1092;1172;1291},0)),""))</f>
        <v/>
      </c>
    </row>
    <row r="402" customFormat="false" ht="15" hidden="false" customHeight="false" outlineLevel="0" collapsed="false">
      <c r="F402" s="8" t="str">
        <f aca="false">IF($C402="","",IFERROR(INDEX({"1x1-pp";"2x2a-pp";"2x2b-pp";"3x2-pp"},MATCH($C402,{787;1092;1172;1291},0)),""))</f>
        <v/>
      </c>
    </row>
    <row r="403" customFormat="false" ht="15" hidden="false" customHeight="false" outlineLevel="0" collapsed="false">
      <c r="F403" s="8" t="str">
        <f aca="false">IF($C403="","",IFERROR(INDEX({"1x1-pp";"2x2a-pp";"2x2b-pp";"3x2-pp"},MATCH($C403,{787;1092;1172;1291},0)),""))</f>
        <v/>
      </c>
    </row>
    <row r="404" customFormat="false" ht="15" hidden="false" customHeight="false" outlineLevel="0" collapsed="false">
      <c r="F404" s="8" t="str">
        <f aca="false">IF($C404="","",IFERROR(INDEX({"1x1-pp";"2x2a-pp";"2x2b-pp";"3x2-pp"},MATCH($C404,{787;1092;1172;1291},0)),""))</f>
        <v/>
      </c>
    </row>
    <row r="405" customFormat="false" ht="15" hidden="false" customHeight="false" outlineLevel="0" collapsed="false">
      <c r="F405" s="8" t="str">
        <f aca="false">IF($C405="","",IFERROR(INDEX({"1x1-pp";"2x2a-pp";"2x2b-pp";"3x2-pp"},MATCH($C405,{787;1092;1172;1291},0)),""))</f>
        <v/>
      </c>
    </row>
    <row r="406" customFormat="false" ht="15" hidden="false" customHeight="false" outlineLevel="0" collapsed="false">
      <c r="F406" s="8" t="str">
        <f aca="false">IF($C406="","",IFERROR(INDEX({"1x1-pp";"2x2a-pp";"2x2b-pp";"3x2-pp"},MATCH($C406,{787;1092;1172;1291},0)),""))</f>
        <v/>
      </c>
    </row>
    <row r="407" customFormat="false" ht="15" hidden="false" customHeight="false" outlineLevel="0" collapsed="false">
      <c r="F407" s="8" t="str">
        <f aca="false">IF($C407="","",IFERROR(INDEX({"1x1-pp";"2x2a-pp";"2x2b-pp";"3x2-pp"},MATCH($C407,{787;1092;1172;1291},0)),""))</f>
        <v/>
      </c>
    </row>
    <row r="408" customFormat="false" ht="15" hidden="false" customHeight="false" outlineLevel="0" collapsed="false">
      <c r="F408" s="8" t="str">
        <f aca="false">IF($C408="","",IFERROR(INDEX({"1x1-pp";"2x2a-pp";"2x2b-pp";"3x2-pp"},MATCH($C408,{787;1092;1172;1291},0)),""))</f>
        <v/>
      </c>
    </row>
    <row r="409" customFormat="false" ht="15" hidden="false" customHeight="false" outlineLevel="0" collapsed="false">
      <c r="F409" s="8" t="str">
        <f aca="false">IF($C409="","",IFERROR(INDEX({"1x1-pp";"2x2a-pp";"2x2b-pp";"3x2-pp"},MATCH($C409,{787;1092;1172;1291},0)),""))</f>
        <v/>
      </c>
    </row>
    <row r="410" customFormat="false" ht="15" hidden="false" customHeight="false" outlineLevel="0" collapsed="false">
      <c r="F410" s="8" t="str">
        <f aca="false">IF($C410="","",IFERROR(INDEX({"1x1-pp";"2x2a-pp";"2x2b-pp";"3x2-pp"},MATCH($C410,{787;1092;1172;1291},0)),""))</f>
        <v/>
      </c>
    </row>
    <row r="411" customFormat="false" ht="15" hidden="false" customHeight="false" outlineLevel="0" collapsed="false">
      <c r="F411" s="8" t="str">
        <f aca="false">IF($C411="","",IFERROR(INDEX({"1x1-pp";"2x2a-pp";"2x2b-pp";"3x2-pp"},MATCH($C411,{787;1092;1172;1291},0)),""))</f>
        <v/>
      </c>
    </row>
    <row r="412" customFormat="false" ht="15" hidden="false" customHeight="false" outlineLevel="0" collapsed="false">
      <c r="F412" s="8" t="str">
        <f aca="false">IF($C412="","",IFERROR(INDEX({"1x1-pp";"2x2a-pp";"2x2b-pp";"3x2-pp"},MATCH($C412,{787;1092;1172;1291},0)),""))</f>
        <v/>
      </c>
    </row>
    <row r="413" customFormat="false" ht="15" hidden="false" customHeight="false" outlineLevel="0" collapsed="false">
      <c r="F413" s="8" t="str">
        <f aca="false">IF($C413="","",IFERROR(INDEX({"1x1-pp";"2x2a-pp";"2x2b-pp";"3x2-pp"},MATCH($C413,{787;1092;1172;1291},0)),""))</f>
        <v/>
      </c>
    </row>
    <row r="414" customFormat="false" ht="15" hidden="false" customHeight="false" outlineLevel="0" collapsed="false">
      <c r="F414" s="8" t="str">
        <f aca="false">IF($C414="","",IFERROR(INDEX({"1x1-pp";"2x2a-pp";"2x2b-pp";"3x2-pp"},MATCH($C414,{787;1092;1172;1291},0)),""))</f>
        <v/>
      </c>
    </row>
    <row r="415" customFormat="false" ht="15" hidden="false" customHeight="false" outlineLevel="0" collapsed="false">
      <c r="F415" s="8" t="str">
        <f aca="false">IF($C415="","",IFERROR(INDEX({"1x1-pp";"2x2a-pp";"2x2b-pp";"3x2-pp"},MATCH($C415,{787;1092;1172;1291},0)),""))</f>
        <v/>
      </c>
    </row>
    <row r="416" customFormat="false" ht="15" hidden="false" customHeight="false" outlineLevel="0" collapsed="false">
      <c r="F416" s="8" t="str">
        <f aca="false">IF($C416="","",IFERROR(INDEX({"1x1-pp";"2x2a-pp";"2x2b-pp";"3x2-pp"},MATCH($C416,{787;1092;1172;1291},0)),""))</f>
        <v/>
      </c>
    </row>
    <row r="417" customFormat="false" ht="15" hidden="false" customHeight="false" outlineLevel="0" collapsed="false">
      <c r="F417" s="8" t="str">
        <f aca="false">IF($C417="","",IFERROR(INDEX({"1x1-pp";"2x2a-pp";"2x2b-pp";"3x2-pp"},MATCH($C417,{787;1092;1172;1291},0)),""))</f>
        <v/>
      </c>
    </row>
    <row r="418" customFormat="false" ht="15" hidden="false" customHeight="false" outlineLevel="0" collapsed="false">
      <c r="F418" s="8" t="str">
        <f aca="false">IF($C418="","",IFERROR(INDEX({"1x1-pp";"2x2a-pp";"2x2b-pp";"3x2-pp"},MATCH($C418,{787;1092;1172;1291},0)),""))</f>
        <v/>
      </c>
    </row>
    <row r="419" customFormat="false" ht="15" hidden="false" customHeight="false" outlineLevel="0" collapsed="false">
      <c r="F419" s="8" t="str">
        <f aca="false">IF($C419="","",IFERROR(INDEX({"1x1-pp";"2x2a-pp";"2x2b-pp";"3x2-pp"},MATCH($C419,{787;1092;1172;1291},0)),""))</f>
        <v/>
      </c>
    </row>
    <row r="420" customFormat="false" ht="15" hidden="false" customHeight="false" outlineLevel="0" collapsed="false">
      <c r="F420" s="8" t="str">
        <f aca="false">IF($C420="","",IFERROR(INDEX({"1x1-pp";"2x2a-pp";"2x2b-pp";"3x2-pp"},MATCH($C420,{787;1092;1172;1291},0)),""))</f>
        <v/>
      </c>
    </row>
    <row r="421" customFormat="false" ht="15" hidden="false" customHeight="false" outlineLevel="0" collapsed="false">
      <c r="F421" s="8" t="str">
        <f aca="false">IF($C421="","",IFERROR(INDEX({"1x1-pp";"2x2a-pp";"2x2b-pp";"3x2-pp"},MATCH($C421,{787;1092;1172;1291},0)),""))</f>
        <v/>
      </c>
    </row>
    <row r="422" customFormat="false" ht="15" hidden="false" customHeight="false" outlineLevel="0" collapsed="false">
      <c r="F422" s="8" t="str">
        <f aca="false">IF($C422="","",IFERROR(INDEX({"1x1-pp";"2x2a-pp";"2x2b-pp";"3x2-pp"},MATCH($C422,{787;1092;1172;1291},0)),""))</f>
        <v/>
      </c>
    </row>
    <row r="423" customFormat="false" ht="15" hidden="false" customHeight="false" outlineLevel="0" collapsed="false">
      <c r="F423" s="8" t="str">
        <f aca="false">IF($C423="","",IFERROR(INDEX({"1x1-pp";"2x2a-pp";"2x2b-pp";"3x2-pp"},MATCH($C423,{787;1092;1172;1291},0)),""))</f>
        <v/>
      </c>
    </row>
    <row r="424" customFormat="false" ht="15" hidden="false" customHeight="false" outlineLevel="0" collapsed="false">
      <c r="F424" s="8" t="str">
        <f aca="false">IF($C424="","",IFERROR(INDEX({"1x1-pp";"2x2a-pp";"2x2b-pp";"3x2-pp"},MATCH($C424,{787;1092;1172;1291},0)),""))</f>
        <v/>
      </c>
    </row>
    <row r="425" customFormat="false" ht="15" hidden="false" customHeight="false" outlineLevel="0" collapsed="false">
      <c r="F425" s="8" t="str">
        <f aca="false">IF($C425="","",IFERROR(INDEX({"1x1-pp";"2x2a-pp";"2x2b-pp";"3x2-pp"},MATCH($C425,{787;1092;1172;1291},0)),""))</f>
        <v/>
      </c>
    </row>
    <row r="426" customFormat="false" ht="15" hidden="false" customHeight="false" outlineLevel="0" collapsed="false">
      <c r="F426" s="8" t="str">
        <f aca="false">IF($C426="","",IFERROR(INDEX({"1x1-pp";"2x2a-pp";"2x2b-pp";"3x2-pp"},MATCH($C426,{787;1092;1172;1291},0)),""))</f>
        <v/>
      </c>
    </row>
    <row r="427" customFormat="false" ht="15" hidden="false" customHeight="false" outlineLevel="0" collapsed="false">
      <c r="F427" s="8" t="str">
        <f aca="false">IF($C427="","",IFERROR(INDEX({"1x1-pp";"2x2a-pp";"2x2b-pp";"3x2-pp"},MATCH($C427,{787;1092;1172;1291},0)),""))</f>
        <v/>
      </c>
    </row>
    <row r="428" customFormat="false" ht="15" hidden="false" customHeight="false" outlineLevel="0" collapsed="false">
      <c r="F428" s="8" t="str">
        <f aca="false">IF($C428="","",IFERROR(INDEX({"1x1-pp";"2x2a-pp";"2x2b-pp";"3x2-pp"},MATCH($C428,{787;1092;1172;1291},0)),""))</f>
        <v/>
      </c>
    </row>
    <row r="429" customFormat="false" ht="15" hidden="false" customHeight="false" outlineLevel="0" collapsed="false">
      <c r="F429" s="8" t="str">
        <f aca="false">IF($C429="","",IFERROR(INDEX({"1x1-pp";"2x2a-pp";"2x2b-pp";"3x2-pp"},MATCH($C429,{787;1092;1172;1291},0)),""))</f>
        <v/>
      </c>
    </row>
    <row r="430" customFormat="false" ht="15" hidden="false" customHeight="false" outlineLevel="0" collapsed="false">
      <c r="F430" s="8" t="str">
        <f aca="false">IF($C430="","",IFERROR(INDEX({"1x1-pp";"2x2a-pp";"2x2b-pp";"3x2-pp"},MATCH($C430,{787;1092;1172;1291},0)),""))</f>
        <v/>
      </c>
    </row>
    <row r="431" customFormat="false" ht="15" hidden="false" customHeight="false" outlineLevel="0" collapsed="false">
      <c r="F431" s="8" t="str">
        <f aca="false">IF($C431="","",IFERROR(INDEX({"1x1-pp";"2x2a-pp";"2x2b-pp";"3x2-pp"},MATCH($C431,{787;1092;1172;1291},0)),""))</f>
        <v/>
      </c>
    </row>
    <row r="432" customFormat="false" ht="15" hidden="false" customHeight="false" outlineLevel="0" collapsed="false">
      <c r="F432" s="8" t="str">
        <f aca="false">IF($C432="","",IFERROR(INDEX({"1x1-pp";"2x2a-pp";"2x2b-pp";"3x2-pp"},MATCH($C432,{787;1092;1172;1291},0)),""))</f>
        <v/>
      </c>
    </row>
    <row r="433" customFormat="false" ht="15" hidden="false" customHeight="false" outlineLevel="0" collapsed="false">
      <c r="F433" s="8" t="str">
        <f aca="false">IF($C433="","",IFERROR(INDEX({"1x1-pp";"2x2a-pp";"2x2b-pp";"3x2-pp"},MATCH($C433,{787;1092;1172;1291},0)),""))</f>
        <v/>
      </c>
    </row>
    <row r="434" customFormat="false" ht="15" hidden="false" customHeight="false" outlineLevel="0" collapsed="false">
      <c r="F434" s="8" t="str">
        <f aca="false">IF($C434="","",IFERROR(INDEX({"1x1-pp";"2x2a-pp";"2x2b-pp";"3x2-pp"},MATCH($C434,{787;1092;1172;1291},0)),""))</f>
        <v/>
      </c>
    </row>
    <row r="435" customFormat="false" ht="15" hidden="false" customHeight="false" outlineLevel="0" collapsed="false">
      <c r="F435" s="8" t="str">
        <f aca="false">IF($C435="","",IFERROR(INDEX({"1x1-pp";"2x2a-pp";"2x2b-pp";"3x2-pp"},MATCH($C435,{787;1092;1172;1291},0)),""))</f>
        <v/>
      </c>
    </row>
    <row r="436" customFormat="false" ht="15" hidden="false" customHeight="false" outlineLevel="0" collapsed="false">
      <c r="F436" s="8" t="str">
        <f aca="false">IF($C436="","",IFERROR(INDEX({"1x1-pp";"2x2a-pp";"2x2b-pp";"3x2-pp"},MATCH($C436,{787;1092;1172;1291},0)),""))</f>
        <v/>
      </c>
    </row>
    <row r="437" customFormat="false" ht="15" hidden="false" customHeight="false" outlineLevel="0" collapsed="false">
      <c r="F437" s="8" t="str">
        <f aca="false">IF($C437="","",IFERROR(INDEX({"1x1-pp";"2x2a-pp";"2x2b-pp";"3x2-pp"},MATCH($C437,{787;1092;1172;1291},0)),""))</f>
        <v/>
      </c>
    </row>
    <row r="438" customFormat="false" ht="15" hidden="false" customHeight="false" outlineLevel="0" collapsed="false">
      <c r="F438" s="8" t="str">
        <f aca="false">IF($C438="","",IFERROR(INDEX({"1x1-pp";"2x2a-pp";"2x2b-pp";"3x2-pp"},MATCH($C438,{787;1092;1172;1291},0)),""))</f>
        <v/>
      </c>
    </row>
    <row r="439" customFormat="false" ht="15" hidden="false" customHeight="false" outlineLevel="0" collapsed="false">
      <c r="F439" s="8" t="str">
        <f aca="false">IF($C439="","",IFERROR(INDEX({"1x1-pp";"2x2a-pp";"2x2b-pp";"3x2-pp"},MATCH($C439,{787;1092;1172;1291},0)),""))</f>
        <v/>
      </c>
    </row>
    <row r="440" customFormat="false" ht="15" hidden="false" customHeight="false" outlineLevel="0" collapsed="false">
      <c r="F440" s="8" t="str">
        <f aca="false">IF($C440="","",IFERROR(INDEX({"1x1-pp";"2x2a-pp";"2x2b-pp";"3x2-pp"},MATCH($C440,{787;1092;1172;1291},0)),""))</f>
        <v/>
      </c>
    </row>
    <row r="441" customFormat="false" ht="15" hidden="false" customHeight="false" outlineLevel="0" collapsed="false">
      <c r="F441" s="8" t="str">
        <f aca="false">IF($C441="","",IFERROR(INDEX({"1x1-pp";"2x2a-pp";"2x2b-pp";"3x2-pp"},MATCH($C441,{787;1092;1172;1291},0)),""))</f>
        <v/>
      </c>
    </row>
    <row r="442" customFormat="false" ht="15" hidden="false" customHeight="false" outlineLevel="0" collapsed="false">
      <c r="F442" s="8" t="str">
        <f aca="false">IF($C442="","",IFERROR(INDEX({"1x1-pp";"2x2a-pp";"2x2b-pp";"3x2-pp"},MATCH($C442,{787;1092;1172;1291},0)),""))</f>
        <v/>
      </c>
    </row>
    <row r="443" customFormat="false" ht="15" hidden="false" customHeight="false" outlineLevel="0" collapsed="false">
      <c r="F443" s="8" t="str">
        <f aca="false">IF($C443="","",IFERROR(INDEX({"1x1-pp";"2x2a-pp";"2x2b-pp";"3x2-pp"},MATCH($C443,{787;1092;1172;1291},0)),""))</f>
        <v/>
      </c>
    </row>
    <row r="444" customFormat="false" ht="15" hidden="false" customHeight="false" outlineLevel="0" collapsed="false">
      <c r="F444" s="8" t="str">
        <f aca="false">IF($C444="","",IFERROR(INDEX({"1x1-pp";"2x2a-pp";"2x2b-pp";"3x2-pp"},MATCH($C444,{787;1092;1172;1291},0)),""))</f>
        <v/>
      </c>
    </row>
    <row r="445" customFormat="false" ht="15" hidden="false" customHeight="false" outlineLevel="0" collapsed="false">
      <c r="F445" s="8" t="str">
        <f aca="false">IF($C445="","",IFERROR(INDEX({"1x1-pp";"2x2a-pp";"2x2b-pp";"3x2-pp"},MATCH($C445,{787;1092;1172;1291},0)),""))</f>
        <v/>
      </c>
    </row>
    <row r="446" customFormat="false" ht="15" hidden="false" customHeight="false" outlineLevel="0" collapsed="false">
      <c r="F446" s="8" t="str">
        <f aca="false">IF($C446="","",IFERROR(INDEX({"1x1-pp";"2x2a-pp";"2x2b-pp";"3x2-pp"},MATCH($C446,{787;1092;1172;1291},0)),""))</f>
        <v/>
      </c>
    </row>
    <row r="447" customFormat="false" ht="15" hidden="false" customHeight="false" outlineLevel="0" collapsed="false">
      <c r="F447" s="8" t="str">
        <f aca="false">IF($C447="","",IFERROR(INDEX({"1x1-pp";"2x2a-pp";"2x2b-pp";"3x2-pp"},MATCH($C447,{787;1092;1172;1291},0)),""))</f>
        <v/>
      </c>
    </row>
    <row r="448" customFormat="false" ht="15" hidden="false" customHeight="false" outlineLevel="0" collapsed="false">
      <c r="F448" s="8" t="str">
        <f aca="false">IF($C448="","",IFERROR(INDEX({"1x1-pp";"2x2a-pp";"2x2b-pp";"3x2-pp"},MATCH($C448,{787;1092;1172;1291},0)),""))</f>
        <v/>
      </c>
    </row>
    <row r="449" customFormat="false" ht="15" hidden="false" customHeight="false" outlineLevel="0" collapsed="false">
      <c r="F449" s="8" t="str">
        <f aca="false">IF($C449="","",IFERROR(INDEX({"1x1-pp";"2x2a-pp";"2x2b-pp";"3x2-pp"},MATCH($C449,{787;1092;1172;1291},0)),""))</f>
        <v/>
      </c>
    </row>
    <row r="450" customFormat="false" ht="15" hidden="false" customHeight="false" outlineLevel="0" collapsed="false">
      <c r="F450" s="8" t="str">
        <f aca="false">IF($C450="","",IFERROR(INDEX({"1x1-pp";"2x2a-pp";"2x2b-pp";"3x2-pp"},MATCH($C450,{787;1092;1172;1291},0)),""))</f>
        <v/>
      </c>
    </row>
    <row r="451" customFormat="false" ht="15" hidden="false" customHeight="false" outlineLevel="0" collapsed="false">
      <c r="F451" s="8" t="str">
        <f aca="false">IF($C451="","",IFERROR(INDEX({"1x1-pp";"2x2a-pp";"2x2b-pp";"3x2-pp"},MATCH($C451,{787;1092;1172;1291},0)),""))</f>
        <v/>
      </c>
    </row>
    <row r="452" customFormat="false" ht="15" hidden="false" customHeight="false" outlineLevel="0" collapsed="false">
      <c r="F452" s="8" t="str">
        <f aca="false">IF($C452="","",IFERROR(INDEX({"1x1-pp";"2x2a-pp";"2x2b-pp";"3x2-pp"},MATCH($C452,{787;1092;1172;1291},0)),""))</f>
        <v/>
      </c>
    </row>
    <row r="453" customFormat="false" ht="15" hidden="false" customHeight="false" outlineLevel="0" collapsed="false">
      <c r="F453" s="8" t="str">
        <f aca="false">IF($C453="","",IFERROR(INDEX({"1x1-pp";"2x2a-pp";"2x2b-pp";"3x2-pp"},MATCH($C453,{787;1092;1172;1291},0)),""))</f>
        <v/>
      </c>
    </row>
    <row r="454" customFormat="false" ht="15" hidden="false" customHeight="false" outlineLevel="0" collapsed="false">
      <c r="F454" s="8" t="str">
        <f aca="false">IF($C454="","",IFERROR(INDEX({"1x1-pp";"2x2a-pp";"2x2b-pp";"3x2-pp"},MATCH($C454,{787;1092;1172;1291},0)),""))</f>
        <v/>
      </c>
    </row>
    <row r="455" customFormat="false" ht="15" hidden="false" customHeight="false" outlineLevel="0" collapsed="false">
      <c r="F455" s="8" t="str">
        <f aca="false">IF($C455="","",IFERROR(INDEX({"1x1-pp";"2x2a-pp";"2x2b-pp";"3x2-pp"},MATCH($C455,{787;1092;1172;1291},0)),""))</f>
        <v/>
      </c>
    </row>
    <row r="456" customFormat="false" ht="15" hidden="false" customHeight="false" outlineLevel="0" collapsed="false">
      <c r="F456" s="8" t="str">
        <f aca="false">IF($C456="","",IFERROR(INDEX({"1x1-pp";"2x2a-pp";"2x2b-pp";"3x2-pp"},MATCH($C456,{787;1092;1172;1291},0)),""))</f>
        <v/>
      </c>
    </row>
    <row r="457" customFormat="false" ht="15" hidden="false" customHeight="false" outlineLevel="0" collapsed="false">
      <c r="F457" s="8" t="str">
        <f aca="false">IF($C457="","",IFERROR(INDEX({"1x1-pp";"2x2a-pp";"2x2b-pp";"3x2-pp"},MATCH($C457,{787;1092;1172;1291},0)),""))</f>
        <v/>
      </c>
    </row>
    <row r="458" customFormat="false" ht="15" hidden="false" customHeight="false" outlineLevel="0" collapsed="false">
      <c r="F458" s="8" t="str">
        <f aca="false">IF($C458="","",IFERROR(INDEX({"1x1-pp";"2x2a-pp";"2x2b-pp";"3x2-pp"},MATCH($C458,{787;1092;1172;1291},0)),""))</f>
        <v/>
      </c>
    </row>
    <row r="459" customFormat="false" ht="15" hidden="false" customHeight="false" outlineLevel="0" collapsed="false">
      <c r="F459" s="8" t="str">
        <f aca="false">IF($C459="","",IFERROR(INDEX({"1x1-pp";"2x2a-pp";"2x2b-pp";"3x2-pp"},MATCH($C459,{787;1092;1172;1291},0)),""))</f>
        <v/>
      </c>
    </row>
    <row r="460" customFormat="false" ht="15" hidden="false" customHeight="false" outlineLevel="0" collapsed="false">
      <c r="F460" s="8" t="str">
        <f aca="false">IF($C460="","",IFERROR(INDEX({"1x1-pp";"2x2a-pp";"2x2b-pp";"3x2-pp"},MATCH($C460,{787;1092;1172;1291},0)),""))</f>
        <v/>
      </c>
    </row>
    <row r="461" customFormat="false" ht="15" hidden="false" customHeight="false" outlineLevel="0" collapsed="false">
      <c r="F461" s="8" t="str">
        <f aca="false">IF($C461="","",IFERROR(INDEX({"1x1-pp";"2x2a-pp";"2x2b-pp";"3x2-pp"},MATCH($C461,{787;1092;1172;1291},0)),""))</f>
        <v/>
      </c>
    </row>
    <row r="462" customFormat="false" ht="15" hidden="false" customHeight="false" outlineLevel="0" collapsed="false">
      <c r="F462" s="8" t="str">
        <f aca="false">IF($C462="","",IFERROR(INDEX({"1x1-pp";"2x2a-pp";"2x2b-pp";"3x2-pp"},MATCH($C462,{787;1092;1172;1291},0)),""))</f>
        <v/>
      </c>
    </row>
    <row r="463" customFormat="false" ht="15" hidden="false" customHeight="false" outlineLevel="0" collapsed="false">
      <c r="F463" s="8" t="str">
        <f aca="false">IF($C463="","",IFERROR(INDEX({"1x1-pp";"2x2a-pp";"2x2b-pp";"3x2-pp"},MATCH($C463,{787;1092;1172;1291},0)),""))</f>
        <v/>
      </c>
    </row>
    <row r="464" customFormat="false" ht="15" hidden="false" customHeight="false" outlineLevel="0" collapsed="false">
      <c r="F464" s="8" t="str">
        <f aca="false">IF($C464="","",IFERROR(INDEX({"1x1-pp";"2x2a-pp";"2x2b-pp";"3x2-pp"},MATCH($C464,{787;1092;1172;1291},0)),""))</f>
        <v/>
      </c>
    </row>
    <row r="465" customFormat="false" ht="15" hidden="false" customHeight="false" outlineLevel="0" collapsed="false">
      <c r="F465" s="8" t="str">
        <f aca="false">IF($C465="","",IFERROR(INDEX({"1x1-pp";"2x2a-pp";"2x2b-pp";"3x2-pp"},MATCH($C465,{787;1092;1172;1291},0)),""))</f>
        <v/>
      </c>
    </row>
    <row r="466" customFormat="false" ht="15" hidden="false" customHeight="false" outlineLevel="0" collapsed="false">
      <c r="F466" s="8" t="str">
        <f aca="false">IF($C466="","",IFERROR(INDEX({"1x1-pp";"2x2a-pp";"2x2b-pp";"3x2-pp"},MATCH($C466,{787;1092;1172;1291},0)),""))</f>
        <v/>
      </c>
    </row>
    <row r="467" customFormat="false" ht="15" hidden="false" customHeight="false" outlineLevel="0" collapsed="false">
      <c r="F467" s="8" t="str">
        <f aca="false">IF($C467="","",IFERROR(INDEX({"1x1-pp";"2x2a-pp";"2x2b-pp";"3x2-pp"},MATCH($C467,{787;1092;1172;1291},0)),""))</f>
        <v/>
      </c>
    </row>
    <row r="468" customFormat="false" ht="15" hidden="false" customHeight="false" outlineLevel="0" collapsed="false">
      <c r="F468" s="8" t="str">
        <f aca="false">IF($C468="","",IFERROR(INDEX({"1x1-pp";"2x2a-pp";"2x2b-pp";"3x2-pp"},MATCH($C468,{787;1092;1172;1291},0)),""))</f>
        <v/>
      </c>
    </row>
    <row r="469" customFormat="false" ht="15" hidden="false" customHeight="false" outlineLevel="0" collapsed="false">
      <c r="F469" s="8" t="str">
        <f aca="false">IF($C469="","",IFERROR(INDEX({"1x1-pp";"2x2a-pp";"2x2b-pp";"3x2-pp"},MATCH($C469,{787;1092;1172;1291},0)),""))</f>
        <v/>
      </c>
    </row>
    <row r="470" customFormat="false" ht="15" hidden="false" customHeight="false" outlineLevel="0" collapsed="false">
      <c r="F470" s="8" t="str">
        <f aca="false">IF($C470="","",IFERROR(INDEX({"1x1-pp";"2x2a-pp";"2x2b-pp";"3x2-pp"},MATCH($C470,{787;1092;1172;1291},0)),""))</f>
        <v/>
      </c>
    </row>
    <row r="471" customFormat="false" ht="15" hidden="false" customHeight="false" outlineLevel="0" collapsed="false">
      <c r="F471" s="8" t="str">
        <f aca="false">IF($C471="","",IFERROR(INDEX({"1x1-pp";"2x2a-pp";"2x2b-pp";"3x2-pp"},MATCH($C471,{787;1092;1172;1291},0)),""))</f>
        <v/>
      </c>
    </row>
    <row r="472" customFormat="false" ht="15" hidden="false" customHeight="false" outlineLevel="0" collapsed="false">
      <c r="F472" s="8" t="str">
        <f aca="false">IF($C472="","",IFERROR(INDEX({"1x1-pp";"2x2a-pp";"2x2b-pp";"3x2-pp"},MATCH($C472,{787;1092;1172;1291},0)),""))</f>
        <v/>
      </c>
    </row>
    <row r="473" customFormat="false" ht="15" hidden="false" customHeight="false" outlineLevel="0" collapsed="false">
      <c r="F473" s="8" t="str">
        <f aca="false">IF($C473="","",IFERROR(INDEX({"1x1-pp";"2x2a-pp";"2x2b-pp";"3x2-pp"},MATCH($C473,{787;1092;1172;1291},0)),""))</f>
        <v/>
      </c>
    </row>
    <row r="474" customFormat="false" ht="15" hidden="false" customHeight="false" outlineLevel="0" collapsed="false">
      <c r="F474" s="8" t="str">
        <f aca="false">IF($C474="","",IFERROR(INDEX({"1x1-pp";"2x2a-pp";"2x2b-pp";"3x2-pp"},MATCH($C474,{787;1092;1172;1291},0)),""))</f>
        <v/>
      </c>
    </row>
    <row r="475" customFormat="false" ht="15" hidden="false" customHeight="false" outlineLevel="0" collapsed="false">
      <c r="F475" s="8" t="str">
        <f aca="false">IF($C475="","",IFERROR(INDEX({"1x1-pp";"2x2a-pp";"2x2b-pp";"3x2-pp"},MATCH($C475,{787;1092;1172;1291},0)),""))</f>
        <v/>
      </c>
    </row>
    <row r="476" customFormat="false" ht="15" hidden="false" customHeight="false" outlineLevel="0" collapsed="false">
      <c r="F476" s="8" t="str">
        <f aca="false">IF($C476="","",IFERROR(INDEX({"1x1-pp";"2x2a-pp";"2x2b-pp";"3x2-pp"},MATCH($C476,{787;1092;1172;1291},0)),""))</f>
        <v/>
      </c>
    </row>
    <row r="477" customFormat="false" ht="15" hidden="false" customHeight="false" outlineLevel="0" collapsed="false">
      <c r="F477" s="8" t="str">
        <f aca="false">IF($C477="","",IFERROR(INDEX({"1x1-pp";"2x2a-pp";"2x2b-pp";"3x2-pp"},MATCH($C477,{787;1092;1172;1291},0)),""))</f>
        <v/>
      </c>
    </row>
    <row r="478" customFormat="false" ht="15" hidden="false" customHeight="false" outlineLevel="0" collapsed="false">
      <c r="F478" s="8" t="str">
        <f aca="false">IF($C478="","",IFERROR(INDEX({"1x1-pp";"2x2a-pp";"2x2b-pp";"3x2-pp"},MATCH($C478,{787;1092;1172;1291},0)),""))</f>
        <v/>
      </c>
    </row>
    <row r="479" customFormat="false" ht="15" hidden="false" customHeight="false" outlineLevel="0" collapsed="false">
      <c r="F479" s="8" t="str">
        <f aca="false">IF($C479="","",IFERROR(INDEX({"1x1-pp";"2x2a-pp";"2x2b-pp";"3x2-pp"},MATCH($C479,{787;1092;1172;1291},0)),""))</f>
        <v/>
      </c>
    </row>
    <row r="480" customFormat="false" ht="15" hidden="false" customHeight="false" outlineLevel="0" collapsed="false">
      <c r="F480" s="8" t="str">
        <f aca="false">IF($C480="","",IFERROR(INDEX({"1x1-pp";"2x2a-pp";"2x2b-pp";"3x2-pp"},MATCH($C480,{787;1092;1172;1291},0)),""))</f>
        <v/>
      </c>
    </row>
    <row r="481" customFormat="false" ht="15" hidden="false" customHeight="false" outlineLevel="0" collapsed="false">
      <c r="F481" s="8" t="str">
        <f aca="false">IF($C481="","",IFERROR(INDEX({"1x1-pp";"2x2a-pp";"2x2b-pp";"3x2-pp"},MATCH($C481,{787;1092;1172;1291},0)),""))</f>
        <v/>
      </c>
    </row>
    <row r="482" customFormat="false" ht="15" hidden="false" customHeight="false" outlineLevel="0" collapsed="false">
      <c r="F482" s="8" t="str">
        <f aca="false">IF($C482="","",IFERROR(INDEX({"1x1-pp";"2x2a-pp";"2x2b-pp";"3x2-pp"},MATCH($C482,{787;1092;1172;1291},0)),""))</f>
        <v/>
      </c>
    </row>
    <row r="483" customFormat="false" ht="15" hidden="false" customHeight="false" outlineLevel="0" collapsed="false">
      <c r="F483" s="8" t="str">
        <f aca="false">IF($C483="","",IFERROR(INDEX({"1x1-pp";"2x2a-pp";"2x2b-pp";"3x2-pp"},MATCH($C483,{787;1092;1172;1291},0)),""))</f>
        <v/>
      </c>
    </row>
    <row r="484" customFormat="false" ht="15" hidden="false" customHeight="false" outlineLevel="0" collapsed="false">
      <c r="F484" s="8" t="str">
        <f aca="false">IF($C484="","",IFERROR(INDEX({"1x1-pp";"2x2a-pp";"2x2b-pp";"3x2-pp"},MATCH($C484,{787;1092;1172;1291},0)),""))</f>
        <v/>
      </c>
    </row>
    <row r="485" customFormat="false" ht="15" hidden="false" customHeight="false" outlineLevel="0" collapsed="false">
      <c r="F485" s="8" t="str">
        <f aca="false">IF($C485="","",IFERROR(INDEX({"1x1-pp";"2x2a-pp";"2x2b-pp";"3x2-pp"},MATCH($C485,{787;1092;1172;1291},0)),""))</f>
        <v/>
      </c>
    </row>
    <row r="486" customFormat="false" ht="15" hidden="false" customHeight="false" outlineLevel="0" collapsed="false">
      <c r="F486" s="8" t="str">
        <f aca="false">IF($C486="","",IFERROR(INDEX({"1x1-pp";"2x2a-pp";"2x2b-pp";"3x2-pp"},MATCH($C486,{787;1092;1172;1291},0)),""))</f>
        <v/>
      </c>
    </row>
    <row r="487" customFormat="false" ht="15" hidden="false" customHeight="false" outlineLevel="0" collapsed="false">
      <c r="F487" s="8" t="str">
        <f aca="false">IF($C487="","",IFERROR(INDEX({"1x1-pp";"2x2a-pp";"2x2b-pp";"3x2-pp"},MATCH($C487,{787;1092;1172;1291},0)),""))</f>
        <v/>
      </c>
    </row>
    <row r="488" customFormat="false" ht="15" hidden="false" customHeight="false" outlineLevel="0" collapsed="false">
      <c r="F488" s="8" t="str">
        <f aca="false">IF($C488="","",IFERROR(INDEX({"1x1-pp";"2x2a-pp";"2x2b-pp";"3x2-pp"},MATCH($C488,{787;1092;1172;1291},0)),""))</f>
        <v/>
      </c>
    </row>
    <row r="489" customFormat="false" ht="15" hidden="false" customHeight="false" outlineLevel="0" collapsed="false">
      <c r="F489" s="8" t="str">
        <f aca="false">IF($C489="","",IFERROR(INDEX({"1x1-pp";"2x2a-pp";"2x2b-pp";"3x2-pp"},MATCH($C489,{787;1092;1172;1291},0)),""))</f>
        <v/>
      </c>
    </row>
    <row r="490" customFormat="false" ht="15" hidden="false" customHeight="false" outlineLevel="0" collapsed="false">
      <c r="F490" s="8" t="str">
        <f aca="false">IF($C490="","",IFERROR(INDEX({"1x1-pp";"2x2a-pp";"2x2b-pp";"3x2-pp"},MATCH($C490,{787;1092;1172;1291},0)),""))</f>
        <v/>
      </c>
    </row>
    <row r="491" customFormat="false" ht="15" hidden="false" customHeight="false" outlineLevel="0" collapsed="false">
      <c r="F491" s="8" t="str">
        <f aca="false">IF($C491="","",IFERROR(INDEX({"1x1-pp";"2x2a-pp";"2x2b-pp";"3x2-pp"},MATCH($C491,{787;1092;1172;1291},0)),""))</f>
        <v/>
      </c>
    </row>
    <row r="492" customFormat="false" ht="15" hidden="false" customHeight="false" outlineLevel="0" collapsed="false">
      <c r="F492" s="8" t="str">
        <f aca="false">IF($C492="","",IFERROR(INDEX({"1x1-pp";"2x2a-pp";"2x2b-pp";"3x2-pp"},MATCH($C492,{787;1092;1172;1291},0)),""))</f>
        <v/>
      </c>
    </row>
    <row r="493" customFormat="false" ht="15" hidden="false" customHeight="false" outlineLevel="0" collapsed="false">
      <c r="F493" s="8" t="str">
        <f aca="false">IF($C493="","",IFERROR(INDEX({"1x1-pp";"2x2a-pp";"2x2b-pp";"3x2-pp"},MATCH($C493,{787;1092;1172;1291},0)),""))</f>
        <v/>
      </c>
    </row>
    <row r="494" customFormat="false" ht="15" hidden="false" customHeight="false" outlineLevel="0" collapsed="false">
      <c r="F494" s="8" t="str">
        <f aca="false">IF($C494="","",IFERROR(INDEX({"1x1-pp";"2x2a-pp";"2x2b-pp";"3x2-pp"},MATCH($C494,{787;1092;1172;1291},0)),""))</f>
        <v/>
      </c>
    </row>
    <row r="495" customFormat="false" ht="15" hidden="false" customHeight="false" outlineLevel="0" collapsed="false">
      <c r="F495" s="8" t="str">
        <f aca="false">IF($C495="","",IFERROR(INDEX({"1x1-pp";"2x2a-pp";"2x2b-pp";"3x2-pp"},MATCH($C495,{787;1092;1172;1291},0)),""))</f>
        <v/>
      </c>
    </row>
    <row r="496" customFormat="false" ht="15" hidden="false" customHeight="false" outlineLevel="0" collapsed="false">
      <c r="F496" s="8" t="str">
        <f aca="false">IF($C496="","",IFERROR(INDEX({"1x1-pp";"2x2a-pp";"2x2b-pp";"3x2-pp"},MATCH($C496,{787;1092;1172;1291},0)),""))</f>
        <v/>
      </c>
    </row>
    <row r="497" customFormat="false" ht="15" hidden="false" customHeight="false" outlineLevel="0" collapsed="false">
      <c r="F497" s="8" t="str">
        <f aca="false">IF($C497="","",IFERROR(INDEX({"1x1-pp";"2x2a-pp";"2x2b-pp";"3x2-pp"},MATCH($C497,{787;1092;1172;1291},0)),""))</f>
        <v/>
      </c>
    </row>
    <row r="498" customFormat="false" ht="15" hidden="false" customHeight="false" outlineLevel="0" collapsed="false">
      <c r="F498" s="8" t="str">
        <f aca="false">IF($C498="","",IFERROR(INDEX({"1x1-pp";"2x2a-pp";"2x2b-pp";"3x2-pp"},MATCH($C498,{787;1092;1172;1291},0)),""))</f>
        <v/>
      </c>
    </row>
    <row r="499" customFormat="false" ht="15" hidden="false" customHeight="false" outlineLevel="0" collapsed="false">
      <c r="F499" s="8" t="str">
        <f aca="false">IF($C499="","",IFERROR(INDEX({"1x1-pp";"2x2a-pp";"2x2b-pp";"3x2-pp"},MATCH($C499,{787;1092;1172;1291},0)),""))</f>
        <v/>
      </c>
    </row>
    <row r="500" customFormat="false" ht="15" hidden="false" customHeight="false" outlineLevel="0" collapsed="false">
      <c r="F500" s="8" t="str">
        <f aca="false">IF($C500="","",IFERROR(INDEX({"1x1-pp";"2x2a-pp";"2x2b-pp";"3x2-pp"},MATCH($C500,{787;1092;1172;1291},0)),""))</f>
        <v/>
      </c>
    </row>
    <row r="501" customFormat="false" ht="15" hidden="false" customHeight="false" outlineLevel="0" collapsed="false">
      <c r="F501" s="8" t="str">
        <f aca="false">IF($C501="","",IFERROR(INDEX({"1x1-pp";"2x2a-pp";"2x2b-pp";"3x2-pp"},MATCH($C501,{787;1092;1172;1291},0)),""))</f>
        <v/>
      </c>
    </row>
    <row r="502" customFormat="false" ht="15" hidden="false" customHeight="false" outlineLevel="0" collapsed="false">
      <c r="F502" s="8" t="str">
        <f aca="false">IF($C502="","",IFERROR(INDEX({"1x1-pp";"2x2a-pp";"2x2b-pp";"3x2-pp"},MATCH($C502,{787;1092;1172;1291},0)),""))</f>
        <v/>
      </c>
    </row>
    <row r="503" customFormat="false" ht="15" hidden="false" customHeight="false" outlineLevel="0" collapsed="false">
      <c r="F503" s="8" t="str">
        <f aca="false">IF($C503="","",IFERROR(INDEX({"1x1-pp";"2x2a-pp";"2x2b-pp";"3x2-pp"},MATCH($C503,{787;1092;1172;1291},0)),""))</f>
        <v/>
      </c>
    </row>
    <row r="504" customFormat="false" ht="15" hidden="false" customHeight="false" outlineLevel="0" collapsed="false">
      <c r="F504" s="8" t="str">
        <f aca="false">IF($C504="","",IFERROR(INDEX({"1x1-pp";"2x2a-pp";"2x2b-pp";"3x2-pp"},MATCH($C504,{787;1092;1172;1291},0)),""))</f>
        <v/>
      </c>
    </row>
    <row r="505" customFormat="false" ht="15" hidden="false" customHeight="false" outlineLevel="0" collapsed="false">
      <c r="F505" s="8" t="str">
        <f aca="false">IF($C505="","",IFERROR(INDEX({"1x1-pp";"2x2a-pp";"2x2b-pp";"3x2-pp"},MATCH($C505,{787;1092;1172;1291},0)),""))</f>
        <v/>
      </c>
    </row>
    <row r="506" customFormat="false" ht="15" hidden="false" customHeight="false" outlineLevel="0" collapsed="false">
      <c r="F506" s="8" t="str">
        <f aca="false">IF($C506="","",IFERROR(INDEX({"1x1-pp";"2x2a-pp";"2x2b-pp";"3x2-pp"},MATCH($C506,{787;1092;1172;1291},0)),""))</f>
        <v/>
      </c>
    </row>
    <row r="507" customFormat="false" ht="15" hidden="false" customHeight="false" outlineLevel="0" collapsed="false">
      <c r="F507" s="8" t="str">
        <f aca="false">IF($C507="","",IFERROR(INDEX({"1x1-pp";"2x2a-pp";"2x2b-pp";"3x2-pp"},MATCH($C507,{787;1092;1172;1291},0)),""))</f>
        <v/>
      </c>
    </row>
    <row r="508" customFormat="false" ht="15" hidden="false" customHeight="false" outlineLevel="0" collapsed="false">
      <c r="F508" s="8" t="str">
        <f aca="false">IF($C508="","",IFERROR(INDEX({"1x1-pp";"2x2a-pp";"2x2b-pp";"3x2-pp"},MATCH($C508,{787;1092;1172;1291},0)),""))</f>
        <v/>
      </c>
    </row>
    <row r="509" customFormat="false" ht="15" hidden="false" customHeight="false" outlineLevel="0" collapsed="false">
      <c r="F509" s="8" t="str">
        <f aca="false">IF($C509="","",IFERROR(INDEX({"1x1-pp";"2x2a-pp";"2x2b-pp";"3x2-pp"},MATCH($C509,{787;1092;1172;1291},0)),""))</f>
        <v/>
      </c>
    </row>
    <row r="510" customFormat="false" ht="15" hidden="false" customHeight="false" outlineLevel="0" collapsed="false">
      <c r="F510" s="8" t="str">
        <f aca="false">IF($C510="","",IFERROR(INDEX({"1x1-pp";"2x2a-pp";"2x2b-pp";"3x2-pp"},MATCH($C510,{787;1092;1172;1291},0)),""))</f>
        <v/>
      </c>
    </row>
    <row r="511" customFormat="false" ht="15" hidden="false" customHeight="false" outlineLevel="0" collapsed="false">
      <c r="F511" s="8" t="str">
        <f aca="false">IF($C511="","",IFERROR(INDEX({"1x1-pp";"2x2a-pp";"2x2b-pp";"3x2-pp"},MATCH($C511,{787;1092;1172;1291},0)),""))</f>
        <v/>
      </c>
    </row>
    <row r="512" customFormat="false" ht="15" hidden="false" customHeight="false" outlineLevel="0" collapsed="false">
      <c r="F512" s="8" t="str">
        <f aca="false">IF($C512="","",IFERROR(INDEX({"1x1-pp";"2x2a-pp";"2x2b-pp";"3x2-pp"},MATCH($C512,{787;1092;1172;1291},0)),""))</f>
        <v/>
      </c>
    </row>
    <row r="513" customFormat="false" ht="15" hidden="false" customHeight="false" outlineLevel="0" collapsed="false">
      <c r="F513" s="8" t="str">
        <f aca="false">IF($C513="","",IFERROR(INDEX({"1x1-pp";"2x2a-pp";"2x2b-pp";"3x2-pp"},MATCH($C513,{787;1092;1172;1291},0)),""))</f>
        <v/>
      </c>
    </row>
    <row r="514" customFormat="false" ht="15" hidden="false" customHeight="false" outlineLevel="0" collapsed="false">
      <c r="F514" s="8" t="str">
        <f aca="false">IF($C514="","",IFERROR(INDEX({"1x1-pp";"2x2a-pp";"2x2b-pp";"3x2-pp"},MATCH($C514,{787;1092;1172;1291},0)),""))</f>
        <v/>
      </c>
    </row>
    <row r="515" customFormat="false" ht="15" hidden="false" customHeight="false" outlineLevel="0" collapsed="false">
      <c r="F515" s="8" t="str">
        <f aca="false">IF($C515="","",IFERROR(INDEX({"1x1-pp";"2x2a-pp";"2x2b-pp";"3x2-pp"},MATCH($C515,{787;1092;1172;1291},0)),""))</f>
        <v/>
      </c>
    </row>
    <row r="516" customFormat="false" ht="15" hidden="false" customHeight="false" outlineLevel="0" collapsed="false">
      <c r="F516" s="8" t="str">
        <f aca="false">IF($C516="","",IFERROR(INDEX({"1x1-pp";"2x2a-pp";"2x2b-pp";"3x2-pp"},MATCH($C516,{787;1092;1172;1291},0)),""))</f>
        <v/>
      </c>
    </row>
    <row r="517" customFormat="false" ht="15" hidden="false" customHeight="false" outlineLevel="0" collapsed="false">
      <c r="F517" s="8" t="str">
        <f aca="false">IF($C517="","",IFERROR(INDEX({"1x1-pp";"2x2a-pp";"2x2b-pp";"3x2-pp"},MATCH($C517,{787;1092;1172;1291},0)),""))</f>
        <v/>
      </c>
    </row>
    <row r="518" customFormat="false" ht="15" hidden="false" customHeight="false" outlineLevel="0" collapsed="false">
      <c r="F518" s="8" t="str">
        <f aca="false">IF($C518="","",IFERROR(INDEX({"1x1-pp";"2x2a-pp";"2x2b-pp";"3x2-pp"},MATCH($C518,{787;1092;1172;1291},0)),""))</f>
        <v/>
      </c>
    </row>
    <row r="519" customFormat="false" ht="15" hidden="false" customHeight="false" outlineLevel="0" collapsed="false">
      <c r="F519" s="8" t="str">
        <f aca="false">IF($C519="","",IFERROR(INDEX({"1x1-pp";"2x2a-pp";"2x2b-pp";"3x2-pp"},MATCH($C519,{787;1092;1172;1291},0)),""))</f>
        <v/>
      </c>
    </row>
    <row r="520" customFormat="false" ht="15" hidden="false" customHeight="false" outlineLevel="0" collapsed="false">
      <c r="F520" s="8" t="str">
        <f aca="false">IF($C520="","",IFERROR(INDEX({"1x1-pp";"2x2a-pp";"2x2b-pp";"3x2-pp"},MATCH($C520,{787;1092;1172;1291},0)),""))</f>
        <v/>
      </c>
    </row>
    <row r="521" customFormat="false" ht="15" hidden="false" customHeight="false" outlineLevel="0" collapsed="false">
      <c r="F521" s="8" t="str">
        <f aca="false">IF($C521="","",IFERROR(INDEX({"1x1-pp";"2x2a-pp";"2x2b-pp";"3x2-pp"},MATCH($C521,{787;1092;1172;1291},0)),""))</f>
        <v/>
      </c>
    </row>
    <row r="522" customFormat="false" ht="15" hidden="false" customHeight="false" outlineLevel="0" collapsed="false">
      <c r="F522" s="8" t="str">
        <f aca="false">IF($C522="","",IFERROR(INDEX({"1x1-pp";"2x2a-pp";"2x2b-pp";"3x2-pp"},MATCH($C522,{787;1092;1172;1291},0)),""))</f>
        <v/>
      </c>
    </row>
    <row r="523" customFormat="false" ht="15" hidden="false" customHeight="false" outlineLevel="0" collapsed="false">
      <c r="F523" s="8" t="str">
        <f aca="false">IF($C523="","",IFERROR(INDEX({"1x1-pp";"2x2a-pp";"2x2b-pp";"3x2-pp"},MATCH($C523,{787;1092;1172;1291},0)),""))</f>
        <v/>
      </c>
    </row>
    <row r="524" customFormat="false" ht="15" hidden="false" customHeight="false" outlineLevel="0" collapsed="false">
      <c r="F524" s="8" t="str">
        <f aca="false">IF($C524="","",IFERROR(INDEX({"1x1-pp";"2x2a-pp";"2x2b-pp";"3x2-pp"},MATCH($C524,{787;1092;1172;1291},0)),""))</f>
        <v/>
      </c>
    </row>
    <row r="525" customFormat="false" ht="15" hidden="false" customHeight="false" outlineLevel="0" collapsed="false">
      <c r="F525" s="8" t="str">
        <f aca="false">IF($C525="","",IFERROR(INDEX({"1x1-pp";"2x2a-pp";"2x2b-pp";"3x2-pp"},MATCH($C525,{787;1092;1172;1291},0)),""))</f>
        <v/>
      </c>
    </row>
    <row r="526" customFormat="false" ht="15" hidden="false" customHeight="false" outlineLevel="0" collapsed="false">
      <c r="F526" s="8" t="str">
        <f aca="false">IF($C526="","",IFERROR(INDEX({"1x1-pp";"2x2a-pp";"2x2b-pp";"3x2-pp"},MATCH($C526,{787;1092;1172;1291},0)),""))</f>
        <v/>
      </c>
    </row>
    <row r="527" customFormat="false" ht="15" hidden="false" customHeight="false" outlineLevel="0" collapsed="false">
      <c r="F527" s="8" t="str">
        <f aca="false">IF($C527="","",IFERROR(INDEX({"1x1-pp";"2x2a-pp";"2x2b-pp";"3x2-pp"},MATCH($C527,{787;1092;1172;1291},0)),""))</f>
        <v/>
      </c>
    </row>
    <row r="528" customFormat="false" ht="15" hidden="false" customHeight="false" outlineLevel="0" collapsed="false">
      <c r="F528" s="8" t="str">
        <f aca="false">IF($C528="","",IFERROR(INDEX({"1x1-pp";"2x2a-pp";"2x2b-pp";"3x2-pp"},MATCH($C528,{787;1092;1172;1291},0)),""))</f>
        <v/>
      </c>
    </row>
    <row r="529" customFormat="false" ht="15" hidden="false" customHeight="false" outlineLevel="0" collapsed="false">
      <c r="F529" s="8" t="str">
        <f aca="false">IF($C529="","",IFERROR(INDEX({"1x1-pp";"2x2a-pp";"2x2b-pp";"3x2-pp"},MATCH($C529,{787;1092;1172;1291},0)),""))</f>
        <v/>
      </c>
    </row>
    <row r="530" customFormat="false" ht="15" hidden="false" customHeight="false" outlineLevel="0" collapsed="false">
      <c r="F530" s="8" t="str">
        <f aca="false">IF($C530="","",IFERROR(INDEX({"1x1-pp";"2x2a-pp";"2x2b-pp";"3x2-pp"},MATCH($C530,{787;1092;1172;1291},0)),""))</f>
        <v/>
      </c>
    </row>
    <row r="531" customFormat="false" ht="15" hidden="false" customHeight="false" outlineLevel="0" collapsed="false">
      <c r="F531" s="8" t="str">
        <f aca="false">IF($C531="","",IFERROR(INDEX({"1x1-pp";"2x2a-pp";"2x2b-pp";"3x2-pp"},MATCH($C531,{787;1092;1172;1291},0)),""))</f>
        <v/>
      </c>
    </row>
    <row r="532" customFormat="false" ht="15" hidden="false" customHeight="false" outlineLevel="0" collapsed="false">
      <c r="F532" s="8" t="str">
        <f aca="false">IF($C532="","",IFERROR(INDEX({"1x1-pp";"2x2a-pp";"2x2b-pp";"3x2-pp"},MATCH($C532,{787;1092;1172;1291},0)),""))</f>
        <v/>
      </c>
    </row>
    <row r="533" customFormat="false" ht="15" hidden="false" customHeight="false" outlineLevel="0" collapsed="false">
      <c r="F533" s="8" t="str">
        <f aca="false">IF($C533="","",IFERROR(INDEX({"1x1-pp";"2x2a-pp";"2x2b-pp";"3x2-pp"},MATCH($C533,{787;1092;1172;1291},0)),""))</f>
        <v/>
      </c>
    </row>
    <row r="534" customFormat="false" ht="15" hidden="false" customHeight="false" outlineLevel="0" collapsed="false">
      <c r="F534" s="8" t="str">
        <f aca="false">IF($C534="","",IFERROR(INDEX({"1x1-pp";"2x2a-pp";"2x2b-pp";"3x2-pp"},MATCH($C534,{787;1092;1172;1291},0)),""))</f>
        <v/>
      </c>
    </row>
    <row r="535" customFormat="false" ht="15" hidden="false" customHeight="false" outlineLevel="0" collapsed="false">
      <c r="F535" s="8" t="str">
        <f aca="false">IF($C535="","",IFERROR(INDEX({"1x1-pp";"2x2a-pp";"2x2b-pp";"3x2-pp"},MATCH($C535,{787;1092;1172;1291},0)),""))</f>
        <v/>
      </c>
    </row>
    <row r="536" customFormat="false" ht="15" hidden="false" customHeight="false" outlineLevel="0" collapsed="false">
      <c r="F536" s="8" t="str">
        <f aca="false">IF($C536="","",IFERROR(INDEX({"1x1-pp";"2x2a-pp";"2x2b-pp";"3x2-pp"},MATCH($C536,{787;1092;1172;1291},0)),""))</f>
        <v/>
      </c>
    </row>
    <row r="537" customFormat="false" ht="15" hidden="false" customHeight="false" outlineLevel="0" collapsed="false">
      <c r="F537" s="8" t="str">
        <f aca="false">IF($C537="","",IFERROR(INDEX({"1x1-pp";"2x2a-pp";"2x2b-pp";"3x2-pp"},MATCH($C537,{787;1092;1172;1291},0)),""))</f>
        <v/>
      </c>
    </row>
    <row r="538" customFormat="false" ht="15" hidden="false" customHeight="false" outlineLevel="0" collapsed="false">
      <c r="F538" s="8" t="str">
        <f aca="false">IF($C538="","",IFERROR(INDEX({"1x1-pp";"2x2a-pp";"2x2b-pp";"3x2-pp"},MATCH($C538,{787;1092;1172;1291},0)),""))</f>
        <v/>
      </c>
    </row>
    <row r="539" customFormat="false" ht="15" hidden="false" customHeight="false" outlineLevel="0" collapsed="false">
      <c r="F539" s="8" t="str">
        <f aca="false">IF($C539="","",IFERROR(INDEX({"1x1-pp";"2x2a-pp";"2x2b-pp";"3x2-pp"},MATCH($C539,{787;1092;1172;1291},0)),""))</f>
        <v/>
      </c>
    </row>
    <row r="540" customFormat="false" ht="15" hidden="false" customHeight="false" outlineLevel="0" collapsed="false">
      <c r="F540" s="8" t="str">
        <f aca="false">IF($C540="","",IFERROR(INDEX({"1x1-pp";"2x2a-pp";"2x2b-pp";"3x2-pp"},MATCH($C540,{787;1092;1172;1291},0)),""))</f>
        <v/>
      </c>
    </row>
    <row r="541" customFormat="false" ht="15" hidden="false" customHeight="false" outlineLevel="0" collapsed="false">
      <c r="F541" s="8" t="str">
        <f aca="false">IF($C541="","",IFERROR(INDEX({"1x1-pp";"2x2a-pp";"2x2b-pp";"3x2-pp"},MATCH($C541,{787;1092;1172;1291},0)),""))</f>
        <v/>
      </c>
    </row>
    <row r="542" customFormat="false" ht="15" hidden="false" customHeight="false" outlineLevel="0" collapsed="false">
      <c r="F542" s="8" t="str">
        <f aca="false">IF($C542="","",IFERROR(INDEX({"1x1-pp";"2x2a-pp";"2x2b-pp";"3x2-pp"},MATCH($C542,{787;1092;1172;1291},0)),""))</f>
        <v/>
      </c>
    </row>
    <row r="543" customFormat="false" ht="15" hidden="false" customHeight="false" outlineLevel="0" collapsed="false">
      <c r="F543" s="8" t="str">
        <f aca="false">IF($C543="","",IFERROR(INDEX({"1x1-pp";"2x2a-pp";"2x2b-pp";"3x2-pp"},MATCH($C543,{787;1092;1172;1291},0)),""))</f>
        <v/>
      </c>
    </row>
    <row r="544" customFormat="false" ht="15" hidden="false" customHeight="false" outlineLevel="0" collapsed="false">
      <c r="F544" s="8" t="str">
        <f aca="false">IF($C544="","",IFERROR(INDEX({"1x1-pp";"2x2a-pp";"2x2b-pp";"3x2-pp"},MATCH($C544,{787;1092;1172;1291},0)),""))</f>
        <v/>
      </c>
    </row>
    <row r="545" customFormat="false" ht="15" hidden="false" customHeight="false" outlineLevel="0" collapsed="false">
      <c r="F545" s="8" t="str">
        <f aca="false">IF($C545="","",IFERROR(INDEX({"1x1-pp";"2x2a-pp";"2x2b-pp";"3x2-pp"},MATCH($C545,{787;1092;1172;1291},0)),""))</f>
        <v/>
      </c>
    </row>
    <row r="546" customFormat="false" ht="15" hidden="false" customHeight="false" outlineLevel="0" collapsed="false">
      <c r="F546" s="8" t="str">
        <f aca="false">IF($C546="","",IFERROR(INDEX({"1x1-pp";"2x2a-pp";"2x2b-pp";"3x2-pp"},MATCH($C546,{787;1092;1172;1291},0)),""))</f>
        <v/>
      </c>
    </row>
    <row r="547" customFormat="false" ht="15" hidden="false" customHeight="false" outlineLevel="0" collapsed="false">
      <c r="F547" s="8" t="str">
        <f aca="false">IF($C547="","",IFERROR(INDEX({"1x1-pp";"2x2a-pp";"2x2b-pp";"3x2-pp"},MATCH($C547,{787;1092;1172;1291},0)),""))</f>
        <v/>
      </c>
    </row>
    <row r="548" customFormat="false" ht="15" hidden="false" customHeight="false" outlineLevel="0" collapsed="false">
      <c r="F548" s="8" t="str">
        <f aca="false">IF($C548="","",IFERROR(INDEX({"1x1-pp";"2x2a-pp";"2x2b-pp";"3x2-pp"},MATCH($C548,{787;1092;1172;1291},0)),""))</f>
        <v/>
      </c>
    </row>
    <row r="549" customFormat="false" ht="15" hidden="false" customHeight="false" outlineLevel="0" collapsed="false">
      <c r="F549" s="8" t="str">
        <f aca="false">IF($C549="","",IFERROR(INDEX({"1x1-pp";"2x2a-pp";"2x2b-pp";"3x2-pp"},MATCH($C549,{787;1092;1172;1291},0)),""))</f>
        <v/>
      </c>
    </row>
    <row r="550" customFormat="false" ht="15" hidden="false" customHeight="false" outlineLevel="0" collapsed="false">
      <c r="F550" s="8" t="str">
        <f aca="false">IF($C550="","",IFERROR(INDEX({"1x1-pp";"2x2a-pp";"2x2b-pp";"3x2-pp"},MATCH($C550,{787;1092;1172;1291},0)),""))</f>
        <v/>
      </c>
    </row>
    <row r="551" customFormat="false" ht="15" hidden="false" customHeight="false" outlineLevel="0" collapsed="false">
      <c r="F551" s="8" t="str">
        <f aca="false">IF($C551="","",IFERROR(INDEX({"1x1-pp";"2x2a-pp";"2x2b-pp";"3x2-pp"},MATCH($C551,{787;1092;1172;1291},0)),""))</f>
        <v/>
      </c>
    </row>
    <row r="552" customFormat="false" ht="15" hidden="false" customHeight="false" outlineLevel="0" collapsed="false">
      <c r="F552" s="8" t="str">
        <f aca="false">IF($C552="","",IFERROR(INDEX({"1x1-pp";"2x2a-pp";"2x2b-pp";"3x2-pp"},MATCH($C552,{787;1092;1172;1291},0)),""))</f>
        <v/>
      </c>
    </row>
    <row r="553" customFormat="false" ht="15" hidden="false" customHeight="false" outlineLevel="0" collapsed="false">
      <c r="F553" s="8" t="str">
        <f aca="false">IF($C553="","",IFERROR(INDEX({"1x1-pp";"2x2a-pp";"2x2b-pp";"3x2-pp"},MATCH($C553,{787;1092;1172;1291},0)),""))</f>
        <v/>
      </c>
    </row>
    <row r="554" customFormat="false" ht="15" hidden="false" customHeight="false" outlineLevel="0" collapsed="false">
      <c r="F554" s="8" t="str">
        <f aca="false">IF($C554="","",IFERROR(INDEX({"1x1-pp";"2x2a-pp";"2x2b-pp";"3x2-pp"},MATCH($C554,{787;1092;1172;1291},0)),""))</f>
        <v/>
      </c>
    </row>
    <row r="555" customFormat="false" ht="15" hidden="false" customHeight="false" outlineLevel="0" collapsed="false">
      <c r="F555" s="8" t="str">
        <f aca="false">IF($C555="","",IFERROR(INDEX({"1x1-pp";"2x2a-pp";"2x2b-pp";"3x2-pp"},MATCH($C555,{787;1092;1172;1291},0)),""))</f>
        <v/>
      </c>
    </row>
    <row r="556" customFormat="false" ht="15" hidden="false" customHeight="false" outlineLevel="0" collapsed="false">
      <c r="F556" s="8" t="str">
        <f aca="false">IF($C556="","",IFERROR(INDEX({"1x1-pp";"2x2a-pp";"2x2b-pp";"3x2-pp"},MATCH($C556,{787;1092;1172;1291},0)),""))</f>
        <v/>
      </c>
    </row>
    <row r="557" customFormat="false" ht="15" hidden="false" customHeight="false" outlineLevel="0" collapsed="false">
      <c r="F557" s="8" t="str">
        <f aca="false">IF($C557="","",IFERROR(INDEX({"1x1-pp";"2x2a-pp";"2x2b-pp";"3x2-pp"},MATCH($C557,{787;1092;1172;1291},0)),""))</f>
        <v/>
      </c>
    </row>
    <row r="558" customFormat="false" ht="15" hidden="false" customHeight="false" outlineLevel="0" collapsed="false">
      <c r="F558" s="8" t="str">
        <f aca="false">IF($C558="","",IFERROR(INDEX({"1x1-pp";"2x2a-pp";"2x2b-pp";"3x2-pp"},MATCH($C558,{787;1092;1172;1291},0)),""))</f>
        <v/>
      </c>
    </row>
    <row r="559" customFormat="false" ht="15" hidden="false" customHeight="false" outlineLevel="0" collapsed="false">
      <c r="F559" s="8" t="str">
        <f aca="false">IF($C559="","",IFERROR(INDEX({"1x1-pp";"2x2a-pp";"2x2b-pp";"3x2-pp"},MATCH($C559,{787;1092;1172;1291},0)),""))</f>
        <v/>
      </c>
    </row>
    <row r="560" customFormat="false" ht="15" hidden="false" customHeight="false" outlineLevel="0" collapsed="false">
      <c r="F560" s="8" t="str">
        <f aca="false">IF($C560="","",IFERROR(INDEX({"1x1-pp";"2x2a-pp";"2x2b-pp";"3x2-pp"},MATCH($C560,{787;1092;1172;1291},0)),""))</f>
        <v/>
      </c>
    </row>
    <row r="561" customFormat="false" ht="15" hidden="false" customHeight="false" outlineLevel="0" collapsed="false">
      <c r="F561" s="8" t="str">
        <f aca="false">IF($C561="","",IFERROR(INDEX({"1x1-pp";"2x2a-pp";"2x2b-pp";"3x2-pp"},MATCH($C561,{787;1092;1172;1291},0)),""))</f>
        <v/>
      </c>
    </row>
    <row r="562" customFormat="false" ht="15" hidden="false" customHeight="false" outlineLevel="0" collapsed="false">
      <c r="F562" s="8" t="str">
        <f aca="false">IF($C562="","",IFERROR(INDEX({"1x1-pp";"2x2a-pp";"2x2b-pp";"3x2-pp"},MATCH($C562,{787;1092;1172;1291},0)),""))</f>
        <v/>
      </c>
    </row>
    <row r="563" customFormat="false" ht="15" hidden="false" customHeight="false" outlineLevel="0" collapsed="false">
      <c r="F563" s="8" t="str">
        <f aca="false">IF($C563="","",IFERROR(INDEX({"1x1-pp";"2x2a-pp";"2x2b-pp";"3x2-pp"},MATCH($C563,{787;1092;1172;1291},0)),""))</f>
        <v/>
      </c>
    </row>
    <row r="564" customFormat="false" ht="15" hidden="false" customHeight="false" outlineLevel="0" collapsed="false">
      <c r="F564" s="8" t="str">
        <f aca="false">IF($C564="","",IFERROR(INDEX({"1x1-pp";"2x2a-pp";"2x2b-pp";"3x2-pp"},MATCH($C564,{787;1092;1172;1291},0)),""))</f>
        <v/>
      </c>
    </row>
    <row r="565" customFormat="false" ht="15" hidden="false" customHeight="false" outlineLevel="0" collapsed="false">
      <c r="F565" s="8" t="str">
        <f aca="false">IF($C565="","",IFERROR(INDEX({"1x1-pp";"2x2a-pp";"2x2b-pp";"3x2-pp"},MATCH($C565,{787;1092;1172;1291},0)),""))</f>
        <v/>
      </c>
    </row>
    <row r="566" customFormat="false" ht="15" hidden="false" customHeight="false" outlineLevel="0" collapsed="false">
      <c r="F566" s="8" t="str">
        <f aca="false">IF($C566="","",IFERROR(INDEX({"1x1-pp";"2x2a-pp";"2x2b-pp";"3x2-pp"},MATCH($C566,{787;1092;1172;1291},0)),""))</f>
        <v/>
      </c>
    </row>
    <row r="567" customFormat="false" ht="15" hidden="false" customHeight="false" outlineLevel="0" collapsed="false">
      <c r="F567" s="8" t="str">
        <f aca="false">IF($C567="","",IFERROR(INDEX({"1x1-pp";"2x2a-pp";"2x2b-pp";"3x2-pp"},MATCH($C567,{787;1092;1172;1291},0)),""))</f>
        <v/>
      </c>
    </row>
    <row r="568" customFormat="false" ht="15" hidden="false" customHeight="false" outlineLevel="0" collapsed="false">
      <c r="F568" s="8" t="str">
        <f aca="false">IF($C568="","",IFERROR(INDEX({"1x1-pp";"2x2a-pp";"2x2b-pp";"3x2-pp"},MATCH($C568,{787;1092;1172;1291},0)),""))</f>
        <v/>
      </c>
    </row>
    <row r="569" customFormat="false" ht="15" hidden="false" customHeight="false" outlineLevel="0" collapsed="false">
      <c r="F569" s="8" t="str">
        <f aca="false">IF($C569="","",IFERROR(INDEX({"1x1-pp";"2x2a-pp";"2x2b-pp";"3x2-pp"},MATCH($C569,{787;1092;1172;1291},0)),""))</f>
        <v/>
      </c>
    </row>
    <row r="570" customFormat="false" ht="15" hidden="false" customHeight="false" outlineLevel="0" collapsed="false">
      <c r="F570" s="8" t="str">
        <f aca="false">IF($C570="","",IFERROR(INDEX({"1x1-pp";"2x2a-pp";"2x2b-pp";"3x2-pp"},MATCH($C570,{787;1092;1172;1291},0)),""))</f>
        <v/>
      </c>
    </row>
    <row r="571" customFormat="false" ht="15" hidden="false" customHeight="false" outlineLevel="0" collapsed="false">
      <c r="F571" s="8" t="str">
        <f aca="false">IF($C571="","",IFERROR(INDEX({"1x1-pp";"2x2a-pp";"2x2b-pp";"3x2-pp"},MATCH($C571,{787;1092;1172;1291},0)),""))</f>
        <v/>
      </c>
    </row>
    <row r="572" customFormat="false" ht="15" hidden="false" customHeight="false" outlineLevel="0" collapsed="false">
      <c r="F572" s="8" t="str">
        <f aca="false">IF($C572="","",IFERROR(INDEX({"1x1-pp";"2x2a-pp";"2x2b-pp";"3x2-pp"},MATCH($C572,{787;1092;1172;1291},0)),""))</f>
        <v/>
      </c>
    </row>
    <row r="573" customFormat="false" ht="15" hidden="false" customHeight="false" outlineLevel="0" collapsed="false">
      <c r="F573" s="8" t="str">
        <f aca="false">IF($C573="","",IFERROR(INDEX({"1x1-pp";"2x2a-pp";"2x2b-pp";"3x2-pp"},MATCH($C573,{787;1092;1172;1291},0)),""))</f>
        <v/>
      </c>
    </row>
    <row r="574" customFormat="false" ht="15" hidden="false" customHeight="false" outlineLevel="0" collapsed="false">
      <c r="F574" s="8" t="str">
        <f aca="false">IF($C574="","",IFERROR(INDEX({"1x1-pp";"2x2a-pp";"2x2b-pp";"3x2-pp"},MATCH($C574,{787;1092;1172;1291},0)),""))</f>
        <v/>
      </c>
    </row>
    <row r="575" customFormat="false" ht="15" hidden="false" customHeight="false" outlineLevel="0" collapsed="false">
      <c r="F575" s="8" t="str">
        <f aca="false">IF($C575="","",IFERROR(INDEX({"1x1-pp";"2x2a-pp";"2x2b-pp";"3x2-pp"},MATCH($C575,{787;1092;1172;1291},0)),""))</f>
        <v/>
      </c>
    </row>
    <row r="576" customFormat="false" ht="15" hidden="false" customHeight="false" outlineLevel="0" collapsed="false">
      <c r="F576" s="8" t="str">
        <f aca="false">IF($C576="","",IFERROR(INDEX({"1x1-pp";"2x2a-pp";"2x2b-pp";"3x2-pp"},MATCH($C576,{787;1092;1172;1291},0)),""))</f>
        <v/>
      </c>
    </row>
    <row r="577" customFormat="false" ht="15" hidden="false" customHeight="false" outlineLevel="0" collapsed="false">
      <c r="F577" s="8" t="str">
        <f aca="false">IF($C577="","",IFERROR(INDEX({"1x1-pp";"2x2a-pp";"2x2b-pp";"3x2-pp"},MATCH($C577,{787;1092;1172;1291},0)),""))</f>
        <v/>
      </c>
    </row>
    <row r="578" customFormat="false" ht="15" hidden="false" customHeight="false" outlineLevel="0" collapsed="false">
      <c r="F578" s="8" t="str">
        <f aca="false">IF($C578="","",IFERROR(INDEX({"1x1-pp";"2x2a-pp";"2x2b-pp";"3x2-pp"},MATCH($C578,{787;1092;1172;1291},0)),""))</f>
        <v/>
      </c>
    </row>
    <row r="579" customFormat="false" ht="15" hidden="false" customHeight="false" outlineLevel="0" collapsed="false">
      <c r="F579" s="8" t="str">
        <f aca="false">IF($C579="","",IFERROR(INDEX({"1x1-pp";"2x2a-pp";"2x2b-pp";"3x2-pp"},MATCH($C579,{787;1092;1172;1291},0)),""))</f>
        <v/>
      </c>
    </row>
    <row r="580" customFormat="false" ht="15" hidden="false" customHeight="false" outlineLevel="0" collapsed="false">
      <c r="F580" s="8" t="str">
        <f aca="false">IF($C580="","",IFERROR(INDEX({"1x1-pp";"2x2a-pp";"2x2b-pp";"3x2-pp"},MATCH($C580,{787;1092;1172;1291},0)),""))</f>
        <v/>
      </c>
    </row>
    <row r="581" customFormat="false" ht="15" hidden="false" customHeight="false" outlineLevel="0" collapsed="false">
      <c r="F581" s="8" t="str">
        <f aca="false">IF($C581="","",IFERROR(INDEX({"1x1-pp";"2x2a-pp";"2x2b-pp";"3x2-pp"},MATCH($C581,{787;1092;1172;1291},0)),""))</f>
        <v/>
      </c>
    </row>
    <row r="582" customFormat="false" ht="15" hidden="false" customHeight="false" outlineLevel="0" collapsed="false">
      <c r="F582" s="8" t="str">
        <f aca="false">IF($C582="","",IFERROR(INDEX({"1x1-pp";"2x2a-pp";"2x2b-pp";"3x2-pp"},MATCH($C582,{787;1092;1172;1291},0)),""))</f>
        <v/>
      </c>
    </row>
    <row r="583" customFormat="false" ht="15" hidden="false" customHeight="false" outlineLevel="0" collapsed="false">
      <c r="F583" s="8" t="str">
        <f aca="false">IF($C583="","",IFERROR(INDEX({"1x1-pp";"2x2a-pp";"2x2b-pp";"3x2-pp"},MATCH($C583,{787;1092;1172;1291},0)),""))</f>
        <v/>
      </c>
    </row>
    <row r="584" customFormat="false" ht="15" hidden="false" customHeight="false" outlineLevel="0" collapsed="false">
      <c r="F584" s="8" t="str">
        <f aca="false">IF($C584="","",IFERROR(INDEX({"1x1-pp";"2x2a-pp";"2x2b-pp";"3x2-pp"},MATCH($C584,{787;1092;1172;1291},0)),""))</f>
        <v/>
      </c>
    </row>
    <row r="585" customFormat="false" ht="15" hidden="false" customHeight="false" outlineLevel="0" collapsed="false">
      <c r="F585" s="8" t="str">
        <f aca="false">IF($C585="","",IFERROR(INDEX({"1x1-pp";"2x2a-pp";"2x2b-pp";"3x2-pp"},MATCH($C585,{787;1092;1172;1291},0)),""))</f>
        <v/>
      </c>
    </row>
    <row r="586" customFormat="false" ht="15" hidden="false" customHeight="false" outlineLevel="0" collapsed="false">
      <c r="F586" s="8" t="str">
        <f aca="false">IF($C586="","",IFERROR(INDEX({"1x1-pp";"2x2a-pp";"2x2b-pp";"3x2-pp"},MATCH($C586,{787;1092;1172;1291},0)),""))</f>
        <v/>
      </c>
    </row>
    <row r="587" customFormat="false" ht="15" hidden="false" customHeight="false" outlineLevel="0" collapsed="false">
      <c r="F587" s="8" t="str">
        <f aca="false">IF($C587="","",IFERROR(INDEX({"1x1-pp";"2x2a-pp";"2x2b-pp";"3x2-pp"},MATCH($C587,{787;1092;1172;1291},0)),""))</f>
        <v/>
      </c>
    </row>
    <row r="588" customFormat="false" ht="15" hidden="false" customHeight="false" outlineLevel="0" collapsed="false">
      <c r="F588" s="8" t="str">
        <f aca="false">IF($C588="","",IFERROR(INDEX({"1x1-pp";"2x2a-pp";"2x2b-pp";"3x2-pp"},MATCH($C588,{787;1092;1172;1291},0)),""))</f>
        <v/>
      </c>
    </row>
    <row r="589" customFormat="false" ht="15" hidden="false" customHeight="false" outlineLevel="0" collapsed="false">
      <c r="F589" s="8" t="str">
        <f aca="false">IF($C589="","",IFERROR(INDEX({"1x1-pp";"2x2a-pp";"2x2b-pp";"3x2-pp"},MATCH($C589,{787;1092;1172;1291},0)),""))</f>
        <v/>
      </c>
    </row>
    <row r="590" customFormat="false" ht="15" hidden="false" customHeight="false" outlineLevel="0" collapsed="false">
      <c r="F590" s="8" t="str">
        <f aca="false">IF($C590="","",IFERROR(INDEX({"1x1-pp";"2x2a-pp";"2x2b-pp";"3x2-pp"},MATCH($C590,{787;1092;1172;1291},0)),""))</f>
        <v/>
      </c>
    </row>
    <row r="591" customFormat="false" ht="15" hidden="false" customHeight="false" outlineLevel="0" collapsed="false">
      <c r="F591" s="8" t="str">
        <f aca="false">IF($C591="","",IFERROR(INDEX({"1x1-pp";"2x2a-pp";"2x2b-pp";"3x2-pp"},MATCH($C591,{787;1092;1172;1291},0)),""))</f>
        <v/>
      </c>
    </row>
    <row r="592" customFormat="false" ht="15" hidden="false" customHeight="false" outlineLevel="0" collapsed="false">
      <c r="F592" s="8" t="str">
        <f aca="false">IF($C592="","",IFERROR(INDEX({"1x1-pp";"2x2a-pp";"2x2b-pp";"3x2-pp"},MATCH($C592,{787;1092;1172;1291},0)),""))</f>
        <v/>
      </c>
    </row>
    <row r="593" customFormat="false" ht="15" hidden="false" customHeight="false" outlineLevel="0" collapsed="false">
      <c r="F593" s="8" t="str">
        <f aca="false">IF($C593="","",IFERROR(INDEX({"1x1-pp";"2x2a-pp";"2x2b-pp";"3x2-pp"},MATCH($C593,{787;1092;1172;1291},0)),""))</f>
        <v/>
      </c>
    </row>
    <row r="594" customFormat="false" ht="15" hidden="false" customHeight="false" outlineLevel="0" collapsed="false">
      <c r="F594" s="8" t="str">
        <f aca="false">IF($C594="","",IFERROR(INDEX({"1x1-pp";"2x2a-pp";"2x2b-pp";"3x2-pp"},MATCH($C594,{787;1092;1172;1291},0)),""))</f>
        <v/>
      </c>
    </row>
    <row r="595" customFormat="false" ht="15" hidden="false" customHeight="false" outlineLevel="0" collapsed="false">
      <c r="F595" s="8" t="str">
        <f aca="false">IF($C595="","",IFERROR(INDEX({"1x1-pp";"2x2a-pp";"2x2b-pp";"3x2-pp"},MATCH($C595,{787;1092;1172;1291},0)),""))</f>
        <v/>
      </c>
    </row>
    <row r="596" customFormat="false" ht="15" hidden="false" customHeight="false" outlineLevel="0" collapsed="false">
      <c r="F596" s="8" t="str">
        <f aca="false">IF($C596="","",IFERROR(INDEX({"1x1-pp";"2x2a-pp";"2x2b-pp";"3x2-pp"},MATCH($C596,{787;1092;1172;1291},0)),""))</f>
        <v/>
      </c>
    </row>
    <row r="597" customFormat="false" ht="15" hidden="false" customHeight="false" outlineLevel="0" collapsed="false">
      <c r="F597" s="8" t="str">
        <f aca="false">IF($C597="","",IFERROR(INDEX({"1x1-pp";"2x2a-pp";"2x2b-pp";"3x2-pp"},MATCH($C597,{787;1092;1172;1291},0)),""))</f>
        <v/>
      </c>
    </row>
    <row r="598" customFormat="false" ht="15" hidden="false" customHeight="false" outlineLevel="0" collapsed="false">
      <c r="F598" s="8" t="str">
        <f aca="false">IF($C598="","",IFERROR(INDEX({"1x1-pp";"2x2a-pp";"2x2b-pp";"3x2-pp"},MATCH($C598,{787;1092;1172;1291},0)),""))</f>
        <v/>
      </c>
    </row>
    <row r="599" customFormat="false" ht="15" hidden="false" customHeight="false" outlineLevel="0" collapsed="false">
      <c r="F599" s="8" t="str">
        <f aca="false">IF($C599="","",IFERROR(INDEX({"1x1-pp";"2x2a-pp";"2x2b-pp";"3x2-pp"},MATCH($C599,{787;1092;1172;1291},0)),""))</f>
        <v/>
      </c>
    </row>
    <row r="600" customFormat="false" ht="15" hidden="false" customHeight="false" outlineLevel="0" collapsed="false">
      <c r="F600" s="8" t="str">
        <f aca="false">IF($C600="","",IFERROR(INDEX({"1x1-pp";"2x2a-pp";"2x2b-pp";"3x2-pp"},MATCH($C600,{787;1092;1172;1291},0)),""))</f>
        <v/>
      </c>
    </row>
    <row r="601" customFormat="false" ht="15" hidden="false" customHeight="false" outlineLevel="0" collapsed="false">
      <c r="F601" s="8" t="str">
        <f aca="false">IF($C601="","",IFERROR(INDEX({"1x1-pp";"2x2a-pp";"2x2b-pp";"3x2-pp"},MATCH($C601,{787;1092;1172;1291},0)),""))</f>
        <v/>
      </c>
    </row>
    <row r="602" customFormat="false" ht="15" hidden="false" customHeight="false" outlineLevel="0" collapsed="false">
      <c r="F602" s="8" t="str">
        <f aca="false">IF($C602="","",IFERROR(INDEX({"1x1-pp";"2x2a-pp";"2x2b-pp";"3x2-pp"},MATCH($C602,{787;1092;1172;1291},0)),""))</f>
        <v/>
      </c>
    </row>
    <row r="603" customFormat="false" ht="15" hidden="false" customHeight="false" outlineLevel="0" collapsed="false">
      <c r="F603" s="8" t="str">
        <f aca="false">IF($C603="","",IFERROR(INDEX({"1x1-pp";"2x2a-pp";"2x2b-pp";"3x2-pp"},MATCH($C603,{787;1092;1172;1291},0)),""))</f>
        <v/>
      </c>
    </row>
    <row r="604" customFormat="false" ht="15" hidden="false" customHeight="false" outlineLevel="0" collapsed="false">
      <c r="F604" s="8" t="str">
        <f aca="false">IF($C604="","",IFERROR(INDEX({"1x1-pp";"2x2a-pp";"2x2b-pp";"3x2-pp"},MATCH($C604,{787;1092;1172;1291},0)),""))</f>
        <v/>
      </c>
    </row>
    <row r="605" customFormat="false" ht="15" hidden="false" customHeight="false" outlineLevel="0" collapsed="false">
      <c r="F605" s="8" t="str">
        <f aca="false">IF($C605="","",IFERROR(INDEX({"1x1-pp";"2x2a-pp";"2x2b-pp";"3x2-pp"},MATCH($C605,{787;1092;1172;1291},0)),""))</f>
        <v/>
      </c>
    </row>
    <row r="606" customFormat="false" ht="15" hidden="false" customHeight="false" outlineLevel="0" collapsed="false">
      <c r="F606" s="8" t="str">
        <f aca="false">IF($C606="","",IFERROR(INDEX({"1x1-pp";"2x2a-pp";"2x2b-pp";"3x2-pp"},MATCH($C606,{787;1092;1172;1291},0)),""))</f>
        <v/>
      </c>
    </row>
    <row r="607" customFormat="false" ht="15" hidden="false" customHeight="false" outlineLevel="0" collapsed="false">
      <c r="F607" s="8" t="str">
        <f aca="false">IF($C607="","",IFERROR(INDEX({"1x1-pp";"2x2a-pp";"2x2b-pp";"3x2-pp"},MATCH($C607,{787;1092;1172;1291},0)),""))</f>
        <v/>
      </c>
    </row>
    <row r="608" customFormat="false" ht="15" hidden="false" customHeight="false" outlineLevel="0" collapsed="false">
      <c r="F608" s="8" t="str">
        <f aca="false">IF($C608="","",IFERROR(INDEX({"1x1-pp";"2x2a-pp";"2x2b-pp";"3x2-pp"},MATCH($C608,{787;1092;1172;1291},0)),""))</f>
        <v/>
      </c>
    </row>
    <row r="609" customFormat="false" ht="15" hidden="false" customHeight="false" outlineLevel="0" collapsed="false">
      <c r="F609" s="8" t="str">
        <f aca="false">IF($C609="","",IFERROR(INDEX({"1x1-pp";"2x2a-pp";"2x2b-pp";"3x2-pp"},MATCH($C609,{787;1092;1172;1291},0)),""))</f>
        <v/>
      </c>
    </row>
    <row r="610" customFormat="false" ht="15" hidden="false" customHeight="false" outlineLevel="0" collapsed="false">
      <c r="F610" s="8" t="str">
        <f aca="false">IF($C610="","",IFERROR(INDEX({"1x1-pp";"2x2a-pp";"2x2b-pp";"3x2-pp"},MATCH($C610,{787;1092;1172;1291},0)),""))</f>
        <v/>
      </c>
    </row>
    <row r="611" customFormat="false" ht="15" hidden="false" customHeight="false" outlineLevel="0" collapsed="false">
      <c r="F611" s="8" t="str">
        <f aca="false">IF($C611="","",IFERROR(INDEX({"1x1-pp";"2x2a-pp";"2x2b-pp";"3x2-pp"},MATCH($C611,{787;1092;1172;1291},0)),""))</f>
        <v/>
      </c>
    </row>
    <row r="612" customFormat="false" ht="15" hidden="false" customHeight="false" outlineLevel="0" collapsed="false">
      <c r="F612" s="8" t="str">
        <f aca="false">IF($C612="","",IFERROR(INDEX({"1x1-pp";"2x2a-pp";"2x2b-pp";"3x2-pp"},MATCH($C612,{787;1092;1172;1291},0)),""))</f>
        <v/>
      </c>
    </row>
    <row r="613" customFormat="false" ht="15" hidden="false" customHeight="false" outlineLevel="0" collapsed="false">
      <c r="F613" s="8" t="str">
        <f aca="false">IF($C613="","",IFERROR(INDEX({"1x1-pp";"2x2a-pp";"2x2b-pp";"3x2-pp"},MATCH($C613,{787;1092;1172;1291},0)),""))</f>
        <v/>
      </c>
    </row>
    <row r="614" customFormat="false" ht="15" hidden="false" customHeight="false" outlineLevel="0" collapsed="false">
      <c r="F614" s="8" t="str">
        <f aca="false">IF($C614="","",IFERROR(INDEX({"1x1-pp";"2x2a-pp";"2x2b-pp";"3x2-pp"},MATCH($C614,{787;1092;1172;1291},0)),""))</f>
        <v/>
      </c>
    </row>
    <row r="615" customFormat="false" ht="15" hidden="false" customHeight="false" outlineLevel="0" collapsed="false">
      <c r="F615" s="8" t="str">
        <f aca="false">IF($C615="","",IFERROR(INDEX({"1x1-pp";"2x2a-pp";"2x2b-pp";"3x2-pp"},MATCH($C615,{787;1092;1172;1291},0)),""))</f>
        <v/>
      </c>
    </row>
    <row r="616" customFormat="false" ht="15" hidden="false" customHeight="false" outlineLevel="0" collapsed="false">
      <c r="F616" s="8" t="str">
        <f aca="false">IF($C616="","",IFERROR(INDEX({"1x1-pp";"2x2a-pp";"2x2b-pp";"3x2-pp"},MATCH($C616,{787;1092;1172;1291},0)),""))</f>
        <v/>
      </c>
    </row>
    <row r="617" customFormat="false" ht="15" hidden="false" customHeight="false" outlineLevel="0" collapsed="false">
      <c r="F617" s="8" t="str">
        <f aca="false">IF($C617="","",IFERROR(INDEX({"1x1-pp";"2x2a-pp";"2x2b-pp";"3x2-pp"},MATCH($C617,{787;1092;1172;1291},0)),""))</f>
        <v/>
      </c>
    </row>
    <row r="618" customFormat="false" ht="15" hidden="false" customHeight="false" outlineLevel="0" collapsed="false">
      <c r="F618" s="8" t="str">
        <f aca="false">IF($C618="","",IFERROR(INDEX({"1x1-pp";"2x2a-pp";"2x2b-pp";"3x2-pp"},MATCH($C618,{787;1092;1172;1291},0)),""))</f>
        <v/>
      </c>
    </row>
    <row r="619" customFormat="false" ht="15" hidden="false" customHeight="false" outlineLevel="0" collapsed="false">
      <c r="F619" s="8" t="str">
        <f aca="false">IF($C619="","",IFERROR(INDEX({"1x1-pp";"2x2a-pp";"2x2b-pp";"3x2-pp"},MATCH($C619,{787;1092;1172;1291},0)),""))</f>
        <v/>
      </c>
    </row>
    <row r="620" customFormat="false" ht="15" hidden="false" customHeight="false" outlineLevel="0" collapsed="false">
      <c r="F620" s="8" t="str">
        <f aca="false">IF($C620="","",IFERROR(INDEX({"1x1-pp";"2x2a-pp";"2x2b-pp";"3x2-pp"},MATCH($C620,{787;1092;1172;1291},0)),""))</f>
        <v/>
      </c>
    </row>
    <row r="621" customFormat="false" ht="15" hidden="false" customHeight="false" outlineLevel="0" collapsed="false">
      <c r="F621" s="8" t="str">
        <f aca="false">IF($C621="","",IFERROR(INDEX({"1x1-pp";"2x2a-pp";"2x2b-pp";"3x2-pp"},MATCH($C621,{787;1092;1172;1291},0)),""))</f>
        <v/>
      </c>
    </row>
    <row r="622" customFormat="false" ht="15" hidden="false" customHeight="false" outlineLevel="0" collapsed="false">
      <c r="F622" s="8" t="str">
        <f aca="false">IF($C622="","",IFERROR(INDEX({"1x1-pp";"2x2a-pp";"2x2b-pp";"3x2-pp"},MATCH($C622,{787;1092;1172;1291},0)),""))</f>
        <v/>
      </c>
    </row>
    <row r="623" customFormat="false" ht="15" hidden="false" customHeight="false" outlineLevel="0" collapsed="false">
      <c r="F623" s="8" t="str">
        <f aca="false">IF($C623="","",IFERROR(INDEX({"1x1-pp";"2x2a-pp";"2x2b-pp";"3x2-pp"},MATCH($C623,{787;1092;1172;1291},0)),""))</f>
        <v/>
      </c>
    </row>
    <row r="624" customFormat="false" ht="15" hidden="false" customHeight="false" outlineLevel="0" collapsed="false">
      <c r="F624" s="8" t="str">
        <f aca="false">IF($C624="","",IFERROR(INDEX({"1x1-pp";"2x2a-pp";"2x2b-pp";"3x2-pp"},MATCH($C624,{787;1092;1172;1291},0)),""))</f>
        <v/>
      </c>
    </row>
    <row r="625" customFormat="false" ht="15" hidden="false" customHeight="false" outlineLevel="0" collapsed="false">
      <c r="F625" s="8" t="str">
        <f aca="false">IF($C625="","",IFERROR(INDEX({"1x1-pp";"2x2a-pp";"2x2b-pp";"3x2-pp"},MATCH($C625,{787;1092;1172;1291},0)),""))</f>
        <v/>
      </c>
    </row>
    <row r="626" customFormat="false" ht="15" hidden="false" customHeight="false" outlineLevel="0" collapsed="false">
      <c r="F626" s="8" t="str">
        <f aca="false">IF($C626="","",IFERROR(INDEX({"1x1-pp";"2x2a-pp";"2x2b-pp";"3x2-pp"},MATCH($C626,{787;1092;1172;1291},0)),""))</f>
        <v/>
      </c>
    </row>
    <row r="627" customFormat="false" ht="15" hidden="false" customHeight="false" outlineLevel="0" collapsed="false">
      <c r="F627" s="8" t="str">
        <f aca="false">IF($C627="","",IFERROR(INDEX({"1x1-pp";"2x2a-pp";"2x2b-pp";"3x2-pp"},MATCH($C627,{787;1092;1172;1291},0)),""))</f>
        <v/>
      </c>
    </row>
    <row r="628" customFormat="false" ht="15" hidden="false" customHeight="false" outlineLevel="0" collapsed="false">
      <c r="F628" s="8" t="str">
        <f aca="false">IF($C628="","",IFERROR(INDEX({"1x1-pp";"2x2a-pp";"2x2b-pp";"3x2-pp"},MATCH($C628,{787;1092;1172;1291},0)),""))</f>
        <v/>
      </c>
    </row>
    <row r="629" customFormat="false" ht="15" hidden="false" customHeight="false" outlineLevel="0" collapsed="false">
      <c r="F629" s="8" t="str">
        <f aca="false">IF($C629="","",IFERROR(INDEX({"1x1-pp";"2x2a-pp";"2x2b-pp";"3x2-pp"},MATCH($C629,{787;1092;1172;1291},0)),""))</f>
        <v/>
      </c>
    </row>
    <row r="630" customFormat="false" ht="15" hidden="false" customHeight="false" outlineLevel="0" collapsed="false">
      <c r="F630" s="8" t="str">
        <f aca="false">IF($C630="","",IFERROR(INDEX({"1x1-pp";"2x2a-pp";"2x2b-pp";"3x2-pp"},MATCH($C630,{787;1092;1172;1291},0)),""))</f>
        <v/>
      </c>
    </row>
    <row r="631" customFormat="false" ht="15" hidden="false" customHeight="false" outlineLevel="0" collapsed="false">
      <c r="F631" s="8" t="str">
        <f aca="false">IF($C631="","",IFERROR(INDEX({"1x1-pp";"2x2a-pp";"2x2b-pp";"3x2-pp"},MATCH($C631,{787;1092;1172;1291},0)),""))</f>
        <v/>
      </c>
    </row>
    <row r="632" customFormat="false" ht="15" hidden="false" customHeight="false" outlineLevel="0" collapsed="false">
      <c r="F632" s="8" t="str">
        <f aca="false">IF($C632="","",IFERROR(INDEX({"1x1-pp";"2x2a-pp";"2x2b-pp";"3x2-pp"},MATCH($C632,{787;1092;1172;1291},0)),""))</f>
        <v/>
      </c>
    </row>
    <row r="633" customFormat="false" ht="15" hidden="false" customHeight="false" outlineLevel="0" collapsed="false">
      <c r="F633" s="8" t="str">
        <f aca="false">IF($C633="","",IFERROR(INDEX({"1x1-pp";"2x2a-pp";"2x2b-pp";"3x2-pp"},MATCH($C633,{787;1092;1172;1291},0)),""))</f>
        <v/>
      </c>
    </row>
    <row r="634" customFormat="false" ht="15" hidden="false" customHeight="false" outlineLevel="0" collapsed="false">
      <c r="F634" s="8" t="str">
        <f aca="false">IF($C634="","",IFERROR(INDEX({"1x1-pp";"2x2a-pp";"2x2b-pp";"3x2-pp"},MATCH($C634,{787;1092;1172;1291},0)),""))</f>
        <v/>
      </c>
    </row>
    <row r="635" customFormat="false" ht="15" hidden="false" customHeight="false" outlineLevel="0" collapsed="false">
      <c r="F635" s="8" t="str">
        <f aca="false">IF($C635="","",IFERROR(INDEX({"1x1-pp";"2x2a-pp";"2x2b-pp";"3x2-pp"},MATCH($C635,{787;1092;1172;1291},0)),""))</f>
        <v/>
      </c>
    </row>
    <row r="636" customFormat="false" ht="15" hidden="false" customHeight="false" outlineLevel="0" collapsed="false">
      <c r="F636" s="8" t="str">
        <f aca="false">IF($C636="","",IFERROR(INDEX({"1x1-pp";"2x2a-pp";"2x2b-pp";"3x2-pp"},MATCH($C636,{787;1092;1172;1291},0)),""))</f>
        <v/>
      </c>
    </row>
    <row r="637" customFormat="false" ht="15" hidden="false" customHeight="false" outlineLevel="0" collapsed="false">
      <c r="F637" s="8" t="str">
        <f aca="false">IF($C637="","",IFERROR(INDEX({"1x1-pp";"2x2a-pp";"2x2b-pp";"3x2-pp"},MATCH($C637,{787;1092;1172;1291},0)),""))</f>
        <v/>
      </c>
    </row>
    <row r="638" customFormat="false" ht="15" hidden="false" customHeight="false" outlineLevel="0" collapsed="false">
      <c r="F638" s="8" t="str">
        <f aca="false">IF($C638="","",IFERROR(INDEX({"1x1-pp";"2x2a-pp";"2x2b-pp";"3x2-pp"},MATCH($C638,{787;1092;1172;1291},0)),""))</f>
        <v/>
      </c>
    </row>
    <row r="639" customFormat="false" ht="15" hidden="false" customHeight="false" outlineLevel="0" collapsed="false">
      <c r="F639" s="8" t="str">
        <f aca="false">IF($C639="","",IFERROR(INDEX({"1x1-pp";"2x2a-pp";"2x2b-pp";"3x2-pp"},MATCH($C639,{787;1092;1172;1291},0)),""))</f>
        <v/>
      </c>
    </row>
    <row r="640" customFormat="false" ht="15" hidden="false" customHeight="false" outlineLevel="0" collapsed="false">
      <c r="F640" s="8" t="str">
        <f aca="false">IF($C640="","",IFERROR(INDEX({"1x1-pp";"2x2a-pp";"2x2b-pp";"3x2-pp"},MATCH($C640,{787;1092;1172;1291},0)),""))</f>
        <v/>
      </c>
    </row>
    <row r="641" customFormat="false" ht="15" hidden="false" customHeight="false" outlineLevel="0" collapsed="false">
      <c r="F641" s="8" t="str">
        <f aca="false">IF($C641="","",IFERROR(INDEX({"1x1-pp";"2x2a-pp";"2x2b-pp";"3x2-pp"},MATCH($C641,{787;1092;1172;1291},0)),""))</f>
        <v/>
      </c>
    </row>
    <row r="642" customFormat="false" ht="15" hidden="false" customHeight="false" outlineLevel="0" collapsed="false">
      <c r="F642" s="8" t="str">
        <f aca="false">IF($C642="","",IFERROR(INDEX({"1x1-pp";"2x2a-pp";"2x2b-pp";"3x2-pp"},MATCH($C642,{787;1092;1172;1291},0)),""))</f>
        <v/>
      </c>
    </row>
    <row r="643" customFormat="false" ht="15" hidden="false" customHeight="false" outlineLevel="0" collapsed="false">
      <c r="F643" s="8" t="str">
        <f aca="false">IF($C643="","",IFERROR(INDEX({"1x1-pp";"2x2a-pp";"2x2b-pp";"3x2-pp"},MATCH($C643,{787;1092;1172;1291},0)),""))</f>
        <v/>
      </c>
    </row>
    <row r="644" customFormat="false" ht="15" hidden="false" customHeight="false" outlineLevel="0" collapsed="false">
      <c r="F644" s="8" t="str">
        <f aca="false">IF($C644="","",IFERROR(INDEX({"1x1-pp";"2x2a-pp";"2x2b-pp";"3x2-pp"},MATCH($C644,{787;1092;1172;1291},0)),""))</f>
        <v/>
      </c>
    </row>
    <row r="645" customFormat="false" ht="15" hidden="false" customHeight="false" outlineLevel="0" collapsed="false">
      <c r="F645" s="8" t="str">
        <f aca="false">IF($C645="","",IFERROR(INDEX({"1x1-pp";"2x2a-pp";"2x2b-pp";"3x2-pp"},MATCH($C645,{787;1092;1172;1291},0)),""))</f>
        <v/>
      </c>
    </row>
    <row r="646" customFormat="false" ht="15" hidden="false" customHeight="false" outlineLevel="0" collapsed="false">
      <c r="F646" s="8" t="str">
        <f aca="false">IF($C646="","",IFERROR(INDEX({"1x1-pp";"2x2a-pp";"2x2b-pp";"3x2-pp"},MATCH($C646,{787;1092;1172;1291},0)),""))</f>
        <v/>
      </c>
    </row>
    <row r="647" customFormat="false" ht="15" hidden="false" customHeight="false" outlineLevel="0" collapsed="false">
      <c r="F647" s="8" t="str">
        <f aca="false">IF($C647="","",IFERROR(INDEX({"1x1-pp";"2x2a-pp";"2x2b-pp";"3x2-pp"},MATCH($C647,{787;1092;1172;1291},0)),""))</f>
        <v/>
      </c>
    </row>
    <row r="648" customFormat="false" ht="15" hidden="false" customHeight="false" outlineLevel="0" collapsed="false">
      <c r="F648" s="8" t="str">
        <f aca="false">IF($C648="","",IFERROR(INDEX({"1x1-pp";"2x2a-pp";"2x2b-pp";"3x2-pp"},MATCH($C648,{787;1092;1172;1291},0)),""))</f>
        <v/>
      </c>
    </row>
    <row r="649" customFormat="false" ht="15" hidden="false" customHeight="false" outlineLevel="0" collapsed="false">
      <c r="F649" s="8" t="str">
        <f aca="false">IF($C649="","",IFERROR(INDEX({"1x1-pp";"2x2a-pp";"2x2b-pp";"3x2-pp"},MATCH($C649,{787;1092;1172;1291},0)),""))</f>
        <v/>
      </c>
    </row>
    <row r="650" customFormat="false" ht="15" hidden="false" customHeight="false" outlineLevel="0" collapsed="false">
      <c r="F650" s="8" t="str">
        <f aca="false">IF($C650="","",IFERROR(INDEX({"1x1-pp";"2x2a-pp";"2x2b-pp";"3x2-pp"},MATCH($C650,{787;1092;1172;1291},0)),""))</f>
        <v/>
      </c>
    </row>
    <row r="651" customFormat="false" ht="15" hidden="false" customHeight="false" outlineLevel="0" collapsed="false">
      <c r="F651" s="8" t="str">
        <f aca="false">IF($C651="","",IFERROR(INDEX({"1x1-pp";"2x2a-pp";"2x2b-pp";"3x2-pp"},MATCH($C651,{787;1092;1172;1291},0)),""))</f>
        <v/>
      </c>
    </row>
    <row r="652" customFormat="false" ht="15" hidden="false" customHeight="false" outlineLevel="0" collapsed="false">
      <c r="F652" s="8" t="str">
        <f aca="false">IF($C652="","",IFERROR(INDEX({"1x1-pp";"2x2a-pp";"2x2b-pp";"3x2-pp"},MATCH($C652,{787;1092;1172;1291},0)),""))</f>
        <v/>
      </c>
    </row>
    <row r="653" customFormat="false" ht="15" hidden="false" customHeight="false" outlineLevel="0" collapsed="false">
      <c r="F653" s="8" t="str">
        <f aca="false">IF($C653="","",IFERROR(INDEX({"1x1-pp";"2x2a-pp";"2x2b-pp";"3x2-pp"},MATCH($C653,{787;1092;1172;1291},0)),""))</f>
        <v/>
      </c>
    </row>
    <row r="654" customFormat="false" ht="15" hidden="false" customHeight="false" outlineLevel="0" collapsed="false">
      <c r="F654" s="8" t="str">
        <f aca="false">IF($C654="","",IFERROR(INDEX({"1x1-pp";"2x2a-pp";"2x2b-pp";"3x2-pp"},MATCH($C654,{787;1092;1172;1291},0)),""))</f>
        <v/>
      </c>
    </row>
    <row r="655" customFormat="false" ht="15" hidden="false" customHeight="false" outlineLevel="0" collapsed="false">
      <c r="F655" s="8" t="str">
        <f aca="false">IF($C655="","",IFERROR(INDEX({"1x1-pp";"2x2a-pp";"2x2b-pp";"3x2-pp"},MATCH($C655,{787;1092;1172;1291},0)),""))</f>
        <v/>
      </c>
    </row>
    <row r="656" customFormat="false" ht="15" hidden="false" customHeight="false" outlineLevel="0" collapsed="false">
      <c r="F656" s="8" t="str">
        <f aca="false">IF($C656="","",IFERROR(INDEX({"1x1-pp";"2x2a-pp";"2x2b-pp";"3x2-pp"},MATCH($C656,{787;1092;1172;1291},0)),""))</f>
        <v/>
      </c>
    </row>
    <row r="657" customFormat="false" ht="15" hidden="false" customHeight="false" outlineLevel="0" collapsed="false">
      <c r="F657" s="8" t="str">
        <f aca="false">IF($C657="","",IFERROR(INDEX({"1x1-pp";"2x2a-pp";"2x2b-pp";"3x2-pp"},MATCH($C657,{787;1092;1172;1291},0)),""))</f>
        <v/>
      </c>
    </row>
    <row r="658" customFormat="false" ht="15" hidden="false" customHeight="false" outlineLevel="0" collapsed="false">
      <c r="F658" s="8" t="str">
        <f aca="false">IF($C658="","",IFERROR(INDEX({"1x1-pp";"2x2a-pp";"2x2b-pp";"3x2-pp"},MATCH($C658,{787;1092;1172;1291},0)),""))</f>
        <v/>
      </c>
    </row>
    <row r="659" customFormat="false" ht="15" hidden="false" customHeight="false" outlineLevel="0" collapsed="false">
      <c r="F659" s="8" t="str">
        <f aca="false">IF($C659="","",IFERROR(INDEX({"1x1-pp";"2x2a-pp";"2x2b-pp";"3x2-pp"},MATCH($C659,{787;1092;1172;1291},0)),""))</f>
        <v/>
      </c>
    </row>
    <row r="660" customFormat="false" ht="15" hidden="false" customHeight="false" outlineLevel="0" collapsed="false">
      <c r="F660" s="8" t="str">
        <f aca="false">IF($C660="","",IFERROR(INDEX({"1x1-pp";"2x2a-pp";"2x2b-pp";"3x2-pp"},MATCH($C660,{787;1092;1172;1291},0)),""))</f>
        <v/>
      </c>
    </row>
    <row r="661" customFormat="false" ht="15" hidden="false" customHeight="false" outlineLevel="0" collapsed="false">
      <c r="F661" s="8" t="str">
        <f aca="false">IF($C661="","",IFERROR(INDEX({"1x1-pp";"2x2a-pp";"2x2b-pp";"3x2-pp"},MATCH($C661,{787;1092;1172;1291},0)),""))</f>
        <v/>
      </c>
    </row>
    <row r="662" customFormat="false" ht="15" hidden="false" customHeight="false" outlineLevel="0" collapsed="false">
      <c r="F662" s="8" t="str">
        <f aca="false">IF($C662="","",IFERROR(INDEX({"1x1-pp";"2x2a-pp";"2x2b-pp";"3x2-pp"},MATCH($C662,{787;1092;1172;1291},0)),""))</f>
        <v/>
      </c>
    </row>
    <row r="663" customFormat="false" ht="15" hidden="false" customHeight="false" outlineLevel="0" collapsed="false">
      <c r="F663" s="8" t="str">
        <f aca="false">IF($C663="","",IFERROR(INDEX({"1x1-pp";"2x2a-pp";"2x2b-pp";"3x2-pp"},MATCH($C663,{787;1092;1172;1291},0)),""))</f>
        <v/>
      </c>
    </row>
    <row r="664" customFormat="false" ht="15" hidden="false" customHeight="false" outlineLevel="0" collapsed="false">
      <c r="F664" s="8" t="str">
        <f aca="false">IF($C664="","",IFERROR(INDEX({"1x1-pp";"2x2a-pp";"2x2b-pp";"3x2-pp"},MATCH($C664,{787;1092;1172;1291},0)),""))</f>
        <v/>
      </c>
    </row>
    <row r="665" customFormat="false" ht="15" hidden="false" customHeight="false" outlineLevel="0" collapsed="false">
      <c r="F665" s="8" t="str">
        <f aca="false">IF($C665="","",IFERROR(INDEX({"1x1-pp";"2x2a-pp";"2x2b-pp";"3x2-pp"},MATCH($C665,{787;1092;1172;1291},0)),""))</f>
        <v/>
      </c>
    </row>
    <row r="666" customFormat="false" ht="15" hidden="false" customHeight="false" outlineLevel="0" collapsed="false">
      <c r="F666" s="8" t="str">
        <f aca="false">IF($C666="","",IFERROR(INDEX({"1x1-pp";"2x2a-pp";"2x2b-pp";"3x2-pp"},MATCH($C666,{787;1092;1172;1291},0)),""))</f>
        <v/>
      </c>
    </row>
    <row r="667" customFormat="false" ht="15" hidden="false" customHeight="false" outlineLevel="0" collapsed="false">
      <c r="F667" s="8" t="str">
        <f aca="false">IF($C667="","",IFERROR(INDEX({"1x1-pp";"2x2a-pp";"2x2b-pp";"3x2-pp"},MATCH($C667,{787;1092;1172;1291},0)),""))</f>
        <v/>
      </c>
    </row>
    <row r="668" customFormat="false" ht="15" hidden="false" customHeight="false" outlineLevel="0" collapsed="false">
      <c r="F668" s="8" t="str">
        <f aca="false">IF($C668="","",IFERROR(INDEX({"1x1-pp";"2x2a-pp";"2x2b-pp";"3x2-pp"},MATCH($C668,{787;1092;1172;1291},0)),""))</f>
        <v/>
      </c>
    </row>
    <row r="669" customFormat="false" ht="15" hidden="false" customHeight="false" outlineLevel="0" collapsed="false">
      <c r="F669" s="8" t="str">
        <f aca="false">IF($C669="","",IFERROR(INDEX({"1x1-pp";"2x2a-pp";"2x2b-pp";"3x2-pp"},MATCH($C669,{787;1092;1172;1291},0)),""))</f>
        <v/>
      </c>
    </row>
    <row r="670" customFormat="false" ht="15" hidden="false" customHeight="false" outlineLevel="0" collapsed="false">
      <c r="F670" s="8" t="str">
        <f aca="false">IF($C670="","",IFERROR(INDEX({"1x1-pp";"2x2a-pp";"2x2b-pp";"3x2-pp"},MATCH($C670,{787;1092;1172;1291},0)),""))</f>
        <v/>
      </c>
    </row>
    <row r="671" customFormat="false" ht="15" hidden="false" customHeight="false" outlineLevel="0" collapsed="false">
      <c r="F671" s="8" t="str">
        <f aca="false">IF($C671="","",IFERROR(INDEX({"1x1-pp";"2x2a-pp";"2x2b-pp";"3x2-pp"},MATCH($C671,{787;1092;1172;1291},0)),""))</f>
        <v/>
      </c>
    </row>
    <row r="672" customFormat="false" ht="15" hidden="false" customHeight="false" outlineLevel="0" collapsed="false">
      <c r="F672" s="8" t="str">
        <f aca="false">IF($C672="","",IFERROR(INDEX({"1x1-pp";"2x2a-pp";"2x2b-pp";"3x2-pp"},MATCH($C672,{787;1092;1172;1291},0)),""))</f>
        <v/>
      </c>
    </row>
    <row r="673" customFormat="false" ht="15" hidden="false" customHeight="false" outlineLevel="0" collapsed="false">
      <c r="F673" s="8" t="str">
        <f aca="false">IF($C673="","",IFERROR(INDEX({"1x1-pp";"2x2a-pp";"2x2b-pp";"3x2-pp"},MATCH($C673,{787;1092;1172;1291},0)),""))</f>
        <v/>
      </c>
    </row>
    <row r="674" customFormat="false" ht="15" hidden="false" customHeight="false" outlineLevel="0" collapsed="false">
      <c r="F674" s="8" t="str">
        <f aca="false">IF($C674="","",IFERROR(INDEX({"1x1-pp";"2x2a-pp";"2x2b-pp";"3x2-pp"},MATCH($C674,{787;1092;1172;1291},0)),""))</f>
        <v/>
      </c>
    </row>
    <row r="675" customFormat="false" ht="15" hidden="false" customHeight="false" outlineLevel="0" collapsed="false">
      <c r="F675" s="8" t="str">
        <f aca="false">IF($C675="","",IFERROR(INDEX({"1x1-pp";"2x2a-pp";"2x2b-pp";"3x2-pp"},MATCH($C675,{787;1092;1172;1291},0)),""))</f>
        <v/>
      </c>
    </row>
    <row r="676" customFormat="false" ht="15" hidden="false" customHeight="false" outlineLevel="0" collapsed="false">
      <c r="F676" s="8" t="str">
        <f aca="false">IF($C676="","",IFERROR(INDEX({"1x1-pp";"2x2a-pp";"2x2b-pp";"3x2-pp"},MATCH($C676,{787;1092;1172;1291},0)),""))</f>
        <v/>
      </c>
    </row>
    <row r="677" customFormat="false" ht="15" hidden="false" customHeight="false" outlineLevel="0" collapsed="false">
      <c r="F677" s="8" t="str">
        <f aca="false">IF($C677="","",IFERROR(INDEX({"1x1-pp";"2x2a-pp";"2x2b-pp";"3x2-pp"},MATCH($C677,{787;1092;1172;1291},0)),""))</f>
        <v/>
      </c>
    </row>
    <row r="678" customFormat="false" ht="15" hidden="false" customHeight="false" outlineLevel="0" collapsed="false">
      <c r="F678" s="8" t="str">
        <f aca="false">IF($C678="","",IFERROR(INDEX({"1x1-pp";"2x2a-pp";"2x2b-pp";"3x2-pp"},MATCH($C678,{787;1092;1172;1291},0)),""))</f>
        <v/>
      </c>
    </row>
    <row r="679" customFormat="false" ht="15" hidden="false" customHeight="false" outlineLevel="0" collapsed="false">
      <c r="F679" s="8" t="str">
        <f aca="false">IF($C679="","",IFERROR(INDEX({"1x1-pp";"2x2a-pp";"2x2b-pp";"3x2-pp"},MATCH($C679,{787;1092;1172;1291},0)),""))</f>
        <v/>
      </c>
    </row>
    <row r="680" customFormat="false" ht="15" hidden="false" customHeight="false" outlineLevel="0" collapsed="false">
      <c r="F680" s="8" t="str">
        <f aca="false">IF($C680="","",IFERROR(INDEX({"1x1-pp";"2x2a-pp";"2x2b-pp";"3x2-pp"},MATCH($C680,{787;1092;1172;1291},0)),""))</f>
        <v/>
      </c>
    </row>
    <row r="681" customFormat="false" ht="15" hidden="false" customHeight="false" outlineLevel="0" collapsed="false">
      <c r="F681" s="8" t="str">
        <f aca="false">IF($C681="","",IFERROR(INDEX({"1x1-pp";"2x2a-pp";"2x2b-pp";"3x2-pp"},MATCH($C681,{787;1092;1172;1291},0)),""))</f>
        <v/>
      </c>
    </row>
    <row r="682" customFormat="false" ht="15" hidden="false" customHeight="false" outlineLevel="0" collapsed="false">
      <c r="F682" s="8" t="str">
        <f aca="false">IF($C682="","",IFERROR(INDEX({"1x1-pp";"2x2a-pp";"2x2b-pp";"3x2-pp"},MATCH($C682,{787;1092;1172;1291},0)),""))</f>
        <v/>
      </c>
    </row>
    <row r="683" customFormat="false" ht="15" hidden="false" customHeight="false" outlineLevel="0" collapsed="false">
      <c r="F683" s="8" t="str">
        <f aca="false">IF($C683="","",IFERROR(INDEX({"1x1-pp";"2x2a-pp";"2x2b-pp";"3x2-pp"},MATCH($C683,{787;1092;1172;1291},0)),""))</f>
        <v/>
      </c>
    </row>
    <row r="684" customFormat="false" ht="15" hidden="false" customHeight="false" outlineLevel="0" collapsed="false">
      <c r="F684" s="8" t="str">
        <f aca="false">IF($C684="","",IFERROR(INDEX({"1x1-pp";"2x2a-pp";"2x2b-pp";"3x2-pp"},MATCH($C684,{787;1092;1172;1291},0)),""))</f>
        <v/>
      </c>
    </row>
    <row r="685" customFormat="false" ht="15" hidden="false" customHeight="false" outlineLevel="0" collapsed="false">
      <c r="F685" s="8" t="str">
        <f aca="false">IF($C685="","",IFERROR(INDEX({"1x1-pp";"2x2a-pp";"2x2b-pp";"3x2-pp"},MATCH($C685,{787;1092;1172;1291},0)),""))</f>
        <v/>
      </c>
    </row>
    <row r="686" customFormat="false" ht="15" hidden="false" customHeight="false" outlineLevel="0" collapsed="false">
      <c r="F686" s="8" t="str">
        <f aca="false">IF($C686="","",IFERROR(INDEX({"1x1-pp";"2x2a-pp";"2x2b-pp";"3x2-pp"},MATCH($C686,{787;1092;1172;1291},0)),""))</f>
        <v/>
      </c>
    </row>
    <row r="687" customFormat="false" ht="15" hidden="false" customHeight="false" outlineLevel="0" collapsed="false">
      <c r="F687" s="8" t="str">
        <f aca="false">IF($C687="","",IFERROR(INDEX({"1x1-pp";"2x2a-pp";"2x2b-pp";"3x2-pp"},MATCH($C687,{787;1092;1172;1291},0)),""))</f>
        <v/>
      </c>
    </row>
    <row r="688" customFormat="false" ht="15" hidden="false" customHeight="false" outlineLevel="0" collapsed="false">
      <c r="F688" s="8" t="str">
        <f aca="false">IF($C688="","",IFERROR(INDEX({"1x1-pp";"2x2a-pp";"2x2b-pp";"3x2-pp"},MATCH($C688,{787;1092;1172;1291},0)),""))</f>
        <v/>
      </c>
    </row>
    <row r="689" customFormat="false" ht="15" hidden="false" customHeight="false" outlineLevel="0" collapsed="false">
      <c r="F689" s="8" t="str">
        <f aca="false">IF($C689="","",IFERROR(INDEX({"1x1-pp";"2x2a-pp";"2x2b-pp";"3x2-pp"},MATCH($C689,{787;1092;1172;1291},0)),""))</f>
        <v/>
      </c>
    </row>
    <row r="690" customFormat="false" ht="15" hidden="false" customHeight="false" outlineLevel="0" collapsed="false">
      <c r="F690" s="8" t="str">
        <f aca="false">IF($C690="","",IFERROR(INDEX({"1x1-pp";"2x2a-pp";"2x2b-pp";"3x2-pp"},MATCH($C690,{787;1092;1172;1291},0)),""))</f>
        <v/>
      </c>
    </row>
    <row r="691" customFormat="false" ht="15" hidden="false" customHeight="false" outlineLevel="0" collapsed="false">
      <c r="F691" s="8" t="str">
        <f aca="false">IF($C691="","",IFERROR(INDEX({"1x1-pp";"2x2a-pp";"2x2b-pp";"3x2-pp"},MATCH($C691,{787;1092;1172;1291},0)),""))</f>
        <v/>
      </c>
    </row>
    <row r="692" customFormat="false" ht="15" hidden="false" customHeight="false" outlineLevel="0" collapsed="false">
      <c r="F692" s="8" t="str">
        <f aca="false">IF($C692="","",IFERROR(INDEX({"1x1-pp";"2x2a-pp";"2x2b-pp";"3x2-pp"},MATCH($C692,{787;1092;1172;1291},0)),""))</f>
        <v/>
      </c>
    </row>
    <row r="693" customFormat="false" ht="15" hidden="false" customHeight="false" outlineLevel="0" collapsed="false">
      <c r="F693" s="8" t="str">
        <f aca="false">IF($C693="","",IFERROR(INDEX({"1x1-pp";"2x2a-pp";"2x2b-pp";"3x2-pp"},MATCH($C693,{787;1092;1172;1291},0)),""))</f>
        <v/>
      </c>
    </row>
    <row r="694" customFormat="false" ht="15" hidden="false" customHeight="false" outlineLevel="0" collapsed="false">
      <c r="F694" s="8" t="str">
        <f aca="false">IF($C694="","",IFERROR(INDEX({"1x1-pp";"2x2a-pp";"2x2b-pp";"3x2-pp"},MATCH($C694,{787;1092;1172;1291},0)),""))</f>
        <v/>
      </c>
    </row>
    <row r="695" customFormat="false" ht="15" hidden="false" customHeight="false" outlineLevel="0" collapsed="false">
      <c r="F695" s="8" t="str">
        <f aca="false">IF($C695="","",IFERROR(INDEX({"1x1-pp";"2x2a-pp";"2x2b-pp";"3x2-pp"},MATCH($C695,{787;1092;1172;1291},0)),""))</f>
        <v/>
      </c>
    </row>
    <row r="696" customFormat="false" ht="15" hidden="false" customHeight="false" outlineLevel="0" collapsed="false">
      <c r="F696" s="8" t="str">
        <f aca="false">IF($C696="","",IFERROR(INDEX({"1x1-pp";"2x2a-pp";"2x2b-pp";"3x2-pp"},MATCH($C696,{787;1092;1172;1291},0)),""))</f>
        <v/>
      </c>
    </row>
    <row r="697" customFormat="false" ht="15" hidden="false" customHeight="false" outlineLevel="0" collapsed="false">
      <c r="F697" s="8" t="str">
        <f aca="false">IF($C697="","",IFERROR(INDEX({"1x1-pp";"2x2a-pp";"2x2b-pp";"3x2-pp"},MATCH($C697,{787;1092;1172;1291},0)),""))</f>
        <v/>
      </c>
    </row>
    <row r="698" customFormat="false" ht="15" hidden="false" customHeight="false" outlineLevel="0" collapsed="false">
      <c r="F698" s="8" t="str">
        <f aca="false">IF($C698="","",IFERROR(INDEX({"1x1-pp";"2x2a-pp";"2x2b-pp";"3x2-pp"},MATCH($C698,{787;1092;1172;1291},0)),""))</f>
        <v/>
      </c>
    </row>
    <row r="699" customFormat="false" ht="15" hidden="false" customHeight="false" outlineLevel="0" collapsed="false">
      <c r="F699" s="8" t="str">
        <f aca="false">IF($C699="","",IFERROR(INDEX({"1x1-pp";"2x2a-pp";"2x2b-pp";"3x2-pp"},MATCH($C699,{787;1092;1172;1291},0)),""))</f>
        <v/>
      </c>
    </row>
    <row r="700" customFormat="false" ht="15" hidden="false" customHeight="false" outlineLevel="0" collapsed="false">
      <c r="F700" s="8" t="str">
        <f aca="false">IF($C700="","",IFERROR(INDEX({"1x1-pp";"2x2a-pp";"2x2b-pp";"3x2-pp"},MATCH($C700,{787;1092;1172;1291},0)),""))</f>
        <v/>
      </c>
    </row>
    <row r="701" customFormat="false" ht="15" hidden="false" customHeight="false" outlineLevel="0" collapsed="false">
      <c r="F701" s="8" t="str">
        <f aca="false">IF($C701="","",IFERROR(INDEX({"1x1-pp";"2x2a-pp";"2x2b-pp";"3x2-pp"},MATCH($C701,{787;1092;1172;1291},0)),""))</f>
        <v/>
      </c>
    </row>
    <row r="702" customFormat="false" ht="15" hidden="false" customHeight="false" outlineLevel="0" collapsed="false">
      <c r="F702" s="8" t="str">
        <f aca="false">IF($C702="","",IFERROR(INDEX({"1x1-pp";"2x2a-pp";"2x2b-pp";"3x2-pp"},MATCH($C702,{787;1092;1172;1291},0)),""))</f>
        <v/>
      </c>
    </row>
    <row r="703" customFormat="false" ht="15" hidden="false" customHeight="false" outlineLevel="0" collapsed="false">
      <c r="F703" s="8" t="str">
        <f aca="false">IF($C703="","",IFERROR(INDEX({"1x1-pp";"2x2a-pp";"2x2b-pp";"3x2-pp"},MATCH($C703,{787;1092;1172;1291},0)),""))</f>
        <v/>
      </c>
    </row>
    <row r="704" customFormat="false" ht="15" hidden="false" customHeight="false" outlineLevel="0" collapsed="false">
      <c r="F704" s="8" t="str">
        <f aca="false">IF($C704="","",IFERROR(INDEX({"1x1-pp";"2x2a-pp";"2x2b-pp";"3x2-pp"},MATCH($C704,{787;1092;1172;1291},0)),""))</f>
        <v/>
      </c>
    </row>
    <row r="705" customFormat="false" ht="15" hidden="false" customHeight="false" outlineLevel="0" collapsed="false">
      <c r="F705" s="8" t="str">
        <f aca="false">IF($C705="","",IFERROR(INDEX({"1x1-pp";"2x2a-pp";"2x2b-pp";"3x2-pp"},MATCH($C705,{787;1092;1172;1291},0)),""))</f>
        <v/>
      </c>
    </row>
    <row r="706" customFormat="false" ht="15" hidden="false" customHeight="false" outlineLevel="0" collapsed="false">
      <c r="F706" s="8" t="str">
        <f aca="false">IF($C706="","",IFERROR(INDEX({"1x1-pp";"2x2a-pp";"2x2b-pp";"3x2-pp"},MATCH($C706,{787;1092;1172;1291},0)),""))</f>
        <v/>
      </c>
    </row>
    <row r="707" customFormat="false" ht="15" hidden="false" customHeight="false" outlineLevel="0" collapsed="false">
      <c r="F707" s="8" t="str">
        <f aca="false">IF($C707="","",IFERROR(INDEX({"1x1-pp";"2x2a-pp";"2x2b-pp";"3x2-pp"},MATCH($C707,{787;1092;1172;1291},0)),""))</f>
        <v/>
      </c>
    </row>
    <row r="708" customFormat="false" ht="15" hidden="false" customHeight="false" outlineLevel="0" collapsed="false">
      <c r="F708" s="8" t="str">
        <f aca="false">IF($C708="","",IFERROR(INDEX({"1x1-pp";"2x2a-pp";"2x2b-pp";"3x2-pp"},MATCH($C708,{787;1092;1172;1291},0)),""))</f>
        <v/>
      </c>
    </row>
    <row r="709" customFormat="false" ht="15" hidden="false" customHeight="false" outlineLevel="0" collapsed="false">
      <c r="F709" s="8" t="str">
        <f aca="false">IF($C709="","",IFERROR(INDEX({"1x1-pp";"2x2a-pp";"2x2b-pp";"3x2-pp"},MATCH($C709,{787;1092;1172;1291},0)),""))</f>
        <v/>
      </c>
    </row>
    <row r="710" customFormat="false" ht="15" hidden="false" customHeight="false" outlineLevel="0" collapsed="false">
      <c r="F710" s="8" t="str">
        <f aca="false">IF($C710="","",IFERROR(INDEX({"1x1-pp";"2x2a-pp";"2x2b-pp";"3x2-pp"},MATCH($C710,{787;1092;1172;1291},0)),""))</f>
        <v/>
      </c>
    </row>
    <row r="711" customFormat="false" ht="15" hidden="false" customHeight="false" outlineLevel="0" collapsed="false">
      <c r="F711" s="8" t="str">
        <f aca="false">IF($C711="","",IFERROR(INDEX({"1x1-pp";"2x2a-pp";"2x2b-pp";"3x2-pp"},MATCH($C711,{787;1092;1172;1291},0)),""))</f>
        <v/>
      </c>
    </row>
    <row r="712" customFormat="false" ht="15" hidden="false" customHeight="false" outlineLevel="0" collapsed="false">
      <c r="F712" s="8" t="str">
        <f aca="false">IF($C712="","",IFERROR(INDEX({"1x1-pp";"2x2a-pp";"2x2b-pp";"3x2-pp"},MATCH($C712,{787;1092;1172;1291},0)),""))</f>
        <v/>
      </c>
    </row>
    <row r="713" customFormat="false" ht="15" hidden="false" customHeight="false" outlineLevel="0" collapsed="false">
      <c r="F713" s="8" t="str">
        <f aca="false">IF($C713="","",IFERROR(INDEX({"1x1-pp";"2x2a-pp";"2x2b-pp";"3x2-pp"},MATCH($C713,{787;1092;1172;1291},0)),""))</f>
        <v/>
      </c>
    </row>
    <row r="714" customFormat="false" ht="15" hidden="false" customHeight="false" outlineLevel="0" collapsed="false">
      <c r="F714" s="8" t="str">
        <f aca="false">IF($C714="","",IFERROR(INDEX({"1x1-pp";"2x2a-pp";"2x2b-pp";"3x2-pp"},MATCH($C714,{787;1092;1172;1291},0)),""))</f>
        <v/>
      </c>
    </row>
    <row r="715" customFormat="false" ht="15" hidden="false" customHeight="false" outlineLevel="0" collapsed="false">
      <c r="F715" s="8" t="str">
        <f aca="false">IF($C715="","",IFERROR(INDEX({"1x1-pp";"2x2a-pp";"2x2b-pp";"3x2-pp"},MATCH($C715,{787;1092;1172;1291},0)),""))</f>
        <v/>
      </c>
    </row>
    <row r="716" customFormat="false" ht="15" hidden="false" customHeight="false" outlineLevel="0" collapsed="false">
      <c r="F716" s="8" t="str">
        <f aca="false">IF($C716="","",IFERROR(INDEX({"1x1-pp";"2x2a-pp";"2x2b-pp";"3x2-pp"},MATCH($C716,{787;1092;1172;1291},0)),""))</f>
        <v/>
      </c>
    </row>
    <row r="717" customFormat="false" ht="15" hidden="false" customHeight="false" outlineLevel="0" collapsed="false">
      <c r="F717" s="8" t="str">
        <f aca="false">IF($C717="","",IFERROR(INDEX({"1x1-pp";"2x2a-pp";"2x2b-pp";"3x2-pp"},MATCH($C717,{787;1092;1172;1291},0)),""))</f>
        <v/>
      </c>
    </row>
    <row r="718" customFormat="false" ht="15" hidden="false" customHeight="false" outlineLevel="0" collapsed="false">
      <c r="F718" s="8" t="str">
        <f aca="false">IF($C718="","",IFERROR(INDEX({"1x1-pp";"2x2a-pp";"2x2b-pp";"3x2-pp"},MATCH($C718,{787;1092;1172;1291},0)),""))</f>
        <v/>
      </c>
    </row>
    <row r="719" customFormat="false" ht="15" hidden="false" customHeight="false" outlineLevel="0" collapsed="false">
      <c r="F719" s="8" t="str">
        <f aca="false">IF($C719="","",IFERROR(INDEX({"1x1-pp";"2x2a-pp";"2x2b-pp";"3x2-pp"},MATCH($C719,{787;1092;1172;1291},0)),""))</f>
        <v/>
      </c>
    </row>
    <row r="720" customFormat="false" ht="15" hidden="false" customHeight="false" outlineLevel="0" collapsed="false">
      <c r="F720" s="8" t="str">
        <f aca="false">IF($C720="","",IFERROR(INDEX({"1x1-pp";"2x2a-pp";"2x2b-pp";"3x2-pp"},MATCH($C720,{787;1092;1172;1291},0)),""))</f>
        <v/>
      </c>
    </row>
    <row r="721" customFormat="false" ht="15" hidden="false" customHeight="false" outlineLevel="0" collapsed="false">
      <c r="F721" s="8" t="str">
        <f aca="false">IF($C721="","",IFERROR(INDEX({"1x1-pp";"2x2a-pp";"2x2b-pp";"3x2-pp"},MATCH($C721,{787;1092;1172;1291},0)),""))</f>
        <v/>
      </c>
    </row>
    <row r="722" customFormat="false" ht="15" hidden="false" customHeight="false" outlineLevel="0" collapsed="false">
      <c r="F722" s="8" t="str">
        <f aca="false">IF($C722="","",IFERROR(INDEX({"1x1-pp";"2x2a-pp";"2x2b-pp";"3x2-pp"},MATCH($C722,{787;1092;1172;1291},0)),""))</f>
        <v/>
      </c>
    </row>
    <row r="723" customFormat="false" ht="15" hidden="false" customHeight="false" outlineLevel="0" collapsed="false">
      <c r="F723" s="8" t="str">
        <f aca="false">IF($C723="","",IFERROR(INDEX({"1x1-pp";"2x2a-pp";"2x2b-pp";"3x2-pp"},MATCH($C723,{787;1092;1172;1291},0)),""))</f>
        <v/>
      </c>
    </row>
    <row r="724" customFormat="false" ht="15" hidden="false" customHeight="false" outlineLevel="0" collapsed="false">
      <c r="F724" s="8" t="str">
        <f aca="false">IF($C724="","",IFERROR(INDEX({"1x1-pp";"2x2a-pp";"2x2b-pp";"3x2-pp"},MATCH($C724,{787;1092;1172;1291},0)),""))</f>
        <v/>
      </c>
    </row>
    <row r="725" customFormat="false" ht="15" hidden="false" customHeight="false" outlineLevel="0" collapsed="false">
      <c r="F725" s="8" t="str">
        <f aca="false">IF($C725="","",IFERROR(INDEX({"1x1-pp";"2x2a-pp";"2x2b-pp";"3x2-pp"},MATCH($C725,{787;1092;1172;1291},0)),""))</f>
        <v/>
      </c>
    </row>
    <row r="726" customFormat="false" ht="15" hidden="false" customHeight="false" outlineLevel="0" collapsed="false">
      <c r="F726" s="8" t="str">
        <f aca="false">IF($C726="","",IFERROR(INDEX({"1x1-pp";"2x2a-pp";"2x2b-pp";"3x2-pp"},MATCH($C726,{787;1092;1172;1291},0)),""))</f>
        <v/>
      </c>
    </row>
    <row r="727" customFormat="false" ht="15" hidden="false" customHeight="false" outlineLevel="0" collapsed="false">
      <c r="F727" s="8" t="str">
        <f aca="false">IF($C727="","",IFERROR(INDEX({"1x1-pp";"2x2a-pp";"2x2b-pp";"3x2-pp"},MATCH($C727,{787;1092;1172;1291},0)),""))</f>
        <v/>
      </c>
    </row>
    <row r="728" customFormat="false" ht="15" hidden="false" customHeight="false" outlineLevel="0" collapsed="false">
      <c r="F728" s="8" t="str">
        <f aca="false">IF($C728="","",IFERROR(INDEX({"1x1-pp";"2x2a-pp";"2x2b-pp";"3x2-pp"},MATCH($C728,{787;1092;1172;1291},0)),""))</f>
        <v/>
      </c>
    </row>
    <row r="729" customFormat="false" ht="15" hidden="false" customHeight="false" outlineLevel="0" collapsed="false">
      <c r="F729" s="8" t="str">
        <f aca="false">IF($C729="","",IFERROR(INDEX({"1x1-pp";"2x2a-pp";"2x2b-pp";"3x2-pp"},MATCH($C729,{787;1092;1172;1291},0)),""))</f>
        <v/>
      </c>
    </row>
    <row r="730" customFormat="false" ht="15" hidden="false" customHeight="false" outlineLevel="0" collapsed="false">
      <c r="F730" s="8" t="str">
        <f aca="false">IF($C730="","",IFERROR(INDEX({"1x1-pp";"2x2a-pp";"2x2b-pp";"3x2-pp"},MATCH($C730,{787;1092;1172;1291},0)),""))</f>
        <v/>
      </c>
    </row>
    <row r="731" customFormat="false" ht="15" hidden="false" customHeight="false" outlineLevel="0" collapsed="false">
      <c r="F731" s="8" t="str">
        <f aca="false">IF($C731="","",IFERROR(INDEX({"1x1-pp";"2x2a-pp";"2x2b-pp";"3x2-pp"},MATCH($C731,{787;1092;1172;1291},0)),""))</f>
        <v/>
      </c>
    </row>
    <row r="732" customFormat="false" ht="15" hidden="false" customHeight="false" outlineLevel="0" collapsed="false">
      <c r="F732" s="8" t="str">
        <f aca="false">IF($C732="","",IFERROR(INDEX({"1x1-pp";"2x2a-pp";"2x2b-pp";"3x2-pp"},MATCH($C732,{787;1092;1172;1291},0)),""))</f>
        <v/>
      </c>
    </row>
    <row r="733" customFormat="false" ht="15" hidden="false" customHeight="false" outlineLevel="0" collapsed="false">
      <c r="F733" s="8" t="str">
        <f aca="false">IF($C733="","",IFERROR(INDEX({"1x1-pp";"2x2a-pp";"2x2b-pp";"3x2-pp"},MATCH($C733,{787;1092;1172;1291},0)),""))</f>
        <v/>
      </c>
    </row>
    <row r="734" customFormat="false" ht="15" hidden="false" customHeight="false" outlineLevel="0" collapsed="false">
      <c r="F734" s="8" t="str">
        <f aca="false">IF($C734="","",IFERROR(INDEX({"1x1-pp";"2x2a-pp";"2x2b-pp";"3x2-pp"},MATCH($C734,{787;1092;1172;1291},0)),""))</f>
        <v/>
      </c>
    </row>
    <row r="735" customFormat="false" ht="15" hidden="false" customHeight="false" outlineLevel="0" collapsed="false">
      <c r="F735" s="8" t="str">
        <f aca="false">IF($C735="","",IFERROR(INDEX({"1x1-pp";"2x2a-pp";"2x2b-pp";"3x2-pp"},MATCH($C735,{787;1092;1172;1291},0)),""))</f>
        <v/>
      </c>
    </row>
    <row r="736" customFormat="false" ht="15" hidden="false" customHeight="false" outlineLevel="0" collapsed="false">
      <c r="F736" s="8" t="str">
        <f aca="false">IF($C736="","",IFERROR(INDEX({"1x1-pp";"2x2a-pp";"2x2b-pp";"3x2-pp"},MATCH($C736,{787;1092;1172;1291},0)),""))</f>
        <v/>
      </c>
    </row>
    <row r="737" customFormat="false" ht="15" hidden="false" customHeight="false" outlineLevel="0" collapsed="false">
      <c r="F737" s="8" t="str">
        <f aca="false">IF($C737="","",IFERROR(INDEX({"1x1-pp";"2x2a-pp";"2x2b-pp";"3x2-pp"},MATCH($C737,{787;1092;1172;1291},0)),""))</f>
        <v/>
      </c>
    </row>
    <row r="738" customFormat="false" ht="15" hidden="false" customHeight="false" outlineLevel="0" collapsed="false">
      <c r="F738" s="8" t="str">
        <f aca="false">IF($C738="","",IFERROR(INDEX({"1x1-pp";"2x2a-pp";"2x2b-pp";"3x2-pp"},MATCH($C738,{787;1092;1172;1291},0)),""))</f>
        <v/>
      </c>
    </row>
    <row r="739" customFormat="false" ht="15" hidden="false" customHeight="false" outlineLevel="0" collapsed="false">
      <c r="F739" s="8" t="str">
        <f aca="false">IF($C739="","",IFERROR(INDEX({"1x1-pp";"2x2a-pp";"2x2b-pp";"3x2-pp"},MATCH($C739,{787;1092;1172;1291},0)),""))</f>
        <v/>
      </c>
    </row>
    <row r="740" customFormat="false" ht="15" hidden="false" customHeight="false" outlineLevel="0" collapsed="false">
      <c r="F740" s="8" t="str">
        <f aca="false">IF($C740="","",IFERROR(INDEX({"1x1-pp";"2x2a-pp";"2x2b-pp";"3x2-pp"},MATCH($C740,{787;1092;1172;1291},0)),""))</f>
        <v/>
      </c>
    </row>
    <row r="741" customFormat="false" ht="15" hidden="false" customHeight="false" outlineLevel="0" collapsed="false">
      <c r="F741" s="8" t="str">
        <f aca="false">IF($C741="","",IFERROR(INDEX({"1x1-pp";"2x2a-pp";"2x2b-pp";"3x2-pp"},MATCH($C741,{787;1092;1172;1291},0)),""))</f>
        <v/>
      </c>
    </row>
    <row r="742" customFormat="false" ht="15" hidden="false" customHeight="false" outlineLevel="0" collapsed="false">
      <c r="F742" s="8" t="str">
        <f aca="false">IF($C742="","",IFERROR(INDEX({"1x1-pp";"2x2a-pp";"2x2b-pp";"3x2-pp"},MATCH($C742,{787;1092;1172;1291},0)),""))</f>
        <v/>
      </c>
    </row>
    <row r="743" customFormat="false" ht="15" hidden="false" customHeight="false" outlineLevel="0" collapsed="false">
      <c r="F743" s="8" t="str">
        <f aca="false">IF($C743="","",IFERROR(INDEX({"1x1-pp";"2x2a-pp";"2x2b-pp";"3x2-pp"},MATCH($C743,{787;1092;1172;1291},0)),""))</f>
        <v/>
      </c>
    </row>
    <row r="744" customFormat="false" ht="15" hidden="false" customHeight="false" outlineLevel="0" collapsed="false">
      <c r="F744" s="8" t="str">
        <f aca="false">IF($C744="","",IFERROR(INDEX({"1x1-pp";"2x2a-pp";"2x2b-pp";"3x2-pp"},MATCH($C744,{787;1092;1172;1291},0)),""))</f>
        <v/>
      </c>
    </row>
    <row r="745" customFormat="false" ht="15" hidden="false" customHeight="false" outlineLevel="0" collapsed="false">
      <c r="F745" s="8" t="str">
        <f aca="false">IF($C745="","",IFERROR(INDEX({"1x1-pp";"2x2a-pp";"2x2b-pp";"3x2-pp"},MATCH($C745,{787;1092;1172;1291},0)),""))</f>
        <v/>
      </c>
    </row>
    <row r="746" customFormat="false" ht="15" hidden="false" customHeight="false" outlineLevel="0" collapsed="false">
      <c r="F746" s="8" t="str">
        <f aca="false">IF($C746="","",IFERROR(INDEX({"1x1-pp";"2x2a-pp";"2x2b-pp";"3x2-pp"},MATCH($C746,{787;1092;1172;1291},0)),""))</f>
        <v/>
      </c>
    </row>
    <row r="747" customFormat="false" ht="15" hidden="false" customHeight="false" outlineLevel="0" collapsed="false">
      <c r="F747" s="8" t="str">
        <f aca="false">IF($C747="","",IFERROR(INDEX({"1x1-pp";"2x2a-pp";"2x2b-pp";"3x2-pp"},MATCH($C747,{787;1092;1172;1291},0)),""))</f>
        <v/>
      </c>
    </row>
    <row r="748" customFormat="false" ht="15" hidden="false" customHeight="false" outlineLevel="0" collapsed="false">
      <c r="F748" s="8" t="str">
        <f aca="false">IF($C748="","",IFERROR(INDEX({"1x1-pp";"2x2a-pp";"2x2b-pp";"3x2-pp"},MATCH($C748,{787;1092;1172;1291},0)),""))</f>
        <v/>
      </c>
    </row>
    <row r="749" customFormat="false" ht="15" hidden="false" customHeight="false" outlineLevel="0" collapsed="false">
      <c r="F749" s="8" t="str">
        <f aca="false">IF($C749="","",IFERROR(INDEX({"1x1-pp";"2x2a-pp";"2x2b-pp";"3x2-pp"},MATCH($C749,{787;1092;1172;1291},0)),""))</f>
        <v/>
      </c>
    </row>
    <row r="750" customFormat="false" ht="15" hidden="false" customHeight="false" outlineLevel="0" collapsed="false">
      <c r="F750" s="8" t="str">
        <f aca="false">IF($C750="","",IFERROR(INDEX({"1x1-pp";"2x2a-pp";"2x2b-pp";"3x2-pp"},MATCH($C750,{787;1092;1172;1291},0)),""))</f>
        <v/>
      </c>
    </row>
    <row r="751" customFormat="false" ht="15" hidden="false" customHeight="false" outlineLevel="0" collapsed="false">
      <c r="F751" s="8" t="str">
        <f aca="false">IF($C751="","",IFERROR(INDEX({"1x1-pp";"2x2a-pp";"2x2b-pp";"3x2-pp"},MATCH($C751,{787;1092;1172;1291},0)),""))</f>
        <v/>
      </c>
    </row>
    <row r="752" customFormat="false" ht="15" hidden="false" customHeight="false" outlineLevel="0" collapsed="false">
      <c r="F752" s="8" t="str">
        <f aca="false">IF($C752="","",IFERROR(INDEX({"1x1-pp";"2x2a-pp";"2x2b-pp";"3x2-pp"},MATCH($C752,{787;1092;1172;1291},0)),""))</f>
        <v/>
      </c>
    </row>
    <row r="753" customFormat="false" ht="15" hidden="false" customHeight="false" outlineLevel="0" collapsed="false">
      <c r="F753" s="8" t="str">
        <f aca="false">IF($C753="","",IFERROR(INDEX({"1x1-pp";"2x2a-pp";"2x2b-pp";"3x2-pp"},MATCH($C753,{787;1092;1172;1291},0)),""))</f>
        <v/>
      </c>
    </row>
    <row r="754" customFormat="false" ht="15" hidden="false" customHeight="false" outlineLevel="0" collapsed="false">
      <c r="F754" s="8" t="str">
        <f aca="false">IF($C754="","",IFERROR(INDEX({"1x1-pp";"2x2a-pp";"2x2b-pp";"3x2-pp"},MATCH($C754,{787;1092;1172;1291},0)),""))</f>
        <v/>
      </c>
    </row>
    <row r="755" customFormat="false" ht="15" hidden="false" customHeight="false" outlineLevel="0" collapsed="false">
      <c r="F755" s="8" t="str">
        <f aca="false">IF($C755="","",IFERROR(INDEX({"1x1-pp";"2x2a-pp";"2x2b-pp";"3x2-pp"},MATCH($C755,{787;1092;1172;1291},0)),""))</f>
        <v/>
      </c>
    </row>
    <row r="756" customFormat="false" ht="15" hidden="false" customHeight="false" outlineLevel="0" collapsed="false">
      <c r="F756" s="8" t="str">
        <f aca="false">IF($C756="","",IFERROR(INDEX({"1x1-pp";"2x2a-pp";"2x2b-pp";"3x2-pp"},MATCH($C756,{787;1092;1172;1291},0)),""))</f>
        <v/>
      </c>
    </row>
    <row r="757" customFormat="false" ht="15" hidden="false" customHeight="false" outlineLevel="0" collapsed="false">
      <c r="F757" s="8" t="str">
        <f aca="false">IF($C757="","",IFERROR(INDEX({"1x1-pp";"2x2a-pp";"2x2b-pp";"3x2-pp"},MATCH($C757,{787;1092;1172;1291},0)),""))</f>
        <v/>
      </c>
    </row>
    <row r="758" customFormat="false" ht="15" hidden="false" customHeight="false" outlineLevel="0" collapsed="false">
      <c r="F758" s="8" t="str">
        <f aca="false">IF($C758="","",IFERROR(INDEX({"1x1-pp";"2x2a-pp";"2x2b-pp";"3x2-pp"},MATCH($C758,{787;1092;1172;1291},0)),""))</f>
        <v/>
      </c>
    </row>
    <row r="759" customFormat="false" ht="15" hidden="false" customHeight="false" outlineLevel="0" collapsed="false">
      <c r="F759" s="8" t="str">
        <f aca="false">IF($C759="","",IFERROR(INDEX({"1x1-pp";"2x2a-pp";"2x2b-pp";"3x2-pp"},MATCH($C759,{787;1092;1172;1291},0)),""))</f>
        <v/>
      </c>
    </row>
    <row r="760" customFormat="false" ht="15" hidden="false" customHeight="false" outlineLevel="0" collapsed="false">
      <c r="F760" s="8" t="str">
        <f aca="false">IF($C760="","",IFERROR(INDEX({"1x1-pp";"2x2a-pp";"2x2b-pp";"3x2-pp"},MATCH($C760,{787;1092;1172;1291},0)),""))</f>
        <v/>
      </c>
    </row>
    <row r="761" customFormat="false" ht="15" hidden="false" customHeight="false" outlineLevel="0" collapsed="false">
      <c r="F761" s="8" t="str">
        <f aca="false">IF($C761="","",IFERROR(INDEX({"1x1-pp";"2x2a-pp";"2x2b-pp";"3x2-pp"},MATCH($C761,{787;1092;1172;1291},0)),""))</f>
        <v/>
      </c>
    </row>
    <row r="762" customFormat="false" ht="15" hidden="false" customHeight="false" outlineLevel="0" collapsed="false">
      <c r="F762" s="8" t="str">
        <f aca="false">IF($C762="","",IFERROR(INDEX({"1x1-pp";"2x2a-pp";"2x2b-pp";"3x2-pp"},MATCH($C762,{787;1092;1172;1291},0)),""))</f>
        <v/>
      </c>
    </row>
    <row r="763" customFormat="false" ht="15" hidden="false" customHeight="false" outlineLevel="0" collapsed="false">
      <c r="F763" s="8" t="str">
        <f aca="false">IF($C763="","",IFERROR(INDEX({"1x1-pp";"2x2a-pp";"2x2b-pp";"3x2-pp"},MATCH($C763,{787;1092;1172;1291},0)),""))</f>
        <v/>
      </c>
    </row>
    <row r="764" customFormat="false" ht="15" hidden="false" customHeight="false" outlineLevel="0" collapsed="false">
      <c r="F764" s="8" t="str">
        <f aca="false">IF($C764="","",IFERROR(INDEX({"1x1-pp";"2x2a-pp";"2x2b-pp";"3x2-pp"},MATCH($C764,{787;1092;1172;1291},0)),""))</f>
        <v/>
      </c>
    </row>
    <row r="765" customFormat="false" ht="15" hidden="false" customHeight="false" outlineLevel="0" collapsed="false">
      <c r="F765" s="8" t="str">
        <f aca="false">IF($C765="","",IFERROR(INDEX({"1x1-pp";"2x2a-pp";"2x2b-pp";"3x2-pp"},MATCH($C765,{787;1092;1172;1291},0)),""))</f>
        <v/>
      </c>
    </row>
    <row r="766" customFormat="false" ht="15" hidden="false" customHeight="false" outlineLevel="0" collapsed="false">
      <c r="F766" s="8" t="str">
        <f aca="false">IF($C766="","",IFERROR(INDEX({"1x1-pp";"2x2a-pp";"2x2b-pp";"3x2-pp"},MATCH($C766,{787;1092;1172;1291},0)),""))</f>
        <v/>
      </c>
    </row>
    <row r="767" customFormat="false" ht="15" hidden="false" customHeight="false" outlineLevel="0" collapsed="false">
      <c r="F767" s="8" t="str">
        <f aca="false">IF($C767="","",IFERROR(INDEX({"1x1-pp";"2x2a-pp";"2x2b-pp";"3x2-pp"},MATCH($C767,{787;1092;1172;1291},0)),""))</f>
        <v/>
      </c>
    </row>
    <row r="768" customFormat="false" ht="15" hidden="false" customHeight="false" outlineLevel="0" collapsed="false">
      <c r="F768" s="8" t="str">
        <f aca="false">IF($C768="","",IFERROR(INDEX({"1x1-pp";"2x2a-pp";"2x2b-pp";"3x2-pp"},MATCH($C768,{787;1092;1172;1291},0)),""))</f>
        <v/>
      </c>
    </row>
    <row r="769" customFormat="false" ht="15" hidden="false" customHeight="false" outlineLevel="0" collapsed="false">
      <c r="F769" s="8" t="str">
        <f aca="false">IF($C769="","",IFERROR(INDEX({"1x1-pp";"2x2a-pp";"2x2b-pp";"3x2-pp"},MATCH($C769,{787;1092;1172;1291},0)),""))</f>
        <v/>
      </c>
    </row>
    <row r="770" customFormat="false" ht="15" hidden="false" customHeight="false" outlineLevel="0" collapsed="false">
      <c r="F770" s="8" t="str">
        <f aca="false">IF($C770="","",IFERROR(INDEX({"1x1-pp";"2x2a-pp";"2x2b-pp";"3x2-pp"},MATCH($C770,{787;1092;1172;1291},0)),""))</f>
        <v/>
      </c>
    </row>
    <row r="771" customFormat="false" ht="15" hidden="false" customHeight="false" outlineLevel="0" collapsed="false">
      <c r="F771" s="8" t="str">
        <f aca="false">IF($C771="","",IFERROR(INDEX({"1x1-pp";"2x2a-pp";"2x2b-pp";"3x2-pp"},MATCH($C771,{787;1092;1172;1291},0)),""))</f>
        <v/>
      </c>
    </row>
    <row r="772" customFormat="false" ht="15" hidden="false" customHeight="false" outlineLevel="0" collapsed="false">
      <c r="F772" s="8" t="str">
        <f aca="false">IF($C772="","",IFERROR(INDEX({"1x1-pp";"2x2a-pp";"2x2b-pp";"3x2-pp"},MATCH($C772,{787;1092;1172;1291},0)),""))</f>
        <v/>
      </c>
    </row>
    <row r="773" customFormat="false" ht="15" hidden="false" customHeight="false" outlineLevel="0" collapsed="false">
      <c r="F773" s="8" t="str">
        <f aca="false">IF($C773="","",IFERROR(INDEX({"1x1-pp";"2x2a-pp";"2x2b-pp";"3x2-pp"},MATCH($C773,{787;1092;1172;1291},0)),""))</f>
        <v/>
      </c>
    </row>
    <row r="774" customFormat="false" ht="15" hidden="false" customHeight="false" outlineLevel="0" collapsed="false">
      <c r="F774" s="8" t="str">
        <f aca="false">IF($C774="","",IFERROR(INDEX({"1x1-pp";"2x2a-pp";"2x2b-pp";"3x2-pp"},MATCH($C774,{787;1092;1172;1291},0)),""))</f>
        <v/>
      </c>
    </row>
    <row r="775" customFormat="false" ht="15" hidden="false" customHeight="false" outlineLevel="0" collapsed="false">
      <c r="F775" s="8" t="str">
        <f aca="false">IF($C775="","",IFERROR(INDEX({"1x1-pp";"2x2a-pp";"2x2b-pp";"3x2-pp"},MATCH($C775,{787;1092;1172;1291},0)),""))</f>
        <v/>
      </c>
    </row>
    <row r="776" customFormat="false" ht="15" hidden="false" customHeight="false" outlineLevel="0" collapsed="false">
      <c r="F776" s="8" t="str">
        <f aca="false">IF($C776="","",IFERROR(INDEX({"1x1-pp";"2x2a-pp";"2x2b-pp";"3x2-pp"},MATCH($C776,{787;1092;1172;1291},0)),""))</f>
        <v/>
      </c>
    </row>
    <row r="777" customFormat="false" ht="15" hidden="false" customHeight="false" outlineLevel="0" collapsed="false">
      <c r="F777" s="8" t="str">
        <f aca="false">IF($C777="","",IFERROR(INDEX({"1x1-pp";"2x2a-pp";"2x2b-pp";"3x2-pp"},MATCH($C777,{787;1092;1172;1291},0)),""))</f>
        <v/>
      </c>
    </row>
    <row r="778" customFormat="false" ht="15" hidden="false" customHeight="false" outlineLevel="0" collapsed="false">
      <c r="F778" s="8" t="str">
        <f aca="false">IF($C778="","",IFERROR(INDEX({"1x1-pp";"2x2a-pp";"2x2b-pp";"3x2-pp"},MATCH($C778,{787;1092;1172;1291},0)),""))</f>
        <v/>
      </c>
    </row>
    <row r="779" customFormat="false" ht="15" hidden="false" customHeight="false" outlineLevel="0" collapsed="false">
      <c r="F779" s="8" t="str">
        <f aca="false">IF($C779="","",IFERROR(INDEX({"1x1-pp";"2x2a-pp";"2x2b-pp";"3x2-pp"},MATCH($C779,{787;1092;1172;1291},0)),""))</f>
        <v/>
      </c>
    </row>
    <row r="780" customFormat="false" ht="15" hidden="false" customHeight="false" outlineLevel="0" collapsed="false">
      <c r="F780" s="8" t="str">
        <f aca="false">IF($C780="","",IFERROR(INDEX({"1x1-pp";"2x2a-pp";"2x2b-pp";"3x2-pp"},MATCH($C780,{787;1092;1172;1291},0)),""))</f>
        <v/>
      </c>
    </row>
    <row r="781" customFormat="false" ht="15" hidden="false" customHeight="false" outlineLevel="0" collapsed="false">
      <c r="F781" s="8" t="str">
        <f aca="false">IF($C781="","",IFERROR(INDEX({"1x1-pp";"2x2a-pp";"2x2b-pp";"3x2-pp"},MATCH($C781,{787;1092;1172;1291},0)),""))</f>
        <v/>
      </c>
    </row>
    <row r="782" customFormat="false" ht="15" hidden="false" customHeight="false" outlineLevel="0" collapsed="false">
      <c r="F782" s="8" t="str">
        <f aca="false">IF($C782="","",IFERROR(INDEX({"1x1-pp";"2x2a-pp";"2x2b-pp";"3x2-pp"},MATCH($C782,{787;1092;1172;1291},0)),""))</f>
        <v/>
      </c>
    </row>
    <row r="783" customFormat="false" ht="15" hidden="false" customHeight="false" outlineLevel="0" collapsed="false">
      <c r="F783" s="8" t="str">
        <f aca="false">IF($C783="","",IFERROR(INDEX({"1x1-pp";"2x2a-pp";"2x2b-pp";"3x2-pp"},MATCH($C783,{787;1092;1172;1291},0)),""))</f>
        <v/>
      </c>
    </row>
    <row r="784" customFormat="false" ht="15" hidden="false" customHeight="false" outlineLevel="0" collapsed="false">
      <c r="F784" s="8" t="str">
        <f aca="false">IF($C784="","",IFERROR(INDEX({"1x1-pp";"2x2a-pp";"2x2b-pp";"3x2-pp"},MATCH($C784,{787;1092;1172;1291},0)),""))</f>
        <v/>
      </c>
    </row>
    <row r="785" customFormat="false" ht="15" hidden="false" customHeight="false" outlineLevel="0" collapsed="false">
      <c r="F785" s="8" t="str">
        <f aca="false">IF($C785="","",IFERROR(INDEX({"1x1-pp";"2x2a-pp";"2x2b-pp";"3x2-pp"},MATCH($C785,{787;1092;1172;1291},0)),""))</f>
        <v/>
      </c>
    </row>
    <row r="786" customFormat="false" ht="15" hidden="false" customHeight="false" outlineLevel="0" collapsed="false">
      <c r="F786" s="8" t="str">
        <f aca="false">IF($C786="","",IFERROR(INDEX({"1x1-pp";"2x2a-pp";"2x2b-pp";"3x2-pp"},MATCH($C786,{787;1092;1172;1291},0)),""))</f>
        <v/>
      </c>
    </row>
    <row r="787" customFormat="false" ht="15" hidden="false" customHeight="false" outlineLevel="0" collapsed="false">
      <c r="F787" s="8" t="str">
        <f aca="false">IF($C787="","",IFERROR(INDEX({"1x1-pp";"2x2a-pp";"2x2b-pp";"3x2-pp"},MATCH($C787,{787;1092;1172;1291},0)),""))</f>
        <v/>
      </c>
    </row>
    <row r="788" customFormat="false" ht="15" hidden="false" customHeight="false" outlineLevel="0" collapsed="false">
      <c r="F788" s="8" t="str">
        <f aca="false">IF($C788="","",IFERROR(INDEX({"1x1-pp";"2x2a-pp";"2x2b-pp";"3x2-pp"},MATCH($C788,{787;1092;1172;1291},0)),""))</f>
        <v/>
      </c>
    </row>
    <row r="789" customFormat="false" ht="15" hidden="false" customHeight="false" outlineLevel="0" collapsed="false">
      <c r="F789" s="8" t="str">
        <f aca="false">IF($C789="","",IFERROR(INDEX({"1x1-pp";"2x2a-pp";"2x2b-pp";"3x2-pp"},MATCH($C789,{787;1092;1172;1291},0)),""))</f>
        <v/>
      </c>
    </row>
    <row r="790" customFormat="false" ht="15" hidden="false" customHeight="false" outlineLevel="0" collapsed="false">
      <c r="F790" s="8" t="str">
        <f aca="false">IF($C790="","",IFERROR(INDEX({"1x1-pp";"2x2a-pp";"2x2b-pp";"3x2-pp"},MATCH($C790,{787;1092;1172;1291},0)),""))</f>
        <v/>
      </c>
    </row>
    <row r="791" customFormat="false" ht="15" hidden="false" customHeight="false" outlineLevel="0" collapsed="false">
      <c r="F791" s="8" t="str">
        <f aca="false">IF($C791="","",IFERROR(INDEX({"1x1-pp";"2x2a-pp";"2x2b-pp";"3x2-pp"},MATCH($C791,{787;1092;1172;1291},0)),""))</f>
        <v/>
      </c>
    </row>
    <row r="792" customFormat="false" ht="15" hidden="false" customHeight="false" outlineLevel="0" collapsed="false">
      <c r="F792" s="8" t="str">
        <f aca="false">IF($C792="","",IFERROR(INDEX({"1x1-pp";"2x2a-pp";"2x2b-pp";"3x2-pp"},MATCH($C792,{787;1092;1172;1291},0)),""))</f>
        <v/>
      </c>
    </row>
    <row r="793" customFormat="false" ht="15" hidden="false" customHeight="false" outlineLevel="0" collapsed="false">
      <c r="F793" s="8" t="str">
        <f aca="false">IF($C793="","",IFERROR(INDEX({"1x1-pp";"2x2a-pp";"2x2b-pp";"3x2-pp"},MATCH($C793,{787;1092;1172;1291},0)),""))</f>
        <v/>
      </c>
    </row>
    <row r="794" customFormat="false" ht="15" hidden="false" customHeight="false" outlineLevel="0" collapsed="false">
      <c r="F794" s="8" t="str">
        <f aca="false">IF($C794="","",IFERROR(INDEX({"1x1-pp";"2x2a-pp";"2x2b-pp";"3x2-pp"},MATCH($C794,{787;1092;1172;1291},0)),""))</f>
        <v/>
      </c>
    </row>
    <row r="795" customFormat="false" ht="15" hidden="false" customHeight="false" outlineLevel="0" collapsed="false">
      <c r="F795" s="8" t="str">
        <f aca="false">IF($C795="","",IFERROR(INDEX({"1x1-pp";"2x2a-pp";"2x2b-pp";"3x2-pp"},MATCH($C795,{787;1092;1172;1291},0)),""))</f>
        <v/>
      </c>
    </row>
    <row r="796" customFormat="false" ht="15" hidden="false" customHeight="false" outlineLevel="0" collapsed="false">
      <c r="F796" s="8" t="str">
        <f aca="false">IF($C796="","",IFERROR(INDEX({"1x1-pp";"2x2a-pp";"2x2b-pp";"3x2-pp"},MATCH($C796,{787;1092;1172;1291},0)),""))</f>
        <v/>
      </c>
    </row>
    <row r="797" customFormat="false" ht="15" hidden="false" customHeight="false" outlineLevel="0" collapsed="false">
      <c r="F797" s="8" t="str">
        <f aca="false">IF($C797="","",IFERROR(INDEX({"1x1-pp";"2x2a-pp";"2x2b-pp";"3x2-pp"},MATCH($C797,{787;1092;1172;1291},0)),""))</f>
        <v/>
      </c>
    </row>
    <row r="798" customFormat="false" ht="15" hidden="false" customHeight="false" outlineLevel="0" collapsed="false">
      <c r="F798" s="8" t="str">
        <f aca="false">IF($C798="","",IFERROR(INDEX({"1x1-pp";"2x2a-pp";"2x2b-pp";"3x2-pp"},MATCH($C798,{787;1092;1172;1291},0)),""))</f>
        <v/>
      </c>
    </row>
    <row r="799" customFormat="false" ht="15" hidden="false" customHeight="false" outlineLevel="0" collapsed="false">
      <c r="F799" s="8" t="str">
        <f aca="false">IF($C799="","",IFERROR(INDEX({"1x1-pp";"2x2a-pp";"2x2b-pp";"3x2-pp"},MATCH($C799,{787;1092;1172;1291},0)),""))</f>
        <v/>
      </c>
    </row>
    <row r="800" customFormat="false" ht="15" hidden="false" customHeight="false" outlineLevel="0" collapsed="false">
      <c r="F800" s="8" t="str">
        <f aca="false">IF($C800="","",IFERROR(INDEX({"1x1-pp";"2x2a-pp";"2x2b-pp";"3x2-pp"},MATCH($C800,{787;1092;1172;1291},0)),""))</f>
        <v/>
      </c>
    </row>
    <row r="801" customFormat="false" ht="15" hidden="false" customHeight="false" outlineLevel="0" collapsed="false">
      <c r="F801" s="8" t="str">
        <f aca="false">IF($C801="","",IFERROR(INDEX({"1x1-pp";"2x2a-pp";"2x2b-pp";"3x2-pp"},MATCH($C801,{787;1092;1172;1291},0)),""))</f>
        <v/>
      </c>
    </row>
  </sheetData>
  <mergeCells count="1">
    <mergeCell ref="H1:H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0"/>
  </cols>
  <sheetData>
    <row r="2" customFormat="false" ht="16.15" hidden="false" customHeight="false" outlineLevel="0" collapsed="false">
      <c r="B2" s="1" t="s">
        <v>401</v>
      </c>
    </row>
    <row r="3" customFormat="false" ht="53.7" hidden="false" customHeight="false" outlineLevel="0" collapsed="false">
      <c r="B3" s="15" t="s">
        <v>402</v>
      </c>
    </row>
    <row r="5" customFormat="false" ht="15" hidden="false" customHeight="false" outlineLevel="0" collapsed="false">
      <c r="B5" s="6" t="s">
        <v>403</v>
      </c>
    </row>
    <row r="6" customFormat="false" ht="15" hidden="false" customHeight="false" outlineLevel="0" collapsed="false">
      <c r="B6" s="7" t="s">
        <v>404</v>
      </c>
      <c r="C6" s="7" t="s">
        <v>405</v>
      </c>
      <c r="D6" s="7" t="s">
        <v>406</v>
      </c>
    </row>
    <row r="7" customFormat="false" ht="15" hidden="false" customHeight="false" outlineLevel="0" collapsed="false">
      <c r="B7" s="8" t="s">
        <v>407</v>
      </c>
      <c r="C7" s="19" t="n">
        <v>46244</v>
      </c>
      <c r="D7" s="10" t="n">
        <v>1605</v>
      </c>
    </row>
    <row r="8" customFormat="false" ht="15" hidden="false" customHeight="false" outlineLevel="0" collapsed="false">
      <c r="B8" s="8" t="s">
        <v>90</v>
      </c>
      <c r="C8" s="19" t="n">
        <v>46234</v>
      </c>
      <c r="D8" s="10" t="n">
        <v>1515</v>
      </c>
    </row>
    <row r="9" customFormat="false" ht="15" hidden="false" customHeight="false" outlineLevel="0" collapsed="false">
      <c r="B9" s="8" t="s">
        <v>408</v>
      </c>
      <c r="C9" s="19" t="n">
        <v>46232</v>
      </c>
      <c r="D9" s="10" t="n">
        <v>1641</v>
      </c>
    </row>
    <row r="10" customFormat="false" ht="15" hidden="false" customHeight="false" outlineLevel="0" collapsed="false">
      <c r="B10" s="8" t="s">
        <v>409</v>
      </c>
      <c r="C10" s="19" t="n">
        <v>46225</v>
      </c>
      <c r="D10" s="10" t="n">
        <v>1505</v>
      </c>
    </row>
    <row r="11" customFormat="false" ht="15" hidden="false" customHeight="false" outlineLevel="0" collapsed="false">
      <c r="B11" s="8" t="s">
        <v>410</v>
      </c>
      <c r="C11" s="19" t="n">
        <v>46204</v>
      </c>
      <c r="D11" s="10" t="n">
        <v>1588</v>
      </c>
    </row>
    <row r="12" customFormat="false" ht="15" hidden="false" customHeight="false" outlineLevel="0" collapsed="false">
      <c r="B12" s="3" t="s">
        <v>411</v>
      </c>
      <c r="D12" s="12" t="n">
        <f aca="false">AVERAGE(D7:D11)</f>
        <v>1570.8</v>
      </c>
    </row>
    <row r="14" customFormat="false" ht="15" hidden="false" customHeight="false" outlineLevel="0" collapsed="false">
      <c r="B14" s="7" t="s">
        <v>412</v>
      </c>
      <c r="C14" s="7" t="s">
        <v>405</v>
      </c>
      <c r="D14" s="7" t="s">
        <v>406</v>
      </c>
    </row>
    <row r="15" customFormat="false" ht="15" hidden="false" customHeight="false" outlineLevel="0" collapsed="false">
      <c r="B15" s="8" t="s">
        <v>413</v>
      </c>
      <c r="C15" s="19" t="n">
        <v>46240</v>
      </c>
      <c r="D15" s="10" t="n">
        <v>1852</v>
      </c>
    </row>
    <row r="16" customFormat="false" ht="15" hidden="false" customHeight="false" outlineLevel="0" collapsed="false">
      <c r="B16" s="8" t="s">
        <v>414</v>
      </c>
      <c r="C16" s="19" t="n">
        <v>46231</v>
      </c>
      <c r="D16" s="10" t="n">
        <v>1983</v>
      </c>
    </row>
    <row r="17" customFormat="false" ht="15" hidden="false" customHeight="false" outlineLevel="0" collapsed="false">
      <c r="B17" s="8" t="s">
        <v>415</v>
      </c>
      <c r="C17" s="19" t="n">
        <v>46231</v>
      </c>
      <c r="D17" s="10" t="n">
        <v>1983</v>
      </c>
    </row>
    <row r="18" customFormat="false" ht="15" hidden="false" customHeight="false" outlineLevel="0" collapsed="false">
      <c r="B18" s="8" t="s">
        <v>416</v>
      </c>
      <c r="C18" s="19" t="n">
        <v>46224</v>
      </c>
      <c r="D18" s="10" t="n">
        <v>1862</v>
      </c>
    </row>
    <row r="19" customFormat="false" ht="15" hidden="false" customHeight="false" outlineLevel="0" collapsed="false">
      <c r="B19" s="8" t="s">
        <v>183</v>
      </c>
      <c r="C19" s="19" t="n">
        <v>46214</v>
      </c>
      <c r="D19" s="10" t="n">
        <v>1852</v>
      </c>
    </row>
    <row r="20" customFormat="false" ht="15" hidden="false" customHeight="false" outlineLevel="0" collapsed="false">
      <c r="B20" s="3" t="s">
        <v>411</v>
      </c>
      <c r="D20" s="12" t="n">
        <f aca="false">AVERAGE(D15:D19)</f>
        <v>1906.4</v>
      </c>
    </row>
    <row r="22" customFormat="false" ht="15" hidden="false" customHeight="false" outlineLevel="0" collapsed="false">
      <c r="B22" s="7" t="s">
        <v>417</v>
      </c>
      <c r="C22" s="7" t="s">
        <v>405</v>
      </c>
      <c r="D22" s="7" t="s">
        <v>406</v>
      </c>
    </row>
    <row r="23" customFormat="false" ht="15" hidden="false" customHeight="false" outlineLevel="0" collapsed="false">
      <c r="B23" s="8" t="s">
        <v>418</v>
      </c>
      <c r="C23" s="19" t="n">
        <v>46235</v>
      </c>
      <c r="D23" s="10" t="n">
        <v>1820</v>
      </c>
    </row>
    <row r="24" customFormat="false" ht="15" hidden="false" customHeight="false" outlineLevel="0" collapsed="false">
      <c r="B24" s="8" t="s">
        <v>419</v>
      </c>
      <c r="C24" s="19" t="n">
        <v>46233</v>
      </c>
      <c r="D24" s="10" t="n">
        <v>2018</v>
      </c>
    </row>
    <row r="25" customFormat="false" ht="15" hidden="false" customHeight="false" outlineLevel="0" collapsed="false">
      <c r="B25" s="8" t="s">
        <v>420</v>
      </c>
      <c r="C25" s="19" t="n">
        <v>46226</v>
      </c>
      <c r="D25" s="10" t="n">
        <v>1907</v>
      </c>
    </row>
    <row r="26" customFormat="false" ht="15" hidden="false" customHeight="false" outlineLevel="0" collapsed="false">
      <c r="B26" s="8" t="s">
        <v>80</v>
      </c>
      <c r="C26" s="19" t="n">
        <v>46206</v>
      </c>
      <c r="D26" s="10" t="n">
        <v>1807</v>
      </c>
    </row>
    <row r="27" customFormat="false" ht="15" hidden="false" customHeight="false" outlineLevel="0" collapsed="false">
      <c r="B27" s="8" t="s">
        <v>421</v>
      </c>
      <c r="C27" s="19" t="n">
        <v>46202</v>
      </c>
      <c r="D27" s="10" t="n">
        <v>1817</v>
      </c>
    </row>
    <row r="28" customFormat="false" ht="15" hidden="false" customHeight="false" outlineLevel="0" collapsed="false">
      <c r="B28" s="3" t="s">
        <v>411</v>
      </c>
      <c r="D28" s="12" t="n">
        <f aca="false">AVERAGE(D23:D27)</f>
        <v>1873.8</v>
      </c>
    </row>
    <row r="30" customFormat="false" ht="15" hidden="false" customHeight="false" outlineLevel="0" collapsed="false">
      <c r="B30" s="7" t="s">
        <v>422</v>
      </c>
      <c r="C30" s="7" t="s">
        <v>405</v>
      </c>
      <c r="D30" s="7" t="s">
        <v>406</v>
      </c>
    </row>
    <row r="31" customFormat="false" ht="15" hidden="false" customHeight="false" outlineLevel="0" collapsed="false">
      <c r="B31" s="8" t="s">
        <v>423</v>
      </c>
      <c r="C31" s="19" t="n">
        <v>46195</v>
      </c>
      <c r="D31" s="10" t="n">
        <v>2233</v>
      </c>
    </row>
    <row r="32" customFormat="false" ht="15" hidden="false" customHeight="false" outlineLevel="0" collapsed="false">
      <c r="B32" s="8" t="s">
        <v>136</v>
      </c>
      <c r="C32" s="19" t="n">
        <v>46191</v>
      </c>
      <c r="D32" s="10" t="n">
        <v>2135</v>
      </c>
    </row>
    <row r="33" customFormat="false" ht="15" hidden="false" customHeight="false" outlineLevel="0" collapsed="false">
      <c r="B33" s="8" t="s">
        <v>232</v>
      </c>
      <c r="C33" s="19" t="n">
        <v>46176</v>
      </c>
      <c r="D33" s="10" t="n">
        <v>2233</v>
      </c>
    </row>
    <row r="34" customFormat="false" ht="15" hidden="false" customHeight="false" outlineLevel="0" collapsed="false">
      <c r="B34" s="8" t="s">
        <v>76</v>
      </c>
      <c r="C34" s="19" t="n">
        <v>46146</v>
      </c>
      <c r="D34" s="10" t="n">
        <v>2117</v>
      </c>
    </row>
    <row r="35" customFormat="false" ht="15" hidden="false" customHeight="false" outlineLevel="0" collapsed="false">
      <c r="B35" s="8" t="s">
        <v>424</v>
      </c>
      <c r="C35" s="19" t="n">
        <v>46129</v>
      </c>
      <c r="D35" s="10" t="n">
        <v>1920</v>
      </c>
    </row>
    <row r="36" customFormat="false" ht="15" hidden="false" customHeight="false" outlineLevel="0" collapsed="false">
      <c r="B36" s="3" t="s">
        <v>411</v>
      </c>
      <c r="D36" s="12" t="n">
        <f aca="false">AVERAGE(D31:D35)</f>
        <v>2127.6</v>
      </c>
    </row>
    <row r="38" customFormat="false" ht="15" hidden="false" customHeight="false" outlineLevel="0" collapsed="false">
      <c r="B38" s="6" t="s">
        <v>425</v>
      </c>
    </row>
    <row r="39" customFormat="false" ht="15" hidden="false" customHeight="false" outlineLevel="0" collapsed="false">
      <c r="B39" s="7" t="s">
        <v>4</v>
      </c>
      <c r="C39" s="7" t="s">
        <v>5</v>
      </c>
      <c r="D39" s="7" t="s">
        <v>411</v>
      </c>
    </row>
    <row r="40" customFormat="false" ht="15" hidden="false" customHeight="false" outlineLevel="0" collapsed="false">
      <c r="B40" s="8" t="s">
        <v>426</v>
      </c>
      <c r="C40" s="9" t="n">
        <v>106</v>
      </c>
      <c r="D40" s="17" t="n">
        <f aca="false">D12</f>
        <v>1570.8</v>
      </c>
    </row>
    <row r="41" customFormat="false" ht="15" hidden="false" customHeight="false" outlineLevel="0" collapsed="false">
      <c r="B41" s="8" t="s">
        <v>427</v>
      </c>
      <c r="C41" s="9" t="n">
        <v>100</v>
      </c>
      <c r="D41" s="17" t="n">
        <f aca="false">D20</f>
        <v>1906.4</v>
      </c>
    </row>
    <row r="42" customFormat="false" ht="15" hidden="false" customHeight="false" outlineLevel="0" collapsed="false">
      <c r="B42" s="8" t="s">
        <v>428</v>
      </c>
      <c r="C42" s="9" t="n">
        <v>30</v>
      </c>
      <c r="D42" s="17" t="n">
        <f aca="false">D28</f>
        <v>1873.8</v>
      </c>
    </row>
    <row r="43" customFormat="false" ht="15" hidden="false" customHeight="false" outlineLevel="0" collapsed="false">
      <c r="B43" s="8" t="s">
        <v>429</v>
      </c>
      <c r="C43" s="9" t="n">
        <v>44</v>
      </c>
      <c r="D43" s="17" t="n">
        <f aca="false">D36</f>
        <v>2127.6</v>
      </c>
    </row>
    <row r="44" customFormat="false" ht="15" hidden="false" customHeight="false" outlineLevel="0" collapsed="false">
      <c r="B44" s="3" t="s">
        <v>430</v>
      </c>
      <c r="D44" s="12" t="n">
        <f aca="false">SUMPRODUCT(D40:D43,C40:C43)/SUM(C40:C43)</f>
        <v>1810.61857142857</v>
      </c>
    </row>
    <row r="46" customFormat="false" ht="15" hidden="false" customHeight="false" outlineLevel="0" collapsed="false">
      <c r="B46" s="6" t="s">
        <v>431</v>
      </c>
    </row>
    <row r="47" customFormat="false" ht="15" hidden="false" customHeight="false" outlineLevel="0" collapsed="false">
      <c r="B47" s="7" t="s">
        <v>4</v>
      </c>
      <c r="C47" s="7" t="s">
        <v>5</v>
      </c>
      <c r="D47" s="7" t="s">
        <v>411</v>
      </c>
    </row>
    <row r="48" customFormat="false" ht="15" hidden="false" customHeight="false" outlineLevel="0" collapsed="false">
      <c r="B48" s="8" t="s">
        <v>7</v>
      </c>
      <c r="C48" s="9" t="n">
        <v>15</v>
      </c>
      <c r="D48" s="10" t="n">
        <v>1495.8</v>
      </c>
    </row>
    <row r="49" customFormat="false" ht="15" hidden="false" customHeight="false" outlineLevel="0" collapsed="false">
      <c r="B49" s="8" t="s">
        <v>8</v>
      </c>
      <c r="C49" s="9" t="n">
        <v>120</v>
      </c>
      <c r="D49" s="10" t="n">
        <v>1679</v>
      </c>
    </row>
    <row r="50" customFormat="false" ht="15" hidden="false" customHeight="false" outlineLevel="0" collapsed="false">
      <c r="B50" s="8" t="s">
        <v>9</v>
      </c>
      <c r="C50" s="9" t="n">
        <v>45</v>
      </c>
      <c r="D50" s="10" t="n">
        <v>1766.4</v>
      </c>
    </row>
    <row r="51" customFormat="false" ht="15" hidden="false" customHeight="false" outlineLevel="0" collapsed="false">
      <c r="B51" s="8" t="s">
        <v>10</v>
      </c>
      <c r="C51" s="9" t="n">
        <v>30</v>
      </c>
      <c r="D51" s="10" t="n">
        <v>1901.8</v>
      </c>
    </row>
    <row r="52" customFormat="false" ht="15" hidden="false" customHeight="false" outlineLevel="0" collapsed="false">
      <c r="B52" s="8" t="s">
        <v>11</v>
      </c>
      <c r="C52" s="9" t="n">
        <v>75</v>
      </c>
      <c r="D52" s="10" t="n">
        <v>2074</v>
      </c>
    </row>
    <row r="53" customFormat="false" ht="15" hidden="false" customHeight="false" outlineLevel="0" collapsed="false">
      <c r="B53" s="8" t="s">
        <v>12</v>
      </c>
      <c r="C53" s="9" t="n">
        <v>15</v>
      </c>
      <c r="D53" s="10" t="n">
        <v>2012.4</v>
      </c>
    </row>
    <row r="54" customFormat="false" ht="15" hidden="false" customHeight="false" outlineLevel="0" collapsed="false">
      <c r="B54" s="8" t="s">
        <v>13</v>
      </c>
      <c r="C54" s="9" t="n">
        <v>30</v>
      </c>
      <c r="D54" s="10" t="n">
        <v>2066.2</v>
      </c>
    </row>
    <row r="55" customFormat="false" ht="15" hidden="false" customHeight="false" outlineLevel="0" collapsed="false">
      <c r="B55" s="8" t="s">
        <v>14</v>
      </c>
      <c r="C55" s="9" t="n">
        <v>10</v>
      </c>
      <c r="D55" s="10" t="n">
        <v>2497.8</v>
      </c>
    </row>
    <row r="56" customFormat="false" ht="15" hidden="false" customHeight="false" outlineLevel="0" collapsed="false">
      <c r="B56" s="8" t="s">
        <v>15</v>
      </c>
      <c r="C56" s="9" t="n">
        <v>20</v>
      </c>
      <c r="D56" s="10" t="n">
        <v>2266.4</v>
      </c>
    </row>
    <row r="57" customFormat="false" ht="15" hidden="false" customHeight="false" outlineLevel="0" collapsed="false">
      <c r="B57" s="3" t="s">
        <v>432</v>
      </c>
      <c r="D57" s="12" t="n">
        <f aca="false">SUMPRODUCT(D48:D56,C48:C56)/SUM(C48:C56)</f>
        <v>1884.68611111111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2026-08-13T18:50:50Z</dcterms:created>
  <dc:creator>openpyxl</dc:creator>
  <dc:description/>
  <dc:language>en-US</dc:language>
  <cp:lastModifiedBy/>
  <dcterms:modified xsi:type="dcterms:W3CDTF">2026-08-13T18:50:51Z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