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Deals" sheetId="2" state="visible" r:id="rId4"/>
    <sheet name="2_ProFormas" sheetId="3" state="visible" r:id="rId5"/>
    <sheet name="3_Emblem_Norm" sheetId="4" state="visible" r:id="rId6"/>
    <sheet name="4_Judy_Norm" sheetId="5" state="visible" r:id="rId7"/>
    <sheet name="5_Pencil" sheetId="6" state="visible" r:id="rId8"/>
    <sheet name="6_Exit" sheetId="7" state="visible" r:id="rId9"/>
    <sheet name="7_Taxes" sheetId="8" state="visible" r:id="rId10"/>
    <sheet name="8_Supply" sheetId="9" state="visible" r:id="rId11"/>
    <sheet name="9_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<sst xmlns="http://schemas.openxmlformats.org/spreadsheetml/2006/main" count="446" uniqueCount="403">
  <si>
    <t xml:space="preserve">Boise MSA — Seasons at Meridian: Deal Comparison &amp; Developer Underwriting Normalization</t>
  </si>
  <si>
    <t xml:space="preserve">Prepared 2026-08-13 · All model figures re-extracted programmatically from source workbooks and verified (59/59 checks). Companion: knowledge/Seasons-Meridian-Replacement-Cost-and-Supply-Economics.md</t>
  </si>
  <si>
    <t xml:space="preserve">LEGEND</t>
  </si>
  <si>
    <t xml:space="preserve">Blue font = hardcoded input extracted from a source model (source cited in Notes/Sources).</t>
  </si>
  <si>
    <t xml:space="preserve">Black font = formula computed in this workbook.  Green = link to another sheet.</t>
  </si>
  <si>
    <t xml:space="preserve">Yellow fill = key normalization assumption — edit these to flex the analysis.</t>
  </si>
  <si>
    <t xml:space="preserve">TABS</t>
  </si>
  <si>
    <t xml:space="preserve">1_Deals — Five-deal side-by-side: pricing, rents, yields, exits, returns.</t>
  </si>
  <si>
    <t xml:space="preserve">2_ProFormas — Per-unit stabilized pro formas, one chart of accounts, with other-income component detail.</t>
  </si>
  <si>
    <t xml:space="preserve">3_Emblem_Norm — Emblem Meridian (Quarterra) underwriting normalized: other income, taxes, exit cap.</t>
  </si>
  <si>
    <t xml:space="preserve">4_Judy_Norm — The Judy / Maple Grove &amp; Overland (Hawkins) normalized: other income, Boise taxes, land basis.</t>
  </si>
  <si>
    <t xml:space="preserve">5_Pencil — Rent required for new development to pencil, 2026-2032, vs Seasons UW rent path.</t>
  </si>
  <si>
    <t xml:space="preserve">6_Exit — Seasons exit-cap sensitivity (UIRR/LIRR) + exit anatomy vs Emblem + vintage evidence.</t>
  </si>
  <si>
    <t xml:space="preserve">7_Taxes — Meridian vs Boise levy normalization and tax-adjusted cap rates.</t>
  </si>
  <si>
    <t xml:space="preserve">8_Supply — Apartment-ready land, pipeline roster, and demand/supply base case.</t>
  </si>
  <si>
    <t xml:space="preserve">9_Sources — File-by-file provenance, key cells, and method notes.</t>
  </si>
  <si>
    <t xml:space="preserve">KEY CONCLUSIONS</t>
  </si>
  <si>
    <t xml:space="preserve">1. Emblem true untrended yield-on-cost is ~6.3%, not the marketed 6.65% — other income is ~$0.8K/unit high; the 5.50% exit cap is sandbagged and roughly offsets, so their exit VALUE is about right at a normalized 5.25% cap, but their YIELD claim deflates.</t>
  </si>
  <si>
    <t xml:space="preserve">2. The Judy true untrended yield is ~6.0-6.15%, not 6.52% — Boise taxes are ~$750-950/unit light and OI ~$570/unit high; on market-priced land the deal is ~5.9%. This deal only pencils because of its 2024 land basis.</t>
  </si>
  <si>
    <t xml:space="preserve">3. Corrected pencil rents are HIGHER than the developers show: ~$2.24/SF (their product) to ~$2.30/SF (Seasons-like product) at 6.5% ROC today, vs Seasons at $2.02 — the supply moat is wider than the books imply.</t>
  </si>
  <si>
    <t xml:space="preserve">4. Normalized new-product exit caps of 5.00-5.25% support underwriting the Seasons exit as a 5.00-5.25% band ($400.6K-$382K/unit); the vintage discount lives in NOI (our exit NOI is 8.9% below new-build), not the cap.</t>
  </si>
  <si>
    <t xml:space="preserve">5. Meridian vs Boise taxes are worth ~$2,100/unit/yr (~$42K/unit at a 5% cap); always tax-normalize before comparing cap rates across the two cities.</t>
  </si>
  <si>
    <t xml:space="preserve">Five-Deal Comparison</t>
  </si>
  <si>
    <t xml:space="preserve">Metric</t>
  </si>
  <si>
    <t xml:space="preserve">Seasons at Meridian</t>
  </si>
  <si>
    <t xml:space="preserve">Prelude at Paramount</t>
  </si>
  <si>
    <t xml:space="preserve">Canyon Ridge</t>
  </si>
  <si>
    <t xml:space="preserve">Emblem Meridian</t>
  </si>
  <si>
    <t xml:space="preserve">The Judy (MGO)</t>
  </si>
  <si>
    <t xml:space="preserve">Notes</t>
  </si>
  <si>
    <t xml:space="preserve">Role</t>
  </si>
  <si>
    <t xml:space="preserve">Acquisition target</t>
  </si>
  <si>
    <t xml:space="preserve">Owned (12/2025)</t>
  </si>
  <si>
    <t xml:space="preserve">Comp — under contract</t>
  </si>
  <si>
    <t xml:space="preserve">Development (equity raise)</t>
  </si>
  <si>
    <t xml:space="preserve">Emblem: Quarterra/Lennar. Judy: Hawkins.</t>
  </si>
  <si>
    <t xml:space="preserve">Location</t>
  </si>
  <si>
    <t xml:space="preserve">2700 E Overland Rd, Meridian</t>
  </si>
  <si>
    <t xml:space="preserve">4909 N Elsinore Ave, Meridian</t>
  </si>
  <si>
    <t xml:space="preserve">2552 E Gowen Rd, Boise</t>
  </si>
  <si>
    <t xml:space="preserve">Eagle/Overland corridor, Meridian</t>
  </si>
  <si>
    <t xml:space="preserve">1770 S Maple Grove Rd, Boise</t>
  </si>
  <si>
    <t xml:space="preserve">Vintage / delivery</t>
  </si>
  <si>
    <t xml:space="preserve">2024</t>
  </si>
  <si>
    <t xml:space="preserve">2018</t>
  </si>
  <si>
    <t xml:space="preserve">2028-29</t>
  </si>
  <si>
    <t xml:space="preserve">2027-28</t>
  </si>
  <si>
    <t xml:space="preserve">Units</t>
  </si>
  <si>
    <t xml:space="preserve">Avg unit SF</t>
  </si>
  <si>
    <t xml:space="preserve">Price / total dev cost ($)</t>
  </si>
  <si>
    <t xml:space="preserve">Seasons = recommended bid (whisper $125M). CR = award price.</t>
  </si>
  <si>
    <t xml:space="preserve">$/unit</t>
  </si>
  <si>
    <t xml:space="preserve">$/SF (NRSF)</t>
  </si>
  <si>
    <t xml:space="preserve">Y1 / stabilized NOI ($)</t>
  </si>
  <si>
    <t xml:space="preserve">Prelude = 4.95% x price (model Y1 cap). Emblem = untrended in-place NOI. Judy = Y3.</t>
  </si>
  <si>
    <t xml:space="preserve">Going-in yield / untrended ROC</t>
  </si>
  <si>
    <t xml:space="preserve">TMG deals: Y1 NOI cap. Developers: marketed untrended ROC — see normalization tabs for corrected.</t>
  </si>
  <si>
    <t xml:space="preserve">Market rent ($/mo)</t>
  </si>
  <si>
    <t xml:space="preserve">Each model's own UW. Seasons also: contract rent $1,751.</t>
  </si>
  <si>
    <t xml:space="preserve">Rent $/SF</t>
  </si>
  <si>
    <t xml:space="preserve">Other income ($/u/yr)</t>
  </si>
  <si>
    <t xml:space="preserve">See 2_ProFormas for components; developers run high.</t>
  </si>
  <si>
    <t xml:space="preserve">RE taxes ($/u/yr)</t>
  </si>
  <si>
    <t xml:space="preserve">Meridian ~0.45% levy vs Boise ~0.92%. Judy understated — see 4_Judy_Norm.</t>
  </si>
  <si>
    <t xml:space="preserve">Exit date</t>
  </si>
  <si>
    <t xml:space="preserve">Oct-2031</t>
  </si>
  <si>
    <t xml:space="preserve">Dec-2030</t>
  </si>
  <si>
    <t xml:space="preserve">Oct-2031 (UW)</t>
  </si>
  <si>
    <t xml:space="preserve">Jan-2030</t>
  </si>
  <si>
    <t xml:space="preserve">Aug-2030</t>
  </si>
  <si>
    <t xml:space="preserve">Exit cap (as modeled)</t>
  </si>
  <si>
    <t xml:space="preserve">Developer exit caps sandbagged — see normalization tabs.</t>
  </si>
  <si>
    <t xml:space="preserve">Exit value ($/unit)</t>
  </si>
  <si>
    <t xml:space="preserve">UIRR / project IRR</t>
  </si>
  <si>
    <t xml:space="preserve">Developers = levered project IRR (different metric).</t>
  </si>
  <si>
    <t xml:space="preserve">LIRR / LP IRR</t>
  </si>
  <si>
    <t xml:space="preserve">Per-Unit Stabilized Pro Formas ($/unit/yr unless noted)</t>
  </si>
  <si>
    <t xml:space="preserve">Seasons &amp; Canyon Ridge = TMG Y1. Prelude = our acquisition UW Y1. Emblem = 2031 stabilized (trended $). Judy = Year 3 (first stabilized).</t>
  </si>
  <si>
    <t xml:space="preserve">Line</t>
  </si>
  <si>
    <t xml:space="preserve">Seasons Y1</t>
  </si>
  <si>
    <t xml:space="preserve">Prelude Y1</t>
  </si>
  <si>
    <t xml:space="preserve">Canyon Ridge Y1</t>
  </si>
  <si>
    <t xml:space="preserve">Emblem stab. 2031</t>
  </si>
  <si>
    <t xml:space="preserve">Judy Y3</t>
  </si>
  <si>
    <t xml:space="preserve">Emblem = their 2031 trended rent ($2,069 in 6/2026).</t>
  </si>
  <si>
    <t xml:space="preserve">Rent $/SF ($/mo)</t>
  </si>
  <si>
    <t xml:space="preserve">OTHER INCOME</t>
  </si>
  <si>
    <t xml:space="preserve">Misc / fees</t>
  </si>
  <si>
    <t xml:space="preserve">CR includes damage-waiver program. Prelude incl. bulk data income. Judy not itemized.</t>
  </si>
  <si>
    <t xml:space="preserve">RUBS / utility billback</t>
  </si>
  <si>
    <t xml:space="preserve">Seasons ~66% recovery (actual). Emblem assumes 100% billback.</t>
  </si>
  <si>
    <t xml:space="preserve">Parking / garages</t>
  </si>
  <si>
    <t xml:space="preserve">Prelude has rentable garages (actual). Emblem monetizes all 536 spaces @$41/mo blended.</t>
  </si>
  <si>
    <t xml:space="preserve">Wifi / revenue share</t>
  </si>
  <si>
    <t xml:space="preserve">Seasons = bulk internet revenue share (actual). Emblem = mandatory $108/mo wifi.</t>
  </si>
  <si>
    <t xml:space="preserve">Total other income</t>
  </si>
  <si>
    <t xml:space="preserve">Judy total from Y3 pro forma (components embedded).</t>
  </si>
  <si>
    <t xml:space="preserve">OPERATING EXPENSES</t>
  </si>
  <si>
    <t xml:space="preserve">Payroll / personnel</t>
  </si>
  <si>
    <t xml:space="preserve">Judy payroll bundled in 8%-of-EGI management fee.</t>
  </si>
  <si>
    <t xml:space="preserve">Marketing</t>
  </si>
  <si>
    <t xml:space="preserve">G&amp;A / admin</t>
  </si>
  <si>
    <t xml:space="preserve">Turnover / make-ready</t>
  </si>
  <si>
    <t xml:space="preserve">Emblem turnover within R&amp;M.</t>
  </si>
  <si>
    <t xml:space="preserve">R&amp;M</t>
  </si>
  <si>
    <t xml:space="preserve">Contracts / services</t>
  </si>
  <si>
    <t xml:space="preserve">Judy = contract svcs + wifi + valet + smart-home costs.</t>
  </si>
  <si>
    <t xml:space="preserve">Utilities</t>
  </si>
  <si>
    <t xml:space="preserve">Management fee</t>
  </si>
  <si>
    <t xml:space="preserve">Judy 8% of EGI incl. payroll.</t>
  </si>
  <si>
    <t xml:space="preserve">Insurance</t>
  </si>
  <si>
    <t xml:space="preserve">Real estate taxes</t>
  </si>
  <si>
    <t xml:space="preserve">See 7_Taxes. Judy understated (see 4_Judy_Norm).</t>
  </si>
  <si>
    <t xml:space="preserve">Total opex</t>
  </si>
  <si>
    <t xml:space="preserve">Prelude = TMG Y1 total (controllables 3,643 + ins + taxes). Emblem incl. $227 reserves.</t>
  </si>
  <si>
    <t xml:space="preserve">NOI ($/unit)</t>
  </si>
  <si>
    <t xml:space="preserve">Prelude = 4.95% Y1 cap x $284.8K.</t>
  </si>
  <si>
    <t xml:space="preserve">NOI check: expense ratio</t>
  </si>
  <si>
    <t xml:space="preserve">Emblem Meridian — Underwriting Normalization</t>
  </si>
  <si>
    <t xml:space="preserve">Corrects three things: (1) other income marked to market comps, (2) taxes marked to 95% of normalized value at the Meridian levy, (3) exit cap normalized to observed market. Closed-form tax solve: V = NOI-ex-tax / (cap + levy x reassess).</t>
  </si>
  <si>
    <t xml:space="preserve">A. AS MARKETED (source: Emblem merchant model)</t>
  </si>
  <si>
    <t xml:space="preserve">Total development cost ($)</t>
  </si>
  <si>
    <t xml:space="preserve">Summary D25 (at Oct-27 GMP)</t>
  </si>
  <si>
    <t xml:space="preserve">Financing costs in TDC ($)</t>
  </si>
  <si>
    <t xml:space="preserve">Constr. interest 1,086,262 + financing 896,583</t>
  </si>
  <si>
    <t xml:space="preserve">ROC denominator ex-financing ($)</t>
  </si>
  <si>
    <t xml:space="preserve">Their ROC convention</t>
  </si>
  <si>
    <t xml:space="preserve">Avg NRSF / unit</t>
  </si>
  <si>
    <t xml:space="preserve">Untrended NOI, in-place 6/2026 ($)</t>
  </si>
  <si>
    <t xml:space="preserve">Summary D49</t>
  </si>
  <si>
    <t xml:space="preserve">Marketed untrended ROC</t>
  </si>
  <si>
    <t xml:space="preserve">Matches book 6.65%</t>
  </si>
  <si>
    <t xml:space="preserve">Untrended RE taxes embedded ($, est.)</t>
  </si>
  <si>
    <t xml:space="preserve">2031 taxes $384,319 deflated 3%/yr</t>
  </si>
  <si>
    <t xml:space="preserve">Sale F12 NOI ($, Jan-2030)</t>
  </si>
  <si>
    <t xml:space="preserve">gross sale x 5.5% cap</t>
  </si>
  <si>
    <t xml:space="preserve">Marketed exit cap</t>
  </si>
  <si>
    <t xml:space="preserve">Gross sale ($)</t>
  </si>
  <si>
    <t xml:space="preserve">Book: $102.5M / $400.5K per home</t>
  </si>
  <si>
    <t xml:space="preserve">OTHER INCOME AS MARKETED ($/u/yr)</t>
  </si>
  <si>
    <t xml:space="preserve">Garage / covered parking</t>
  </si>
  <si>
    <t xml:space="preserve">536 spaces x $41.42/mo blended — every space monetized</t>
  </si>
  <si>
    <t xml:space="preserve">Managed wifi (mandatory $108/mo)</t>
  </si>
  <si>
    <t xml:space="preserve">W/S utility billback (100%)</t>
  </si>
  <si>
    <t xml:space="preserve">Pet fees</t>
  </si>
  <si>
    <t xml:space="preserve">Misc other</t>
  </si>
  <si>
    <t xml:space="preserve">Total OI as marketed ($/u/yr)</t>
  </si>
  <si>
    <t xml:space="preserve">B. NORMALIZATION ASSUMPTIONS (yellow = edit me)</t>
  </si>
  <si>
    <t xml:space="preserve">Garage / parking normalized ($/u/yr)</t>
  </si>
  <si>
    <t xml:space="preserve">Prelude ACHIEVES $759 with rentable garages; CR $520; Seasons $360. Attached TH garages are typically in base rent, not separately billed.</t>
  </si>
  <si>
    <t xml:space="preserve">Wifi / connectivity normalized ($/u/yr)</t>
  </si>
  <si>
    <t xml:space="preserve">Seasons actually collects $1,077 revenue share — the proven number.</t>
  </si>
  <si>
    <t xml:space="preserve">Utility billback normalized ($/u/yr)</t>
  </si>
  <si>
    <t xml:space="preserve">Actual recoveries: Seasons $698, Prelude $763. New-build submetering earns a premium — but not 100%.</t>
  </si>
  <si>
    <t xml:space="preserve">Pet fees (keep)</t>
  </si>
  <si>
    <t xml:space="preserve">Misc other (keep)</t>
  </si>
  <si>
    <t xml:space="preserve">Normalized total OI ($/u/yr)</t>
  </si>
  <si>
    <t xml:space="preserve">~$3,400 vs $4,207 marketed vs $2.7-3.0K market actuals</t>
  </si>
  <si>
    <t xml:space="preserve">OI adjustment ($/u/yr)</t>
  </si>
  <si>
    <t xml:space="preserve">OI adjustment ($/yr)</t>
  </si>
  <si>
    <t xml:space="preserve">Meridian levy (actual)</t>
  </si>
  <si>
    <t xml:space="preserve">Seasons &amp; Prelude actuals both 0.4507%</t>
  </si>
  <si>
    <t xml:space="preserve">Assessment ratio at stabilization</t>
  </si>
  <si>
    <t xml:space="preserve">TMG convention; Idaho non-disclosure</t>
  </si>
  <si>
    <t xml:space="preserve">Effective levy on value</t>
  </si>
  <si>
    <t xml:space="preserve">Normalized exit cap</t>
  </si>
  <si>
    <t xml:space="preserve">CR award 4.57% (5.12% tax-adj); Seasons bid 5.00%; Prelude closed 4.95%. 5.25% adds forward conservatism.</t>
  </si>
  <si>
    <t xml:space="preserve">Alt exit cap</t>
  </si>
  <si>
    <t xml:space="preserve">C. NORMALIZED ECONOMICS (formulas)</t>
  </si>
  <si>
    <t xml:space="preserve">Untrended (2026 dollars)</t>
  </si>
  <si>
    <t xml:space="preserve">NOI excl. taxes, OI-adjusted ($)</t>
  </si>
  <si>
    <t xml:space="preserve">add back embedded taxes; apply OI cut (C33 is negative)</t>
  </si>
  <si>
    <t xml:space="preserve">Stabilized value @ normalized cap ($)</t>
  </si>
  <si>
    <t xml:space="preserve">closed-form tax solve</t>
  </si>
  <si>
    <t xml:space="preserve">  per unit</t>
  </si>
  <si>
    <t xml:space="preserve">Normalized RE taxes ($)</t>
  </si>
  <si>
    <t xml:space="preserve">NORMALIZED UNTRENDED NOI ($)</t>
  </si>
  <si>
    <t xml:space="preserve">Normalized untrended ROC (ex-financing)</t>
  </si>
  <si>
    <t xml:space="preserve">vs 6.65% marketed</t>
  </si>
  <si>
    <t xml:space="preserve">Normalized untrended ROC (all-in cost)</t>
  </si>
  <si>
    <t xml:space="preserve">Development spread vs normalized cap (bp)</t>
  </si>
  <si>
    <t xml:space="preserve">thin vs the 125-175bp institutional norm</t>
  </si>
  <si>
    <t xml:space="preserve">Trended sale (Jan-2030)</t>
  </si>
  <si>
    <t xml:space="preserve">Escalation on OI adj to sale (3%/yr, 5 yrs)</t>
  </si>
  <si>
    <t xml:space="preserve">Sale NOI excl. taxes, OI-adjusted ($)</t>
  </si>
  <si>
    <t xml:space="preserve">384,319 = their 2031 taxes added back</t>
  </si>
  <si>
    <t xml:space="preserve">Normalized sale value @ C37 ($)</t>
  </si>
  <si>
    <t xml:space="preserve">vs $400.5K marketed</t>
  </si>
  <si>
    <t xml:space="preserve">  @ alt cap C38</t>
  </si>
  <si>
    <t xml:space="preserve">Delta vs marketed gross sale ($)</t>
  </si>
  <si>
    <t xml:space="preserve">sandbagged cap ~ offsets aggressive OI</t>
  </si>
  <si>
    <t xml:space="preserve">Exit value grid ($/unit) by cap on normalized sale NOI</t>
  </si>
  <si>
    <t xml:space="preserve">Cap</t>
  </si>
  <si>
    <t xml:space="preserve">Normalized exit $/unit</t>
  </si>
  <si>
    <t xml:space="preserve">TAKEAWAY: The two "errors" offset on exit value (5.50% sandbagged cap ~ cancels aggressive OI), so the $400K/home exit is roughly right at an honest 5.25%. What does NOT survive is the yield: true untrended ROC ~6.3% vs 6.65% marketed — and true pencil rents are higher (see 5_Pencil).</t>
  </si>
  <si>
    <t xml:space="preserve">The Judy (Maple Grove &amp; Overland, Hawkins) — Underwriting Normalization</t>
  </si>
  <si>
    <t xml:space="preserve">Corrects: (1) Boise RE taxes (marketed $2,203/u vs ~0.92% levy on 95% of value), (2) other income to market comps, (3) tests market-priced land. Exit cap kept at their 5.25% — after the tax fix it is no longer conservative.</t>
  </si>
  <si>
    <t xml:space="preserve">A. AS MARKETED (source: Hawkins LP model)</t>
  </si>
  <si>
    <t xml:space="preserve">incl. land at Oct-2024 basis</t>
  </si>
  <si>
    <t xml:space="preserve">147,057 NRSF total</t>
  </si>
  <si>
    <t xml:space="preserve">Exec Summary I11</t>
  </si>
  <si>
    <t xml:space="preserve">Implied untrended NOI ($)</t>
  </si>
  <si>
    <t xml:space="preserve">Y3 (stabilized) NOI ($)</t>
  </si>
  <si>
    <t xml:space="preserve">Y3 RE taxes ($)</t>
  </si>
  <si>
    <t xml:space="preserve">i.e. $2,203/unit — the problem</t>
  </si>
  <si>
    <t xml:space="preserve">Y3 other income ($)</t>
  </si>
  <si>
    <t xml:space="preserve">i.e. $3,568/unit</t>
  </si>
  <si>
    <t xml:space="preserve">Sale F12 NOI ($, Aug-2030)</t>
  </si>
  <si>
    <t xml:space="preserve">Book: $58.6M / $361.6K per unit</t>
  </si>
  <si>
    <t xml:space="preserve">Land basis ($, Oct-2024)</t>
  </si>
  <si>
    <t xml:space="preserve">$15.1K/unit — no mark-to-market</t>
  </si>
  <si>
    <t xml:space="preserve">Site acres</t>
  </si>
  <si>
    <t xml:space="preserve">Normalized other income ($/u/yr)</t>
  </si>
  <si>
    <t xml:space="preserve">CR actual $3,002 (has similar fee programs). Market actuals $2.7-3.0K. Their wifi/valet/smart-home costs are already expensed.</t>
  </si>
  <si>
    <t xml:space="preserve">Boise levy (actual)</t>
  </si>
  <si>
    <t xml:space="preserve">Canyon Ridge actual: $404,052 / $43.8M taxable = 0.922%</t>
  </si>
  <si>
    <t xml:space="preserve">Assessment ratio</t>
  </si>
  <si>
    <t xml:space="preserve">TMG convention</t>
  </si>
  <si>
    <t xml:space="preserve">Exit cap (kept)</t>
  </si>
  <si>
    <t xml:space="preserve">CR award = 4.57% raw for new Boise product today</t>
  </si>
  <si>
    <t xml:space="preserve">Market land ($/acre)</t>
  </si>
  <si>
    <t xml:space="preserve">Emblem paid $649K/ac in Meridian (2027 close); Boise infill similar</t>
  </si>
  <si>
    <t xml:space="preserve">Sale: NOI excl. taxes, OI-adj ($)</t>
  </si>
  <si>
    <t xml:space="preserve">367,674 = their Y4 taxes added back; C22 negative</t>
  </si>
  <si>
    <t xml:space="preserve">Normalized sale value ($)</t>
  </si>
  <si>
    <t xml:space="preserve">vs $361.6K marketed</t>
  </si>
  <si>
    <t xml:space="preserve">Normalized taxes at sale ($)</t>
  </si>
  <si>
    <t xml:space="preserve">vs $2,203 marketed</t>
  </si>
  <si>
    <t xml:space="preserve">Delta vs marketed sale ($)</t>
  </si>
  <si>
    <t xml:space="preserve">Untrended: NOI excl. taxes, OI-adj ($)</t>
  </si>
  <si>
    <t xml:space="preserve">C12 = Y3 taxes added back (proxy for embedded)</t>
  </si>
  <si>
    <t xml:space="preserve">Untrended stabilized value ($)</t>
  </si>
  <si>
    <t xml:space="preserve">Normalized untrended taxes ($)</t>
  </si>
  <si>
    <t xml:space="preserve">Normalized untrended ROC</t>
  </si>
  <si>
    <t xml:space="preserve">vs 6.52% marketed</t>
  </si>
  <si>
    <t xml:space="preserve">Development spread vs exit cap (bp)</t>
  </si>
  <si>
    <t xml:space="preserve">MARKET-LAND SCENARIO</t>
  </si>
  <si>
    <t xml:space="preserve">Land at market ($)</t>
  </si>
  <si>
    <t xml:space="preserve">Added land cost ($)</t>
  </si>
  <si>
    <t xml:space="preserve">Adjusted TDC ($)</t>
  </si>
  <si>
    <t xml:space="preserve">ROC on market-land basis</t>
  </si>
  <si>
    <t xml:space="preserve">what a third party replicating this deal earns</t>
  </si>
  <si>
    <t xml:space="preserve">TAKEAWAY: With honest Boise taxes and market other income, The Judy earns ~6.0-6.15% untrended on its stale-land basis and ~5.9% on market land — a 70-90bp spread to its own exit cap. The deal is a land-basis arbitrage; its marketed 6.52% is not comparable to Emblem's 6.65% without these fixes.</t>
  </si>
  <si>
    <t xml:space="preserve">Rent Required for New Development to Pencil — vs Seasons UW Rent Path</t>
  </si>
  <si>
    <t xml:space="preserve">Solves Emblem's own operating model for required base rent at a target untrended ROC. All components (cost, opex, OI) escalate at the input rate. Pencil rent/mo = escf x ((ROC x denom + opex)/vacancy-factor − OI/u x units) / units / 12.</t>
  </si>
  <si>
    <t xml:space="preserve">INPUTS</t>
  </si>
  <si>
    <t xml:space="preserve">Untrended opex ($, incl their taxes)</t>
  </si>
  <si>
    <t xml:space="preserve">Emblem in-place opex (Summary D46)</t>
  </si>
  <si>
    <t xml:space="preserve">Vacancy &amp; collection factor</t>
  </si>
  <si>
    <t xml:space="preserve">their 5.87% stack (4.0 vac + 0.5 CL + 1.37 model)</t>
  </si>
  <si>
    <t xml:space="preserve">Avg NRSF</t>
  </si>
  <si>
    <t xml:space="preserve">Escalation (cost &amp; opex &amp; OI)</t>
  </si>
  <si>
    <t xml:space="preserve">their own assumption</t>
  </si>
  <si>
    <t xml:space="preserve">OI /u/yr — as marketed</t>
  </si>
  <si>
    <t xml:space="preserve">OI /u/yr — normalized</t>
  </si>
  <si>
    <t xml:space="preserve">OI /u/yr — Seasons actual</t>
  </si>
  <si>
    <t xml:space="preserve">PENCIL TABLE ($/mo unless noted)</t>
  </si>
  <si>
    <t xml:space="preserve">Year</t>
  </si>
  <si>
    <t xml:space="preserve">Escalation factor</t>
  </si>
  <si>
    <t xml:space="preserve">Seasons UW market rent</t>
  </si>
  <si>
    <t xml:space="preserve">Pencil @ 6.0% — marketed OI</t>
  </si>
  <si>
    <t xml:space="preserve">Pencil @ 6.5% — marketed OI</t>
  </si>
  <si>
    <t xml:space="preserve">Pencil @ 7.0% — marketed OI</t>
  </si>
  <si>
    <t xml:space="preserve">Pencil @ 6.5% — NORMALIZED OI</t>
  </si>
  <si>
    <t xml:space="preserve">Pencil @ 6.5% — Seasons-actual OI</t>
  </si>
  <si>
    <t xml:space="preserve">Seasons gap vs 6.5% marketed-OI pencil</t>
  </si>
  <si>
    <t xml:space="preserve">Seasons gap vs 6.5% NORMALIZED-OI pencil</t>
  </si>
  <si>
    <t xml:space="preserve">Pencil $/SF @6.5% normalized OI</t>
  </si>
  <si>
    <t xml:space="preserve">READ: With honest other income, new development needs ~$2.24/SF today at just 6.5% ROC (vs $2.17 on their marketed OI) — Seasons at $2.02 is 10-12% below the corrected pencil at entry, ~9% at exit, and never crosses it.</t>
  </si>
  <si>
    <t xml:space="preserve">Seasons Exit — Cap Sensitivity, Anatomy, and Vintage Evidence</t>
  </si>
  <si>
    <t xml:space="preserve">A. EXIT-CAP SENSITIVITY (cash flows from the TMG model; base case reproduces UIRR 8.65% / LIRR 12.14% within ~3bp)</t>
  </si>
  <si>
    <t xml:space="preserve">Model cash-flow inputs</t>
  </si>
  <si>
    <t xml:space="preserve">Initial unlevered outflow ($)</t>
  </si>
  <si>
    <t xml:space="preserve">Exit F12 ANOI ($)</t>
  </si>
  <si>
    <t xml:space="preserve">Selling cost: fixed ($)</t>
  </si>
  <si>
    <t xml:space="preserve">Selling cost: % of value</t>
  </si>
  <si>
    <t xml:space="preserve">Tax true-up at sale ($)</t>
  </si>
  <si>
    <t xml:space="preserve">Loan proceeds ($)</t>
  </si>
  <si>
    <t xml:space="preserve">Initial levered equity ($)</t>
  </si>
  <si>
    <t xml:space="preserve">NOI ($)</t>
  </si>
  <si>
    <t xml:space="preserve">Capex ($)</t>
  </si>
  <si>
    <t xml:space="preserve">Debt service ($)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</si>
  <si>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</si>
  <si>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</si>
  <si>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</si>
  <si>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</si>
  <si>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</si>
  <si>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Cap grid</t>
  </si>
  <si>
    <t xml:space="preserve">Exit cap</t>
  </si>
  <si>
    <t xml:space="preserve">Exit value ($)</t>
  </si>
  <si>
    <t xml:space="preserve">Exit $/unit</t>
  </si>
  <si>
    <t xml:space="preserve">Net proceeds ($)</t>
  </si>
  <si>
    <t xml:space="preserve">Unlev CF Y0</t>
  </si>
  <si>
    <t xml:space="preserve">Y5 incl. exit</t>
  </si>
  <si>
    <t xml:space="preserve">UNLEVERED IRR</t>
  </si>
  <si>
    <t xml:space="preserve">Lev CF Y0</t>
  </si>
  <si>
    <t xml:space="preserve">Y5 incl. exit &amp; payoff</t>
  </si>
  <si>
    <t xml:space="preserve">LEVERED IRR</t>
  </si>
  <si>
    <t xml:space="preserve">B. EXIT ANATOMY — the $400.5K "match" decomposed</t>
  </si>
  <si>
    <t xml:space="preserve">Seasons exit (Oct-31, age 7)</t>
  </si>
  <si>
    <t xml:space="preserve">Emblem exit (Jan-30, new)</t>
  </si>
  <si>
    <t xml:space="preserve">Exit NOI $/unit</t>
  </si>
  <si>
    <t xml:space="preserve">Price $/unit</t>
  </si>
  <si>
    <t xml:space="preserve">Price $/SF</t>
  </si>
  <si>
    <t xml:space="preserve">The match is offsetting differences: our NOI is 8.9% BELOW theirs (the vintage discount, in the numerator) while our cap is 50bp TIGHTER (the exposure). Present the exit as a 5.00-5.25% band.</t>
  </si>
  <si>
    <t xml:space="preserve">C. VINTAGE EVIDENCE (today)</t>
  </si>
  <si>
    <t xml:space="preserve">Asset / age</t>
  </si>
  <si>
    <t xml:space="preserve">Cap rate</t>
  </si>
  <si>
    <t xml:space="preserve">Price vs replacement cost</t>
  </si>
  <si>
    <t xml:space="preserve">Prelude — age 8 at close (Dec-25)</t>
  </si>
  <si>
    <t xml:space="preserve">4.95% Y1 cap</t>
  </si>
  <si>
    <t xml:space="preserve">0.94x replacement cost</t>
  </si>
  <si>
    <t xml:space="preserve">Seasons — age 2 (bid)</t>
  </si>
  <si>
    <t xml:space="preserve">5.00% Y1 NOI cap</t>
  </si>
  <si>
    <t xml:space="preserve">1.08x replacement cost</t>
  </si>
  <si>
    <t xml:space="preserve">Canyon Ridge — age 2 (award)</t>
  </si>
  <si>
    <t xml:space="preserve">4.57% raw / 5.12% tax-adj</t>
  </si>
  <si>
    <t xml:space="preserve">1.25x replacement cost</t>
  </si>
  <si>
    <t xml:space="preserve">Seasons at exit — age 7 (UW)</t>
  </si>
  <si>
    <t xml:space="preserve">5.00% assumed</t>
  </si>
  <si>
    <t xml:space="preserve">1.17x forward replacement cost</t>
  </si>
  <si>
    <t xml:space="preserve">Caps are age-flat across young vintages today (discount lives in NOI) — supports 5.00% — but a stabilized no-story 7-year-old competing against 2028-29 vintage argues for the wider end. Each 25bp = ~$18-19K/unit = ~90bp UIRR.</t>
  </si>
  <si>
    <t xml:space="preserve">Property Tax Normalization — Meridian vs Boise</t>
  </si>
  <si>
    <t xml:space="preserve">Levy (actual)</t>
  </si>
  <si>
    <t xml:space="preserve">Taxes $/u/yr (as modeled)</t>
  </si>
  <si>
    <t xml:space="preserve">Corrected $/u/yr</t>
  </si>
  <si>
    <t xml:space="preserve">Seasons (Meridian)</t>
  </si>
  <si>
    <t xml:space="preserve">Actual: $419,111 / $92.99M taxable = 0.4507%</t>
  </si>
  <si>
    <t xml:space="preserve">Prelude (Meridian)</t>
  </si>
  <si>
    <t xml:space="preserve">2025 actual; model reassesses 95% at exit</t>
  </si>
  <si>
    <t xml:space="preserve">Emblem UW (Meridian)</t>
  </si>
  <si>
    <t xml:space="preserve">Modest understatement (~83% of value assessed)</t>
  </si>
  <si>
    <t xml:space="preserve">Canyon Ridge (Boise)</t>
  </si>
  <si>
    <t xml:space="preserve">Actual: $404,052 / $43.8M taxable</t>
  </si>
  <si>
    <t xml:space="preserve">The Judy UW (Boise)</t>
  </si>
  <si>
    <t xml:space="preserve">UNDERSTATED — corrected at right</t>
  </si>
  <si>
    <t xml:space="preserve">TAX-ADJUSTED CAP COMPARISON</t>
  </si>
  <si>
    <t xml:space="preserve">Canyon Ridge Y1 NOI ($)</t>
  </si>
  <si>
    <t xml:space="preserve">CR taxes at Boise ($/u)</t>
  </si>
  <si>
    <t xml:space="preserve">Seasons taxes ($/u)</t>
  </si>
  <si>
    <t xml:space="preserve">Tax delta ($/u)</t>
  </si>
  <si>
    <t xml:space="preserve">CR NOI at Meridian taxes ($)</t>
  </si>
  <si>
    <t xml:space="preserve">CR cap as awarded</t>
  </si>
  <si>
    <t xml:space="preserve">CR cap tax-normalized</t>
  </si>
  <si>
    <t xml:space="preserve">Seasons Y1 NOI cap</t>
  </si>
  <si>
    <t xml:space="preserve">Capitalized value of Meridian tax advantage ($/u)</t>
  </si>
  <si>
    <t xml:space="preserve">Tax-normalized, the CR buyer accepts a THINNER yield (5.12%) than our Seasons bid (5.00%). Never compare Meridian and Boise caps without this adjustment.</t>
  </si>
  <si>
    <t xml:space="preserve">Supply: Land Inventory &amp; Pipeline</t>
  </si>
  <si>
    <t xml:space="preserve">APARTMENT-READY LAND (5-mile radii — this repo's parcel analysis)</t>
  </si>
  <si>
    <t xml:space="preserve">Apartment-ready acres</t>
  </si>
  <si>
    <t xml:space="preserve">Parcels</t>
  </si>
  <si>
    <t xml:space="preserve">MF-by-right acres</t>
  </si>
  <si>
    <t xml:space="preserve">Within 2 miles (acres)</t>
  </si>
  <si>
    <t xml:space="preserve">Land is NOT the constraint at Seasons — economics are (see 5_Pencil). At Canyon Ridge, land IS the constraint.</t>
  </si>
  <si>
    <t xml:space="preserve">UNDER CONSTRUCTION (5-mi, from TMG model S&amp;A roster)</t>
  </si>
  <si>
    <t xml:space="preserve">Property</t>
  </si>
  <si>
    <t xml:space="preserve">Est. delivery</t>
  </si>
  <si>
    <t xml:space="preserve">Vanguard Village</t>
  </si>
  <si>
    <t xml:space="preserve">Q1 2028</t>
  </si>
  <si>
    <t xml:space="preserve">Centrepoint</t>
  </si>
  <si>
    <t xml:space="preserve">Dorado Station</t>
  </si>
  <si>
    <t xml:space="preserve">Q3 2027</t>
  </si>
  <si>
    <t xml:space="preserve">South Ridge II</t>
  </si>
  <si>
    <t xml:space="preserve">Q2 2027</t>
  </si>
  <si>
    <t xml:space="preserve">Summertown (remaining)</t>
  </si>
  <si>
    <t xml:space="preserve">TOTAL UC</t>
  </si>
  <si>
    <t xml:space="preserve">PROPOSED (scenario toggle in model)</t>
  </si>
  <si>
    <t xml:space="preserve">Record</t>
  </si>
  <si>
    <t xml:space="preserve">The Gateway at Ten Mile</t>
  </si>
  <si>
    <t xml:space="preserve">Syringa Crossing (Hawkins)</t>
  </si>
  <si>
    <t xml:space="preserve">Victory Flats</t>
  </si>
  <si>
    <t xml:space="preserve">12565 W Fairview Ave</t>
  </si>
  <si>
    <t xml:space="preserve">Pine 43 (Pine &amp; Webb)</t>
  </si>
  <si>
    <t xml:space="preserve">Heritage Square (ex-Union 93)</t>
  </si>
  <si>
    <t xml:space="preserve">The Cole Denton</t>
  </si>
  <si>
    <t xml:space="preserve">Rolling Hill (Assemble)</t>
  </si>
  <si>
    <t xml:space="preserve">The Judy (Maple Grove &amp; Overland)</t>
  </si>
  <si>
    <t xml:space="preserve">12548 W Overland Rd</t>
  </si>
  <si>
    <t xml:space="preserve">Ascent Overland</t>
  </si>
  <si>
    <t xml:space="preserve">Meridian OZ Apartments</t>
  </si>
  <si>
    <t xml:space="preserve">EMBLEM MERIDIAN — MISSING FROM ROSTER</t>
  </si>
  <si>
    <t xml:space="preserve">TOTAL PROPOSED (incl. Emblem)</t>
  </si>
  <si>
    <t xml:space="preserve">Model base case: 448 units deliver Y1, 765 Y2, zero after. Emblem (deliver Nov-28 to Oct-29 = Y3 bucket) should be added to the roster. Base absorption 500/yr (trailing 3-yr CoStar avg).</t>
  </si>
  <si>
    <t xml:space="preserve">Sources &amp; Method</t>
  </si>
  <si>
    <t xml:space="preserve">TMG_Acquisitions_model_7.26 - Seasons_at_Meridian_v3.xlsm</t>
  </si>
  <si>
    <t xml:space="preserve">Assumptions (price H5, caps K5/L5, mix B48:T58, exit M33-M40), Cash Flow (Annual) rows 4-59, Supply &amp; Absorption, Rent Roll 8/4/2026.</t>
  </si>
  <si>
    <t xml:space="preserve">Prelude_at_Paramount_Final_Model.xlsm</t>
  </si>
  <si>
    <t xml:space="preserve">Unleveraged tab: price D34, caps B39:D42, exit K39-M42, tax schedule L44-P67 (0.4507% levy), unit mix A46-A67. Closed 12/31/2025.</t>
  </si>
  <si>
    <t xml:space="preserve">Canyon_Ridge_Model_at_soon_to_be_awarded_price.xlsm</t>
  </si>
  <si>
    <t xml:space="preserve">Assumptions C34 ($110M award), caps B39-E41, exit M33-M41; CF (Annual) Y1 taxes $987,197.</t>
  </si>
  <si>
    <t xml:space="preserve">Emblem_Meridian_Merchant_Model.xlsm</t>
  </si>
  <si>
    <t xml:space="preserve">Summary (budget, ROC, exit), Operating Inputs A88-A96 (OI components), A-OperBgt col H (2031), Tax Calcs. Model saved 7/31/2026.</t>
  </si>
  <si>
    <t xml:space="preserve">Hawkins_MGO_LP_Equity_vF.xlsm + OM</t>
  </si>
  <si>
    <t xml:space="preserve">Executive Summary (all-in), Development Budget (land at cost, fees), OM pp.18-24 (rent/sales comps incl. Seasons).</t>
  </si>
  <si>
    <t xml:space="preserve">Repo: SeasonsMeridian / CanyonRidge / comparison</t>
  </si>
  <si>
    <t xml:space="preserve">Parcel-level land-use &amp; MF-threat analysis (5-mi radii).</t>
  </si>
  <si>
    <t xml:space="preserve">METHOD — normalization</t>
  </si>
  <si>
    <t xml:space="preserve">OI marked to market actuals component-by-component; taxes solved closed-form V = NOI-ex-tax/(cap + levy x reassess) to avoid circularity; exit caps normalized to observed prints (CR 4.57% award / 5.12% tax-adj, Seasons 5.00% bid, Prelude 4.95% close).</t>
  </si>
  <si>
    <t xml:space="preserve">METHOD — pencil rents</t>
  </si>
  <si>
    <t xml:space="preserve">Emblem operating model solved for base rent at target untrended ROC; all components escalate 3%/yr (their assumption); ex-financing cost denominator (their convention).</t>
  </si>
  <si>
    <t xml:space="preserve">VERIFICATION</t>
  </si>
  <si>
    <t xml:space="preserve">All 59 source-extracted figures re-derived programmatically from the workbooks 2026-08-13 — 59/59 pass. Seasons exit sensitivity rebuilt from model cash flows; base case reproduces UIRR 8.65%/LIRR 12.14% within ~3bp.</t>
  </si>
  <si>
    <t xml:space="preserve">Confidential — internal underwriting work product.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</si>
</sst>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"/>
    <numFmt numFmtId="167" formatCode="0.00%"/>
    <numFmt numFmtId="168" formatCode="\$#,##0.00"/>
    <numFmt numFmtId="169" formatCode="0"/>
    <numFmt numFmtId="170" formatCode="0.00"/>
    <numFmt numFmtId="171" formatCode="0.000"/>
    <numFmt numFmtId="172" formatCode="0.0%"/>
    <numFmt numFmtId="173" formatCode="0.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22.3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4" t="s">
        <v>14</v>
      </c>
    </row>
    <row r="18" customFormat="false" ht="15" hidden="false" customHeight="false" outlineLevel="0" collapsed="false">
      <c r="B18" s="4" t="s">
        <v>15</v>
      </c>
    </row>
    <row r="19" customFormat="false" ht="15" hidden="false" customHeight="false" outlineLevel="0" collapsed="false">
      <c r="B19" s="3" t="s">
        <v>16</v>
      </c>
    </row>
    <row r="20" customFormat="false" ht="23.85" hidden="false" customHeight="false" outlineLevel="0" collapsed="false">
      <c r="B20" s="4" t="s">
        <v>17</v>
      </c>
    </row>
    <row r="21" customFormat="false" ht="23.85" hidden="false" customHeight="false" outlineLevel="0" collapsed="false">
      <c r="B21" s="4" t="s">
        <v>18</v>
      </c>
    </row>
    <row r="22" customFormat="false" ht="23.85" hidden="false" customHeight="false" outlineLevel="0" collapsed="false">
      <c r="B22" s="4" t="s">
        <v>19</v>
      </c>
    </row>
    <row r="23" customFormat="false" ht="23.85" hidden="false" customHeight="false" outlineLevel="0" collapsed="false">
      <c r="B23" s="4" t="s">
        <v>20</v>
      </c>
    </row>
    <row r="24" customFormat="false" ht="15" hidden="false" customHeight="false" outlineLevel="0" collapsed="false">
      <c r="B24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7"/>
    <col collapsed="false" customWidth="true" hidden="false" outlineLevel="0" max="8" min="8" style="0" width="44"/>
  </cols>
  <sheetData>
    <row r="2" customFormat="false" ht="17.35" hidden="false" customHeight="false" outlineLevel="0" collapsed="false">
      <c r="B2" s="1" t="s">
        <v>22</v>
      </c>
    </row>
    <row r="4" customFormat="false" ht="26.85" hidden="false" customHeight="false" outlineLevel="0" collapsed="false"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</row>
    <row r="5" customFormat="false" ht="15" hidden="false" customHeight="false" outlineLevel="0" collapsed="false">
      <c r="B5" s="6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34</v>
      </c>
      <c r="H5" s="2" t="s">
        <v>35</v>
      </c>
    </row>
    <row r="6" customFormat="false" ht="15" hidden="false" customHeight="false" outlineLevel="0" collapsed="false">
      <c r="B6" s="6" t="s">
        <v>36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41</v>
      </c>
      <c r="H6" s="2"/>
    </row>
    <row r="7" customFormat="false" ht="15" hidden="false" customHeight="false" outlineLevel="0" collapsed="false">
      <c r="B7" s="6" t="s">
        <v>42</v>
      </c>
      <c r="C7" s="7" t="s">
        <v>43</v>
      </c>
      <c r="D7" s="7" t="s">
        <v>44</v>
      </c>
      <c r="E7" s="7" t="s">
        <v>43</v>
      </c>
      <c r="F7" s="7" t="s">
        <v>45</v>
      </c>
      <c r="G7" s="7" t="s">
        <v>46</v>
      </c>
      <c r="H7" s="2"/>
    </row>
    <row r="8" customFormat="false" ht="15" hidden="false" customHeight="false" outlineLevel="0" collapsed="false">
      <c r="B8" s="6" t="s">
        <v>47</v>
      </c>
      <c r="C8" s="8" t="n">
        <v>360</v>
      </c>
      <c r="D8" s="8" t="n">
        <v>280</v>
      </c>
      <c r="E8" s="8" t="n">
        <v>288</v>
      </c>
      <c r="F8" s="8" t="n">
        <v>256</v>
      </c>
      <c r="G8" s="8" t="n">
        <v>162</v>
      </c>
      <c r="H8" s="2"/>
    </row>
    <row r="9" customFormat="false" ht="15" hidden="false" customHeight="false" outlineLevel="0" collapsed="false">
      <c r="B9" s="6" t="s">
        <v>48</v>
      </c>
      <c r="C9" s="8" t="n">
        <v>932.46</v>
      </c>
      <c r="D9" s="8" t="n">
        <v>1016.38</v>
      </c>
      <c r="E9" s="8" t="n">
        <v>888.94</v>
      </c>
      <c r="F9" s="8" t="n">
        <v>938.98</v>
      </c>
      <c r="G9" s="8" t="n">
        <v>907.76</v>
      </c>
      <c r="H9" s="2"/>
    </row>
    <row r="10" customFormat="false" ht="15" hidden="false" customHeight="false" outlineLevel="0" collapsed="false">
      <c r="B10" s="6" t="s">
        <v>49</v>
      </c>
      <c r="C10" s="9" t="n">
        <v>118000000</v>
      </c>
      <c r="D10" s="9" t="n">
        <v>79750000</v>
      </c>
      <c r="E10" s="9" t="n">
        <v>110000000</v>
      </c>
      <c r="F10" s="9" t="n">
        <v>77959624</v>
      </c>
      <c r="G10" s="9" t="n">
        <v>41691719</v>
      </c>
      <c r="H10" s="2" t="s">
        <v>50</v>
      </c>
    </row>
    <row r="11" customFormat="false" ht="15" hidden="false" customHeight="false" outlineLevel="0" collapsed="false">
      <c r="B11" s="6" t="s">
        <v>51</v>
      </c>
      <c r="C11" s="10" t="n">
        <f aca="false">C10/C8</f>
        <v>327777.777777778</v>
      </c>
      <c r="D11" s="10" t="n">
        <f aca="false">D10/D8</f>
        <v>284821.428571429</v>
      </c>
      <c r="E11" s="10" t="n">
        <f aca="false">E10/E8</f>
        <v>381944.444444444</v>
      </c>
      <c r="F11" s="10" t="n">
        <f aca="false">F10/F8</f>
        <v>304529.78125</v>
      </c>
      <c r="G11" s="10" t="n">
        <f aca="false">G10/G8</f>
        <v>257356.290123457</v>
      </c>
    </row>
    <row r="12" customFormat="false" ht="15" hidden="false" customHeight="false" outlineLevel="0" collapsed="false">
      <c r="B12" s="6" t="s">
        <v>52</v>
      </c>
      <c r="C12" s="10" t="n">
        <f aca="false">C10/(C8*C9)</f>
        <v>351.519397912809</v>
      </c>
      <c r="D12" s="10" t="n">
        <f aca="false">D10/(D8*D9)</f>
        <v>280.231240846365</v>
      </c>
      <c r="E12" s="10" t="n">
        <f aca="false">E10/(E8*E9)</f>
        <v>429.662794389323</v>
      </c>
      <c r="F12" s="10" t="n">
        <f aca="false">F10/(F8*F9)</f>
        <v>324.319773850348</v>
      </c>
      <c r="G12" s="10" t="n">
        <f aca="false">G10/(G8*G9)</f>
        <v>283.506973344779</v>
      </c>
    </row>
    <row r="13" customFormat="false" ht="22.35" hidden="false" customHeight="false" outlineLevel="0" collapsed="false">
      <c r="B13" s="6" t="s">
        <v>53</v>
      </c>
      <c r="C13" s="9" t="n">
        <v>5904654</v>
      </c>
      <c r="D13" s="9" t="n">
        <v>3947625</v>
      </c>
      <c r="E13" s="9" t="n">
        <v>5027967</v>
      </c>
      <c r="F13" s="9" t="n">
        <v>5036490</v>
      </c>
      <c r="G13" s="9" t="n">
        <v>2914298</v>
      </c>
      <c r="H13" s="2" t="s">
        <v>54</v>
      </c>
    </row>
    <row r="14" customFormat="false" ht="22.35" hidden="false" customHeight="false" outlineLevel="0" collapsed="false">
      <c r="B14" s="6" t="s">
        <v>55</v>
      </c>
      <c r="C14" s="11" t="n">
        <v>0.05</v>
      </c>
      <c r="D14" s="11" t="n">
        <v>0.0495</v>
      </c>
      <c r="E14" s="11" t="n">
        <v>0.0457</v>
      </c>
      <c r="F14" s="11" t="n">
        <v>0.0665</v>
      </c>
      <c r="G14" s="11" t="n">
        <v>0.0652</v>
      </c>
      <c r="H14" s="2" t="s">
        <v>56</v>
      </c>
    </row>
    <row r="15" customFormat="false" ht="15" hidden="false" customHeight="false" outlineLevel="0" collapsed="false">
      <c r="B15" s="6" t="s">
        <v>57</v>
      </c>
      <c r="C15" s="9" t="n">
        <v>1885</v>
      </c>
      <c r="D15" s="9" t="n">
        <v>1730</v>
      </c>
      <c r="E15" s="9" t="n">
        <v>2171</v>
      </c>
      <c r="F15" s="9" t="n">
        <v>2069</v>
      </c>
      <c r="G15" s="9" t="n">
        <v>1787</v>
      </c>
      <c r="H15" s="2" t="s">
        <v>58</v>
      </c>
    </row>
    <row r="16" customFormat="false" ht="15" hidden="false" customHeight="false" outlineLevel="0" collapsed="false">
      <c r="B16" s="6" t="s">
        <v>59</v>
      </c>
      <c r="C16" s="12" t="n">
        <f aca="false">C15/C9</f>
        <v>2.02153443579349</v>
      </c>
      <c r="D16" s="12" t="n">
        <f aca="false">D15/D9</f>
        <v>1.70211928609378</v>
      </c>
      <c r="E16" s="12" t="n">
        <f aca="false">E15/E9</f>
        <v>2.44223457151214</v>
      </c>
      <c r="F16" s="12" t="n">
        <f aca="false">F15/F9</f>
        <v>2.20345481266907</v>
      </c>
      <c r="G16" s="12" t="n">
        <f aca="false">G15/G9</f>
        <v>1.96858200405394</v>
      </c>
    </row>
    <row r="17" customFormat="false" ht="15" hidden="false" customHeight="false" outlineLevel="0" collapsed="false">
      <c r="B17" s="6" t="s">
        <v>60</v>
      </c>
      <c r="C17" s="9" t="n">
        <v>2736</v>
      </c>
      <c r="D17" s="9" t="n">
        <v>2803</v>
      </c>
      <c r="E17" s="9" t="n">
        <v>3002</v>
      </c>
      <c r="F17" s="9" t="n">
        <v>4207</v>
      </c>
      <c r="G17" s="9" t="n">
        <v>3568</v>
      </c>
      <c r="H17" s="2" t="s">
        <v>61</v>
      </c>
    </row>
    <row r="18" customFormat="false" ht="22.35" hidden="false" customHeight="false" outlineLevel="0" collapsed="false">
      <c r="B18" s="6" t="s">
        <v>62</v>
      </c>
      <c r="C18" s="9" t="n">
        <v>1340</v>
      </c>
      <c r="D18" s="9" t="n">
        <v>1169</v>
      </c>
      <c r="E18" s="9" t="n">
        <v>3428</v>
      </c>
      <c r="F18" s="9" t="n">
        <v>1501</v>
      </c>
      <c r="G18" s="9" t="n">
        <v>2203</v>
      </c>
      <c r="H18" s="2" t="s">
        <v>63</v>
      </c>
    </row>
    <row r="19" customFormat="false" ht="15" hidden="false" customHeight="false" outlineLevel="0" collapsed="false">
      <c r="B19" s="6" t="s">
        <v>64</v>
      </c>
      <c r="C19" s="7" t="s">
        <v>65</v>
      </c>
      <c r="D19" s="7" t="s">
        <v>66</v>
      </c>
      <c r="E19" s="7" t="s">
        <v>67</v>
      </c>
      <c r="F19" s="7" t="s">
        <v>68</v>
      </c>
      <c r="G19" s="7" t="s">
        <v>69</v>
      </c>
      <c r="H19" s="2"/>
    </row>
    <row r="20" customFormat="false" ht="15" hidden="false" customHeight="false" outlineLevel="0" collapsed="false">
      <c r="B20" s="6" t="s">
        <v>70</v>
      </c>
      <c r="C20" s="11" t="n">
        <v>0.05</v>
      </c>
      <c r="D20" s="11" t="n">
        <v>0.05</v>
      </c>
      <c r="E20" s="11" t="n">
        <v>0.0475</v>
      </c>
      <c r="F20" s="11" t="n">
        <v>0.055</v>
      </c>
      <c r="G20" s="11" t="n">
        <v>0.0525</v>
      </c>
      <c r="H20" s="2" t="s">
        <v>71</v>
      </c>
    </row>
    <row r="21" customFormat="false" ht="15" hidden="false" customHeight="false" outlineLevel="0" collapsed="false">
      <c r="B21" s="6" t="s">
        <v>72</v>
      </c>
      <c r="C21" s="9" t="n">
        <v>400563</v>
      </c>
      <c r="D21" s="9" t="n">
        <v>361232</v>
      </c>
      <c r="E21" s="9" t="n">
        <v>442763</v>
      </c>
      <c r="F21" s="9" t="n">
        <v>400467</v>
      </c>
      <c r="G21" s="9" t="n">
        <v>361642</v>
      </c>
      <c r="H21" s="2"/>
    </row>
    <row r="22" customFormat="false" ht="15" hidden="false" customHeight="false" outlineLevel="0" collapsed="false">
      <c r="B22" s="6" t="s">
        <v>73</v>
      </c>
      <c r="C22" s="11" t="n">
        <v>0.0865</v>
      </c>
      <c r="D22" s="11" t="n">
        <v>0.0894</v>
      </c>
      <c r="E22" s="11" t="n">
        <v>0.0718</v>
      </c>
      <c r="F22" s="11" t="n">
        <v>0.3059</v>
      </c>
      <c r="G22" s="11" t="n">
        <v>0.2506</v>
      </c>
      <c r="H22" s="2" t="s">
        <v>74</v>
      </c>
    </row>
    <row r="23" customFormat="false" ht="15" hidden="false" customHeight="false" outlineLevel="0" collapsed="false">
      <c r="B23" s="6" t="s">
        <v>75</v>
      </c>
      <c r="C23" s="11" t="n">
        <v>0.1214</v>
      </c>
      <c r="D23" s="11" t="n">
        <v>0.1388</v>
      </c>
      <c r="E23" s="11" t="n">
        <v>0.0886</v>
      </c>
      <c r="F23" s="11" t="n">
        <v>0.2229</v>
      </c>
      <c r="G23" s="11" t="n">
        <v>0.2051</v>
      </c>
      <c r="H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5"/>
    <col collapsed="false" customWidth="true" hidden="false" outlineLevel="0" max="8" min="8" style="0" width="46"/>
  </cols>
  <sheetData>
    <row r="2" customFormat="false" ht="17.35" hidden="false" customHeight="false" outlineLevel="0" collapsed="false">
      <c r="B2" s="1" t="s">
        <v>76</v>
      </c>
    </row>
    <row r="3" customFormat="false" ht="32.8" hidden="false" customHeight="false" outlineLevel="0" collapsed="false">
      <c r="B3" s="2" t="s">
        <v>77</v>
      </c>
    </row>
    <row r="5" customFormat="false" ht="26.85" hidden="false" customHeight="false" outlineLevel="0" collapsed="false">
      <c r="B5" s="5" t="s">
        <v>78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  <c r="H5" s="5" t="s">
        <v>29</v>
      </c>
    </row>
    <row r="6" customFormat="false" ht="15" hidden="false" customHeight="false" outlineLevel="0" collapsed="false">
      <c r="B6" s="13" t="s">
        <v>57</v>
      </c>
      <c r="C6" s="9" t="n">
        <v>1885</v>
      </c>
      <c r="D6" s="9" t="n">
        <v>1730</v>
      </c>
      <c r="E6" s="9" t="n">
        <v>2171</v>
      </c>
      <c r="F6" s="9" t="n">
        <v>2443</v>
      </c>
      <c r="G6" s="9" t="n">
        <v>1787</v>
      </c>
      <c r="H6" s="2" t="s">
        <v>84</v>
      </c>
    </row>
    <row r="7" customFormat="false" ht="15" hidden="false" customHeight="false" outlineLevel="0" collapsed="false">
      <c r="B7" s="13" t="s">
        <v>85</v>
      </c>
      <c r="C7" s="12" t="n">
        <f aca="false">C6/932.46</f>
        <v>2.02153443579349</v>
      </c>
      <c r="D7" s="12" t="n">
        <f aca="false">D6/1016.38</f>
        <v>1.70211928609378</v>
      </c>
      <c r="E7" s="12" t="n">
        <f aca="false">E6/888.94</f>
        <v>2.44223457151214</v>
      </c>
      <c r="F7" s="12" t="n">
        <f aca="false">F6/938.98</f>
        <v>2.60175935589682</v>
      </c>
      <c r="G7" s="12" t="n">
        <f aca="false">G6/907.76</f>
        <v>1.96858200405394</v>
      </c>
    </row>
    <row r="8" customFormat="false" ht="15" hidden="false" customHeight="false" outlineLevel="0" collapsed="false">
      <c r="B8" s="14" t="s">
        <v>86</v>
      </c>
    </row>
    <row r="9" customFormat="false" ht="22.35" hidden="false" customHeight="false" outlineLevel="0" collapsed="false">
      <c r="B9" s="13" t="s">
        <v>87</v>
      </c>
      <c r="C9" s="9" t="n">
        <v>601</v>
      </c>
      <c r="D9" s="9" t="n">
        <v>1281</v>
      </c>
      <c r="E9" s="9" t="n">
        <v>1897</v>
      </c>
      <c r="F9" s="9" t="n">
        <v>721</v>
      </c>
      <c r="H9" s="2" t="s">
        <v>88</v>
      </c>
    </row>
    <row r="10" customFormat="false" ht="15" hidden="false" customHeight="false" outlineLevel="0" collapsed="false">
      <c r="B10" s="13" t="s">
        <v>89</v>
      </c>
      <c r="C10" s="9" t="n">
        <v>698</v>
      </c>
      <c r="D10" s="9" t="n">
        <v>763</v>
      </c>
      <c r="E10" s="9" t="n">
        <v>581</v>
      </c>
      <c r="F10" s="9" t="n">
        <v>1149</v>
      </c>
      <c r="H10" s="2" t="s">
        <v>90</v>
      </c>
    </row>
    <row r="11" customFormat="false" ht="22.35" hidden="false" customHeight="false" outlineLevel="0" collapsed="false">
      <c r="B11" s="13" t="s">
        <v>91</v>
      </c>
      <c r="C11" s="9" t="n">
        <v>360</v>
      </c>
      <c r="D11" s="9" t="n">
        <v>759</v>
      </c>
      <c r="E11" s="9" t="n">
        <v>520</v>
      </c>
      <c r="F11" s="9" t="n">
        <v>1041</v>
      </c>
      <c r="H11" s="2" t="s">
        <v>92</v>
      </c>
    </row>
    <row r="12" customFormat="false" ht="22.35" hidden="false" customHeight="false" outlineLevel="0" collapsed="false">
      <c r="B12" s="13" t="s">
        <v>93</v>
      </c>
      <c r="C12" s="9" t="n">
        <v>1077</v>
      </c>
      <c r="D12" s="9" t="n">
        <v>0</v>
      </c>
      <c r="E12" s="9" t="n">
        <v>3</v>
      </c>
      <c r="F12" s="9" t="n">
        <v>1296</v>
      </c>
      <c r="H12" s="2" t="s">
        <v>94</v>
      </c>
    </row>
    <row r="13" customFormat="false" ht="15" hidden="false" customHeight="false" outlineLevel="0" collapsed="false">
      <c r="B13" s="6" t="s">
        <v>95</v>
      </c>
      <c r="C13" s="10" t="n">
        <f aca="false">SUM(C9:C12)</f>
        <v>2736</v>
      </c>
      <c r="D13" s="10" t="n">
        <f aca="false">SUM(D9:D12)</f>
        <v>2803</v>
      </c>
      <c r="E13" s="10" t="n">
        <f aca="false">SUM(E9:E12)</f>
        <v>3001</v>
      </c>
      <c r="F13" s="10" t="n">
        <f aca="false">SUM(F9:F12)</f>
        <v>4207</v>
      </c>
      <c r="G13" s="9" t="n">
        <v>3568</v>
      </c>
      <c r="H13" s="2" t="s">
        <v>96</v>
      </c>
    </row>
    <row r="14" customFormat="false" ht="15" hidden="false" customHeight="false" outlineLevel="0" collapsed="false">
      <c r="B14" s="14" t="s">
        <v>97</v>
      </c>
    </row>
    <row r="15" customFormat="false" ht="15" hidden="false" customHeight="false" outlineLevel="0" collapsed="false">
      <c r="B15" s="13" t="s">
        <v>98</v>
      </c>
      <c r="C15" s="9" t="n">
        <v>1671</v>
      </c>
      <c r="E15" s="9" t="n">
        <v>1749</v>
      </c>
      <c r="F15" s="9" t="n">
        <v>1804</v>
      </c>
      <c r="G15" s="9" t="n">
        <v>0</v>
      </c>
      <c r="H15" s="2" t="s">
        <v>99</v>
      </c>
    </row>
    <row r="16" customFormat="false" ht="15" hidden="false" customHeight="false" outlineLevel="0" collapsed="false">
      <c r="B16" s="13" t="s">
        <v>100</v>
      </c>
      <c r="C16" s="9" t="n">
        <v>367</v>
      </c>
      <c r="E16" s="9" t="n">
        <v>346</v>
      </c>
      <c r="F16" s="9" t="n">
        <v>406</v>
      </c>
      <c r="G16" s="9" t="n">
        <v>371</v>
      </c>
    </row>
    <row r="17" customFormat="false" ht="15" hidden="false" customHeight="false" outlineLevel="0" collapsed="false">
      <c r="B17" s="13" t="s">
        <v>101</v>
      </c>
      <c r="C17" s="9" t="n">
        <v>423</v>
      </c>
      <c r="E17" s="9" t="n">
        <v>660</v>
      </c>
      <c r="F17" s="9" t="n">
        <v>480</v>
      </c>
    </row>
    <row r="18" customFormat="false" ht="15" hidden="false" customHeight="false" outlineLevel="0" collapsed="false">
      <c r="B18" s="13" t="s">
        <v>102</v>
      </c>
      <c r="C18" s="9" t="n">
        <v>200</v>
      </c>
      <c r="E18" s="9" t="n">
        <v>152</v>
      </c>
      <c r="G18" s="9" t="n">
        <v>254</v>
      </c>
      <c r="H18" s="2" t="s">
        <v>103</v>
      </c>
    </row>
    <row r="19" customFormat="false" ht="15" hidden="false" customHeight="false" outlineLevel="0" collapsed="false">
      <c r="B19" s="13" t="s">
        <v>104</v>
      </c>
      <c r="C19" s="9" t="n">
        <v>175</v>
      </c>
      <c r="E19" s="9" t="n">
        <v>173</v>
      </c>
      <c r="F19" s="9" t="n">
        <v>541</v>
      </c>
      <c r="G19" s="9" t="n">
        <v>344</v>
      </c>
    </row>
    <row r="20" customFormat="false" ht="15" hidden="false" customHeight="false" outlineLevel="0" collapsed="false">
      <c r="B20" s="13" t="s">
        <v>105</v>
      </c>
      <c r="C20" s="9" t="n">
        <v>619</v>
      </c>
      <c r="E20" s="9" t="n">
        <v>996</v>
      </c>
      <c r="F20" s="9" t="n">
        <v>972</v>
      </c>
      <c r="G20" s="9" t="n">
        <v>708</v>
      </c>
      <c r="H20" s="2" t="s">
        <v>106</v>
      </c>
    </row>
    <row r="21" customFormat="false" ht="15" hidden="false" customHeight="false" outlineLevel="0" collapsed="false">
      <c r="B21" s="13" t="s">
        <v>107</v>
      </c>
      <c r="C21" s="9" t="n">
        <v>760</v>
      </c>
      <c r="E21" s="9" t="n">
        <v>470</v>
      </c>
      <c r="F21" s="9" t="n">
        <v>1405</v>
      </c>
      <c r="G21" s="9" t="n">
        <v>859</v>
      </c>
    </row>
    <row r="22" customFormat="false" ht="15" hidden="false" customHeight="false" outlineLevel="0" collapsed="false">
      <c r="B22" s="13" t="s">
        <v>108</v>
      </c>
      <c r="C22" s="9" t="n">
        <v>576</v>
      </c>
      <c r="E22" s="9" t="n">
        <v>668</v>
      </c>
      <c r="F22" s="9" t="n">
        <v>946</v>
      </c>
      <c r="G22" s="9" t="n">
        <v>2015</v>
      </c>
      <c r="H22" s="2" t="s">
        <v>109</v>
      </c>
    </row>
    <row r="23" customFormat="false" ht="15" hidden="false" customHeight="false" outlineLevel="0" collapsed="false">
      <c r="B23" s="13" t="s">
        <v>110</v>
      </c>
      <c r="C23" s="9" t="n">
        <v>525</v>
      </c>
      <c r="D23" s="9" t="n">
        <v>620</v>
      </c>
      <c r="E23" s="9" t="n">
        <v>625</v>
      </c>
      <c r="F23" s="9" t="n">
        <v>496</v>
      </c>
      <c r="G23" s="9" t="n">
        <v>446</v>
      </c>
    </row>
    <row r="24" customFormat="false" ht="15" hidden="false" customHeight="false" outlineLevel="0" collapsed="false">
      <c r="B24" s="13" t="s">
        <v>111</v>
      </c>
      <c r="C24" s="9" t="n">
        <v>1340</v>
      </c>
      <c r="D24" s="9" t="n">
        <v>1169</v>
      </c>
      <c r="E24" s="9" t="n">
        <v>3428</v>
      </c>
      <c r="F24" s="9" t="n">
        <v>1501</v>
      </c>
      <c r="G24" s="9" t="n">
        <v>2203</v>
      </c>
      <c r="H24" s="2" t="s">
        <v>112</v>
      </c>
    </row>
    <row r="25" customFormat="false" ht="22.35" hidden="false" customHeight="false" outlineLevel="0" collapsed="false">
      <c r="B25" s="6" t="s">
        <v>113</v>
      </c>
      <c r="C25" s="9" t="n">
        <v>6656</v>
      </c>
      <c r="D25" s="9" t="n">
        <v>6013</v>
      </c>
      <c r="E25" s="9" t="n">
        <v>9267</v>
      </c>
      <c r="F25" s="9" t="n">
        <v>8779</v>
      </c>
      <c r="G25" s="9" t="n">
        <v>7200</v>
      </c>
      <c r="H25" s="2" t="s">
        <v>114</v>
      </c>
    </row>
    <row r="26" customFormat="false" ht="15" hidden="false" customHeight="false" outlineLevel="0" collapsed="false">
      <c r="B26" s="6" t="s">
        <v>115</v>
      </c>
      <c r="C26" s="9" t="n">
        <v>16402</v>
      </c>
      <c r="D26" s="9" t="n">
        <v>14099</v>
      </c>
      <c r="E26" s="9" t="n">
        <v>17458</v>
      </c>
      <c r="F26" s="9" t="n">
        <v>22755</v>
      </c>
      <c r="G26" s="9" t="n">
        <v>17990</v>
      </c>
      <c r="H26" s="2" t="s">
        <v>116</v>
      </c>
    </row>
    <row r="27" customFormat="false" ht="15" hidden="false" customHeight="false" outlineLevel="0" collapsed="false">
      <c r="B27" s="1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118</v>
      </c>
    </row>
    <row r="3" customFormat="false" ht="43.25" hidden="false" customHeight="false" outlineLevel="0" collapsed="false">
      <c r="B3" s="2" t="s">
        <v>119</v>
      </c>
    </row>
    <row r="5" customFormat="false" ht="15" hidden="false" customHeight="false" outlineLevel="0" collapsed="false">
      <c r="B5" s="14" t="s">
        <v>120</v>
      </c>
    </row>
    <row r="6" customFormat="false" ht="15" hidden="false" customHeight="false" outlineLevel="0" collapsed="false">
      <c r="B6" s="13" t="s">
        <v>121</v>
      </c>
      <c r="C6" s="9" t="n">
        <v>77959624</v>
      </c>
      <c r="F6" s="2" t="s">
        <v>122</v>
      </c>
    </row>
    <row r="7" customFormat="false" ht="15" hidden="false" customHeight="false" outlineLevel="0" collapsed="false">
      <c r="B7" s="13" t="s">
        <v>123</v>
      </c>
      <c r="C7" s="9" t="n">
        <v>1982846</v>
      </c>
      <c r="F7" s="2" t="s">
        <v>124</v>
      </c>
    </row>
    <row r="8" customFormat="false" ht="15" hidden="false" customHeight="false" outlineLevel="0" collapsed="false">
      <c r="B8" s="13" t="s">
        <v>125</v>
      </c>
      <c r="C8" s="10" t="n">
        <f aca="false">C6-C7</f>
        <v>75976778</v>
      </c>
      <c r="F8" s="2" t="s">
        <v>126</v>
      </c>
    </row>
    <row r="9" customFormat="false" ht="15" hidden="false" customHeight="false" outlineLevel="0" collapsed="false">
      <c r="B9" s="13" t="s">
        <v>47</v>
      </c>
      <c r="C9" s="8" t="n">
        <v>256</v>
      </c>
      <c r="F9" s="2"/>
    </row>
    <row r="10" customFormat="false" ht="15" hidden="false" customHeight="false" outlineLevel="0" collapsed="false">
      <c r="B10" s="13" t="s">
        <v>127</v>
      </c>
      <c r="C10" s="8" t="n">
        <v>938.98</v>
      </c>
      <c r="F10" s="2"/>
    </row>
    <row r="11" customFormat="false" ht="15" hidden="false" customHeight="false" outlineLevel="0" collapsed="false">
      <c r="B11" s="13" t="s">
        <v>128</v>
      </c>
      <c r="C11" s="9" t="n">
        <v>5036490</v>
      </c>
      <c r="F11" s="2" t="s">
        <v>129</v>
      </c>
    </row>
    <row r="12" customFormat="false" ht="15" hidden="false" customHeight="false" outlineLevel="0" collapsed="false">
      <c r="B12" s="13" t="s">
        <v>130</v>
      </c>
      <c r="C12" s="15" t="n">
        <f aca="false">C11/C8</f>
        <v>0.0662898603044209</v>
      </c>
      <c r="F12" s="2" t="s">
        <v>131</v>
      </c>
    </row>
    <row r="13" customFormat="false" ht="15" hidden="false" customHeight="false" outlineLevel="0" collapsed="false">
      <c r="B13" s="13" t="s">
        <v>132</v>
      </c>
      <c r="C13" s="9" t="n">
        <v>331600</v>
      </c>
      <c r="F13" s="2" t="s">
        <v>133</v>
      </c>
    </row>
    <row r="14" customFormat="false" ht="15" hidden="false" customHeight="false" outlineLevel="0" collapsed="false">
      <c r="B14" s="13" t="s">
        <v>134</v>
      </c>
      <c r="C14" s="9" t="n">
        <v>5638571</v>
      </c>
      <c r="F14" s="2" t="s">
        <v>135</v>
      </c>
    </row>
    <row r="15" customFormat="false" ht="15" hidden="false" customHeight="false" outlineLevel="0" collapsed="false">
      <c r="B15" s="13" t="s">
        <v>136</v>
      </c>
      <c r="C15" s="11" t="n">
        <v>0.055</v>
      </c>
      <c r="F15" s="2"/>
    </row>
    <row r="16" customFormat="false" ht="15" hidden="false" customHeight="false" outlineLevel="0" collapsed="false">
      <c r="B16" s="13" t="s">
        <v>137</v>
      </c>
      <c r="C16" s="10" t="n">
        <f aca="false">C14/C15</f>
        <v>102519472.727273</v>
      </c>
      <c r="F16" s="2" t="s">
        <v>138</v>
      </c>
    </row>
    <row r="17" customFormat="false" ht="15" hidden="false" customHeight="false" outlineLevel="0" collapsed="false">
      <c r="B17" s="14" t="s">
        <v>139</v>
      </c>
    </row>
    <row r="18" customFormat="false" ht="15" hidden="false" customHeight="false" outlineLevel="0" collapsed="false">
      <c r="B18" s="13" t="s">
        <v>140</v>
      </c>
      <c r="C18" s="9" t="n">
        <v>1041</v>
      </c>
      <c r="F18" s="2" t="s">
        <v>141</v>
      </c>
    </row>
    <row r="19" customFormat="false" ht="15" hidden="false" customHeight="false" outlineLevel="0" collapsed="false">
      <c r="B19" s="13" t="s">
        <v>142</v>
      </c>
      <c r="C19" s="9" t="n">
        <v>1296</v>
      </c>
      <c r="F19" s="2"/>
    </row>
    <row r="20" customFormat="false" ht="15" hidden="false" customHeight="false" outlineLevel="0" collapsed="false">
      <c r="B20" s="13" t="s">
        <v>143</v>
      </c>
      <c r="C20" s="9" t="n">
        <v>1149</v>
      </c>
      <c r="F20" s="2"/>
    </row>
    <row r="21" customFormat="false" ht="15" hidden="false" customHeight="false" outlineLevel="0" collapsed="false">
      <c r="B21" s="13" t="s">
        <v>144</v>
      </c>
      <c r="C21" s="9" t="n">
        <v>126</v>
      </c>
      <c r="F21" s="2"/>
    </row>
    <row r="22" customFormat="false" ht="15" hidden="false" customHeight="false" outlineLevel="0" collapsed="false">
      <c r="B22" s="13" t="s">
        <v>145</v>
      </c>
      <c r="C22" s="9" t="n">
        <v>595</v>
      </c>
      <c r="F22" s="2"/>
    </row>
    <row r="23" customFormat="false" ht="15" hidden="false" customHeight="false" outlineLevel="0" collapsed="false">
      <c r="B23" s="13" t="s">
        <v>146</v>
      </c>
      <c r="C23" s="10" t="n">
        <f aca="false">SUM(C18:C22)</f>
        <v>4207</v>
      </c>
      <c r="F23" s="2"/>
    </row>
    <row r="25" customFormat="false" ht="15" hidden="false" customHeight="false" outlineLevel="0" collapsed="false">
      <c r="B25" s="14" t="s">
        <v>147</v>
      </c>
    </row>
    <row r="26" customFormat="false" ht="22.35" hidden="false" customHeight="false" outlineLevel="0" collapsed="false">
      <c r="B26" s="13" t="s">
        <v>148</v>
      </c>
      <c r="C26" s="16" t="n">
        <v>750</v>
      </c>
      <c r="F26" s="2" t="s">
        <v>149</v>
      </c>
    </row>
    <row r="27" customFormat="false" ht="15" hidden="false" customHeight="false" outlineLevel="0" collapsed="false">
      <c r="B27" s="13" t="s">
        <v>150</v>
      </c>
      <c r="C27" s="16" t="n">
        <v>1077</v>
      </c>
      <c r="F27" s="2" t="s">
        <v>151</v>
      </c>
    </row>
    <row r="28" customFormat="false" ht="22.35" hidden="false" customHeight="false" outlineLevel="0" collapsed="false">
      <c r="B28" s="13" t="s">
        <v>152</v>
      </c>
      <c r="C28" s="16" t="n">
        <v>850</v>
      </c>
      <c r="F28" s="2" t="s">
        <v>153</v>
      </c>
    </row>
    <row r="29" customFormat="false" ht="15" hidden="false" customHeight="false" outlineLevel="0" collapsed="false">
      <c r="B29" s="13" t="s">
        <v>154</v>
      </c>
      <c r="C29" s="9" t="n">
        <v>126</v>
      </c>
      <c r="F29" s="2"/>
    </row>
    <row r="30" customFormat="false" ht="15" hidden="false" customHeight="false" outlineLevel="0" collapsed="false">
      <c r="B30" s="13" t="s">
        <v>155</v>
      </c>
      <c r="C30" s="9" t="n">
        <v>595</v>
      </c>
      <c r="F30" s="2"/>
    </row>
    <row r="31" customFormat="false" ht="15" hidden="false" customHeight="false" outlineLevel="0" collapsed="false">
      <c r="B31" s="13" t="s">
        <v>156</v>
      </c>
      <c r="C31" s="10" t="n">
        <f aca="false">SUM(C26:C30)</f>
        <v>3398</v>
      </c>
      <c r="F31" s="2" t="s">
        <v>157</v>
      </c>
    </row>
    <row r="32" customFormat="false" ht="15" hidden="false" customHeight="false" outlineLevel="0" collapsed="false">
      <c r="B32" s="13" t="s">
        <v>158</v>
      </c>
      <c r="C32" s="10" t="n">
        <f aca="false">C31-C23</f>
        <v>-809</v>
      </c>
      <c r="F32" s="2"/>
    </row>
    <row r="33" customFormat="false" ht="15" hidden="false" customHeight="false" outlineLevel="0" collapsed="false">
      <c r="B33" s="13" t="s">
        <v>159</v>
      </c>
      <c r="C33" s="10" t="n">
        <f aca="false">C32*C9</f>
        <v>-207104</v>
      </c>
      <c r="F33" s="2"/>
    </row>
    <row r="34" customFormat="false" ht="15" hidden="false" customHeight="false" outlineLevel="0" collapsed="false">
      <c r="B34" s="13" t="s">
        <v>160</v>
      </c>
      <c r="C34" s="17" t="n">
        <v>0.0045</v>
      </c>
      <c r="F34" s="2" t="s">
        <v>161</v>
      </c>
    </row>
    <row r="35" customFormat="false" ht="15" hidden="false" customHeight="false" outlineLevel="0" collapsed="false">
      <c r="B35" s="13" t="s">
        <v>162</v>
      </c>
      <c r="C35" s="17" t="n">
        <v>0.95</v>
      </c>
      <c r="F35" s="2" t="s">
        <v>163</v>
      </c>
    </row>
    <row r="36" customFormat="false" ht="15" hidden="false" customHeight="false" outlineLevel="0" collapsed="false">
      <c r="B36" s="13" t="s">
        <v>164</v>
      </c>
      <c r="C36" s="15" t="n">
        <f aca="false">C34*C35</f>
        <v>0.004275</v>
      </c>
      <c r="F36" s="2"/>
    </row>
    <row r="37" customFormat="false" ht="22.35" hidden="false" customHeight="false" outlineLevel="0" collapsed="false">
      <c r="B37" s="13" t="s">
        <v>165</v>
      </c>
      <c r="C37" s="17" t="n">
        <v>0.0525</v>
      </c>
      <c r="F37" s="2" t="s">
        <v>166</v>
      </c>
    </row>
    <row r="38" customFormat="false" ht="15" hidden="false" customHeight="false" outlineLevel="0" collapsed="false">
      <c r="B38" s="13" t="s">
        <v>167</v>
      </c>
      <c r="C38" s="17" t="n">
        <v>0.05</v>
      </c>
      <c r="F38" s="2"/>
    </row>
    <row r="40" customFormat="false" ht="15" hidden="false" customHeight="false" outlineLevel="0" collapsed="false">
      <c r="B40" s="14" t="s">
        <v>168</v>
      </c>
    </row>
    <row r="41" customFormat="false" ht="15" hidden="false" customHeight="false" outlineLevel="0" collapsed="false">
      <c r="B41" s="3" t="s">
        <v>169</v>
      </c>
    </row>
    <row r="42" customFormat="false" ht="15" hidden="false" customHeight="false" outlineLevel="0" collapsed="false">
      <c r="B42" s="13" t="s">
        <v>170</v>
      </c>
      <c r="C42" s="10" t="n">
        <f aca="false">C11+C13+C33</f>
        <v>5160986</v>
      </c>
      <c r="F42" s="2" t="s">
        <v>171</v>
      </c>
    </row>
    <row r="43" customFormat="false" ht="15" hidden="false" customHeight="false" outlineLevel="0" collapsed="false">
      <c r="B43" s="13" t="s">
        <v>172</v>
      </c>
      <c r="C43" s="10" t="n">
        <f aca="false">C42/(C37+C36)</f>
        <v>90902439.453985</v>
      </c>
      <c r="F43" s="2" t="s">
        <v>173</v>
      </c>
    </row>
    <row r="44" customFormat="false" ht="15" hidden="false" customHeight="false" outlineLevel="0" collapsed="false">
      <c r="B44" s="13" t="s">
        <v>174</v>
      </c>
      <c r="C44" s="10" t="n">
        <f aca="false">C43/C9</f>
        <v>355087.654117129</v>
      </c>
      <c r="F44" s="2"/>
    </row>
    <row r="45" customFormat="false" ht="15" hidden="false" customHeight="false" outlineLevel="0" collapsed="false">
      <c r="B45" s="13" t="s">
        <v>175</v>
      </c>
      <c r="C45" s="10" t="n">
        <f aca="false">C36*C43</f>
        <v>388607.928665786</v>
      </c>
      <c r="F45" s="2"/>
    </row>
    <row r="46" customFormat="false" ht="15" hidden="false" customHeight="false" outlineLevel="0" collapsed="false">
      <c r="B46" s="13" t="s">
        <v>174</v>
      </c>
      <c r="C46" s="10" t="n">
        <f aca="false">C45/C9</f>
        <v>1517.99972135073</v>
      </c>
      <c r="F46" s="2"/>
    </row>
    <row r="47" customFormat="false" ht="15" hidden="false" customHeight="false" outlineLevel="0" collapsed="false">
      <c r="B47" s="6" t="s">
        <v>176</v>
      </c>
      <c r="C47" s="10" t="n">
        <f aca="false">C42-C45</f>
        <v>4772378.07133421</v>
      </c>
      <c r="F47" s="2"/>
    </row>
    <row r="48" customFormat="false" ht="15" hidden="false" customHeight="false" outlineLevel="0" collapsed="false">
      <c r="B48" s="6" t="s">
        <v>177</v>
      </c>
      <c r="C48" s="15" t="n">
        <f aca="false">C47/C8</f>
        <v>0.0628136411803909</v>
      </c>
      <c r="F48" s="2" t="s">
        <v>178</v>
      </c>
    </row>
    <row r="49" customFormat="false" ht="15" hidden="false" customHeight="false" outlineLevel="0" collapsed="false">
      <c r="B49" s="6" t="s">
        <v>179</v>
      </c>
      <c r="C49" s="15" t="n">
        <f aca="false">C47/C6</f>
        <v>0.0612160221723775</v>
      </c>
      <c r="F49" s="2"/>
    </row>
    <row r="50" customFormat="false" ht="15" hidden="false" customHeight="false" outlineLevel="0" collapsed="false">
      <c r="B50" s="13" t="s">
        <v>180</v>
      </c>
      <c r="C50" s="18" t="n">
        <f aca="false">(C48-C37)*10000</f>
        <v>103.136411803909</v>
      </c>
      <c r="F50" s="2" t="s">
        <v>181</v>
      </c>
    </row>
    <row r="53" customFormat="false" ht="15" hidden="false" customHeight="false" outlineLevel="0" collapsed="false">
      <c r="B53" s="3" t="s">
        <v>182</v>
      </c>
    </row>
    <row r="54" customFormat="false" ht="15" hidden="false" customHeight="false" outlineLevel="0" collapsed="false">
      <c r="B54" s="13" t="s">
        <v>183</v>
      </c>
      <c r="C54" s="10" t="n">
        <f aca="false">C33*1.03^5</f>
        <v>-240090.297883827</v>
      </c>
      <c r="F54" s="2"/>
    </row>
    <row r="55" customFormat="false" ht="15" hidden="false" customHeight="false" outlineLevel="0" collapsed="false">
      <c r="B55" s="13" t="s">
        <v>184</v>
      </c>
      <c r="C55" s="10" t="n">
        <f aca="false">C14+384319+C54</f>
        <v>5782799.70211617</v>
      </c>
      <c r="F55" s="2" t="s">
        <v>185</v>
      </c>
    </row>
    <row r="56" customFormat="false" ht="15" hidden="false" customHeight="false" outlineLevel="0" collapsed="false">
      <c r="B56" s="13" t="s">
        <v>186</v>
      </c>
      <c r="C56" s="10" t="n">
        <f aca="false">C55/(C37+C36)</f>
        <v>101854684.317326</v>
      </c>
      <c r="F56" s="2"/>
    </row>
    <row r="57" customFormat="false" ht="15" hidden="false" customHeight="false" outlineLevel="0" collapsed="false">
      <c r="B57" s="13" t="s">
        <v>174</v>
      </c>
      <c r="C57" s="10" t="n">
        <f aca="false">C56/C9</f>
        <v>397869.860614554</v>
      </c>
      <c r="F57" s="2" t="s">
        <v>187</v>
      </c>
    </row>
    <row r="58" customFormat="false" ht="15" hidden="false" customHeight="false" outlineLevel="0" collapsed="false">
      <c r="B58" s="13" t="s">
        <v>188</v>
      </c>
      <c r="C58" s="10" t="n">
        <f aca="false">C55/(C38+C36)</f>
        <v>106546286.542905</v>
      </c>
      <c r="F58" s="2"/>
    </row>
    <row r="59" customFormat="false" ht="15" hidden="false" customHeight="false" outlineLevel="0" collapsed="false">
      <c r="B59" s="13" t="s">
        <v>174</v>
      </c>
      <c r="C59" s="10" t="n">
        <f aca="false">C58/C9</f>
        <v>416196.431808223</v>
      </c>
      <c r="F59" s="2"/>
    </row>
    <row r="60" customFormat="false" ht="15" hidden="false" customHeight="false" outlineLevel="0" collapsed="false">
      <c r="B60" s="13" t="s">
        <v>189</v>
      </c>
      <c r="C60" s="10" t="n">
        <f aca="false">C56-C16</f>
        <v>-664788.409946919</v>
      </c>
      <c r="F60" s="2" t="s">
        <v>190</v>
      </c>
    </row>
    <row r="62" customFormat="false" ht="15" hidden="false" customHeight="false" outlineLevel="0" collapsed="false">
      <c r="B62" s="3" t="s">
        <v>191</v>
      </c>
    </row>
    <row r="63" customFormat="false" ht="15" hidden="false" customHeight="false" outlineLevel="0" collapsed="false">
      <c r="B63" s="3" t="s">
        <v>192</v>
      </c>
      <c r="C63" s="11" t="n">
        <v>0.0475</v>
      </c>
      <c r="D63" s="11" t="n">
        <v>0.05</v>
      </c>
      <c r="E63" s="11" t="n">
        <v>0.0525</v>
      </c>
      <c r="F63" s="11" t="n">
        <v>0.055</v>
      </c>
    </row>
    <row r="64" customFormat="false" ht="15" hidden="false" customHeight="false" outlineLevel="0" collapsed="false">
      <c r="B64" s="3" t="s">
        <v>193</v>
      </c>
      <c r="C64" s="10" t="n">
        <f aca="false">$C$55/(C63+$C$36)/$C$9</f>
        <v>436292.831219533</v>
      </c>
      <c r="D64" s="10" t="n">
        <f aca="false">$C$55/(D63+$C$36)/$C$9</f>
        <v>416196.431808223</v>
      </c>
      <c r="E64" s="10" t="n">
        <f aca="false">$C$55/(E63+$C$36)/$C$9</f>
        <v>397869.860614554</v>
      </c>
      <c r="F64" s="10" t="n">
        <f aca="false">$C$55/(F63+$C$36)/$C$9</f>
        <v>381089.183237306</v>
      </c>
    </row>
    <row r="66" customFormat="false" ht="15" hidden="false" customHeight="true" outlineLevel="0" collapsed="false">
      <c r="B66" s="19" t="s">
        <v>194</v>
      </c>
      <c r="C66" s="19"/>
      <c r="D66" s="19"/>
      <c r="E66" s="19"/>
      <c r="F66" s="19"/>
    </row>
    <row r="67" customFormat="false" ht="15" hidden="false" customHeight="false" outlineLevel="0" collapsed="false">
      <c r="B67" s="19"/>
      <c r="C67" s="19"/>
      <c r="D67" s="19"/>
      <c r="E67" s="19"/>
      <c r="F67" s="19"/>
    </row>
    <row r="68" customFormat="false" ht="15" hidden="false" customHeight="false" outlineLevel="0" collapsed="false">
      <c r="B68" s="19"/>
      <c r="C68" s="19"/>
      <c r="D68" s="19"/>
      <c r="E68" s="19"/>
      <c r="F68" s="19"/>
    </row>
  </sheetData>
  <mergeCells count="1">
    <mergeCell ref="B66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195</v>
      </c>
    </row>
    <row r="3" customFormat="false" ht="32.8" hidden="false" customHeight="false" outlineLevel="0" collapsed="false">
      <c r="B3" s="2" t="s">
        <v>196</v>
      </c>
    </row>
    <row r="5" customFormat="false" ht="15" hidden="false" customHeight="false" outlineLevel="0" collapsed="false">
      <c r="B5" s="14" t="s">
        <v>197</v>
      </c>
    </row>
    <row r="6" customFormat="false" ht="15" hidden="false" customHeight="false" outlineLevel="0" collapsed="false">
      <c r="B6" s="13" t="s">
        <v>121</v>
      </c>
      <c r="C6" s="9" t="n">
        <v>41691719</v>
      </c>
      <c r="F6" s="2" t="s">
        <v>198</v>
      </c>
    </row>
    <row r="7" customFormat="false" ht="15" hidden="false" customHeight="false" outlineLevel="0" collapsed="false">
      <c r="B7" s="13" t="s">
        <v>47</v>
      </c>
      <c r="C7" s="8" t="n">
        <v>162</v>
      </c>
      <c r="F7" s="2"/>
    </row>
    <row r="8" customFormat="false" ht="15" hidden="false" customHeight="false" outlineLevel="0" collapsed="false">
      <c r="B8" s="13" t="s">
        <v>127</v>
      </c>
      <c r="C8" s="8" t="n">
        <v>907.76</v>
      </c>
      <c r="F8" s="2" t="s">
        <v>199</v>
      </c>
    </row>
    <row r="9" customFormat="false" ht="15" hidden="false" customHeight="false" outlineLevel="0" collapsed="false">
      <c r="B9" s="13" t="s">
        <v>130</v>
      </c>
      <c r="C9" s="11" t="n">
        <v>0.0652</v>
      </c>
      <c r="F9" s="2" t="s">
        <v>200</v>
      </c>
    </row>
    <row r="10" customFormat="false" ht="15" hidden="false" customHeight="false" outlineLevel="0" collapsed="false">
      <c r="B10" s="13" t="s">
        <v>201</v>
      </c>
      <c r="C10" s="10" t="n">
        <f aca="false">C9*C6</f>
        <v>2718300.0788</v>
      </c>
      <c r="F10" s="2"/>
    </row>
    <row r="11" customFormat="false" ht="15" hidden="false" customHeight="false" outlineLevel="0" collapsed="false">
      <c r="B11" s="13" t="s">
        <v>202</v>
      </c>
      <c r="C11" s="9" t="n">
        <v>2914298</v>
      </c>
      <c r="F11" s="2"/>
    </row>
    <row r="12" customFormat="false" ht="15" hidden="false" customHeight="false" outlineLevel="0" collapsed="false">
      <c r="B12" s="13" t="s">
        <v>203</v>
      </c>
      <c r="C12" s="9" t="n">
        <v>356965</v>
      </c>
      <c r="F12" s="2" t="s">
        <v>204</v>
      </c>
    </row>
    <row r="13" customFormat="false" ht="15" hidden="false" customHeight="false" outlineLevel="0" collapsed="false">
      <c r="B13" s="13" t="s">
        <v>205</v>
      </c>
      <c r="C13" s="9" t="n">
        <v>578083</v>
      </c>
      <c r="F13" s="2" t="s">
        <v>206</v>
      </c>
    </row>
    <row r="14" customFormat="false" ht="15" hidden="false" customHeight="false" outlineLevel="0" collapsed="false">
      <c r="B14" s="13" t="s">
        <v>207</v>
      </c>
      <c r="C14" s="9" t="n">
        <v>3075765</v>
      </c>
      <c r="F14" s="2"/>
    </row>
    <row r="15" customFormat="false" ht="15" hidden="false" customHeight="false" outlineLevel="0" collapsed="false">
      <c r="B15" s="13" t="s">
        <v>136</v>
      </c>
      <c r="C15" s="11" t="n">
        <v>0.0525</v>
      </c>
      <c r="F15" s="2"/>
    </row>
    <row r="16" customFormat="false" ht="15" hidden="false" customHeight="false" outlineLevel="0" collapsed="false">
      <c r="B16" s="13" t="s">
        <v>137</v>
      </c>
      <c r="C16" s="10" t="n">
        <f aca="false">C14/C15</f>
        <v>58586000</v>
      </c>
      <c r="F16" s="2" t="s">
        <v>208</v>
      </c>
    </row>
    <row r="17" customFormat="false" ht="15" hidden="false" customHeight="false" outlineLevel="0" collapsed="false">
      <c r="B17" s="13" t="s">
        <v>209</v>
      </c>
      <c r="C17" s="9" t="n">
        <v>2448783</v>
      </c>
      <c r="F17" s="2" t="s">
        <v>210</v>
      </c>
    </row>
    <row r="18" customFormat="false" ht="15" hidden="false" customHeight="false" outlineLevel="0" collapsed="false">
      <c r="B18" s="13" t="s">
        <v>211</v>
      </c>
      <c r="C18" s="20" t="n">
        <v>6.13</v>
      </c>
      <c r="F18" s="2"/>
    </row>
    <row r="20" customFormat="false" ht="15" hidden="false" customHeight="false" outlineLevel="0" collapsed="false">
      <c r="B20" s="14" t="s">
        <v>147</v>
      </c>
    </row>
    <row r="21" customFormat="false" ht="22.35" hidden="false" customHeight="false" outlineLevel="0" collapsed="false">
      <c r="B21" s="13" t="s">
        <v>212</v>
      </c>
      <c r="C21" s="16" t="n">
        <v>3000</v>
      </c>
      <c r="F21" s="2" t="s">
        <v>213</v>
      </c>
    </row>
    <row r="22" customFormat="false" ht="15" hidden="false" customHeight="false" outlineLevel="0" collapsed="false">
      <c r="B22" s="13" t="s">
        <v>159</v>
      </c>
      <c r="C22" s="10" t="n">
        <f aca="false">(C21-C13/C7)*C7</f>
        <v>-92083</v>
      </c>
      <c r="F22" s="2"/>
    </row>
    <row r="23" customFormat="false" ht="15" hidden="false" customHeight="false" outlineLevel="0" collapsed="false">
      <c r="B23" s="13" t="s">
        <v>214</v>
      </c>
      <c r="C23" s="11" t="n">
        <v>0.0092</v>
      </c>
      <c r="F23" s="2" t="s">
        <v>215</v>
      </c>
    </row>
    <row r="24" customFormat="false" ht="15" hidden="false" customHeight="false" outlineLevel="0" collapsed="false">
      <c r="B24" s="13" t="s">
        <v>216</v>
      </c>
      <c r="C24" s="11" t="n">
        <v>0.95</v>
      </c>
      <c r="F24" s="2" t="s">
        <v>217</v>
      </c>
    </row>
    <row r="25" customFormat="false" ht="15" hidden="false" customHeight="false" outlineLevel="0" collapsed="false">
      <c r="B25" s="13" t="s">
        <v>164</v>
      </c>
      <c r="C25" s="15" t="n">
        <f aca="false">C23*C24</f>
        <v>0.00874</v>
      </c>
      <c r="F25" s="2"/>
    </row>
    <row r="26" customFormat="false" ht="15" hidden="false" customHeight="false" outlineLevel="0" collapsed="false">
      <c r="B26" s="13" t="s">
        <v>218</v>
      </c>
      <c r="C26" s="17" t="n">
        <v>0.0525</v>
      </c>
      <c r="F26" s="2" t="s">
        <v>219</v>
      </c>
    </row>
    <row r="27" customFormat="false" ht="15" hidden="false" customHeight="false" outlineLevel="0" collapsed="false">
      <c r="B27" s="13" t="s">
        <v>167</v>
      </c>
      <c r="C27" s="11" t="n">
        <v>0.05</v>
      </c>
      <c r="F27" s="2"/>
    </row>
    <row r="28" customFormat="false" ht="15" hidden="false" customHeight="false" outlineLevel="0" collapsed="false">
      <c r="B28" s="13" t="s">
        <v>220</v>
      </c>
      <c r="C28" s="16" t="n">
        <v>625000</v>
      </c>
      <c r="F28" s="2" t="s">
        <v>221</v>
      </c>
    </row>
    <row r="31" customFormat="false" ht="15" hidden="false" customHeight="false" outlineLevel="0" collapsed="false">
      <c r="B31" s="14" t="s">
        <v>168</v>
      </c>
    </row>
    <row r="32" customFormat="false" ht="15" hidden="false" customHeight="false" outlineLevel="0" collapsed="false">
      <c r="B32" s="13" t="s">
        <v>222</v>
      </c>
      <c r="C32" s="10" t="n">
        <f aca="false">C14+367674+C22</f>
        <v>3351356</v>
      </c>
      <c r="F32" s="2" t="s">
        <v>223</v>
      </c>
    </row>
    <row r="33" customFormat="false" ht="15" hidden="false" customHeight="false" outlineLevel="0" collapsed="false">
      <c r="B33" s="13" t="s">
        <v>224</v>
      </c>
      <c r="C33" s="10" t="n">
        <f aca="false">C32/(C26+C25)</f>
        <v>54724951.0124102</v>
      </c>
      <c r="F33" s="2" t="s">
        <v>173</v>
      </c>
    </row>
    <row r="34" customFormat="false" ht="15" hidden="false" customHeight="false" outlineLevel="0" collapsed="false">
      <c r="B34" s="13" t="s">
        <v>174</v>
      </c>
      <c r="C34" s="10" t="n">
        <f aca="false">C33/C7</f>
        <v>337808.339582779</v>
      </c>
      <c r="F34" s="2" t="s">
        <v>225</v>
      </c>
    </row>
    <row r="35" customFormat="false" ht="15" hidden="false" customHeight="false" outlineLevel="0" collapsed="false">
      <c r="B35" s="13" t="s">
        <v>226</v>
      </c>
      <c r="C35" s="10" t="n">
        <f aca="false">C25*C33</f>
        <v>478296.071848465</v>
      </c>
      <c r="F35" s="2"/>
    </row>
    <row r="36" customFormat="false" ht="15" hidden="false" customHeight="false" outlineLevel="0" collapsed="false">
      <c r="B36" s="13" t="s">
        <v>174</v>
      </c>
      <c r="C36" s="10" t="n">
        <f aca="false">C35/C7</f>
        <v>2952.44488795349</v>
      </c>
      <c r="F36" s="2" t="s">
        <v>227</v>
      </c>
    </row>
    <row r="37" customFormat="false" ht="15" hidden="false" customHeight="false" outlineLevel="0" collapsed="false">
      <c r="B37" s="13" t="s">
        <v>228</v>
      </c>
      <c r="C37" s="10" t="n">
        <f aca="false">C33-C16</f>
        <v>-3861048.98758981</v>
      </c>
      <c r="F37" s="2"/>
    </row>
    <row r="38" customFormat="false" ht="15" hidden="false" customHeight="false" outlineLevel="0" collapsed="false">
      <c r="B38" s="13" t="s">
        <v>229</v>
      </c>
      <c r="C38" s="10" t="n">
        <f aca="false">C10+C12+C22</f>
        <v>2983182.0788</v>
      </c>
      <c r="F38" s="2" t="s">
        <v>230</v>
      </c>
    </row>
    <row r="39" customFormat="false" ht="15" hidden="false" customHeight="false" outlineLevel="0" collapsed="false">
      <c r="B39" s="13" t="s">
        <v>231</v>
      </c>
      <c r="C39" s="10" t="n">
        <f aca="false">C38/(C26+C25)</f>
        <v>48712966.6688439</v>
      </c>
      <c r="F39" s="2"/>
    </row>
    <row r="40" customFormat="false" ht="15" hidden="false" customHeight="false" outlineLevel="0" collapsed="false">
      <c r="B40" s="13" t="s">
        <v>232</v>
      </c>
      <c r="C40" s="10" t="n">
        <f aca="false">C25*C39</f>
        <v>425751.328685696</v>
      </c>
      <c r="F40" s="2"/>
    </row>
    <row r="41" customFormat="false" ht="15" hidden="false" customHeight="false" outlineLevel="0" collapsed="false">
      <c r="B41" s="6" t="s">
        <v>176</v>
      </c>
      <c r="C41" s="10" t="n">
        <f aca="false">C38-C40</f>
        <v>2557430.7501143</v>
      </c>
      <c r="F41" s="2"/>
    </row>
    <row r="42" customFormat="false" ht="15" hidden="false" customHeight="false" outlineLevel="0" collapsed="false">
      <c r="B42" s="6" t="s">
        <v>233</v>
      </c>
      <c r="C42" s="15" t="n">
        <f aca="false">C41/C6</f>
        <v>0.0613414560842239</v>
      </c>
      <c r="F42" s="2" t="s">
        <v>234</v>
      </c>
    </row>
    <row r="43" customFormat="false" ht="15" hidden="false" customHeight="false" outlineLevel="0" collapsed="false">
      <c r="B43" s="13" t="s">
        <v>235</v>
      </c>
      <c r="C43" s="18" t="n">
        <f aca="false">(C42-C26)*10000</f>
        <v>88.4145608422392</v>
      </c>
      <c r="F43" s="2"/>
    </row>
    <row r="44" customFormat="false" ht="15" hidden="false" customHeight="false" outlineLevel="0" collapsed="false">
      <c r="B44" s="14" t="s">
        <v>236</v>
      </c>
    </row>
    <row r="45" customFormat="false" ht="15" hidden="false" customHeight="false" outlineLevel="0" collapsed="false">
      <c r="B45" s="13" t="s">
        <v>237</v>
      </c>
      <c r="C45" s="10" t="n">
        <f aca="false">C28*C18</f>
        <v>3831250</v>
      </c>
      <c r="F45" s="2"/>
    </row>
    <row r="46" customFormat="false" ht="15" hidden="false" customHeight="false" outlineLevel="0" collapsed="false">
      <c r="B46" s="13" t="s">
        <v>238</v>
      </c>
      <c r="C46" s="10" t="n">
        <f aca="false">C45-C17</f>
        <v>1382467</v>
      </c>
      <c r="F46" s="2"/>
    </row>
    <row r="47" customFormat="false" ht="15" hidden="false" customHeight="false" outlineLevel="0" collapsed="false">
      <c r="B47" s="13" t="s">
        <v>239</v>
      </c>
      <c r="C47" s="10" t="n">
        <f aca="false">C6+C46</f>
        <v>43074186</v>
      </c>
      <c r="F47" s="2"/>
    </row>
    <row r="48" customFormat="false" ht="15" hidden="false" customHeight="false" outlineLevel="0" collapsed="false">
      <c r="B48" s="6" t="s">
        <v>240</v>
      </c>
      <c r="C48" s="15" t="n">
        <f aca="false">C41/C47</f>
        <v>0.0593727006266422</v>
      </c>
      <c r="F48" s="2" t="s">
        <v>241</v>
      </c>
    </row>
    <row r="50" customFormat="false" ht="15" hidden="false" customHeight="true" outlineLevel="0" collapsed="false">
      <c r="B50" s="19" t="s">
        <v>242</v>
      </c>
      <c r="C50" s="19"/>
      <c r="D50" s="19"/>
      <c r="E50" s="19"/>
      <c r="F50" s="19"/>
    </row>
    <row r="51" customFormat="false" ht="15" hidden="false" customHeight="false" outlineLevel="0" collapsed="false">
      <c r="B51" s="19"/>
      <c r="C51" s="19"/>
      <c r="D51" s="19"/>
      <c r="E51" s="19"/>
      <c r="F51" s="19"/>
    </row>
    <row r="52" customFormat="false" ht="15" hidden="false" customHeight="false" outlineLevel="0" collapsed="false">
      <c r="B52" s="19"/>
      <c r="C52" s="19"/>
      <c r="D52" s="19"/>
      <c r="E52" s="19"/>
      <c r="F52" s="19"/>
    </row>
  </sheetData>
  <mergeCells count="1">
    <mergeCell ref="B50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3"/>
    <col collapsed="false" customWidth="true" hidden="false" outlineLevel="0" max="10" min="10" style="0" width="44"/>
  </cols>
  <sheetData>
    <row r="2" customFormat="false" ht="17.35" hidden="false" customHeight="false" outlineLevel="0" collapsed="false">
      <c r="B2" s="1" t="s">
        <v>243</v>
      </c>
    </row>
    <row r="3" customFormat="false" ht="43.25" hidden="false" customHeight="false" outlineLevel="0" collapsed="false">
      <c r="B3" s="2" t="s">
        <v>244</v>
      </c>
    </row>
    <row r="5" customFormat="false" ht="15" hidden="false" customHeight="false" outlineLevel="0" collapsed="false">
      <c r="B5" s="14" t="s">
        <v>245</v>
      </c>
    </row>
    <row r="6" customFormat="false" ht="15" hidden="false" customHeight="false" outlineLevel="0" collapsed="false">
      <c r="B6" s="13" t="s">
        <v>125</v>
      </c>
      <c r="C6" s="21" t="n">
        <f aca="false">3_Emblem_Norm!C8</f>
        <v>75976778</v>
      </c>
      <c r="J6" s="2"/>
    </row>
    <row r="7" customFormat="false" ht="15" hidden="false" customHeight="false" outlineLevel="0" collapsed="false">
      <c r="B7" s="13" t="s">
        <v>246</v>
      </c>
      <c r="C7" s="9" t="n">
        <v>1959830</v>
      </c>
      <c r="J7" s="2" t="s">
        <v>247</v>
      </c>
    </row>
    <row r="8" customFormat="false" ht="15" hidden="false" customHeight="false" outlineLevel="0" collapsed="false">
      <c r="B8" s="13" t="s">
        <v>248</v>
      </c>
      <c r="C8" s="15" t="n">
        <f aca="false">1-0.0587</f>
        <v>0.9413</v>
      </c>
      <c r="J8" s="2" t="s">
        <v>249</v>
      </c>
    </row>
    <row r="9" customFormat="false" ht="15" hidden="false" customHeight="false" outlineLevel="0" collapsed="false">
      <c r="B9" s="13" t="s">
        <v>47</v>
      </c>
      <c r="C9" s="8" t="n">
        <v>256</v>
      </c>
      <c r="J9" s="2"/>
    </row>
    <row r="10" customFormat="false" ht="15" hidden="false" customHeight="false" outlineLevel="0" collapsed="false">
      <c r="B10" s="13" t="s">
        <v>250</v>
      </c>
      <c r="C10" s="8" t="n">
        <v>938.98</v>
      </c>
      <c r="J10" s="2"/>
    </row>
    <row r="11" customFormat="false" ht="15" hidden="false" customHeight="false" outlineLevel="0" collapsed="false">
      <c r="B11" s="13" t="s">
        <v>251</v>
      </c>
      <c r="C11" s="11" t="n">
        <v>0.03</v>
      </c>
      <c r="J11" s="2" t="s">
        <v>252</v>
      </c>
    </row>
    <row r="12" customFormat="false" ht="15" hidden="false" customHeight="false" outlineLevel="0" collapsed="false">
      <c r="B12" s="13" t="s">
        <v>253</v>
      </c>
      <c r="C12" s="21" t="n">
        <f aca="false">3_Emblem_Norm!C23</f>
        <v>4207</v>
      </c>
      <c r="J12" s="2"/>
    </row>
    <row r="13" customFormat="false" ht="15" hidden="false" customHeight="false" outlineLevel="0" collapsed="false">
      <c r="B13" s="13" t="s">
        <v>254</v>
      </c>
      <c r="C13" s="21" t="n">
        <f aca="false">3_Emblem_Norm!C31</f>
        <v>3398</v>
      </c>
      <c r="J13" s="2"/>
    </row>
    <row r="14" customFormat="false" ht="15" hidden="false" customHeight="false" outlineLevel="0" collapsed="false">
      <c r="B14" s="13" t="s">
        <v>255</v>
      </c>
      <c r="C14" s="9" t="n">
        <v>2736</v>
      </c>
      <c r="J14" s="2"/>
    </row>
    <row r="17" customFormat="false" ht="15" hidden="false" customHeight="false" outlineLevel="0" collapsed="false">
      <c r="B17" s="14" t="s">
        <v>256</v>
      </c>
    </row>
    <row r="18" customFormat="false" ht="15" hidden="false" customHeight="false" outlineLevel="0" collapsed="false">
      <c r="B18" s="3" t="s">
        <v>257</v>
      </c>
      <c r="C18" s="22" t="n">
        <v>2026</v>
      </c>
      <c r="D18" s="22" t="n">
        <v>2027</v>
      </c>
      <c r="E18" s="22" t="n">
        <v>2028</v>
      </c>
      <c r="F18" s="22" t="n">
        <v>2029</v>
      </c>
      <c r="G18" s="22" t="n">
        <v>2030</v>
      </c>
      <c r="H18" s="22" t="n">
        <v>2031</v>
      </c>
      <c r="I18" s="22" t="n">
        <v>2032</v>
      </c>
    </row>
    <row r="19" customFormat="false" ht="15" hidden="false" customHeight="false" outlineLevel="0" collapsed="false">
      <c r="B19" s="23" t="s">
        <v>258</v>
      </c>
      <c r="C19" s="24" t="n">
        <f aca="false">(1+$C$11)^0</f>
        <v>1</v>
      </c>
      <c r="D19" s="24" t="n">
        <f aca="false">(1+$C$11)^1</f>
        <v>1.03</v>
      </c>
      <c r="E19" s="24" t="n">
        <f aca="false">(1+$C$11)^2</f>
        <v>1.0609</v>
      </c>
      <c r="F19" s="24" t="n">
        <f aca="false">(1+$C$11)^3</f>
        <v>1.092727</v>
      </c>
      <c r="G19" s="24" t="n">
        <f aca="false">(1+$C$11)^4</f>
        <v>1.12550881</v>
      </c>
      <c r="H19" s="24" t="n">
        <f aca="false">(1+$C$11)^5</f>
        <v>1.1592740743</v>
      </c>
      <c r="I19" s="24" t="n">
        <f aca="false">(1+$C$11)^6</f>
        <v>1.194052296529</v>
      </c>
    </row>
    <row r="20" customFormat="false" ht="15" hidden="false" customHeight="false" outlineLevel="0" collapsed="false">
      <c r="B20" s="23" t="s">
        <v>259</v>
      </c>
      <c r="D20" s="9" t="n">
        <v>1885</v>
      </c>
      <c r="E20" s="9" t="n">
        <v>1960</v>
      </c>
      <c r="F20" s="9" t="n">
        <v>2038</v>
      </c>
      <c r="G20" s="9" t="n">
        <v>2110</v>
      </c>
      <c r="H20" s="9" t="n">
        <v>2184</v>
      </c>
      <c r="I20" s="9" t="n">
        <v>2249</v>
      </c>
    </row>
    <row r="21" customFormat="false" ht="15" hidden="false" customHeight="false" outlineLevel="0" collapsed="false">
      <c r="B21" s="23" t="s">
        <v>260</v>
      </c>
      <c r="C21" s="10" t="n">
        <f aca="false">C$19*((0.06*$C$6+$C$7)/$C$8-$C$12*$C$9)/$C$9/12</f>
        <v>1903.62567559492</v>
      </c>
      <c r="D21" s="10" t="n">
        <f aca="false">D$19*((0.06*$C$6+$C$7)/$C$8-$C$12*$C$9)/$C$9/12</f>
        <v>1960.73444586277</v>
      </c>
      <c r="E21" s="10" t="n">
        <f aca="false">E$19*((0.06*$C$6+$C$7)/$C$8-$C$12*$C$9)/$C$9/12</f>
        <v>2019.55647923865</v>
      </c>
      <c r="F21" s="10" t="n">
        <f aca="false">F$19*((0.06*$C$6+$C$7)/$C$8-$C$12*$C$9)/$C$9/12</f>
        <v>2080.14317361581</v>
      </c>
      <c r="G21" s="10" t="n">
        <f aca="false">G$19*((0.06*$C$6+$C$7)/$C$8-$C$12*$C$9)/$C$9/12</f>
        <v>2142.54746882429</v>
      </c>
      <c r="H21" s="10" t="n">
        <f aca="false">H$19*((0.06*$C$6+$C$7)/$C$8-$C$12*$C$9)/$C$9/12</f>
        <v>2206.82389288902</v>
      </c>
      <c r="I21" s="10" t="n">
        <f aca="false">I$19*((0.06*$C$6+$C$7)/$C$8-$C$12*$C$9)/$C$9/12</f>
        <v>2273.02860967569</v>
      </c>
    </row>
    <row r="22" customFormat="false" ht="15" hidden="false" customHeight="false" outlineLevel="0" collapsed="false">
      <c r="B22" s="23" t="s">
        <v>261</v>
      </c>
      <c r="C22" s="10" t="n">
        <f aca="false">C$19*((0.065*$C$6+$C$7)/$C$8-$C$12*$C$9)/$C$9/12</f>
        <v>2034.99731103815</v>
      </c>
      <c r="D22" s="10" t="n">
        <f aca="false">D$19*((0.065*$C$6+$C$7)/$C$8-$C$12*$C$9)/$C$9/12</f>
        <v>2096.04723036929</v>
      </c>
      <c r="E22" s="10" t="n">
        <f aca="false">E$19*((0.065*$C$6+$C$7)/$C$8-$C$12*$C$9)/$C$9/12</f>
        <v>2158.92864728037</v>
      </c>
      <c r="F22" s="10" t="n">
        <f aca="false">F$19*((0.065*$C$6+$C$7)/$C$8-$C$12*$C$9)/$C$9/12</f>
        <v>2223.69650669878</v>
      </c>
      <c r="G22" s="10" t="n">
        <f aca="false">G$19*((0.065*$C$6+$C$7)/$C$8-$C$12*$C$9)/$C$9/12</f>
        <v>2290.40740189975</v>
      </c>
      <c r="H22" s="10" t="n">
        <f aca="false">H$19*((0.065*$C$6+$C$7)/$C$8-$C$12*$C$9)/$C$9/12</f>
        <v>2359.11962395674</v>
      </c>
      <c r="I22" s="10" t="n">
        <f aca="false">I$19*((0.065*$C$6+$C$7)/$C$8-$C$12*$C$9)/$C$9/12</f>
        <v>2429.89321267544</v>
      </c>
    </row>
    <row r="23" customFormat="false" ht="15" hidden="false" customHeight="false" outlineLevel="0" collapsed="false">
      <c r="B23" s="23" t="s">
        <v>262</v>
      </c>
      <c r="C23" s="10" t="n">
        <f aca="false">C$19*((0.07*$C$6+$C$7)/$C$8-$C$12*$C$9)/$C$9/12</f>
        <v>2166.36894648137</v>
      </c>
      <c r="D23" s="10" t="n">
        <f aca="false">D$19*((0.07*$C$6+$C$7)/$C$8-$C$12*$C$9)/$C$9/12</f>
        <v>2231.36001487581</v>
      </c>
      <c r="E23" s="10" t="n">
        <f aca="false">E$19*((0.07*$C$6+$C$7)/$C$8-$C$12*$C$9)/$C$9/12</f>
        <v>2298.30081532209</v>
      </c>
      <c r="F23" s="10" t="n">
        <f aca="false">F$19*((0.07*$C$6+$C$7)/$C$8-$C$12*$C$9)/$C$9/12</f>
        <v>2367.24983978175</v>
      </c>
      <c r="G23" s="10" t="n">
        <f aca="false">G$19*((0.07*$C$6+$C$7)/$C$8-$C$12*$C$9)/$C$9/12</f>
        <v>2438.26733497521</v>
      </c>
      <c r="H23" s="10" t="n">
        <f aca="false">H$19*((0.07*$C$6+$C$7)/$C$8-$C$12*$C$9)/$C$9/12</f>
        <v>2511.41535502446</v>
      </c>
      <c r="I23" s="10" t="n">
        <f aca="false">I$19*((0.07*$C$6+$C$7)/$C$8-$C$12*$C$9)/$C$9/12</f>
        <v>2586.75781567519</v>
      </c>
    </row>
    <row r="24" customFormat="false" ht="15" hidden="false" customHeight="false" outlineLevel="0" collapsed="false">
      <c r="B24" s="23" t="s">
        <v>263</v>
      </c>
      <c r="C24" s="10" t="n">
        <f aca="false">C$19*((0.065*$C$6+$C$7)/$C$8-$C$13*$C$9)/$C$9/12</f>
        <v>2102.41397770481</v>
      </c>
      <c r="D24" s="10" t="n">
        <f aca="false">D$19*((0.065*$C$6+$C$7)/$C$8-$C$13*$C$9)/$C$9/12</f>
        <v>2165.48639703596</v>
      </c>
      <c r="E24" s="10" t="n">
        <f aca="false">E$19*((0.065*$C$6+$C$7)/$C$8-$C$13*$C$9)/$C$9/12</f>
        <v>2230.45098894704</v>
      </c>
      <c r="F24" s="10" t="n">
        <f aca="false">F$19*((0.065*$C$6+$C$7)/$C$8-$C$13*$C$9)/$C$9/12</f>
        <v>2297.36451861545</v>
      </c>
      <c r="G24" s="10" t="n">
        <f aca="false">G$19*((0.065*$C$6+$C$7)/$C$8-$C$13*$C$9)/$C$9/12</f>
        <v>2366.28545417391</v>
      </c>
      <c r="H24" s="10" t="n">
        <f aca="false">H$19*((0.065*$C$6+$C$7)/$C$8-$C$13*$C$9)/$C$9/12</f>
        <v>2437.27401779913</v>
      </c>
      <c r="I24" s="10" t="n">
        <f aca="false">I$19*((0.065*$C$6+$C$7)/$C$8-$C$13*$C$9)/$C$9/12</f>
        <v>2510.3922383331</v>
      </c>
    </row>
    <row r="25" customFormat="false" ht="15" hidden="false" customHeight="false" outlineLevel="0" collapsed="false">
      <c r="B25" s="23" t="s">
        <v>264</v>
      </c>
      <c r="C25" s="10" t="n">
        <f aca="false">C$19*((0.065*$C$6+$C$7)/$C$8-$C$14*$C$9)/$C$9/12</f>
        <v>2157.58064437148</v>
      </c>
      <c r="D25" s="10" t="n">
        <f aca="false">D$19*((0.065*$C$6+$C$7)/$C$8-$C$14*$C$9)/$C$9/12</f>
        <v>2222.30806370263</v>
      </c>
      <c r="E25" s="10" t="n">
        <f aca="false">E$19*((0.065*$C$6+$C$7)/$C$8-$C$14*$C$9)/$C$9/12</f>
        <v>2288.9773056137</v>
      </c>
      <c r="F25" s="10" t="n">
        <f aca="false">F$19*((0.065*$C$6+$C$7)/$C$8-$C$14*$C$9)/$C$9/12</f>
        <v>2357.64662478212</v>
      </c>
      <c r="G25" s="10" t="n">
        <f aca="false">G$19*((0.065*$C$6+$C$7)/$C$8-$C$14*$C$9)/$C$9/12</f>
        <v>2428.37602352558</v>
      </c>
      <c r="H25" s="10" t="n">
        <f aca="false">H$19*((0.065*$C$6+$C$7)/$C$8-$C$14*$C$9)/$C$9/12</f>
        <v>2501.22730423135</v>
      </c>
      <c r="I25" s="10" t="n">
        <f aca="false">I$19*((0.065*$C$6+$C$7)/$C$8-$C$14*$C$9)/$C$9/12</f>
        <v>2576.26412335829</v>
      </c>
    </row>
    <row r="26" customFormat="false" ht="15" hidden="false" customHeight="false" outlineLevel="0" collapsed="false">
      <c r="B26" s="3" t="s">
        <v>265</v>
      </c>
      <c r="D26" s="25" t="n">
        <f aca="false">D20/D22-1</f>
        <v>-0.100688203639433</v>
      </c>
      <c r="E26" s="25" t="n">
        <f aca="false">E20/E22-1</f>
        <v>-0.0921422982324885</v>
      </c>
      <c r="F26" s="25" t="n">
        <f aca="false">F20/F22-1</f>
        <v>-0.0835080264502731</v>
      </c>
      <c r="G26" s="25" t="n">
        <f aca="false">G20/G22-1</f>
        <v>-0.0787665119096758</v>
      </c>
      <c r="H26" s="25" t="n">
        <f aca="false">H20/H22-1</f>
        <v>-0.0742309216448405</v>
      </c>
      <c r="I26" s="25" t="n">
        <f aca="false">I20/I22-1</f>
        <v>-0.0744449228187553</v>
      </c>
    </row>
    <row r="27" customFormat="false" ht="15" hidden="false" customHeight="false" outlineLevel="0" collapsed="false">
      <c r="B27" s="3" t="s">
        <v>266</v>
      </c>
      <c r="D27" s="25" t="n">
        <f aca="false">D20/D24-1</f>
        <v>-0.129525818042486</v>
      </c>
      <c r="E27" s="25" t="n">
        <f aca="false">E20/E24-1</f>
        <v>-0.121253948321327</v>
      </c>
      <c r="F27" s="25" t="n">
        <f aca="false">F20/F24-1</f>
        <v>-0.112896545808829</v>
      </c>
      <c r="G27" s="25" t="n">
        <f aca="false">G20/G24-1</f>
        <v>-0.1083070741621</v>
      </c>
      <c r="H27" s="25" t="n">
        <f aca="false">H20/H24-1</f>
        <v>-0.103916923558656</v>
      </c>
      <c r="I27" s="25" t="n">
        <f aca="false">I20/I24-1</f>
        <v>-0.104124062503742</v>
      </c>
    </row>
    <row r="29" customFormat="false" ht="15" hidden="false" customHeight="false" outlineLevel="0" collapsed="false">
      <c r="B29" s="23" t="s">
        <v>267</v>
      </c>
      <c r="C29" s="12" t="n">
        <f aca="false">C24/$C$10</f>
        <v>2.23904021140473</v>
      </c>
      <c r="D29" s="12" t="n">
        <f aca="false">D24/$C$10</f>
        <v>2.30621141774687</v>
      </c>
      <c r="E29" s="12" t="n">
        <f aca="false">E24/$C$10</f>
        <v>2.37539776027928</v>
      </c>
      <c r="F29" s="12" t="n">
        <f aca="false">F24/$C$10</f>
        <v>2.44665969308766</v>
      </c>
      <c r="G29" s="12" t="n">
        <f aca="false">G24/$C$10</f>
        <v>2.52005948388029</v>
      </c>
      <c r="H29" s="12" t="n">
        <f aca="false">H24/$C$10</f>
        <v>2.5956612683967</v>
      </c>
      <c r="I29" s="12" t="n">
        <f aca="false">I24/$C$10</f>
        <v>2.6735311064486</v>
      </c>
    </row>
    <row r="31" customFormat="false" ht="15" hidden="false" customHeight="true" outlineLevel="0" collapsed="false">
      <c r="B31" s="19" t="s">
        <v>268</v>
      </c>
      <c r="C31" s="19"/>
      <c r="D31" s="19"/>
      <c r="E31" s="19"/>
      <c r="F31" s="19"/>
      <c r="G31" s="19"/>
      <c r="H31" s="19"/>
      <c r="I31" s="19"/>
      <c r="J31" s="19"/>
    </row>
    <row r="32" customFormat="false" ht="15" hidden="false" customHeight="false" outlineLevel="0" collapsed="false">
      <c r="B32" s="19"/>
      <c r="C32" s="19"/>
      <c r="D32" s="19"/>
      <c r="E32" s="19"/>
      <c r="F32" s="19"/>
      <c r="G32" s="19"/>
      <c r="H32" s="19"/>
      <c r="I32" s="19"/>
      <c r="J32" s="19"/>
    </row>
    <row r="33" customFormat="false" ht="15" hidden="false" customHeight="false" outlineLevel="0" collapsed="false">
      <c r="B33" s="19"/>
      <c r="C33" s="19"/>
      <c r="D33" s="19"/>
      <c r="E33" s="19"/>
      <c r="F33" s="19"/>
      <c r="G33" s="19"/>
      <c r="H33" s="19"/>
      <c r="I33" s="19"/>
      <c r="J33" s="19"/>
    </row>
  </sheetData>
  <mergeCells count="1">
    <mergeCell ref="B31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5"/>
    <col collapsed="false" customWidth="true" hidden="false" outlineLevel="0" max="8" min="8" style="0" width="48"/>
  </cols>
  <sheetData>
    <row r="2" customFormat="false" ht="17.35" hidden="false" customHeight="false" outlineLevel="0" collapsed="false">
      <c r="B2" s="1" t="s">
        <v>269</v>
      </c>
    </row>
    <row r="4" customFormat="false" ht="15" hidden="false" customHeight="false" outlineLevel="0" collapsed="false">
      <c r="B4" s="14" t="s">
        <v>270</v>
      </c>
    </row>
    <row r="5" customFormat="false" ht="15" hidden="false" customHeight="false" outlineLevel="0" collapsed="false">
      <c r="B5" s="3" t="s">
        <v>271</v>
      </c>
    </row>
    <row r="6" customFormat="false" ht="15" hidden="false" customHeight="false" outlineLevel="0" collapsed="false">
      <c r="B6" s="23" t="s">
        <v>272</v>
      </c>
      <c r="C6" s="9" t="n">
        <v>-118493000</v>
      </c>
    </row>
    <row r="7" customFormat="false" ht="15" hidden="false" customHeight="false" outlineLevel="0" collapsed="false">
      <c r="B7" s="23" t="s">
        <v>273</v>
      </c>
      <c r="C7" s="9" t="n">
        <v>7225472</v>
      </c>
    </row>
    <row r="8" customFormat="false" ht="15" hidden="false" customHeight="false" outlineLevel="0" collapsed="false">
      <c r="B8" s="23" t="s">
        <v>274</v>
      </c>
      <c r="C8" s="9" t="n">
        <v>25000</v>
      </c>
    </row>
    <row r="9" customFormat="false" ht="15" hidden="false" customHeight="false" outlineLevel="0" collapsed="false">
      <c r="B9" s="23" t="s">
        <v>275</v>
      </c>
      <c r="C9" s="11" t="n">
        <v>0.008</v>
      </c>
    </row>
    <row r="10" customFormat="false" ht="15" hidden="false" customHeight="false" outlineLevel="0" collapsed="false">
      <c r="B10" s="23" t="s">
        <v>276</v>
      </c>
      <c r="C10" s="9" t="n">
        <v>15345</v>
      </c>
    </row>
    <row r="11" customFormat="false" ht="15" hidden="false" customHeight="false" outlineLevel="0" collapsed="false">
      <c r="B11" s="23" t="s">
        <v>277</v>
      </c>
      <c r="C11" s="9" t="n">
        <v>75811435</v>
      </c>
    </row>
    <row r="12" customFormat="false" ht="15" hidden="false" customHeight="false" outlineLevel="0" collapsed="false">
      <c r="B12" s="23" t="s">
        <v>278</v>
      </c>
      <c r="C12" s="9" t="n">
        <v>-44652663</v>
      </c>
    </row>
    <row r="13" customFormat="false" ht="15" hidden="false" customHeight="false" outlineLevel="0" collapsed="false">
      <c r="B13" s="3" t="s">
        <v>257</v>
      </c>
      <c r="C13" s="3" t="s">
        <v>279</v>
      </c>
      <c r="D13" s="3" t="s">
        <v>280</v>
      </c>
      <c r="E13" s="3" t="s">
        <v>281</v>
      </c>
    </row>
    <row r="14" customFormat="false" ht="15" hidden="false" customHeight="false" outlineLevel="0" collapsed="false">
      <c r="B14" s="23" t="s">
        <v>282</v>
      </c>
      <c r="C14" s="9" t="n">
        <v>5904654</v>
      </c>
      <c r="D14" s="9" t="n">
        <v>342000</v>
      </c>
      <c r="E14" s="9" t="n">
        <v>4227540</v>
      </c>
    </row>
    <row r="15" customFormat="false" ht="15" hidden="false" customHeight="false" outlineLevel="0" collapsed="false">
      <c r="B15" s="23" t="s">
        <v>283</v>
      </c>
      <c r="C15" s="9" t="n">
        <v>6187985</v>
      </c>
      <c r="D15" s="9" t="n">
        <v>349560</v>
      </c>
      <c r="E15" s="9" t="n">
        <v>4239123</v>
      </c>
    </row>
    <row r="16" customFormat="false" ht="15" hidden="false" customHeight="false" outlineLevel="0" collapsed="false">
      <c r="B16" s="23" t="s">
        <v>284</v>
      </c>
      <c r="C16" s="9" t="n">
        <v>6523187</v>
      </c>
      <c r="D16" s="9" t="n">
        <v>357347</v>
      </c>
      <c r="E16" s="9" t="n">
        <v>4239123</v>
      </c>
    </row>
    <row r="17" customFormat="false" ht="15" hidden="false" customHeight="false" outlineLevel="0" collapsed="false">
      <c r="B17" s="23" t="s">
        <v>285</v>
      </c>
      <c r="C17" s="9" t="n">
        <v>6841633</v>
      </c>
      <c r="D17" s="9" t="n">
        <v>365367</v>
      </c>
      <c r="E17" s="9" t="n">
        <v>4239123</v>
      </c>
    </row>
    <row r="18" customFormat="false" ht="15" hidden="false" customHeight="false" outlineLevel="0" collapsed="false">
      <c r="B18" s="23" t="s">
        <v>286</v>
      </c>
      <c r="C18" s="9" t="n">
        <v>7084724</v>
      </c>
      <c r="D18" s="9" t="n">
        <v>373628</v>
      </c>
      <c r="E18" s="9" t="n">
        <v>4239123</v>
      </c>
    </row>
    <row r="20" customFormat="false" ht="15" hidden="false" customHeight="false" outlineLevel="0" collapsed="false">
      <c r="B20" s="3" t="s">
        <v>287</v>
      </c>
    </row>
    <row r="21" customFormat="false" ht="15" hidden="false" customHeight="false" outlineLevel="0" collapsed="false">
      <c r="B21" s="3" t="s">
        <v>288</v>
      </c>
      <c r="C21" s="11" t="n">
        <v>0.0475</v>
      </c>
      <c r="D21" s="11" t="n">
        <v>0.05</v>
      </c>
      <c r="E21" s="11" t="n">
        <v>0.0525</v>
      </c>
      <c r="F21" s="11" t="n">
        <v>0.055</v>
      </c>
      <c r="G21" s="11" t="n">
        <v>0.0575</v>
      </c>
    </row>
    <row r="22" customFormat="false" ht="15" hidden="false" customHeight="false" outlineLevel="0" collapsed="false">
      <c r="B22" s="23" t="s">
        <v>289</v>
      </c>
      <c r="C22" s="10" t="n">
        <f aca="false">$C$7/C21</f>
        <v>152115200</v>
      </c>
      <c r="D22" s="10" t="n">
        <f aca="false">$C$7/D21</f>
        <v>144509440</v>
      </c>
      <c r="E22" s="10" t="n">
        <f aca="false">$C$7/E21</f>
        <v>137628038.095238</v>
      </c>
      <c r="F22" s="10" t="n">
        <f aca="false">$C$7/F21</f>
        <v>131372218.181818</v>
      </c>
      <c r="G22" s="10" t="n">
        <f aca="false">$C$7/G21</f>
        <v>125660382.608696</v>
      </c>
    </row>
    <row r="23" customFormat="false" ht="15" hidden="false" customHeight="false" outlineLevel="0" collapsed="false">
      <c r="B23" s="23" t="s">
        <v>290</v>
      </c>
      <c r="C23" s="10" t="n">
        <f aca="false">C22/360</f>
        <v>422542.222222222</v>
      </c>
      <c r="D23" s="10" t="n">
        <f aca="false">D22/360</f>
        <v>401415.111111111</v>
      </c>
      <c r="E23" s="10" t="n">
        <f aca="false">E22/360</f>
        <v>382300.105820106</v>
      </c>
      <c r="F23" s="10" t="n">
        <f aca="false">F22/360</f>
        <v>364922.828282828</v>
      </c>
      <c r="G23" s="10" t="n">
        <f aca="false">G22/360</f>
        <v>349056.618357488</v>
      </c>
    </row>
    <row r="24" customFormat="false" ht="15" hidden="false" customHeight="false" outlineLevel="0" collapsed="false">
      <c r="B24" s="23" t="s">
        <v>291</v>
      </c>
      <c r="C24" s="10" t="n">
        <f aca="false">C22-($C$8+$C$9*C22)-$C$10</f>
        <v>150857933.4</v>
      </c>
      <c r="D24" s="10" t="n">
        <f aca="false">D22-($C$8+$C$9*D22)-$C$10</f>
        <v>143313019.48</v>
      </c>
      <c r="E24" s="10" t="n">
        <f aca="false">E22-($C$8+$C$9*E22)-$C$10</f>
        <v>136486668.790476</v>
      </c>
      <c r="F24" s="10" t="n">
        <f aca="false">F22-($C$8+$C$9*F22)-$C$10</f>
        <v>130280895.436364</v>
      </c>
      <c r="G24" s="10" t="n">
        <f aca="false">G22-($C$8+$C$9*G22)-$C$10</f>
        <v>124614754.547826</v>
      </c>
    </row>
    <row r="25" customFormat="false" ht="15" hidden="false" customHeight="false" outlineLevel="0" collapsed="false">
      <c r="B25" s="23" t="s">
        <v>292</v>
      </c>
      <c r="C25" s="10" t="n">
        <f aca="false">$C$6</f>
        <v>-118493000</v>
      </c>
      <c r="D25" s="10" t="n">
        <f aca="false">$C$6</f>
        <v>-118493000</v>
      </c>
      <c r="E25" s="10" t="n">
        <f aca="false">$C$6</f>
        <v>-118493000</v>
      </c>
      <c r="F25" s="10" t="n">
        <f aca="false">$C$6</f>
        <v>-118493000</v>
      </c>
      <c r="G25" s="10" t="n">
        <f aca="false">$C$6</f>
        <v>-118493000</v>
      </c>
    </row>
    <row r="26" customFormat="false" ht="15" hidden="false" customHeight="false" outlineLevel="0" collapsed="false">
      <c r="B26" s="23" t="s">
        <v>282</v>
      </c>
      <c r="C26" s="10" t="n">
        <f aca="false">$C$14-$D$14</f>
        <v>5562654</v>
      </c>
      <c r="D26" s="10" t="n">
        <f aca="false">$C$14-$D$14</f>
        <v>5562654</v>
      </c>
      <c r="E26" s="10" t="n">
        <f aca="false">$C$14-$D$14</f>
        <v>5562654</v>
      </c>
      <c r="F26" s="10" t="n">
        <f aca="false">$C$14-$D$14</f>
        <v>5562654</v>
      </c>
      <c r="G26" s="10" t="n">
        <f aca="false">$C$14-$D$14</f>
        <v>5562654</v>
      </c>
    </row>
    <row r="27" customFormat="false" ht="15" hidden="false" customHeight="false" outlineLevel="0" collapsed="false">
      <c r="B27" s="23" t="s">
        <v>283</v>
      </c>
      <c r="C27" s="10" t="n">
        <f aca="false">$C$15-$D$15</f>
        <v>5838425</v>
      </c>
      <c r="D27" s="10" t="n">
        <f aca="false">$C$15-$D$15</f>
        <v>5838425</v>
      </c>
      <c r="E27" s="10" t="n">
        <f aca="false">$C$15-$D$15</f>
        <v>5838425</v>
      </c>
      <c r="F27" s="10" t="n">
        <f aca="false">$C$15-$D$15</f>
        <v>5838425</v>
      </c>
      <c r="G27" s="10" t="n">
        <f aca="false">$C$15-$D$15</f>
        <v>5838425</v>
      </c>
    </row>
    <row r="28" customFormat="false" ht="15" hidden="false" customHeight="false" outlineLevel="0" collapsed="false">
      <c r="B28" s="23" t="s">
        <v>284</v>
      </c>
      <c r="C28" s="10" t="n">
        <f aca="false">$C$16-$D$16</f>
        <v>6165840</v>
      </c>
      <c r="D28" s="10" t="n">
        <f aca="false">$C$16-$D$16</f>
        <v>6165840</v>
      </c>
      <c r="E28" s="10" t="n">
        <f aca="false">$C$16-$D$16</f>
        <v>6165840</v>
      </c>
      <c r="F28" s="10" t="n">
        <f aca="false">$C$16-$D$16</f>
        <v>6165840</v>
      </c>
      <c r="G28" s="10" t="n">
        <f aca="false">$C$16-$D$16</f>
        <v>6165840</v>
      </c>
    </row>
    <row r="29" customFormat="false" ht="15" hidden="false" customHeight="false" outlineLevel="0" collapsed="false">
      <c r="B29" s="23" t="s">
        <v>285</v>
      </c>
      <c r="C29" s="10" t="n">
        <f aca="false">$C$17-$D$17</f>
        <v>6476266</v>
      </c>
      <c r="D29" s="10" t="n">
        <f aca="false">$C$17-$D$17</f>
        <v>6476266</v>
      </c>
      <c r="E29" s="10" t="n">
        <f aca="false">$C$17-$D$17</f>
        <v>6476266</v>
      </c>
      <c r="F29" s="10" t="n">
        <f aca="false">$C$17-$D$17</f>
        <v>6476266</v>
      </c>
      <c r="G29" s="10" t="n">
        <f aca="false">$C$17-$D$17</f>
        <v>6476266</v>
      </c>
    </row>
    <row r="30" customFormat="false" ht="15" hidden="false" customHeight="false" outlineLevel="0" collapsed="false">
      <c r="B30" s="23" t="s">
        <v>293</v>
      </c>
      <c r="C30" s="10" t="n">
        <f aca="false">$C$18-$D$18+C24</f>
        <v>157569029.4</v>
      </c>
      <c r="D30" s="10" t="n">
        <f aca="false">$C$18-$D$18+D24</f>
        <v>150024115.48</v>
      </c>
      <c r="E30" s="10" t="n">
        <f aca="false">$C$18-$D$18+E24</f>
        <v>143197764.790476</v>
      </c>
      <c r="F30" s="10" t="n">
        <f aca="false">$C$18-$D$18+F24</f>
        <v>136991991.436364</v>
      </c>
      <c r="G30" s="10" t="n">
        <f aca="false">$C$18-$D$18+G24</f>
        <v>131325850.547826</v>
      </c>
    </row>
    <row r="31" customFormat="false" ht="15" hidden="false" customHeight="false" outlineLevel="0" collapsed="false">
      <c r="B31" s="3" t="s">
        <v>294</v>
      </c>
      <c r="C31" s="26" t="n">
        <f aca="false">IRR(C25:C30)</f>
        <v>0.0965053700345961</v>
      </c>
      <c r="D31" s="26" t="n">
        <f aca="false">IRR(D25:D30)</f>
        <v>0.0867266355290087</v>
      </c>
      <c r="E31" s="26" t="n">
        <f aca="false">IRR(E25:E30)</f>
        <v>0.0775507736812257</v>
      </c>
      <c r="F31" s="26" t="n">
        <f aca="false">IRR(F25:F30)</f>
        <v>0.0689156134941655</v>
      </c>
      <c r="G31" s="26" t="n">
        <f aca="false">IRR(G25:G30)</f>
        <v>0.0607678348106121</v>
      </c>
    </row>
    <row r="32" customFormat="false" ht="15" hidden="false" customHeight="false" outlineLevel="0" collapsed="false">
      <c r="B32" s="23" t="s">
        <v>295</v>
      </c>
      <c r="C32" s="10" t="n">
        <f aca="false">$C$12</f>
        <v>-44652663</v>
      </c>
      <c r="D32" s="10" t="n">
        <f aca="false">$C$12</f>
        <v>-44652663</v>
      </c>
      <c r="E32" s="10" t="n">
        <f aca="false">$C$12</f>
        <v>-44652663</v>
      </c>
      <c r="F32" s="10" t="n">
        <f aca="false">$C$12</f>
        <v>-44652663</v>
      </c>
      <c r="G32" s="10" t="n">
        <f aca="false">$C$12</f>
        <v>-44652663</v>
      </c>
    </row>
    <row r="33" customFormat="false" ht="15" hidden="false" customHeight="false" outlineLevel="0" collapsed="false">
      <c r="B33" s="23" t="s">
        <v>282</v>
      </c>
      <c r="C33" s="10" t="n">
        <f aca="false">$C$14-$D$14-$E$14</f>
        <v>1335114</v>
      </c>
      <c r="D33" s="10" t="n">
        <f aca="false">$C$14-$D$14-$E$14</f>
        <v>1335114</v>
      </c>
      <c r="E33" s="10" t="n">
        <f aca="false">$C$14-$D$14-$E$14</f>
        <v>1335114</v>
      </c>
      <c r="F33" s="10" t="n">
        <f aca="false">$C$14-$D$14-$E$14</f>
        <v>1335114</v>
      </c>
      <c r="G33" s="10" t="n">
        <f aca="false">$C$14-$D$14-$E$14</f>
        <v>1335114</v>
      </c>
    </row>
    <row r="34" customFormat="false" ht="15" hidden="false" customHeight="false" outlineLevel="0" collapsed="false">
      <c r="B34" s="23" t="s">
        <v>283</v>
      </c>
      <c r="C34" s="10" t="n">
        <f aca="false">$C$15-$D$15-$E$15</f>
        <v>1599302</v>
      </c>
      <c r="D34" s="10" t="n">
        <f aca="false">$C$15-$D$15-$E$15</f>
        <v>1599302</v>
      </c>
      <c r="E34" s="10" t="n">
        <f aca="false">$C$15-$D$15-$E$15</f>
        <v>1599302</v>
      </c>
      <c r="F34" s="10" t="n">
        <f aca="false">$C$15-$D$15-$E$15</f>
        <v>1599302</v>
      </c>
      <c r="G34" s="10" t="n">
        <f aca="false">$C$15-$D$15-$E$15</f>
        <v>1599302</v>
      </c>
    </row>
    <row r="35" customFormat="false" ht="15" hidden="false" customHeight="false" outlineLevel="0" collapsed="false">
      <c r="B35" s="23" t="s">
        <v>284</v>
      </c>
      <c r="C35" s="10" t="n">
        <f aca="false">$C$16-$D$16-$E$16</f>
        <v>1926717</v>
      </c>
      <c r="D35" s="10" t="n">
        <f aca="false">$C$16-$D$16-$E$16</f>
        <v>1926717</v>
      </c>
      <c r="E35" s="10" t="n">
        <f aca="false">$C$16-$D$16-$E$16</f>
        <v>1926717</v>
      </c>
      <c r="F35" s="10" t="n">
        <f aca="false">$C$16-$D$16-$E$16</f>
        <v>1926717</v>
      </c>
      <c r="G35" s="10" t="n">
        <f aca="false">$C$16-$D$16-$E$16</f>
        <v>1926717</v>
      </c>
    </row>
    <row r="36" customFormat="false" ht="15" hidden="false" customHeight="false" outlineLevel="0" collapsed="false">
      <c r="B36" s="23" t="s">
        <v>285</v>
      </c>
      <c r="C36" s="10" t="n">
        <f aca="false">$C$17-$D$17-$E$17</f>
        <v>2237143</v>
      </c>
      <c r="D36" s="10" t="n">
        <f aca="false">$C$17-$D$17-$E$17</f>
        <v>2237143</v>
      </c>
      <c r="E36" s="10" t="n">
        <f aca="false">$C$17-$D$17-$E$17</f>
        <v>2237143</v>
      </c>
      <c r="F36" s="10" t="n">
        <f aca="false">$C$17-$D$17-$E$17</f>
        <v>2237143</v>
      </c>
      <c r="G36" s="10" t="n">
        <f aca="false">$C$17-$D$17-$E$17</f>
        <v>2237143</v>
      </c>
    </row>
    <row r="37" customFormat="false" ht="15" hidden="false" customHeight="false" outlineLevel="0" collapsed="false">
      <c r="B37" s="23" t="s">
        <v>296</v>
      </c>
      <c r="C37" s="10" t="n">
        <f aca="false">$C$18-$D$18-$E$18+C24-$C$11</f>
        <v>77518471.4</v>
      </c>
      <c r="D37" s="10" t="n">
        <f aca="false">$C$18-$D$18-$E$18+D24-$C$11</f>
        <v>69973557.48</v>
      </c>
      <c r="E37" s="10" t="n">
        <f aca="false">$C$18-$D$18-$E$18+E24-$C$11</f>
        <v>63147206.7904762</v>
      </c>
      <c r="F37" s="10" t="n">
        <f aca="false">$C$18-$D$18-$E$18+F24-$C$11</f>
        <v>56941433.4363636</v>
      </c>
      <c r="G37" s="10" t="n">
        <f aca="false">$C$18-$D$18-$E$18+G24-$C$11</f>
        <v>51275292.5478261</v>
      </c>
    </row>
    <row r="38" customFormat="false" ht="15" hidden="false" customHeight="false" outlineLevel="0" collapsed="false">
      <c r="B38" s="3" t="s">
        <v>297</v>
      </c>
      <c r="C38" s="26" t="n">
        <f aca="false">IRR(C32:C37)</f>
        <v>0.143409358650487</v>
      </c>
      <c r="D38" s="26" t="n">
        <f aca="false">IRR(D32:D37)</f>
        <v>0.121656942434896</v>
      </c>
      <c r="E38" s="26" t="n">
        <f aca="false">IRR(E32:E37)</f>
        <v>0.100355035387557</v>
      </c>
      <c r="F38" s="26" t="n">
        <f aca="false">IRR(F32:F37)</f>
        <v>0.0793906643720104</v>
      </c>
      <c r="G38" s="26" t="n">
        <f aca="false">IRR(G32:G37)</f>
        <v>0.0586565252156257</v>
      </c>
    </row>
    <row r="40" customFormat="false" ht="15" hidden="false" customHeight="false" outlineLevel="0" collapsed="false">
      <c r="B40" s="14" t="s">
        <v>298</v>
      </c>
    </row>
    <row r="41" customFormat="false" ht="26.85" hidden="false" customHeight="false" outlineLevel="0" collapsed="false">
      <c r="B41" s="5"/>
      <c r="C41" s="5" t="s">
        <v>299</v>
      </c>
      <c r="D41" s="5" t="s">
        <v>300</v>
      </c>
    </row>
    <row r="42" customFormat="false" ht="15" hidden="false" customHeight="false" outlineLevel="0" collapsed="false">
      <c r="B42" s="3" t="s">
        <v>301</v>
      </c>
      <c r="C42" s="9" t="n">
        <v>20071</v>
      </c>
      <c r="D42" s="9" t="n">
        <v>22026</v>
      </c>
    </row>
    <row r="43" customFormat="false" ht="15" hidden="false" customHeight="false" outlineLevel="0" collapsed="false">
      <c r="B43" s="3" t="s">
        <v>288</v>
      </c>
      <c r="C43" s="11" t="n">
        <v>0.05</v>
      </c>
      <c r="D43" s="11" t="n">
        <v>0.055</v>
      </c>
    </row>
    <row r="44" customFormat="false" ht="15" hidden="false" customHeight="false" outlineLevel="0" collapsed="false">
      <c r="B44" s="3" t="s">
        <v>302</v>
      </c>
      <c r="C44" s="10" t="n">
        <f aca="false">C42/C43</f>
        <v>401420</v>
      </c>
      <c r="D44" s="10" t="n">
        <f aca="false">D42/D43</f>
        <v>400472.727272727</v>
      </c>
    </row>
    <row r="45" customFormat="false" ht="15" hidden="false" customHeight="false" outlineLevel="0" collapsed="false">
      <c r="B45" s="3" t="s">
        <v>303</v>
      </c>
      <c r="C45" s="12" t="n">
        <f aca="false">C44/932.46</f>
        <v>430.495678098792</v>
      </c>
      <c r="D45" s="12" t="n">
        <f aca="false">D44/938.98</f>
        <v>426.497611528177</v>
      </c>
    </row>
    <row r="47" customFormat="false" ht="15" hidden="false" customHeight="true" outlineLevel="0" collapsed="false">
      <c r="B47" s="27" t="s">
        <v>304</v>
      </c>
      <c r="C47" s="27"/>
      <c r="D47" s="27"/>
      <c r="E47" s="27"/>
      <c r="F47" s="27"/>
    </row>
    <row r="48" customFormat="false" ht="15" hidden="false" customHeight="false" outlineLevel="0" collapsed="false">
      <c r="B48" s="27"/>
      <c r="C48" s="27"/>
      <c r="D48" s="27"/>
      <c r="E48" s="27"/>
      <c r="F48" s="27"/>
    </row>
    <row r="50" customFormat="false" ht="15" hidden="false" customHeight="false" outlineLevel="0" collapsed="false">
      <c r="B50" s="14" t="s">
        <v>305</v>
      </c>
    </row>
    <row r="51" customFormat="false" ht="26.85" hidden="false" customHeight="false" outlineLevel="0" collapsed="false">
      <c r="B51" s="5" t="s">
        <v>306</v>
      </c>
      <c r="C51" s="5" t="s">
        <v>307</v>
      </c>
      <c r="D51" s="5" t="s">
        <v>308</v>
      </c>
    </row>
    <row r="52" customFormat="false" ht="15" hidden="false" customHeight="false" outlineLevel="0" collapsed="false">
      <c r="B52" s="13" t="s">
        <v>309</v>
      </c>
      <c r="C52" s="7" t="s">
        <v>310</v>
      </c>
      <c r="D52" s="7" t="s">
        <v>311</v>
      </c>
    </row>
    <row r="53" customFormat="false" ht="15" hidden="false" customHeight="false" outlineLevel="0" collapsed="false">
      <c r="B53" s="13" t="s">
        <v>312</v>
      </c>
      <c r="C53" s="7" t="s">
        <v>313</v>
      </c>
      <c r="D53" s="7" t="s">
        <v>314</v>
      </c>
    </row>
    <row r="54" customFormat="false" ht="15" hidden="false" customHeight="false" outlineLevel="0" collapsed="false">
      <c r="B54" s="13" t="s">
        <v>315</v>
      </c>
      <c r="C54" s="7" t="s">
        <v>316</v>
      </c>
      <c r="D54" s="7" t="s">
        <v>317</v>
      </c>
    </row>
    <row r="55" customFormat="false" ht="15" hidden="false" customHeight="false" outlineLevel="0" collapsed="false">
      <c r="B55" s="13" t="s">
        <v>318</v>
      </c>
      <c r="C55" s="7" t="s">
        <v>319</v>
      </c>
      <c r="D55" s="7" t="s">
        <v>320</v>
      </c>
    </row>
    <row r="57" customFormat="false" ht="15" hidden="false" customHeight="true" outlineLevel="0" collapsed="false">
      <c r="B57" s="27" t="s">
        <v>321</v>
      </c>
      <c r="C57" s="27"/>
      <c r="D57" s="27"/>
      <c r="E57" s="27"/>
      <c r="F57" s="27"/>
    </row>
    <row r="58" customFormat="false" ht="15" hidden="false" customHeight="false" outlineLevel="0" collapsed="false">
      <c r="B58" s="27"/>
      <c r="C58" s="27"/>
      <c r="D58" s="27"/>
      <c r="E58" s="27"/>
      <c r="F58" s="27"/>
    </row>
  </sheetData>
  <mergeCells count="2">
    <mergeCell ref="B47:F48"/>
    <mergeCell ref="B57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52"/>
  </cols>
  <sheetData>
    <row r="2" customFormat="false" ht="17.35" hidden="false" customHeight="false" outlineLevel="0" collapsed="false">
      <c r="B2" s="1" t="s">
        <v>322</v>
      </c>
    </row>
    <row r="4" customFormat="false" ht="26.85" hidden="false" customHeight="false" outlineLevel="0" collapsed="false">
      <c r="B4" s="5"/>
      <c r="C4" s="5" t="s">
        <v>323</v>
      </c>
      <c r="D4" s="5" t="s">
        <v>324</v>
      </c>
      <c r="E4" s="5" t="s">
        <v>325</v>
      </c>
      <c r="F4" s="5" t="s">
        <v>29</v>
      </c>
    </row>
    <row r="5" customFormat="false" ht="15" hidden="false" customHeight="false" outlineLevel="0" collapsed="false">
      <c r="B5" s="6" t="s">
        <v>326</v>
      </c>
      <c r="C5" s="28" t="n">
        <v>0.004507</v>
      </c>
      <c r="D5" s="9" t="n">
        <v>1340</v>
      </c>
      <c r="F5" s="2" t="s">
        <v>327</v>
      </c>
    </row>
    <row r="6" customFormat="false" ht="15" hidden="false" customHeight="false" outlineLevel="0" collapsed="false">
      <c r="B6" s="6" t="s">
        <v>328</v>
      </c>
      <c r="C6" s="28" t="n">
        <v>0.004507</v>
      </c>
      <c r="D6" s="9" t="n">
        <v>1169</v>
      </c>
      <c r="F6" s="2" t="s">
        <v>329</v>
      </c>
    </row>
    <row r="7" customFormat="false" ht="15" hidden="false" customHeight="false" outlineLevel="0" collapsed="false">
      <c r="B7" s="6" t="s">
        <v>330</v>
      </c>
      <c r="C7" s="28" t="n">
        <v>0.0045</v>
      </c>
      <c r="D7" s="9" t="n">
        <v>1501</v>
      </c>
      <c r="E7" s="21" t="n">
        <f aca="false">3_Emblem_Norm!C46</f>
        <v>1517.99972135073</v>
      </c>
      <c r="F7" s="2" t="s">
        <v>331</v>
      </c>
    </row>
    <row r="8" customFormat="false" ht="15" hidden="false" customHeight="false" outlineLevel="0" collapsed="false">
      <c r="B8" s="6" t="s">
        <v>332</v>
      </c>
      <c r="C8" s="28" t="n">
        <v>0.00922</v>
      </c>
      <c r="D8" s="9" t="n">
        <v>3428</v>
      </c>
      <c r="F8" s="2" t="s">
        <v>333</v>
      </c>
    </row>
    <row r="9" customFormat="false" ht="15" hidden="false" customHeight="false" outlineLevel="0" collapsed="false">
      <c r="B9" s="6" t="s">
        <v>334</v>
      </c>
      <c r="C9" s="28" t="n">
        <v>0.0092</v>
      </c>
      <c r="D9" s="9" t="n">
        <v>2203</v>
      </c>
      <c r="E9" s="21" t="n">
        <f aca="false">4_Judy_Norm!C36</f>
        <v>2952.44488795349</v>
      </c>
      <c r="F9" s="2" t="s">
        <v>335</v>
      </c>
    </row>
    <row r="11" customFormat="false" ht="15" hidden="false" customHeight="false" outlineLevel="0" collapsed="false">
      <c r="B11" s="14" t="s">
        <v>336</v>
      </c>
    </row>
    <row r="12" customFormat="false" ht="15" hidden="false" customHeight="false" outlineLevel="0" collapsed="false">
      <c r="B12" s="13" t="s">
        <v>337</v>
      </c>
      <c r="C12" s="9" t="n">
        <v>5027967</v>
      </c>
    </row>
    <row r="13" customFormat="false" ht="15" hidden="false" customHeight="false" outlineLevel="0" collapsed="false">
      <c r="B13" s="13" t="s">
        <v>338</v>
      </c>
      <c r="C13" s="9" t="n">
        <v>3428</v>
      </c>
    </row>
    <row r="14" customFormat="false" ht="15" hidden="false" customHeight="false" outlineLevel="0" collapsed="false">
      <c r="B14" s="13" t="s">
        <v>339</v>
      </c>
      <c r="C14" s="9" t="n">
        <v>1340</v>
      </c>
    </row>
    <row r="15" customFormat="false" ht="15" hidden="false" customHeight="false" outlineLevel="0" collapsed="false">
      <c r="B15" s="13" t="s">
        <v>340</v>
      </c>
      <c r="C15" s="10" t="n">
        <f aca="false">C13-C14</f>
        <v>2088</v>
      </c>
    </row>
    <row r="16" customFormat="false" ht="15" hidden="false" customHeight="false" outlineLevel="0" collapsed="false">
      <c r="B16" s="13" t="s">
        <v>341</v>
      </c>
      <c r="C16" s="10" t="n">
        <f aca="false">C12+C15*288</f>
        <v>5629311</v>
      </c>
    </row>
    <row r="17" customFormat="false" ht="15" hidden="false" customHeight="false" outlineLevel="0" collapsed="false">
      <c r="B17" s="13" t="s">
        <v>342</v>
      </c>
      <c r="C17" s="15" t="n">
        <f aca="false">C12/110000000</f>
        <v>0.0457087909090909</v>
      </c>
    </row>
    <row r="18" customFormat="false" ht="15" hidden="false" customHeight="false" outlineLevel="0" collapsed="false">
      <c r="B18" s="13" t="s">
        <v>343</v>
      </c>
      <c r="C18" s="15" t="n">
        <f aca="false">C16/110000000</f>
        <v>0.0511755545454546</v>
      </c>
    </row>
    <row r="19" customFormat="false" ht="15" hidden="false" customHeight="false" outlineLevel="0" collapsed="false">
      <c r="B19" s="13" t="s">
        <v>344</v>
      </c>
      <c r="C19" s="11" t="n">
        <v>0.05</v>
      </c>
    </row>
    <row r="20" customFormat="false" ht="15" hidden="false" customHeight="false" outlineLevel="0" collapsed="false">
      <c r="B20" s="13" t="s">
        <v>345</v>
      </c>
      <c r="C20" s="10" t="n">
        <f aca="false">C15/0.05</f>
        <v>41760</v>
      </c>
    </row>
    <row r="22" customFormat="false" ht="15" hidden="false" customHeight="true" outlineLevel="0" collapsed="false">
      <c r="B22" s="19" t="s">
        <v>346</v>
      </c>
      <c r="C22" s="19"/>
      <c r="D22" s="19"/>
      <c r="E22" s="19"/>
      <c r="F22" s="19"/>
    </row>
    <row r="23" customFormat="false" ht="15" hidden="false" customHeight="false" outlineLevel="0" collapsed="false">
      <c r="B23" s="19"/>
      <c r="C23" s="19"/>
      <c r="D23" s="19"/>
      <c r="E23" s="19"/>
      <c r="F23" s="19"/>
    </row>
  </sheetData>
  <mergeCells count="1">
    <mergeCell ref="B22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56"/>
  </cols>
  <sheetData>
    <row r="2" customFormat="false" ht="17.35" hidden="false" customHeight="false" outlineLevel="0" collapsed="false">
      <c r="B2" s="1" t="s">
        <v>347</v>
      </c>
    </row>
    <row r="4" customFormat="false" ht="15" hidden="false" customHeight="false" outlineLevel="0" collapsed="false">
      <c r="B4" s="14" t="s">
        <v>348</v>
      </c>
    </row>
    <row r="5" customFormat="false" ht="26.85" hidden="false" customHeight="false" outlineLevel="0" collapsed="false">
      <c r="B5" s="5"/>
      <c r="C5" s="5" t="s">
        <v>24</v>
      </c>
      <c r="D5" s="5" t="s">
        <v>26</v>
      </c>
      <c r="E5" s="5"/>
    </row>
    <row r="6" customFormat="false" ht="15" hidden="false" customHeight="false" outlineLevel="0" collapsed="false">
      <c r="B6" s="6" t="s">
        <v>349</v>
      </c>
      <c r="C6" s="8" t="n">
        <v>1130</v>
      </c>
      <c r="D6" s="8" t="n">
        <v>143</v>
      </c>
    </row>
    <row r="7" customFormat="false" ht="15" hidden="false" customHeight="false" outlineLevel="0" collapsed="false">
      <c r="B7" s="6" t="s">
        <v>350</v>
      </c>
      <c r="C7" s="8" t="n">
        <v>228</v>
      </c>
      <c r="D7" s="8" t="n">
        <v>44</v>
      </c>
    </row>
    <row r="8" customFormat="false" ht="15" hidden="false" customHeight="false" outlineLevel="0" collapsed="false">
      <c r="B8" s="6" t="s">
        <v>351</v>
      </c>
      <c r="C8" s="8" t="n">
        <v>507</v>
      </c>
      <c r="D8" s="8" t="n">
        <v>102</v>
      </c>
    </row>
    <row r="9" customFormat="false" ht="15" hidden="false" customHeight="false" outlineLevel="0" collapsed="false">
      <c r="B9" s="6" t="s">
        <v>352</v>
      </c>
      <c r="C9" s="8" t="n">
        <v>309</v>
      </c>
      <c r="D9" s="8" t="n">
        <v>40</v>
      </c>
    </row>
    <row r="10" customFormat="false" ht="22.35" hidden="false" customHeight="false" outlineLevel="0" collapsed="false">
      <c r="B10" s="2" t="s">
        <v>353</v>
      </c>
    </row>
    <row r="12" customFormat="false" ht="15" hidden="false" customHeight="false" outlineLevel="0" collapsed="false">
      <c r="B12" s="14" t="s">
        <v>354</v>
      </c>
    </row>
    <row r="13" customFormat="false" ht="15" hidden="false" customHeight="false" outlineLevel="0" collapsed="false">
      <c r="B13" s="5" t="s">
        <v>355</v>
      </c>
      <c r="C13" s="5" t="s">
        <v>47</v>
      </c>
      <c r="D13" s="5" t="s">
        <v>356</v>
      </c>
    </row>
    <row r="14" customFormat="false" ht="15" hidden="false" customHeight="false" outlineLevel="0" collapsed="false">
      <c r="B14" s="13" t="s">
        <v>357</v>
      </c>
      <c r="C14" s="8" t="n">
        <v>552</v>
      </c>
      <c r="D14" s="7" t="s">
        <v>358</v>
      </c>
    </row>
    <row r="15" customFormat="false" ht="15" hidden="false" customHeight="false" outlineLevel="0" collapsed="false">
      <c r="B15" s="13" t="s">
        <v>359</v>
      </c>
      <c r="C15" s="8" t="n">
        <v>213</v>
      </c>
      <c r="D15" s="7" t="s">
        <v>358</v>
      </c>
    </row>
    <row r="16" customFormat="false" ht="15" hidden="false" customHeight="false" outlineLevel="0" collapsed="false">
      <c r="B16" s="13" t="s">
        <v>360</v>
      </c>
      <c r="C16" s="8" t="n">
        <v>212</v>
      </c>
      <c r="D16" s="7" t="s">
        <v>361</v>
      </c>
    </row>
    <row r="17" customFormat="false" ht="15" hidden="false" customHeight="false" outlineLevel="0" collapsed="false">
      <c r="B17" s="13" t="s">
        <v>362</v>
      </c>
      <c r="C17" s="8" t="n">
        <v>164</v>
      </c>
      <c r="D17" s="7" t="s">
        <v>363</v>
      </c>
    </row>
    <row r="18" customFormat="false" ht="15" hidden="false" customHeight="false" outlineLevel="0" collapsed="false">
      <c r="B18" s="13" t="s">
        <v>364</v>
      </c>
      <c r="C18" s="8" t="n">
        <v>72</v>
      </c>
      <c r="D18" s="7" t="s">
        <v>361</v>
      </c>
    </row>
    <row r="19" customFormat="false" ht="15" hidden="false" customHeight="false" outlineLevel="0" collapsed="false">
      <c r="B19" s="3" t="s">
        <v>365</v>
      </c>
      <c r="C19" s="29" t="n">
        <f aca="false">SUM(C14:C18)</f>
        <v>1213</v>
      </c>
    </row>
    <row r="21" customFormat="false" ht="15" hidden="false" customHeight="false" outlineLevel="0" collapsed="false">
      <c r="B21" s="14" t="s">
        <v>366</v>
      </c>
    </row>
    <row r="22" customFormat="false" ht="15" hidden="false" customHeight="false" outlineLevel="0" collapsed="false">
      <c r="B22" s="5" t="s">
        <v>355</v>
      </c>
      <c r="C22" s="5" t="s">
        <v>47</v>
      </c>
    </row>
    <row r="23" customFormat="false" ht="15" hidden="false" customHeight="false" outlineLevel="0" collapsed="false">
      <c r="B23" s="13" t="s">
        <v>367</v>
      </c>
      <c r="C23" s="8" t="n">
        <v>472</v>
      </c>
    </row>
    <row r="24" customFormat="false" ht="15" hidden="false" customHeight="false" outlineLevel="0" collapsed="false">
      <c r="B24" s="13" t="s">
        <v>368</v>
      </c>
      <c r="C24" s="8" t="n">
        <v>390</v>
      </c>
    </row>
    <row r="25" customFormat="false" ht="15" hidden="false" customHeight="false" outlineLevel="0" collapsed="false">
      <c r="B25" s="13" t="s">
        <v>369</v>
      </c>
      <c r="C25" s="8" t="n">
        <v>322</v>
      </c>
    </row>
    <row r="26" customFormat="false" ht="15" hidden="false" customHeight="false" outlineLevel="0" collapsed="false">
      <c r="B26" s="13" t="s">
        <v>370</v>
      </c>
      <c r="C26" s="8" t="n">
        <v>301</v>
      </c>
    </row>
    <row r="27" customFormat="false" ht="15" hidden="false" customHeight="false" outlineLevel="0" collapsed="false">
      <c r="B27" s="13" t="s">
        <v>371</v>
      </c>
      <c r="C27" s="8" t="n">
        <v>275</v>
      </c>
    </row>
    <row r="28" customFormat="false" ht="15" hidden="false" customHeight="false" outlineLevel="0" collapsed="false">
      <c r="B28" s="13" t="s">
        <v>372</v>
      </c>
      <c r="C28" s="8" t="n">
        <v>270</v>
      </c>
    </row>
    <row r="29" customFormat="false" ht="15" hidden="false" customHeight="false" outlineLevel="0" collapsed="false">
      <c r="B29" s="13" t="s">
        <v>373</v>
      </c>
      <c r="C29" s="8" t="n">
        <v>250</v>
      </c>
    </row>
    <row r="30" customFormat="false" ht="15" hidden="false" customHeight="false" outlineLevel="0" collapsed="false">
      <c r="B30" s="13" t="s">
        <v>374</v>
      </c>
      <c r="C30" s="8" t="n">
        <v>200</v>
      </c>
    </row>
    <row r="31" customFormat="false" ht="15" hidden="false" customHeight="false" outlineLevel="0" collapsed="false">
      <c r="B31" s="13" t="s">
        <v>375</v>
      </c>
      <c r="C31" s="8" t="n">
        <v>200</v>
      </c>
    </row>
    <row r="32" customFormat="false" ht="15" hidden="false" customHeight="false" outlineLevel="0" collapsed="false">
      <c r="B32" s="13" t="s">
        <v>376</v>
      </c>
      <c r="C32" s="8" t="n">
        <v>162</v>
      </c>
    </row>
    <row r="33" customFormat="false" ht="15" hidden="false" customHeight="false" outlineLevel="0" collapsed="false">
      <c r="B33" s="13" t="s">
        <v>377</v>
      </c>
      <c r="C33" s="8" t="n">
        <v>156</v>
      </c>
    </row>
    <row r="34" customFormat="false" ht="15" hidden="false" customHeight="false" outlineLevel="0" collapsed="false">
      <c r="B34" s="13" t="s">
        <v>378</v>
      </c>
      <c r="C34" s="8" t="n">
        <v>138</v>
      </c>
    </row>
    <row r="35" customFormat="false" ht="15" hidden="false" customHeight="false" outlineLevel="0" collapsed="false">
      <c r="B35" s="13" t="s">
        <v>379</v>
      </c>
      <c r="C35" s="8" t="n">
        <v>36</v>
      </c>
    </row>
    <row r="36" customFormat="false" ht="15" hidden="false" customHeight="false" outlineLevel="0" collapsed="false">
      <c r="B36" s="6" t="s">
        <v>380</v>
      </c>
      <c r="C36" s="8" t="n">
        <v>256</v>
      </c>
    </row>
    <row r="37" customFormat="false" ht="15" hidden="false" customHeight="false" outlineLevel="0" collapsed="false">
      <c r="B37" s="3" t="s">
        <v>381</v>
      </c>
      <c r="C37" s="29" t="n">
        <f aca="false">SUM(C23:C36)</f>
        <v>3428</v>
      </c>
    </row>
    <row r="39" customFormat="false" ht="15" hidden="false" customHeight="true" outlineLevel="0" collapsed="false">
      <c r="B39" s="27" t="s">
        <v>382</v>
      </c>
      <c r="C39" s="27"/>
      <c r="D39" s="27"/>
      <c r="E39" s="27"/>
      <c r="F39" s="27"/>
    </row>
    <row r="40" customFormat="false" ht="15" hidden="false" customHeight="false" outlineLevel="0" collapsed="false">
      <c r="B40" s="27"/>
      <c r="C40" s="27"/>
      <c r="D40" s="27"/>
      <c r="E40" s="27"/>
      <c r="F40" s="27"/>
    </row>
  </sheetData>
  <mergeCells count="1">
    <mergeCell ref="B39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383</v>
      </c>
    </row>
    <row r="4" customFormat="false" ht="15" hidden="false" customHeight="false" outlineLevel="0" collapsed="false">
      <c r="B4" s="30" t="s">
        <v>384</v>
      </c>
      <c r="C4" s="31" t="s">
        <v>385</v>
      </c>
    </row>
    <row r="5" customFormat="false" ht="15" hidden="false" customHeight="false" outlineLevel="0" collapsed="false">
      <c r="B5" s="30" t="s">
        <v>386</v>
      </c>
      <c r="C5" s="31" t="s">
        <v>387</v>
      </c>
    </row>
    <row r="6" customFormat="false" ht="15" hidden="false" customHeight="false" outlineLevel="0" collapsed="false">
      <c r="B6" s="30" t="s">
        <v>388</v>
      </c>
      <c r="C6" s="31" t="s">
        <v>389</v>
      </c>
    </row>
    <row r="7" customFormat="false" ht="15" hidden="false" customHeight="false" outlineLevel="0" collapsed="false">
      <c r="B7" s="30" t="s">
        <v>390</v>
      </c>
      <c r="C7" s="31" t="s">
        <v>391</v>
      </c>
    </row>
    <row r="8" customFormat="false" ht="15" hidden="false" customHeight="false" outlineLevel="0" collapsed="false">
      <c r="B8" s="30" t="s">
        <v>392</v>
      </c>
      <c r="C8" s="31" t="s">
        <v>393</v>
      </c>
    </row>
    <row r="9" customFormat="false" ht="15" hidden="false" customHeight="false" outlineLevel="0" collapsed="false">
      <c r="B9" s="30" t="s">
        <v>394</v>
      </c>
      <c r="C9" s="31" t="s">
        <v>395</v>
      </c>
    </row>
    <row r="10" customFormat="false" ht="23.85" hidden="false" customHeight="false" outlineLevel="0" collapsed="false">
      <c r="B10" s="30" t="s">
        <v>396</v>
      </c>
      <c r="C10" s="31" t="s">
        <v>397</v>
      </c>
    </row>
    <row r="11" customFormat="false" ht="23.85" hidden="false" customHeight="false" outlineLevel="0" collapsed="false">
      <c r="B11" s="30" t="s">
        <v>398</v>
      </c>
      <c r="C11" s="31" t="s">
        <v>399</v>
      </c>
    </row>
    <row r="12" customFormat="false" ht="23.85" hidden="false" customHeight="false" outlineLevel="0" collapsed="false">
      <c r="B12" s="30" t="s">
        <v>400</v>
      </c>
      <c r="C12" s="31" t="s">
        <v>401</v>
      </c>
    </row>
    <row r="14" customFormat="false" ht="15" hidden="false" customHeight="false" outlineLevel="0" collapsed="false">
      <c r="B14" s="32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2026-08-13T02:16:31Z</dcterms:created>
  <dc:creator>openpyxl</dc:creator>
  <dc:description/>
  <dc:language>en-US</dc:language>
  <cp:lastModifiedBy/>
  <dcterms:modified xsi:type="dcterms:W3CDTF">2026-08-13T02:16:31Z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