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_Deals" sheetId="2" state="visible" r:id="rId4"/>
    <sheet name="2_ProFormas" sheetId="3" state="visible" r:id="rId5"/>
    <sheet name="3_Dev_Feasibility" sheetId="4" state="visible" r:id="rId6"/>
    <sheet name="4_Emblem_Norm" sheetId="5" state="visible" r:id="rId7"/>
    <sheet name="5_Judy_Norm" sheetId="6" state="visible" r:id="rId8"/>
    <sheet name="6_Sensitivities" sheetId="7" state="visible" r:id="rId9"/>
    <sheet name="7_Taxes" sheetId="8" state="visible" r:id="rId10"/>
    <sheet name="8_Supply" sheetId="9" state="visible" r:id="rId11"/>
    <sheet name="9_Sourc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<sst xmlns="http://schemas.openxmlformats.org/spreadsheetml/2006/main" count="422" uniqueCount="388">
  <si>
    <t xml:space="preserve">Boise MSA — Deal Comparison &amp; Developer Underwriting Normalization (v2)</t>
  </si>
  <si>
    <t xml:space="preserve">Prepared 2026-08-13 (v2 per IC feedback). All model figures re-extracted from source workbooks; levy rates verified against Ada County 2024 certified levies.</t>
  </si>
  <si>
    <t xml:space="preserve">LEGEND — Blue = input extracted from a source model or public record (cited). Black = formula. Green = cross-sheet link. Yellow fill = normalization assumption — edit to flex.</t>
  </si>
  <si>
    <t xml:space="preserve">1_Deals — Five-deal side-by-side.</t>
  </si>
  <si>
    <t xml:space="preserve">2_ProFormas — Per-unit stabilized pro formas — complete for all five deals, incl. full Prelude opex from our acquisition model.</t>
  </si>
  <si>
    <t xml:space="preserve">3_Dev_Feasibility — THE CENTERPIECE: construction cost build-up, operating pro forma build-up (marketed vs normalized), and the pencil-rent grid (YoC 5.75-7.25% x three OI bases) with the 2026-2032 trajectory vs Seasons.</t>
  </si>
  <si>
    <t xml:space="preserve">4_Emblem_Norm — Emblem normalization detail (OI, taxes, exit cap).</t>
  </si>
  <si>
    <t xml:space="preserve">5_Judy_Norm — Judy normalization detail (verified Boise levy, OI, market land).</t>
  </si>
  <si>
    <t xml:space="preserve">6_Sensitivities — Development-side sensitivities: YoC vs hard cost x rent; pencil $/SF vs YoC x TDC; Judy YoC vs land basis x levy.</t>
  </si>
  <si>
    <t xml:space="preserve">7_Taxes — Verified levy build-up (Ada County 2024 certified) and the correct comparability principle: CAP RATES ARE COMPARABLE ACROSS JURISDICTIONS (taxes are already in NOI); PRICE PER UNIT IS NOT — identical product carries ~$42K/unit more value in Meridian.</t>
  </si>
  <si>
    <t xml:space="preserve">8_Supply — Land inventory &amp; pipeline roster.</t>
  </si>
  <si>
    <t xml:space="preserve">9_Sources — Provenance, method, corrections log.</t>
  </si>
  <si>
    <t xml:space="preserve">KEY CONCLUSIONS</t>
  </si>
  <si>
    <t xml:space="preserve">1. Emblem true untrended YoC ~6.3% (marketed 6.65%): OI ~$0.8K/unit high; 5.50% exit cap sandbagged — the two roughly offset on exit VALUE (their $400K/home is about right at an honest 5.25%), but the yield claim deflates.</t>
  </si>
  <si>
    <t xml:space="preserve">2. Judy true untrended YoC ~6.0-6.1% (marketed 6.52%): Boise taxes ~$750-950/unit light (VERIFIED: Boise code areas levy 0.906-0.914% in 2024 vs Meridian ~0.45%; driver is Boise SD 0.280% vs West Ada 0.033%), OI ~$570/unit high. On market-priced land: ~5.9%. A land-basis arbitrage.</t>
  </si>
  <si>
    <t xml:space="preserve">3. Pencil rents (normalized OI &amp; taxes): $1,991/mo ($2.12/SF) at 6.0% YoC, $2,122 ($2.26/SF) at 6.5% — vs Seasons at $1,885 ($2.02/SF). Even at a thin 6.0% hurdle Seasons sits 5-8% below pencil through the whole hold (frozen ~-5%); at 6.5%, 11-14% below.</t>
  </si>
  <si>
    <t xml:space="preserve">4. Tax comparability (corrected from v1): cap rates compare directly across Boise/Meridian; $/unit does not. CR at $381.9K/u in Boise is ~$428K/u Meridian-equivalent at its own 4.57% cap — Seasons at $327.8K is ~23% below its jurisdiction-adjusted 2024-vintage comp.</t>
  </si>
  <si>
    <t xml:space="preserve">5. True development spreads (normalized YoC minus normalized exit cap) are ~75-105bp vs the 125-175bp institutional requirement — the marginal developer is out of the money; both live deals proceed only on cost advantages (Lennar GC / stale land).</t>
  </si>
  <si>
    <t xml:space="preserve">Five-Deal Comparison</t>
  </si>
  <si>
    <t xml:space="preserve">Metric</t>
  </si>
  <si>
    <t xml:space="preserve">Seasons at Meridian</t>
  </si>
  <si>
    <t xml:space="preserve">Prelude at Paramount</t>
  </si>
  <si>
    <t xml:space="preserve">Canyon Ridge</t>
  </si>
  <si>
    <t xml:space="preserve">Emblem Meridian</t>
  </si>
  <si>
    <t xml:space="preserve">The Judy (MGO)</t>
  </si>
  <si>
    <t xml:space="preserve">Notes</t>
  </si>
  <si>
    <t xml:space="preserve">Role</t>
  </si>
  <si>
    <t xml:space="preserve">Acquisition target</t>
  </si>
  <si>
    <t xml:space="preserve">Owned (12/2025)</t>
  </si>
  <si>
    <t xml:space="preserve">Comp — under contract</t>
  </si>
  <si>
    <t xml:space="preserve">Development (equity raise)</t>
  </si>
  <si>
    <t xml:space="preserve">Emblem: Quarterra/Lennar. Judy: Hawkins.</t>
  </si>
  <si>
    <t xml:space="preserve">Location</t>
  </si>
  <si>
    <t xml:space="preserve">2700 E Overland Rd, Meridian</t>
  </si>
  <si>
    <t xml:space="preserve">4909 N Elsinore Ave, Meridian</t>
  </si>
  <si>
    <t xml:space="preserve">2552 E Gowen Rd, Boise</t>
  </si>
  <si>
    <t xml:space="preserve">Eagle/Overland corridor, Meridian</t>
  </si>
  <si>
    <t xml:space="preserve">1770 S Maple Grove Rd, Boise</t>
  </si>
  <si>
    <t xml:space="preserve">Vintage / delivery</t>
  </si>
  <si>
    <t xml:space="preserve">2024</t>
  </si>
  <si>
    <t xml:space="preserve">2018</t>
  </si>
  <si>
    <t xml:space="preserve">2028-29</t>
  </si>
  <si>
    <t xml:space="preserve">2027-28</t>
  </si>
  <si>
    <t xml:space="preserve">Units</t>
  </si>
  <si>
    <t xml:space="preserve">Avg unit SF</t>
  </si>
  <si>
    <t xml:space="preserve">Price / total dev cost ($)</t>
  </si>
  <si>
    <t xml:space="preserve">Seasons = recommended bid (whisper $125M). CR = award.</t>
  </si>
  <si>
    <t xml:space="preserve">$/unit</t>
  </si>
  <si>
    <t xml:space="preserve">$/SF (NRSF)</t>
  </si>
  <si>
    <t xml:space="preserve">Y1 / stabilized NOI ($)</t>
  </si>
  <si>
    <t xml:space="preserve">Prelude = Y1 from Revenue &amp; Expense tab. Emblem = untrended in-place. Judy = Y3.</t>
  </si>
  <si>
    <t xml:space="preserve">Going-in yield / untrended ROC</t>
  </si>
  <si>
    <t xml:space="preserve">TMG: Y1 NOI / price. Developers: marketed — see normalization tabs (true: ~6.3% / ~6.0%).</t>
  </si>
  <si>
    <t xml:space="preserve">Market rent ($/mo)</t>
  </si>
  <si>
    <t xml:space="preserve">Each model's own UW. Seasons contract rent $1,751.</t>
  </si>
  <si>
    <t xml:space="preserve">Rent $/SF</t>
  </si>
  <si>
    <t xml:space="preserve">Other income ($/u/yr)</t>
  </si>
  <si>
    <t xml:space="preserve">Components on 2_ProFormas; developers high by $0.6-0.8K.</t>
  </si>
  <si>
    <t xml:space="preserve">RE taxes ($/u/yr)</t>
  </si>
  <si>
    <t xml:space="preserve">Verified levies: Meridian ~0.45%, Boise ~0.91%. Judy understated — see 5_Judy_Norm.</t>
  </si>
  <si>
    <t xml:space="preserve">Exit date</t>
  </si>
  <si>
    <t xml:space="preserve">Oct-2031</t>
  </si>
  <si>
    <t xml:space="preserve">Dec-2030</t>
  </si>
  <si>
    <t xml:space="preserve">Oct-2031 (UW)</t>
  </si>
  <si>
    <t xml:space="preserve">Jan-2030</t>
  </si>
  <si>
    <t xml:space="preserve">Aug-2030</t>
  </si>
  <si>
    <t xml:space="preserve">Exit cap (as modeled)</t>
  </si>
  <si>
    <t xml:space="preserve">Developer caps sandbagged vs today's prints (CR 4.57%).</t>
  </si>
  <si>
    <t xml:space="preserve">Exit value ($/unit)</t>
  </si>
  <si>
    <t xml:space="preserve">UIRR / project IRR</t>
  </si>
  <si>
    <t xml:space="preserve">Developers = levered project IRR (different metric).</t>
  </si>
  <si>
    <t xml:space="preserve">LIRR / LP IRR</t>
  </si>
  <si>
    <t xml:space="preserve">Per-Unit Stabilized Pro Formas ($/unit/yr unless noted)</t>
  </si>
  <si>
    <t xml:space="preserve">Seasons &amp; CR = TMG Y1. Prelude = our acquisition UW Y1 (I&amp;E + Revenue &amp; Expense tabs). Emblem = 2031 stabilized (trended $). Judy = Year 3.</t>
  </si>
  <si>
    <t xml:space="preserve">Line</t>
  </si>
  <si>
    <t xml:space="preserve">Seasons Y1</t>
  </si>
  <si>
    <t xml:space="preserve">Prelude Y1</t>
  </si>
  <si>
    <t xml:space="preserve">Canyon Ridge Y1</t>
  </si>
  <si>
    <t xml:space="preserve">Emblem stab. 2031</t>
  </si>
  <si>
    <t xml:space="preserve">Judy Y3</t>
  </si>
  <si>
    <t xml:space="preserve">Emblem = their 2031 trended rent ($2,069 at 6/2026).</t>
  </si>
  <si>
    <t xml:space="preserve">Rent $/SF ($/mo)</t>
  </si>
  <si>
    <t xml:space="preserve">OTHER INCOME</t>
  </si>
  <si>
    <t xml:space="preserve">Misc / fees</t>
  </si>
  <si>
    <t xml:space="preserve">CR incl. damage waiver. Prelude incl. bulk-data income. Judy not itemized in OM/model.</t>
  </si>
  <si>
    <t xml:space="preserve">RUBS / utility billback</t>
  </si>
  <si>
    <t xml:space="preserve">Seasons ~66% recovery actual; Emblem assumes 100%.</t>
  </si>
  <si>
    <t xml:space="preserve">Parking / garages</t>
  </si>
  <si>
    <t xml:space="preserve">Prelude actual with rentable garages. Emblem monetizes all 536 spaces.</t>
  </si>
  <si>
    <t xml:space="preserve">Wifi / revenue share</t>
  </si>
  <si>
    <t xml:space="preserve">Seasons = bulk internet rev share. Emblem = mandatory $108/mo.</t>
  </si>
  <si>
    <t xml:space="preserve">Total other income</t>
  </si>
  <si>
    <t xml:space="preserve">Judy total from Y3 pro forma.</t>
  </si>
  <si>
    <t xml:space="preserve">EFFECTIVE GROSS INCOME</t>
  </si>
  <si>
    <t xml:space="preserve">After vacancy/concessions/bad debt.</t>
  </si>
  <si>
    <t xml:space="preserve">OPERATING EXPENSES</t>
  </si>
  <si>
    <t xml:space="preserve">Payroll / personnel</t>
  </si>
  <si>
    <t xml:space="preserve">Judy payroll bundled in mgmt fee.</t>
  </si>
  <si>
    <t xml:space="preserve">Marketing</t>
  </si>
  <si>
    <t xml:space="preserve">G&amp;A / admin</t>
  </si>
  <si>
    <t xml:space="preserve">Judy G&amp;A within mgmt fee.</t>
  </si>
  <si>
    <t xml:space="preserve">Turnover / make-ready</t>
  </si>
  <si>
    <t xml:space="preserve">Emblem turnover within R&amp;M.</t>
  </si>
  <si>
    <t xml:space="preserve">R&amp;M</t>
  </si>
  <si>
    <t xml:space="preserve">Contracts / services</t>
  </si>
  <si>
    <t xml:space="preserve">Judy = contract svcs + wifi + valet + smart-home costs.</t>
  </si>
  <si>
    <t xml:space="preserve">Utilities</t>
  </si>
  <si>
    <t xml:space="preserve">Management fee</t>
  </si>
  <si>
    <t xml:space="preserve">Judy 8% of EGI incl. payroll/G&amp;A.</t>
  </si>
  <si>
    <t xml:space="preserve">Insurance</t>
  </si>
  <si>
    <t xml:space="preserve">Real estate taxes</t>
  </si>
  <si>
    <t xml:space="preserve">Prelude = 2026 taxes $333,466/280. Judy understated (5_Judy_Norm).</t>
  </si>
  <si>
    <t xml:space="preserve">Total opex</t>
  </si>
  <si>
    <t xml:space="preserve">Emblem incl. $227/u reserves + $1/u other (their categories).</t>
  </si>
  <si>
    <t xml:space="preserve">NOI ($/unit)</t>
  </si>
  <si>
    <t xml:space="preserve">Cross-check: Seasons $16,402; Prelude $14,335; CR $17,458; Emblem $22,755; Judy $17,990.</t>
  </si>
  <si>
    <t xml:space="preserve">Expense ratio</t>
  </si>
  <si>
    <t xml:space="preserve">Prelude reconciliation: EGI $20,862 (Rev&amp;Exp H27/280) − opex $6,536 = NOI $14,326 ≈ $14,335 (H53/280; rounding). Old-model note: its "Total Controllable" excludes utilities; utilities+insurance+mgmt+taxes reconcile to total.</t>
  </si>
  <si>
    <t xml:space="preserve">Development Feasibility — Cost Build-Up, Pro Forma, and Pencil Rents</t>
  </si>
  <si>
    <t xml:space="preserve">One tab, whole story: what it costs to build, what the operations look like (as marketed vs normalized), and the rent required at each yield-on-cost hurdle vs where Seasons sits.</t>
  </si>
  <si>
    <t xml:space="preserve">A. CONSTRUCTION COST BUILD-UP</t>
  </si>
  <si>
    <t xml:space="preserve">Component</t>
  </si>
  <si>
    <t xml:space="preserve">Emblem ($)</t>
  </si>
  <si>
    <t xml:space="preserve">Emblem $/unit</t>
  </si>
  <si>
    <t xml:space="preserve">Emblem $/NRSF</t>
  </si>
  <si>
    <t xml:space="preserve">Judy ($)</t>
  </si>
  <si>
    <t xml:space="preserve">Judy $/unit</t>
  </si>
  <si>
    <t xml:space="preserve">Judy $/NRSF</t>
  </si>
  <si>
    <t xml:space="preserve">Land &amp; acquisition</t>
  </si>
  <si>
    <t xml:space="preserve">Emblem $649K/ac (13.63 ac). Judy at Oct-2024 basis $399K/ac — market ~$625K/ac adds ~$1.4M (see 5_Judy_Norm).</t>
  </si>
  <si>
    <t xml:space="preserve">Hard costs incl. contingency</t>
  </si>
  <si>
    <t xml:space="preserve">Both ~$214-227/NRSF — two independent GCs triangulate hard cost.</t>
  </si>
  <si>
    <t xml:space="preserve">A&amp;E</t>
  </si>
  <si>
    <t xml:space="preserve">Judy A&amp;E inside soft costs below.</t>
  </si>
  <si>
    <t xml:space="preserve">Permits &amp; impact fees</t>
  </si>
  <si>
    <t xml:space="preserve">Meridian P&amp;F $17.4K/u vs Judy (Boise) ~$6.1K/u impact fees within soft.</t>
  </si>
  <si>
    <t xml:space="preserve">Other soft (ins, FF&amp;E, start-up, op deficits, contingency)</t>
  </si>
  <si>
    <t xml:space="preserve">Judy soft = all soft ex-interest (incl. A&amp;E and fees).</t>
  </si>
  <si>
    <t xml:space="preserve">Developer fee / overhead</t>
  </si>
  <si>
    <t xml:space="preserve">Emblem 4% dev fee. Judy fees partly outside LP budget ("other development costs" shown).</t>
  </si>
  <si>
    <t xml:space="preserve">Financing &amp; interest</t>
  </si>
  <si>
    <t xml:space="preserve">Judy = financing/contingencies 2,372,940 + interest reserve 1,058,670 + op deficit 18,526.</t>
  </si>
  <si>
    <t xml:space="preserve">TOTAL DEVELOPMENT COST</t>
  </si>
  <si>
    <t xml:space="preserve">Checks: Emblem $77.96M / $304.5K/u / $324/SF. Judy $41.69M / $257.4K/u / $283.5/SF.</t>
  </si>
  <si>
    <t xml:space="preserve">Emblem ROC denominator (ex-financing)</t>
  </si>
  <si>
    <t xml:space="preserve">Their yield convention divides by cost ex-financing.</t>
  </si>
  <si>
    <t xml:space="preserve">B. OPERATING PRO FORMA BUILD-UP (per unit per year, untrended 2026$, Emblem basis)</t>
  </si>
  <si>
    <t xml:space="preserve">As marketed</t>
  </si>
  <si>
    <t xml:space="preserve">Normalized</t>
  </si>
  <si>
    <t xml:space="preserve">Base rent ($/mo)</t>
  </si>
  <si>
    <t xml:space="preserve">Rent level NOT normalized — their $2.20/SF vs comp set is defensible; the pencil grid below solves for it anyway.</t>
  </si>
  <si>
    <t xml:space="preserve">Base rent ($/yr)</t>
  </si>
  <si>
    <t xml:space="preserve">Other income ($/yr)</t>
  </si>
  <si>
    <t xml:space="preserve">Normalized: garages 750, wifi 1,077, billback 850, pets 126, misc 595.</t>
  </si>
  <si>
    <t xml:space="preserve">Potential gross income</t>
  </si>
  <si>
    <t xml:space="preserve">Less vacancy &amp; collections (5.87%)</t>
  </si>
  <si>
    <t xml:space="preserve">Their stack: 4.0% vac + 0.5% CL + 1.37% model units.</t>
  </si>
  <si>
    <t xml:space="preserve">Effective gross income</t>
  </si>
  <si>
    <t xml:space="preserve">Opex ex-taxes</t>
  </si>
  <si>
    <t xml:space="preserve">(1,959,830 − 331,600 embedded taxes)/256.</t>
  </si>
  <si>
    <t xml:space="preserve">RE taxes</t>
  </si>
  <si>
    <t xml:space="preserve">Marketed: embedded est. Normalized: 0.45% x 95% of closed-form value.</t>
  </si>
  <si>
    <t xml:space="preserve">NOI ($, project)</t>
  </si>
  <si>
    <t xml:space="preserve">UNTRENDED YIELD-ON-COST (ex-fin)</t>
  </si>
  <si>
    <t xml:space="preserve">Marketed ~6.6% vs normalized ~6.3%.</t>
  </si>
  <si>
    <t xml:space="preserve">YoC on all-in cost</t>
  </si>
  <si>
    <t xml:space="preserve">C. PENCIL RENT GRID — base rent required ($/mo and $/SF) by yield-on-cost hurdle x other-income basis</t>
  </si>
  <si>
    <t xml:space="preserve">Convention: opex ex-tax + NORMALIZED taxes ($1,518/u) held fixed; vacancy 5.87%; cost = ex-financing denominator. Formula: rent/yr = (YoC x denom + opex)/0.9413 − OI x units, per unit.</t>
  </si>
  <si>
    <t xml:space="preserve">YoC hurdle</t>
  </si>
  <si>
    <t xml:space="preserve">Marketed OI ($4,207/u) $/mo</t>
  </si>
  <si>
    <t xml:space="preserve">Normalized OI ($3,398/u) $/mo</t>
  </si>
  <si>
    <t xml:space="preserve">Seasons-actual OI ($2,736/u) $/mo</t>
  </si>
  <si>
    <t xml:space="preserve">Normalized OI $/SF</t>
  </si>
  <si>
    <t xml:space="preserve">Premium vs Seasons $1,885</t>
  </si>
  <si>
    <t xml:space="preserve">Premium vs Seasons $2.02/SF</t>
  </si>
  <si>
    <t xml:space="preserve">D. TRAJECTORY 2026-2032 — normalized-OI pencil vs Seasons UW rent path (all components escalate 3%/yr)</t>
  </si>
  <si>
    <t xml:space="preserve">Year</t>
  </si>
  <si>
    <t xml:space="preserve">Seasons UW market rent ($/mo)</t>
  </si>
  <si>
    <t xml:space="preserve">Pencil @6.0% (normalized OI)</t>
  </si>
  <si>
    <t xml:space="preserve">Pencil @6.5% (normalized OI)</t>
  </si>
  <si>
    <t xml:space="preserve">Seasons gap vs 6.0% pencil</t>
  </si>
  <si>
    <t xml:space="preserve">Seasons gap vs 6.5% pencil</t>
  </si>
  <si>
    <t xml:space="preserve">READ: At a 6.0% hurdle — the thinnest plausible go-decision vs a 5.0-5.25% exit cap — new supply needs ~$1,991/mo ($2.12/SF) today, 5.6% above Seasons; the gap runs -8% (2027) to -5.4% (2031) and freezes. At 6.5%, Seasons is 11-14% below pencil throughout. The moat is economic and durable under our own rent growth.</t>
  </si>
  <si>
    <t xml:space="preserve">Emblem Meridian — Normalization Detail</t>
  </si>
  <si>
    <t xml:space="preserve">A. AS MARKETED</t>
  </si>
  <si>
    <t xml:space="preserve">Total development cost ($)</t>
  </si>
  <si>
    <t xml:space="preserve">Summary D25 (Oct-27 GMP)</t>
  </si>
  <si>
    <t xml:space="preserve">Financing costs in TDC ($)</t>
  </si>
  <si>
    <t xml:space="preserve">Constr interest + financing fees</t>
  </si>
  <si>
    <t xml:space="preserve">ROC denominator ex-financing ($)</t>
  </si>
  <si>
    <t xml:space="preserve">Avg NRSF / unit</t>
  </si>
  <si>
    <t xml:space="preserve">Untrended NOI in-place 6/2026 ($)</t>
  </si>
  <si>
    <t xml:space="preserve">Summary D49</t>
  </si>
  <si>
    <t xml:space="preserve">Marketed untrended ROC</t>
  </si>
  <si>
    <t xml:space="preserve">Book: 6.65%</t>
  </si>
  <si>
    <t xml:space="preserve">Untrended taxes embedded ($, est)</t>
  </si>
  <si>
    <t xml:space="preserve">2031 taxes deflated 3%/yr</t>
  </si>
  <si>
    <t xml:space="preserve">Sale F12 NOI ($, Jan-30)</t>
  </si>
  <si>
    <t xml:space="preserve">Marketed exit cap</t>
  </si>
  <si>
    <t xml:space="preserve">Gross sale ($)</t>
  </si>
  <si>
    <t xml:space="preserve">$400.5K/home</t>
  </si>
  <si>
    <t xml:space="preserve">OI as marketed: garage</t>
  </si>
  <si>
    <t xml:space="preserve">$1,041/u</t>
  </si>
  <si>
    <t xml:space="preserve">wifi</t>
  </si>
  <si>
    <t xml:space="preserve">$1,296/u</t>
  </si>
  <si>
    <t xml:space="preserve">billback</t>
  </si>
  <si>
    <t xml:space="preserve">$1,149/u</t>
  </si>
  <si>
    <t xml:space="preserve">pets</t>
  </si>
  <si>
    <t xml:space="preserve">misc</t>
  </si>
  <si>
    <t xml:space="preserve">Total OI ($/yr)</t>
  </si>
  <si>
    <t xml:space="preserve">$4,207/u</t>
  </si>
  <si>
    <t xml:space="preserve">B. NORMALIZATION ASSUMPTIONS (yellow = edit)</t>
  </si>
  <si>
    <t xml:space="preserve">Garage / parking ($/u/yr)</t>
  </si>
  <si>
    <t xml:space="preserve">Prelude achieves $759 WITH rentable garages; CR $520; Seasons $360; attached TH garages usually in rent.</t>
  </si>
  <si>
    <t xml:space="preserve">Wifi / connectivity ($/u/yr)</t>
  </si>
  <si>
    <t xml:space="preserve">Seasons proven revenue share.</t>
  </si>
  <si>
    <t xml:space="preserve">Utility billback ($/u/yr)</t>
  </si>
  <si>
    <t xml:space="preserve">Actuals $698-763; submetered new build earns premium, not 100%.</t>
  </si>
  <si>
    <t xml:space="preserve">Pet fees ($/u/yr)</t>
  </si>
  <si>
    <t xml:space="preserve">Misc ($/u/yr)</t>
  </si>
  <si>
    <t xml:space="preserve">Normalized OI ($/u/yr)</t>
  </si>
  <si>
    <t xml:space="preserve">vs $4,207 marketed</t>
  </si>
  <si>
    <t xml:space="preserve">OI adjustment ($/yr)</t>
  </si>
  <si>
    <t xml:space="preserve">Meridian levy</t>
  </si>
  <si>
    <t xml:space="preserve">VERIFIED: Ada Cty 2024 certified — City of Meridian 0.2033% + West Ada SD 0.0332% + county/common ~0.21% = ~0.45%; matches Seasons/Prelude actuals 0.4507%.</t>
  </si>
  <si>
    <t xml:space="preserve">Assessment ratio</t>
  </si>
  <si>
    <t xml:space="preserve">TMG convention; ID non-disclosure</t>
  </si>
  <si>
    <t xml:space="preserve">Effective levy</t>
  </si>
  <si>
    <t xml:space="preserve">Normalized exit cap</t>
  </si>
  <si>
    <t xml:space="preserve">Today's new-product prints: CR award 4.57%; Seasons bid 5.00%; Prelude 4.95%. 5.25% = +25-70bp forward conservatism.</t>
  </si>
  <si>
    <t xml:space="preserve">Alt exit cap</t>
  </si>
  <si>
    <t xml:space="preserve">C. NORMALIZED ECONOMICS</t>
  </si>
  <si>
    <t xml:space="preserve">Untrended NOI excl taxes, OI-adj ($)</t>
  </si>
  <si>
    <t xml:space="preserve">OI adj x (1-5.87%) since OI sits inside PGI</t>
  </si>
  <si>
    <t xml:space="preserve">Stabilized value @ C34 ($)</t>
  </si>
  <si>
    <t xml:space="preserve">closed-form tax solve</t>
  </si>
  <si>
    <t xml:space="preserve">  per unit</t>
  </si>
  <si>
    <t xml:space="preserve">Normalized taxes ($)</t>
  </si>
  <si>
    <t xml:space="preserve">NORMALIZED UNTRENDED NOI ($)</t>
  </si>
  <si>
    <t xml:space="preserve">Normalized untrended ROC (ex-fin)</t>
  </si>
  <si>
    <t xml:space="preserve">vs 6.65% marketed</t>
  </si>
  <si>
    <t xml:space="preserve">Normalized taxes ($) [link for feasibility tab]</t>
  </si>
  <si>
    <t xml:space="preserve">Normalized taxes ($/u) [link]</t>
  </si>
  <si>
    <t xml:space="preserve">Sale NOI excl tax, OI-adj ($)</t>
  </si>
  <si>
    <t xml:space="preserve">their 2031 taxes added back; OI adj escalated &amp; vacancy-adjusted</t>
  </si>
  <si>
    <t xml:space="preserve">Normalized sale value @C34 ($)</t>
  </si>
  <si>
    <t xml:space="preserve">vs $400.5K marketed — the sandbagged cap ~offsets the aggressive OI</t>
  </si>
  <si>
    <t xml:space="preserve">  @ alt cap</t>
  </si>
  <si>
    <t xml:space="preserve">The Judy (Hawkins) — Normalization Detail</t>
  </si>
  <si>
    <t xml:space="preserve">Boise levy VERIFIED against Ada County 2024 certified rates: City of Boise 0.4053% + Boise SD#1 0.2797% + county/common ~0.22% = 0.906-0.914% combined; CR actual bill = 0.9217% (2025). Judy's $2,203/u UW is ~0.63% — not a Boise reality.</t>
  </si>
  <si>
    <t xml:space="preserve">Implied untrended NOI ($)</t>
  </si>
  <si>
    <t xml:space="preserve">Y3 NOI ($)</t>
  </si>
  <si>
    <t xml:space="preserve">Y3 RE taxes ($)</t>
  </si>
  <si>
    <t xml:space="preserve">$2,203/u</t>
  </si>
  <si>
    <t xml:space="preserve">Untrended embedded taxes est ($)</t>
  </si>
  <si>
    <t xml:space="preserve">Y3 deflated to 2026$</t>
  </si>
  <si>
    <t xml:space="preserve">Y3 other income ($)</t>
  </si>
  <si>
    <t xml:space="preserve">$3,568/u</t>
  </si>
  <si>
    <t xml:space="preserve">Sale F12 NOI ($)</t>
  </si>
  <si>
    <t xml:space="preserve">$361.6K/u</t>
  </si>
  <si>
    <t xml:space="preserve">Land basis ($, Oct-24)</t>
  </si>
  <si>
    <t xml:space="preserve">$15.1K/u, $399K/ac</t>
  </si>
  <si>
    <t xml:space="preserve">Site acres</t>
  </si>
  <si>
    <t xml:space="preserve">B. ASSUMPTIONS (yellow = edit)</t>
  </si>
  <si>
    <t xml:space="preserve">CR actual $3,002 with similar fee programs; their program costs already expensed.</t>
  </si>
  <si>
    <t xml:space="preserve">Boise levy</t>
  </si>
  <si>
    <t xml:space="preserve">Ada Cty 2024 certified 0.906-0.914%; CR actual 0.9217%.</t>
  </si>
  <si>
    <t xml:space="preserve">Exit cap (kept)</t>
  </si>
  <si>
    <t xml:space="preserve">CR clears 4.57% today; 5.25% is already conservative post-tax-fix.</t>
  </si>
  <si>
    <t xml:space="preserve">Market land ($/acre)</t>
  </si>
  <si>
    <t xml:space="preserve">Emblem Meridian print $649K/ac.</t>
  </si>
  <si>
    <t xml:space="preserve">Untrended NOI excl tax, OI-adj ($)</t>
  </si>
  <si>
    <t xml:space="preserve">deflated embedded taxes; OI adj vacancy-adjusted</t>
  </si>
  <si>
    <t xml:space="preserve">Untrended stabilized value ($)</t>
  </si>
  <si>
    <t xml:space="preserve">Normalized untrended taxes ($)</t>
  </si>
  <si>
    <t xml:space="preserve">vs $2,203 marketed</t>
  </si>
  <si>
    <t xml:space="preserve">Normalized untrended ROC</t>
  </si>
  <si>
    <t xml:space="preserve">vs 6.52% marketed</t>
  </si>
  <si>
    <t xml:space="preserve">Y4 taxes added back; OI adj vacancy-adjusted</t>
  </si>
  <si>
    <t xml:space="preserve">Normalized sale value ($)</t>
  </si>
  <si>
    <t xml:space="preserve">vs $361.6K marketed</t>
  </si>
  <si>
    <t xml:space="preserve">MARKET-LAND SCENARIO</t>
  </si>
  <si>
    <t xml:space="preserve">Land at market ($)</t>
  </si>
  <si>
    <t xml:space="preserve">Added land cost ($)</t>
  </si>
  <si>
    <t xml:space="preserve">Adjusted TDC ($)</t>
  </si>
  <si>
    <t xml:space="preserve">ROC on market-land basis</t>
  </si>
  <si>
    <t xml:space="preserve">third-party replication</t>
  </si>
  <si>
    <t xml:space="preserve">Development Sensitivities (normalized bases)</t>
  </si>
  <si>
    <t xml:space="preserve">What actually moves feasibility: construction cost, rent, land, taxes. All grids formula-driven off the normalization tabs.</t>
  </si>
  <si>
    <t xml:space="preserve">GRID 1 — EMBLEM NORMALIZED UNTRENDED YoC: hard cost x rent  (base rent $2,069; normalized OI &amp; taxes held at base)</t>
  </si>
  <si>
    <t xml:space="preserve">Rows = hard-cost change; Cols = rent change</t>
  </si>
  <si>
    <t xml:space="preserve">Center = normalized base ~6.3%. Their marketed 6.65% requires BOTH their OI and their tax line.</t>
  </si>
  <si>
    <t xml:space="preserve">GRID 2 — PENCIL RENT $/SF (normalized OI &amp; taxes): YoC hurdle x total-cost change</t>
  </si>
  <si>
    <t xml:space="preserve">Seasons market rent today = $2.02/SF. Every cell above $2.02 = supply shut off at that hurdle/cost combination.</t>
  </si>
  <si>
    <t xml:space="preserve">GRID 3 — JUDY NORMALIZED UNTRENDED YoC: land basis x Boise levy</t>
  </si>
  <si>
    <t xml:space="preserve">0.70%</t>
  </si>
  <si>
    <t xml:space="preserve">0.78%</t>
  </si>
  <si>
    <t xml:space="preserve">0.85%</t>
  </si>
  <si>
    <t xml:space="preserve">0.92%</t>
  </si>
  <si>
    <t xml:space="preserve">1.00%</t>
  </si>
  <si>
    <t xml:space="preserve">Row 1 = their actual land basis ($399K/ac). At the verified 0.92% levy and market land, YoC ~5.9% — the deal is a land-basis arbitrage.</t>
  </si>
  <si>
    <t xml:space="preserve">Note: grids hold normalized taxes fixed w.r.t. rent/cost changes (taxes actually scale with value — second-order).</t>
  </si>
  <si>
    <t xml:space="preserve">Property Taxes — Verified Levies &amp; the Right Comparability Principle</t>
  </si>
  <si>
    <t xml:space="preserve">A. VERIFIED LEVY BUILD-UP (Ada County 2024 certified rates)</t>
  </si>
  <si>
    <t xml:space="preserve">District</t>
  </si>
  <si>
    <t xml:space="preserve">Boise code area</t>
  </si>
  <si>
    <t xml:space="preserve">Meridian code area</t>
  </si>
  <si>
    <t xml:space="preserve">Source / note</t>
  </si>
  <si>
    <t xml:space="preserve">City levy</t>
  </si>
  <si>
    <t xml:space="preserve">Ada Cty 2024 Levy Rates by Tax District</t>
  </si>
  <si>
    <t xml:space="preserve">School district</t>
  </si>
  <si>
    <t xml:space="preserve">Boise SD #1 vs West Ada (Joint SD #2) — THE structural driver</t>
  </si>
  <si>
    <t xml:space="preserve">County + ACHD + EMS + CWI + misc</t>
  </si>
  <si>
    <t xml:space="preserve">Balance to observed totals</t>
  </si>
  <si>
    <t xml:space="preserve">TOTAL (approx)</t>
  </si>
  <si>
    <t xml:space="preserve">Boise code areas 0.9059-0.9143%. Empirical: CR bill 0.9217% (2025); Seasons &amp; Prelude 0.4507%.</t>
  </si>
  <si>
    <t xml:space="preserve">B. THE COMPARABILITY PRINCIPLE (corrected from v1)</t>
  </si>
  <si>
    <t xml:space="preserve">Taxes are an operating expense INSIDE NOI. A cap rate (NOI/price) is therefore directly comparable across jurisdictions — the market capitalizes the tax burden into PRICE, not into the cap. What is NOT comparable is price per unit: an identical building carries more value in Meridian because its NOI is higher.</t>
  </si>
  <si>
    <t xml:space="preserve">C. JURISDICTION-ADJUSTED PRICE PER UNIT (identical-building thought experiment)</t>
  </si>
  <si>
    <t xml:space="preserve">Tax delta, Boise vs Meridian ($/u/yr)</t>
  </si>
  <si>
    <t xml:space="preserve">CR vs Seasons actual UW lines</t>
  </si>
  <si>
    <t xml:space="preserve">Capitalized value of Meridian advantage ($/u @5% cap)</t>
  </si>
  <si>
    <t xml:space="preserve">~$42K/unit for identical product</t>
  </si>
  <si>
    <t xml:space="preserve">CR award ($/u, Boise)</t>
  </si>
  <si>
    <t xml:space="preserve">CR NOI + tax delta ($)</t>
  </si>
  <si>
    <t xml:space="preserve">same building, Meridian taxes</t>
  </si>
  <si>
    <t xml:space="preserve">CR Meridian-equivalent value ($/u) at its own 4.57% cap</t>
  </si>
  <si>
    <t xml:space="preserve">Seasons bid ($/u)</t>
  </si>
  <si>
    <t xml:space="preserve">Seasons discount to jurisdiction-adjusted CR</t>
  </si>
  <si>
    <t xml:space="preserve">~-23% for same-vintage product</t>
  </si>
  <si>
    <t xml:space="preserve">Seasons Boise-equivalent ($/u) at 5.00%</t>
  </si>
  <si>
    <t xml:space="preserve">the reverse check</t>
  </si>
  <si>
    <t xml:space="preserve">v1 of this workbook presented a "tax-normalized cap rate" for CR (5.12%) and said caps should not be compared across jurisdictions without it. That was backwards and is retracted: caps compare directly; $/unit requires the adjustment above.</t>
  </si>
  <si>
    <t xml:space="preserve">Supply: Land Inventory &amp; Pipeline</t>
  </si>
  <si>
    <t xml:space="preserve">APARTMENT-READY LAND (5-mile radii — repo parcel analysis)</t>
  </si>
  <si>
    <t xml:space="preserve">Apartment-ready acres</t>
  </si>
  <si>
    <t xml:space="preserve">Parcels</t>
  </si>
  <si>
    <t xml:space="preserve">MF-by-right acres</t>
  </si>
  <si>
    <t xml:space="preserve">Within 2 miles (acres)</t>
  </si>
  <si>
    <t xml:space="preserve">UNDER CONSTRUCTION (5-mi, model S&amp;A roster)</t>
  </si>
  <si>
    <t xml:space="preserve">Property</t>
  </si>
  <si>
    <t xml:space="preserve">Est. delivery</t>
  </si>
  <si>
    <t xml:space="preserve">Vanguard Village</t>
  </si>
  <si>
    <t xml:space="preserve">Q1 2028</t>
  </si>
  <si>
    <t xml:space="preserve">Centrepoint</t>
  </si>
  <si>
    <t xml:space="preserve">Dorado Station</t>
  </si>
  <si>
    <t xml:space="preserve">Q3 2027</t>
  </si>
  <si>
    <t xml:space="preserve">South Ridge II</t>
  </si>
  <si>
    <t xml:space="preserve">Q2 2027</t>
  </si>
  <si>
    <t xml:space="preserve">Summertown (remaining)</t>
  </si>
  <si>
    <t xml:space="preserve">TOTAL UC</t>
  </si>
  <si>
    <t xml:space="preserve">PROPOSED (model toggle) + EMBLEM (missing from roster)</t>
  </si>
  <si>
    <t xml:space="preserve">Record</t>
  </si>
  <si>
    <t xml:space="preserve">The Gateway at Ten Mile</t>
  </si>
  <si>
    <t xml:space="preserve">Syringa Crossing (Hawkins)</t>
  </si>
  <si>
    <t xml:space="preserve">Victory Flats</t>
  </si>
  <si>
    <t xml:space="preserve">12565 W Fairview Ave</t>
  </si>
  <si>
    <t xml:space="preserve">Pine 43 (Pine &amp; Webb)</t>
  </si>
  <si>
    <t xml:space="preserve">Heritage Square (ex-Union 93)</t>
  </si>
  <si>
    <t xml:space="preserve">The Cole Denton</t>
  </si>
  <si>
    <t xml:space="preserve">Rolling Hill (Assemble)</t>
  </si>
  <si>
    <t xml:space="preserve">The Judy (Maple Grove &amp; Overland)</t>
  </si>
  <si>
    <t xml:space="preserve">12548 W Overland Rd</t>
  </si>
  <si>
    <t xml:space="preserve">Ascent Overland</t>
  </si>
  <si>
    <t xml:space="preserve">Meridian OZ Apartments</t>
  </si>
  <si>
    <t xml:space="preserve">EMBLEM MERIDIAN — ADD TO ROSTER (Y3 bucket)</t>
  </si>
  <si>
    <t xml:space="preserve">TOTAL PROPOSED</t>
  </si>
  <si>
    <t xml:space="preserve">Model base case: 448 units Y1, 765 Y2, zero after; absorption 500/yr. Conversion of the proposed roster is governed by the pencil math on 3_Dev_Feasibility.</t>
  </si>
  <si>
    <t xml:space="preserve">Sources, Method &amp; Corrections Log</t>
  </si>
  <si>
    <t xml:space="preserve">TMG Seasons model v3</t>
  </si>
  <si>
    <t xml:space="preserve">Assumptions, Cash Flow (Annual), S&amp;A, RR 8/4/2026.</t>
  </si>
  <si>
    <t xml:space="preserve">Prelude Final Model (closed 12/31/25)</t>
  </si>
  <si>
    <t xml:space="preserve">Unleveraged; Income &amp; Expense Analysis (full Y1 opex per category); Revenue &amp; Expense (mgmt fee $146,038, EGI $5,841,510, NOI $4,013,692); tax schedule (0.4507% levy, -2%/yr rate drift).</t>
  </si>
  <si>
    <t xml:space="preserve">Canyon Ridge model at award</t>
  </si>
  <si>
    <t xml:space="preserve">$110M; Y1 taxes $987,197 (0.92% levy on 95% x price).</t>
  </si>
  <si>
    <t xml:space="preserve">Emblem merchant model (7/31/26)</t>
  </si>
  <si>
    <t xml:space="preserve">Summary budget; Operating Inputs OI components; A-OperBgt 2031; Tax Calcs.</t>
  </si>
  <si>
    <t xml:space="preserve">Hawkins LP model + OM</t>
  </si>
  <si>
    <t xml:space="preserve">Exec Summary; Development Budget; comps.</t>
  </si>
  <si>
    <t xml:space="preserve">Ada County Treasurer — 2024 Levy Rates by Tax District / by Tax Code Area</t>
  </si>
  <si>
    <t xml:space="preserve">City of Boise 0.4053%; Boise SD#1 0.2797%; City of Meridian 0.2033%; West Ada (Joint SD 2) 0.0332%; Boise code-area totals 0.9059-0.9143%. adacounty.id.gov/treasurer.</t>
  </si>
  <si>
    <t xml:space="preserve">Idaho State Tax Commission</t>
  </si>
  <si>
    <t xml:space="preserve">2025 approved levy rates by county/district (tax.idaho.gov).</t>
  </si>
  <si>
    <t xml:space="preserve">METHOD — normalization</t>
  </si>
  <si>
    <t xml:space="preserve">OI to market actuals component-by-component; taxes closed-form V = NOI-ex-tax/(cap + levy x reassess); exit caps to observed prints. Pencil convention: opex ex-tax + normalized taxes, vacancy 5.87%, cost ex-financing, all escalating 3%/yr.</t>
  </si>
  <si>
    <t xml:space="preserve">CORRECTIONS LOG</t>
  </si>
  <si>
    <t xml:space="preserve">v2: (1) Prelude opex completed from source model. (2) Tax comparability principle corrected — caps comparable across jurisdictions; $/unit is not (v1 had it backwards). (3) Judy Boise levy verified against county records. (4) Exit-cap IRR grid removed (redundant with TMG model); replaced with development-side sensitivities. (5) Pencil convention now uses normalized taxes (v1 used marketed embedded taxes; ~+$20/mo effect).</t>
  </si>
  <si>
    <t xml:space="preserve">Confidential — internal underwriting work product.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</si>
</sst>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\$#,##0"/>
    <numFmt numFmtId="167" formatCode="0.00%"/>
    <numFmt numFmtId="168" formatCode="\$#,##0.00"/>
    <numFmt numFmtId="169" formatCode="0.0%"/>
    <numFmt numFmtId="170" formatCode="0"/>
    <numFmt numFmtId="171" formatCode="0.00"/>
    <numFmt numFmtId="172" formatCode="0.0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23.8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 t="s">
        <v>8</v>
      </c>
    </row>
    <row r="12" customFormat="false" ht="23.8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3" t="s">
        <v>11</v>
      </c>
    </row>
    <row r="15" customFormat="false" ht="15" hidden="false" customHeight="false" outlineLevel="0" collapsed="false">
      <c r="B15" s="4" t="s">
        <v>12</v>
      </c>
    </row>
    <row r="16" customFormat="false" ht="23.85" hidden="false" customHeight="false" outlineLevel="0" collapsed="false">
      <c r="B16" s="3" t="s">
        <v>13</v>
      </c>
    </row>
    <row r="17" customFormat="false" ht="23.85" hidden="false" customHeight="false" outlineLevel="0" collapsed="false">
      <c r="B17" s="3" t="s">
        <v>14</v>
      </c>
    </row>
    <row r="18" customFormat="false" ht="23.85" hidden="false" customHeight="false" outlineLevel="0" collapsed="false">
      <c r="B18" s="3" t="s">
        <v>15</v>
      </c>
    </row>
    <row r="19" customFormat="false" ht="23.85" hidden="false" customHeight="false" outlineLevel="0" collapsed="false">
      <c r="B19" s="3" t="s">
        <v>16</v>
      </c>
    </row>
    <row r="20" customFormat="false" ht="23.85" hidden="false" customHeight="false" outlineLevel="0" collapsed="false">
      <c r="B20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7"/>
    <col collapsed="false" customWidth="true" hidden="false" outlineLevel="0" max="8" min="8" style="0" width="44"/>
  </cols>
  <sheetData>
    <row r="2" customFormat="false" ht="17.35" hidden="false" customHeight="false" outlineLevel="0" collapsed="false">
      <c r="B2" s="1" t="s">
        <v>18</v>
      </c>
    </row>
    <row r="4" customFormat="false" ht="26.85" hidden="false" customHeight="false" outlineLevel="0" collapsed="false"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</row>
    <row r="5" customFormat="false" ht="15" hidden="false" customHeight="false" outlineLevel="0" collapsed="false">
      <c r="B5" s="6" t="s">
        <v>26</v>
      </c>
      <c r="C5" s="7" t="s">
        <v>27</v>
      </c>
      <c r="D5" s="7" t="s">
        <v>28</v>
      </c>
      <c r="E5" s="7" t="s">
        <v>29</v>
      </c>
      <c r="F5" s="7" t="s">
        <v>30</v>
      </c>
      <c r="G5" s="7" t="s">
        <v>30</v>
      </c>
      <c r="H5" s="2" t="s">
        <v>31</v>
      </c>
    </row>
    <row r="6" customFormat="false" ht="15" hidden="false" customHeight="false" outlineLevel="0" collapsed="false">
      <c r="B6" s="6" t="s">
        <v>32</v>
      </c>
      <c r="C6" s="7" t="s">
        <v>33</v>
      </c>
      <c r="D6" s="7" t="s">
        <v>34</v>
      </c>
      <c r="E6" s="7" t="s">
        <v>35</v>
      </c>
      <c r="F6" s="7" t="s">
        <v>36</v>
      </c>
      <c r="G6" s="7" t="s">
        <v>37</v>
      </c>
    </row>
    <row r="7" customFormat="false" ht="15" hidden="false" customHeight="false" outlineLevel="0" collapsed="false">
      <c r="B7" s="6" t="s">
        <v>38</v>
      </c>
      <c r="C7" s="7" t="s">
        <v>39</v>
      </c>
      <c r="D7" s="7" t="s">
        <v>40</v>
      </c>
      <c r="E7" s="7" t="s">
        <v>39</v>
      </c>
      <c r="F7" s="7" t="s">
        <v>41</v>
      </c>
      <c r="G7" s="7" t="s">
        <v>42</v>
      </c>
    </row>
    <row r="8" customFormat="false" ht="15" hidden="false" customHeight="false" outlineLevel="0" collapsed="false">
      <c r="B8" s="6" t="s">
        <v>43</v>
      </c>
      <c r="C8" s="8" t="n">
        <v>360</v>
      </c>
      <c r="D8" s="8" t="n">
        <v>280</v>
      </c>
      <c r="E8" s="8" t="n">
        <v>288</v>
      </c>
      <c r="F8" s="8" t="n">
        <v>256</v>
      </c>
      <c r="G8" s="8" t="n">
        <v>162</v>
      </c>
    </row>
    <row r="9" customFormat="false" ht="15" hidden="false" customHeight="false" outlineLevel="0" collapsed="false">
      <c r="B9" s="6" t="s">
        <v>44</v>
      </c>
      <c r="C9" s="8" t="n">
        <v>932.46</v>
      </c>
      <c r="D9" s="8" t="n">
        <v>1016.38</v>
      </c>
      <c r="E9" s="8" t="n">
        <v>888.94</v>
      </c>
      <c r="F9" s="8" t="n">
        <v>938.98</v>
      </c>
      <c r="G9" s="8" t="n">
        <v>907.76</v>
      </c>
    </row>
    <row r="10" customFormat="false" ht="15" hidden="false" customHeight="false" outlineLevel="0" collapsed="false">
      <c r="B10" s="6" t="s">
        <v>45</v>
      </c>
      <c r="C10" s="9" t="n">
        <v>118000000</v>
      </c>
      <c r="D10" s="9" t="n">
        <v>79750000</v>
      </c>
      <c r="E10" s="9" t="n">
        <v>110000000</v>
      </c>
      <c r="F10" s="9" t="n">
        <v>77959624</v>
      </c>
      <c r="G10" s="9" t="n">
        <v>41691719</v>
      </c>
      <c r="H10" s="2" t="s">
        <v>46</v>
      </c>
    </row>
    <row r="11" customFormat="false" ht="15" hidden="false" customHeight="false" outlineLevel="0" collapsed="false">
      <c r="B11" s="6" t="s">
        <v>47</v>
      </c>
      <c r="C11" s="10" t="n">
        <f aca="false">C10/C8</f>
        <v>327777.777777778</v>
      </c>
      <c r="D11" s="10" t="n">
        <f aca="false">D10/D8</f>
        <v>284821.428571429</v>
      </c>
      <c r="E11" s="10" t="n">
        <f aca="false">E10/E8</f>
        <v>381944.444444444</v>
      </c>
      <c r="F11" s="10" t="n">
        <f aca="false">F10/F8</f>
        <v>304529.78125</v>
      </c>
      <c r="G11" s="10" t="n">
        <f aca="false">G10/G8</f>
        <v>257356.290123457</v>
      </c>
    </row>
    <row r="12" customFormat="false" ht="15" hidden="false" customHeight="false" outlineLevel="0" collapsed="false">
      <c r="B12" s="6" t="s">
        <v>48</v>
      </c>
      <c r="C12" s="10" t="n">
        <f aca="false">C10/(C8*C9)</f>
        <v>351.519397912809</v>
      </c>
      <c r="D12" s="10" t="n">
        <f aca="false">D10/(D8*D9)</f>
        <v>280.231240846365</v>
      </c>
      <c r="E12" s="10" t="n">
        <f aca="false">E10/(E8*E9)</f>
        <v>429.662794389323</v>
      </c>
      <c r="F12" s="10" t="n">
        <f aca="false">F10/(F8*F9)</f>
        <v>324.319773850348</v>
      </c>
      <c r="G12" s="10" t="n">
        <f aca="false">G10/(G8*G9)</f>
        <v>283.506973344779</v>
      </c>
    </row>
    <row r="13" customFormat="false" ht="22.35" hidden="false" customHeight="false" outlineLevel="0" collapsed="false">
      <c r="B13" s="6" t="s">
        <v>49</v>
      </c>
      <c r="C13" s="9" t="n">
        <v>5904654</v>
      </c>
      <c r="D13" s="9" t="n">
        <v>4013692</v>
      </c>
      <c r="E13" s="9" t="n">
        <v>5027967</v>
      </c>
      <c r="F13" s="9" t="n">
        <v>5036490</v>
      </c>
      <c r="G13" s="9" t="n">
        <v>2914298</v>
      </c>
      <c r="H13" s="2" t="s">
        <v>50</v>
      </c>
    </row>
    <row r="14" customFormat="false" ht="22.35" hidden="false" customHeight="false" outlineLevel="0" collapsed="false">
      <c r="B14" s="6" t="s">
        <v>51</v>
      </c>
      <c r="C14" s="11" t="n">
        <v>0.05</v>
      </c>
      <c r="D14" s="11" t="n">
        <v>0.0503</v>
      </c>
      <c r="E14" s="11" t="n">
        <v>0.0457</v>
      </c>
      <c r="F14" s="11" t="n">
        <v>0.0665</v>
      </c>
      <c r="G14" s="11" t="n">
        <v>0.0652</v>
      </c>
      <c r="H14" s="2" t="s">
        <v>52</v>
      </c>
    </row>
    <row r="15" customFormat="false" ht="15" hidden="false" customHeight="false" outlineLevel="0" collapsed="false">
      <c r="B15" s="6" t="s">
        <v>53</v>
      </c>
      <c r="C15" s="9" t="n">
        <v>1885</v>
      </c>
      <c r="D15" s="9" t="n">
        <v>1730</v>
      </c>
      <c r="E15" s="9" t="n">
        <v>2171</v>
      </c>
      <c r="F15" s="9" t="n">
        <v>2069</v>
      </c>
      <c r="G15" s="9" t="n">
        <v>1787</v>
      </c>
      <c r="H15" s="2" t="s">
        <v>54</v>
      </c>
    </row>
    <row r="16" customFormat="false" ht="15" hidden="false" customHeight="false" outlineLevel="0" collapsed="false">
      <c r="B16" s="6" t="s">
        <v>55</v>
      </c>
      <c r="C16" s="12" t="n">
        <f aca="false">C15/C9</f>
        <v>2.02153443579349</v>
      </c>
      <c r="D16" s="12" t="n">
        <f aca="false">D15/D9</f>
        <v>1.70211928609378</v>
      </c>
      <c r="E16" s="12" t="n">
        <f aca="false">E15/E9</f>
        <v>2.44223457151214</v>
      </c>
      <c r="F16" s="12" t="n">
        <f aca="false">F15/F9</f>
        <v>2.20345481266907</v>
      </c>
      <c r="G16" s="12" t="n">
        <f aca="false">G15/G9</f>
        <v>1.96858200405394</v>
      </c>
    </row>
    <row r="17" customFormat="false" ht="15" hidden="false" customHeight="false" outlineLevel="0" collapsed="false">
      <c r="B17" s="6" t="s">
        <v>56</v>
      </c>
      <c r="C17" s="9" t="n">
        <v>2736</v>
      </c>
      <c r="D17" s="9" t="n">
        <v>2803</v>
      </c>
      <c r="E17" s="9" t="n">
        <v>3002</v>
      </c>
      <c r="F17" s="9" t="n">
        <v>4207</v>
      </c>
      <c r="G17" s="9" t="n">
        <v>3568</v>
      </c>
      <c r="H17" s="2" t="s">
        <v>57</v>
      </c>
    </row>
    <row r="18" customFormat="false" ht="22.35" hidden="false" customHeight="false" outlineLevel="0" collapsed="false">
      <c r="B18" s="6" t="s">
        <v>58</v>
      </c>
      <c r="C18" s="9" t="n">
        <v>1340</v>
      </c>
      <c r="D18" s="9" t="n">
        <v>1191</v>
      </c>
      <c r="E18" s="9" t="n">
        <v>3428</v>
      </c>
      <c r="F18" s="9" t="n">
        <v>1501</v>
      </c>
      <c r="G18" s="9" t="n">
        <v>2203</v>
      </c>
      <c r="H18" s="2" t="s">
        <v>59</v>
      </c>
    </row>
    <row r="19" customFormat="false" ht="15" hidden="false" customHeight="false" outlineLevel="0" collapsed="false">
      <c r="B19" s="6" t="s">
        <v>60</v>
      </c>
      <c r="C19" s="7" t="s">
        <v>61</v>
      </c>
      <c r="D19" s="7" t="s">
        <v>62</v>
      </c>
      <c r="E19" s="7" t="s">
        <v>63</v>
      </c>
      <c r="F19" s="7" t="s">
        <v>64</v>
      </c>
      <c r="G19" s="7" t="s">
        <v>65</v>
      </c>
    </row>
    <row r="20" customFormat="false" ht="15" hidden="false" customHeight="false" outlineLevel="0" collapsed="false">
      <c r="B20" s="6" t="s">
        <v>66</v>
      </c>
      <c r="C20" s="11" t="n">
        <v>0.05</v>
      </c>
      <c r="D20" s="11" t="n">
        <v>0.05</v>
      </c>
      <c r="E20" s="11" t="n">
        <v>0.0475</v>
      </c>
      <c r="F20" s="11" t="n">
        <v>0.055</v>
      </c>
      <c r="G20" s="11" t="n">
        <v>0.0525</v>
      </c>
      <c r="H20" s="2" t="s">
        <v>67</v>
      </c>
    </row>
    <row r="21" customFormat="false" ht="15" hidden="false" customHeight="false" outlineLevel="0" collapsed="false">
      <c r="B21" s="6" t="s">
        <v>68</v>
      </c>
      <c r="C21" s="9" t="n">
        <v>400563</v>
      </c>
      <c r="D21" s="9" t="n">
        <v>361232</v>
      </c>
      <c r="E21" s="9" t="n">
        <v>442763</v>
      </c>
      <c r="F21" s="9" t="n">
        <v>400467</v>
      </c>
      <c r="G21" s="9" t="n">
        <v>361642</v>
      </c>
    </row>
    <row r="22" customFormat="false" ht="15" hidden="false" customHeight="false" outlineLevel="0" collapsed="false">
      <c r="B22" s="6" t="s">
        <v>69</v>
      </c>
      <c r="C22" s="11" t="n">
        <v>0.0865</v>
      </c>
      <c r="D22" s="11" t="n">
        <v>0.0894</v>
      </c>
      <c r="E22" s="11" t="n">
        <v>0.0718</v>
      </c>
      <c r="F22" s="11" t="n">
        <v>0.3059</v>
      </c>
      <c r="G22" s="11" t="n">
        <v>0.2506</v>
      </c>
      <c r="H22" s="2" t="s">
        <v>70</v>
      </c>
    </row>
    <row r="23" customFormat="false" ht="15" hidden="false" customHeight="false" outlineLevel="0" collapsed="false">
      <c r="B23" s="6" t="s">
        <v>71</v>
      </c>
      <c r="C23" s="11" t="n">
        <v>0.1214</v>
      </c>
      <c r="D23" s="11" t="n">
        <v>0.1388</v>
      </c>
      <c r="E23" s="11" t="n">
        <v>0.0886</v>
      </c>
      <c r="F23" s="11" t="n">
        <v>0.2229</v>
      </c>
      <c r="G23" s="11" t="n">
        <v>0.2051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5"/>
    <col collapsed="false" customWidth="true" hidden="false" outlineLevel="0" max="8" min="8" style="0" width="46"/>
  </cols>
  <sheetData>
    <row r="2" customFormat="false" ht="17.35" hidden="false" customHeight="false" outlineLevel="0" collapsed="false">
      <c r="B2" s="1" t="s">
        <v>72</v>
      </c>
    </row>
    <row r="3" customFormat="false" ht="32.8" hidden="false" customHeight="false" outlineLevel="0" collapsed="false">
      <c r="B3" s="2" t="s">
        <v>73</v>
      </c>
    </row>
    <row r="5" customFormat="false" ht="26.85" hidden="false" customHeight="false" outlineLevel="0" collapsed="false">
      <c r="B5" s="5" t="s">
        <v>74</v>
      </c>
      <c r="C5" s="5" t="s">
        <v>75</v>
      </c>
      <c r="D5" s="5" t="s">
        <v>76</v>
      </c>
      <c r="E5" s="5" t="s">
        <v>77</v>
      </c>
      <c r="F5" s="5" t="s">
        <v>78</v>
      </c>
      <c r="G5" s="5" t="s">
        <v>79</v>
      </c>
      <c r="H5" s="5" t="s">
        <v>25</v>
      </c>
    </row>
    <row r="6" customFormat="false" ht="15" hidden="false" customHeight="false" outlineLevel="0" collapsed="false">
      <c r="B6" s="13" t="s">
        <v>53</v>
      </c>
      <c r="C6" s="9" t="n">
        <v>1885</v>
      </c>
      <c r="D6" s="9" t="n">
        <v>1730</v>
      </c>
      <c r="E6" s="9" t="n">
        <v>2171</v>
      </c>
      <c r="F6" s="9" t="n">
        <v>2443</v>
      </c>
      <c r="G6" s="9" t="n">
        <v>1787</v>
      </c>
      <c r="H6" s="2" t="s">
        <v>80</v>
      </c>
    </row>
    <row r="7" customFormat="false" ht="15" hidden="false" customHeight="false" outlineLevel="0" collapsed="false">
      <c r="B7" s="13" t="s">
        <v>81</v>
      </c>
      <c r="C7" s="12" t="n">
        <f aca="false">C6/932.46</f>
        <v>2.02153443579349</v>
      </c>
      <c r="D7" s="12" t="n">
        <f aca="false">D6/1016.38</f>
        <v>1.70211928609378</v>
      </c>
      <c r="E7" s="12" t="n">
        <f aca="false">E6/888.94</f>
        <v>2.44223457151214</v>
      </c>
      <c r="F7" s="12" t="n">
        <f aca="false">F6/938.98</f>
        <v>2.60175935589682</v>
      </c>
      <c r="G7" s="12" t="n">
        <f aca="false">G6/907.76</f>
        <v>1.96858200405394</v>
      </c>
    </row>
    <row r="8" customFormat="false" ht="15" hidden="false" customHeight="false" outlineLevel="0" collapsed="false">
      <c r="B8" s="14" t="s">
        <v>82</v>
      </c>
    </row>
    <row r="9" customFormat="false" ht="22.35" hidden="false" customHeight="false" outlineLevel="0" collapsed="false">
      <c r="B9" s="13" t="s">
        <v>83</v>
      </c>
      <c r="C9" s="9" t="n">
        <v>601</v>
      </c>
      <c r="D9" s="9" t="n">
        <v>1281</v>
      </c>
      <c r="E9" s="9" t="n">
        <v>1897</v>
      </c>
      <c r="F9" s="9" t="n">
        <v>721</v>
      </c>
      <c r="G9" s="9" t="n">
        <v>0</v>
      </c>
      <c r="H9" s="2" t="s">
        <v>84</v>
      </c>
    </row>
    <row r="10" customFormat="false" ht="15" hidden="false" customHeight="false" outlineLevel="0" collapsed="false">
      <c r="B10" s="13" t="s">
        <v>85</v>
      </c>
      <c r="C10" s="9" t="n">
        <v>698</v>
      </c>
      <c r="D10" s="9" t="n">
        <v>763</v>
      </c>
      <c r="E10" s="9" t="n">
        <v>581</v>
      </c>
      <c r="F10" s="9" t="n">
        <v>1149</v>
      </c>
      <c r="G10" s="9" t="n">
        <v>0</v>
      </c>
      <c r="H10" s="2" t="s">
        <v>86</v>
      </c>
    </row>
    <row r="11" customFormat="false" ht="15" hidden="false" customHeight="false" outlineLevel="0" collapsed="false">
      <c r="B11" s="13" t="s">
        <v>87</v>
      </c>
      <c r="C11" s="9" t="n">
        <v>360</v>
      </c>
      <c r="D11" s="9" t="n">
        <v>759</v>
      </c>
      <c r="E11" s="9" t="n">
        <v>520</v>
      </c>
      <c r="F11" s="9" t="n">
        <v>1041</v>
      </c>
      <c r="G11" s="9" t="n">
        <v>0</v>
      </c>
      <c r="H11" s="2" t="s">
        <v>88</v>
      </c>
    </row>
    <row r="12" customFormat="false" ht="15" hidden="false" customHeight="false" outlineLevel="0" collapsed="false">
      <c r="B12" s="13" t="s">
        <v>89</v>
      </c>
      <c r="C12" s="9" t="n">
        <v>1077</v>
      </c>
      <c r="D12" s="9" t="n">
        <v>0</v>
      </c>
      <c r="E12" s="9" t="n">
        <v>3</v>
      </c>
      <c r="F12" s="9" t="n">
        <v>1296</v>
      </c>
      <c r="G12" s="9" t="n">
        <v>0</v>
      </c>
      <c r="H12" s="2" t="s">
        <v>90</v>
      </c>
    </row>
    <row r="13" customFormat="false" ht="15" hidden="false" customHeight="false" outlineLevel="0" collapsed="false">
      <c r="B13" s="6" t="s">
        <v>91</v>
      </c>
      <c r="C13" s="10" t="n">
        <f aca="false">SUM(C9:C12)</f>
        <v>2736</v>
      </c>
      <c r="D13" s="10" t="n">
        <f aca="false">SUM(D9:D12)</f>
        <v>2803</v>
      </c>
      <c r="E13" s="10" t="n">
        <f aca="false">SUM(E9:E12)</f>
        <v>3001</v>
      </c>
      <c r="F13" s="10" t="n">
        <f aca="false">SUM(F9:F12)</f>
        <v>4207</v>
      </c>
      <c r="G13" s="9" t="n">
        <v>3568</v>
      </c>
      <c r="H13" s="2" t="s">
        <v>92</v>
      </c>
    </row>
    <row r="14" customFormat="false" ht="15" hidden="false" customHeight="false" outlineLevel="0" collapsed="false">
      <c r="B14" s="6" t="s">
        <v>93</v>
      </c>
      <c r="C14" s="9" t="n">
        <v>23057</v>
      </c>
      <c r="D14" s="9" t="n">
        <v>20862</v>
      </c>
      <c r="E14" s="9" t="n">
        <v>26725</v>
      </c>
      <c r="F14" s="9" t="n">
        <v>31534</v>
      </c>
      <c r="G14" s="9" t="n">
        <v>25189</v>
      </c>
      <c r="H14" s="2" t="s">
        <v>94</v>
      </c>
    </row>
    <row r="15" customFormat="false" ht="15" hidden="false" customHeight="false" outlineLevel="0" collapsed="false">
      <c r="B15" s="14" t="s">
        <v>95</v>
      </c>
    </row>
    <row r="16" customFormat="false" ht="15" hidden="false" customHeight="false" outlineLevel="0" collapsed="false">
      <c r="B16" s="13" t="s">
        <v>96</v>
      </c>
      <c r="C16" s="9" t="n">
        <v>1671</v>
      </c>
      <c r="D16" s="9" t="n">
        <v>1797</v>
      </c>
      <c r="E16" s="9" t="n">
        <v>1749</v>
      </c>
      <c r="F16" s="9" t="n">
        <v>1804</v>
      </c>
      <c r="G16" s="9" t="n">
        <v>0</v>
      </c>
      <c r="H16" s="2" t="s">
        <v>97</v>
      </c>
    </row>
    <row r="17" customFormat="false" ht="15" hidden="false" customHeight="false" outlineLevel="0" collapsed="false">
      <c r="B17" s="13" t="s">
        <v>98</v>
      </c>
      <c r="C17" s="9" t="n">
        <v>367</v>
      </c>
      <c r="D17" s="9" t="n">
        <v>347</v>
      </c>
      <c r="E17" s="9" t="n">
        <v>346</v>
      </c>
      <c r="F17" s="9" t="n">
        <v>406</v>
      </c>
      <c r="G17" s="9" t="n">
        <v>371</v>
      </c>
    </row>
    <row r="18" customFormat="false" ht="15" hidden="false" customHeight="false" outlineLevel="0" collapsed="false">
      <c r="B18" s="13" t="s">
        <v>99</v>
      </c>
      <c r="C18" s="9" t="n">
        <v>423</v>
      </c>
      <c r="D18" s="9" t="n">
        <v>399</v>
      </c>
      <c r="E18" s="9" t="n">
        <v>660</v>
      </c>
      <c r="F18" s="9" t="n">
        <v>480</v>
      </c>
      <c r="G18" s="9" t="n">
        <v>0</v>
      </c>
      <c r="H18" s="2" t="s">
        <v>100</v>
      </c>
    </row>
    <row r="19" customFormat="false" ht="15" hidden="false" customHeight="false" outlineLevel="0" collapsed="false">
      <c r="B19" s="13" t="s">
        <v>101</v>
      </c>
      <c r="C19" s="9" t="n">
        <v>200</v>
      </c>
      <c r="D19" s="9" t="n">
        <v>228</v>
      </c>
      <c r="E19" s="9" t="n">
        <v>152</v>
      </c>
      <c r="F19" s="9" t="n">
        <v>0</v>
      </c>
      <c r="G19" s="9" t="n">
        <v>254</v>
      </c>
      <c r="H19" s="2" t="s">
        <v>102</v>
      </c>
    </row>
    <row r="20" customFormat="false" ht="15" hidden="false" customHeight="false" outlineLevel="0" collapsed="false">
      <c r="B20" s="13" t="s">
        <v>103</v>
      </c>
      <c r="C20" s="9" t="n">
        <v>175</v>
      </c>
      <c r="D20" s="9" t="n">
        <v>157</v>
      </c>
      <c r="E20" s="9" t="n">
        <v>173</v>
      </c>
      <c r="F20" s="9" t="n">
        <v>541</v>
      </c>
      <c r="G20" s="9" t="n">
        <v>344</v>
      </c>
    </row>
    <row r="21" customFormat="false" ht="15" hidden="false" customHeight="false" outlineLevel="0" collapsed="false">
      <c r="B21" s="13" t="s">
        <v>104</v>
      </c>
      <c r="C21" s="9" t="n">
        <v>619</v>
      </c>
      <c r="D21" s="9" t="n">
        <v>716</v>
      </c>
      <c r="E21" s="9" t="n">
        <v>996</v>
      </c>
      <c r="F21" s="9" t="n">
        <v>972</v>
      </c>
      <c r="G21" s="9" t="n">
        <v>708</v>
      </c>
      <c r="H21" s="2" t="s">
        <v>105</v>
      </c>
    </row>
    <row r="22" customFormat="false" ht="15" hidden="false" customHeight="false" outlineLevel="0" collapsed="false">
      <c r="B22" s="13" t="s">
        <v>106</v>
      </c>
      <c r="C22" s="9" t="n">
        <v>760</v>
      </c>
      <c r="D22" s="9" t="n">
        <v>559</v>
      </c>
      <c r="E22" s="9" t="n">
        <v>470</v>
      </c>
      <c r="F22" s="9" t="n">
        <v>1405</v>
      </c>
      <c r="G22" s="9" t="n">
        <v>859</v>
      </c>
    </row>
    <row r="23" customFormat="false" ht="15" hidden="false" customHeight="false" outlineLevel="0" collapsed="false">
      <c r="B23" s="13" t="s">
        <v>107</v>
      </c>
      <c r="C23" s="9" t="n">
        <v>576</v>
      </c>
      <c r="D23" s="9" t="n">
        <v>522</v>
      </c>
      <c r="E23" s="9" t="n">
        <v>668</v>
      </c>
      <c r="F23" s="9" t="n">
        <v>946</v>
      </c>
      <c r="G23" s="9" t="n">
        <v>2015</v>
      </c>
      <c r="H23" s="2" t="s">
        <v>108</v>
      </c>
    </row>
    <row r="24" customFormat="false" ht="15" hidden="false" customHeight="false" outlineLevel="0" collapsed="false">
      <c r="B24" s="13" t="s">
        <v>109</v>
      </c>
      <c r="C24" s="9" t="n">
        <v>525</v>
      </c>
      <c r="D24" s="9" t="n">
        <v>620</v>
      </c>
      <c r="E24" s="9" t="n">
        <v>625</v>
      </c>
      <c r="F24" s="9" t="n">
        <v>496</v>
      </c>
      <c r="G24" s="9" t="n">
        <v>446</v>
      </c>
    </row>
    <row r="25" customFormat="false" ht="15" hidden="false" customHeight="false" outlineLevel="0" collapsed="false">
      <c r="B25" s="13" t="s">
        <v>110</v>
      </c>
      <c r="C25" s="9" t="n">
        <v>1340</v>
      </c>
      <c r="D25" s="9" t="n">
        <v>1191</v>
      </c>
      <c r="E25" s="9" t="n">
        <v>3428</v>
      </c>
      <c r="F25" s="9" t="n">
        <v>1501</v>
      </c>
      <c r="G25" s="9" t="n">
        <v>2203</v>
      </c>
      <c r="H25" s="2" t="s">
        <v>111</v>
      </c>
    </row>
    <row r="26" customFormat="false" ht="15" hidden="false" customHeight="false" outlineLevel="0" collapsed="false">
      <c r="B26" s="6" t="s">
        <v>112</v>
      </c>
      <c r="C26" s="10" t="n">
        <f aca="false">SUM(C16:C25)</f>
        <v>6656</v>
      </c>
      <c r="D26" s="10" t="n">
        <f aca="false">SUM(D16:D25)</f>
        <v>6536</v>
      </c>
      <c r="E26" s="10" t="n">
        <f aca="false">SUM(E16:E25)</f>
        <v>9267</v>
      </c>
      <c r="F26" s="9" t="n">
        <v>8779</v>
      </c>
      <c r="G26" s="9" t="n">
        <v>7200</v>
      </c>
      <c r="H26" s="2" t="s">
        <v>113</v>
      </c>
    </row>
    <row r="27" customFormat="false" ht="22.35" hidden="false" customHeight="false" outlineLevel="0" collapsed="false">
      <c r="B27" s="6" t="s">
        <v>114</v>
      </c>
      <c r="C27" s="10" t="n">
        <f aca="false">C14-C26</f>
        <v>16401</v>
      </c>
      <c r="D27" s="10" t="n">
        <f aca="false">D14-D26</f>
        <v>14326</v>
      </c>
      <c r="E27" s="10" t="n">
        <f aca="false">E14-E26</f>
        <v>17458</v>
      </c>
      <c r="F27" s="10" t="n">
        <f aca="false">F14-F26</f>
        <v>22755</v>
      </c>
      <c r="G27" s="10" t="n">
        <f aca="false">G14-G26</f>
        <v>17989</v>
      </c>
      <c r="H27" s="2" t="s">
        <v>115</v>
      </c>
    </row>
    <row r="28" customFormat="false" ht="15" hidden="false" customHeight="false" outlineLevel="0" collapsed="false">
      <c r="B28" s="13" t="s">
        <v>116</v>
      </c>
      <c r="C28" s="15" t="n">
        <f aca="false">C26/C14</f>
        <v>0.288675890185193</v>
      </c>
      <c r="D28" s="15" t="n">
        <f aca="false">D26/D14</f>
        <v>0.313296903460838</v>
      </c>
      <c r="E28" s="15" t="n">
        <f aca="false">E26/E14</f>
        <v>0.346753975678204</v>
      </c>
      <c r="F28" s="15" t="n">
        <f aca="false">F26/F14</f>
        <v>0.278397919705715</v>
      </c>
      <c r="G28" s="15" t="n">
        <f aca="false">G26/G14</f>
        <v>0.285839056731113</v>
      </c>
    </row>
    <row r="30" customFormat="false" ht="15" hidden="false" customHeight="true" outlineLevel="0" collapsed="false">
      <c r="B30" s="16" t="s">
        <v>117</v>
      </c>
      <c r="C30" s="16"/>
      <c r="D30" s="16"/>
      <c r="E30" s="16"/>
      <c r="F30" s="16"/>
      <c r="G30" s="16"/>
      <c r="H30" s="16"/>
    </row>
    <row r="31" customFormat="false" ht="15" hidden="false" customHeight="false" outlineLevel="0" collapsed="false">
      <c r="B31" s="16"/>
      <c r="C31" s="16"/>
      <c r="D31" s="16"/>
      <c r="E31" s="16"/>
      <c r="F31" s="16"/>
      <c r="G31" s="16"/>
      <c r="H31" s="16"/>
    </row>
  </sheetData>
  <mergeCells count="1">
    <mergeCell ref="B30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8" min="3" style="0" width="15"/>
    <col collapsed="false" customWidth="true" hidden="false" outlineLevel="0" max="9" min="9" style="0" width="46"/>
  </cols>
  <sheetData>
    <row r="2" customFormat="false" ht="17.35" hidden="false" customHeight="false" outlineLevel="0" collapsed="false">
      <c r="B2" s="1" t="s">
        <v>118</v>
      </c>
    </row>
    <row r="3" customFormat="false" ht="32.8" hidden="false" customHeight="false" outlineLevel="0" collapsed="false">
      <c r="B3" s="2" t="s">
        <v>119</v>
      </c>
    </row>
    <row r="5" customFormat="false" ht="15" hidden="false" customHeight="false" outlineLevel="0" collapsed="false">
      <c r="B5" s="14" t="s">
        <v>120</v>
      </c>
    </row>
    <row r="6" customFormat="false" ht="15" hidden="false" customHeight="false" outlineLevel="0" collapsed="false">
      <c r="B6" s="5" t="s">
        <v>121</v>
      </c>
      <c r="C6" s="5" t="s">
        <v>122</v>
      </c>
      <c r="D6" s="5" t="s">
        <v>123</v>
      </c>
      <c r="E6" s="5" t="s">
        <v>124</v>
      </c>
      <c r="F6" s="5" t="s">
        <v>125</v>
      </c>
      <c r="G6" s="5" t="s">
        <v>126</v>
      </c>
      <c r="H6" s="5" t="s">
        <v>127</v>
      </c>
    </row>
    <row r="7" customFormat="false" ht="22.35" hidden="false" customHeight="false" outlineLevel="0" collapsed="false">
      <c r="B7" s="13" t="s">
        <v>128</v>
      </c>
      <c r="C7" s="9" t="n">
        <v>9092960</v>
      </c>
      <c r="D7" s="10" t="n">
        <f aca="false">C7/256</f>
        <v>35519.375</v>
      </c>
      <c r="E7" s="12" t="n">
        <f aca="false">C7/240380</f>
        <v>37.8274398868458</v>
      </c>
      <c r="F7" s="9" t="n">
        <v>2448783</v>
      </c>
      <c r="G7" s="10" t="n">
        <f aca="false">F7/162</f>
        <v>15115.9444444444</v>
      </c>
      <c r="H7" s="12" t="n">
        <f aca="false">F7/147057</f>
        <v>16.651930883943</v>
      </c>
      <c r="I7" s="2" t="s">
        <v>129</v>
      </c>
    </row>
    <row r="8" customFormat="false" ht="15" hidden="false" customHeight="false" outlineLevel="0" collapsed="false">
      <c r="B8" s="13" t="s">
        <v>130</v>
      </c>
      <c r="C8" s="9" t="n">
        <v>54579077</v>
      </c>
      <c r="D8" s="10" t="n">
        <f aca="false">C8/256</f>
        <v>213199.51953125</v>
      </c>
      <c r="E8" s="12" t="n">
        <f aca="false">C8/240380</f>
        <v>227.053319743739</v>
      </c>
      <c r="F8" s="9" t="n">
        <v>31439373</v>
      </c>
      <c r="G8" s="10" t="n">
        <f aca="false">F8/162</f>
        <v>194070.203703704</v>
      </c>
      <c r="H8" s="12" t="n">
        <f aca="false">F8/147057</f>
        <v>213.790387400804</v>
      </c>
      <c r="I8" s="2" t="s">
        <v>131</v>
      </c>
    </row>
    <row r="9" customFormat="false" ht="15" hidden="false" customHeight="false" outlineLevel="0" collapsed="false">
      <c r="B9" s="13" t="s">
        <v>132</v>
      </c>
      <c r="C9" s="9" t="n">
        <v>1500605</v>
      </c>
      <c r="D9" s="10" t="n">
        <f aca="false">C9/256</f>
        <v>5861.73828125</v>
      </c>
      <c r="E9" s="12" t="n">
        <f aca="false">C9/240380</f>
        <v>6.24263665862385</v>
      </c>
      <c r="I9" s="2" t="s">
        <v>133</v>
      </c>
    </row>
    <row r="10" customFormat="false" ht="15" hidden="false" customHeight="false" outlineLevel="0" collapsed="false">
      <c r="B10" s="13" t="s">
        <v>134</v>
      </c>
      <c r="C10" s="9" t="n">
        <v>4459159</v>
      </c>
      <c r="D10" s="10" t="n">
        <f aca="false">C10/256</f>
        <v>17418.58984375</v>
      </c>
      <c r="E10" s="12" t="n">
        <f aca="false">C10/240380</f>
        <v>18.5504576087861</v>
      </c>
      <c r="I10" s="2" t="s">
        <v>135</v>
      </c>
    </row>
    <row r="11" customFormat="false" ht="15" hidden="false" customHeight="false" outlineLevel="0" collapsed="false">
      <c r="B11" s="13" t="s">
        <v>136</v>
      </c>
      <c r="C11" s="9" t="n">
        <v>3686917</v>
      </c>
      <c r="D11" s="10" t="n">
        <f aca="false">C11/256</f>
        <v>14402.01953125</v>
      </c>
      <c r="E11" s="12" t="n">
        <f aca="false">C11/240380</f>
        <v>15.3378692070888</v>
      </c>
      <c r="F11" s="9" t="n">
        <v>3714573</v>
      </c>
      <c r="G11" s="10" t="n">
        <f aca="false">F11/162</f>
        <v>22929.462962963</v>
      </c>
      <c r="H11" s="12" t="n">
        <f aca="false">F11/147057</f>
        <v>25.2594096166792</v>
      </c>
      <c r="I11" s="2" t="s">
        <v>137</v>
      </c>
    </row>
    <row r="12" customFormat="false" ht="22.35" hidden="false" customHeight="false" outlineLevel="0" collapsed="false">
      <c r="B12" s="13" t="s">
        <v>138</v>
      </c>
      <c r="C12" s="9" t="n">
        <v>2658062</v>
      </c>
      <c r="D12" s="10" t="n">
        <f aca="false">C12/256</f>
        <v>10383.0546875</v>
      </c>
      <c r="E12" s="12" t="n">
        <f aca="false">C12/240380</f>
        <v>11.0577502288044</v>
      </c>
      <c r="F12" s="9" t="n">
        <v>638854</v>
      </c>
      <c r="G12" s="10" t="n">
        <f aca="false">F12/162</f>
        <v>3943.54320987654</v>
      </c>
      <c r="H12" s="12" t="n">
        <f aca="false">F12/147057</f>
        <v>4.34426106883725</v>
      </c>
      <c r="I12" s="2" t="s">
        <v>139</v>
      </c>
    </row>
    <row r="13" customFormat="false" ht="22.35" hidden="false" customHeight="false" outlineLevel="0" collapsed="false">
      <c r="B13" s="13" t="s">
        <v>140</v>
      </c>
      <c r="C13" s="9" t="n">
        <v>1982845</v>
      </c>
      <c r="D13" s="10" t="n">
        <f aca="false">C13/256</f>
        <v>7745.48828125</v>
      </c>
      <c r="E13" s="12" t="n">
        <f aca="false">C13/240380</f>
        <v>8.24879357683668</v>
      </c>
      <c r="F13" s="9" t="n">
        <v>3450136</v>
      </c>
      <c r="G13" s="10" t="n">
        <f aca="false">F13/162</f>
        <v>21297.1358024691</v>
      </c>
      <c r="H13" s="12" t="n">
        <f aca="false">F13/147057</f>
        <v>23.4612157190749</v>
      </c>
      <c r="I13" s="2" t="s">
        <v>141</v>
      </c>
    </row>
    <row r="14" customFormat="false" ht="22.35" hidden="false" customHeight="false" outlineLevel="0" collapsed="false">
      <c r="B14" s="17" t="s">
        <v>142</v>
      </c>
      <c r="C14" s="18" t="n">
        <f aca="false">SUM(C7:C13)</f>
        <v>77959625</v>
      </c>
      <c r="D14" s="18" t="n">
        <f aca="false">C14/256</f>
        <v>304529.78515625</v>
      </c>
      <c r="E14" s="19" t="n">
        <f aca="false">C14/240380</f>
        <v>324.318266910725</v>
      </c>
      <c r="F14" s="18" t="n">
        <f aca="false">SUM(F7:F13)</f>
        <v>41691719</v>
      </c>
      <c r="G14" s="18" t="n">
        <f aca="false">F14/162</f>
        <v>257356.290123457</v>
      </c>
      <c r="H14" s="19" t="n">
        <f aca="false">F14/147057</f>
        <v>283.507204689338</v>
      </c>
      <c r="I14" s="2" t="s">
        <v>143</v>
      </c>
    </row>
    <row r="16" customFormat="false" ht="15" hidden="false" customHeight="false" outlineLevel="0" collapsed="false">
      <c r="B16" s="17" t="s">
        <v>144</v>
      </c>
      <c r="C16" s="10" t="n">
        <f aca="false">C14-C13</f>
        <v>75976780</v>
      </c>
      <c r="I16" s="2" t="s">
        <v>145</v>
      </c>
    </row>
    <row r="18" customFormat="false" ht="15" hidden="false" customHeight="false" outlineLevel="0" collapsed="false">
      <c r="B18" s="14" t="s">
        <v>146</v>
      </c>
    </row>
    <row r="19" customFormat="false" ht="15" hidden="false" customHeight="false" outlineLevel="0" collapsed="false">
      <c r="B19" s="5" t="s">
        <v>74</v>
      </c>
      <c r="C19" s="5" t="s">
        <v>147</v>
      </c>
      <c r="D19" s="5" t="s">
        <v>148</v>
      </c>
      <c r="E19" s="5" t="s">
        <v>25</v>
      </c>
    </row>
    <row r="20" customFormat="false" ht="64.15" hidden="false" customHeight="false" outlineLevel="0" collapsed="false">
      <c r="B20" s="13" t="s">
        <v>149</v>
      </c>
      <c r="C20" s="9" t="n">
        <v>2069</v>
      </c>
      <c r="D20" s="9" t="n">
        <v>2069</v>
      </c>
      <c r="E20" s="2" t="s">
        <v>150</v>
      </c>
    </row>
    <row r="21" customFormat="false" ht="15" hidden="false" customHeight="false" outlineLevel="0" collapsed="false">
      <c r="B21" s="13" t="s">
        <v>151</v>
      </c>
      <c r="C21" s="10" t="n">
        <f aca="false">C20*12</f>
        <v>24828</v>
      </c>
      <c r="D21" s="10" t="n">
        <f aca="false">D20*12</f>
        <v>24828</v>
      </c>
      <c r="E21" s="2"/>
    </row>
    <row r="22" customFormat="false" ht="32.8" hidden="false" customHeight="false" outlineLevel="0" collapsed="false">
      <c r="B22" s="13" t="s">
        <v>152</v>
      </c>
      <c r="C22" s="9" t="n">
        <v>4207</v>
      </c>
      <c r="D22" s="20" t="n">
        <f aca="false">4_Emblem_Norm!C29</f>
        <v>3398</v>
      </c>
      <c r="E22" s="2" t="s">
        <v>153</v>
      </c>
    </row>
    <row r="23" customFormat="false" ht="15" hidden="false" customHeight="false" outlineLevel="0" collapsed="false">
      <c r="B23" s="13" t="s">
        <v>154</v>
      </c>
      <c r="C23" s="10" t="n">
        <f aca="false">C21+C22</f>
        <v>29035</v>
      </c>
      <c r="D23" s="10" t="n">
        <f aca="false">D21+D22</f>
        <v>28226</v>
      </c>
      <c r="E23" s="2"/>
    </row>
    <row r="24" customFormat="false" ht="32.8" hidden="false" customHeight="false" outlineLevel="0" collapsed="false">
      <c r="B24" s="13" t="s">
        <v>155</v>
      </c>
      <c r="C24" s="10" t="n">
        <f aca="false">-C23*0.0587</f>
        <v>-1704.3545</v>
      </c>
      <c r="D24" s="10" t="n">
        <f aca="false">-D23*0.0587</f>
        <v>-1656.8662</v>
      </c>
      <c r="E24" s="2" t="s">
        <v>156</v>
      </c>
    </row>
    <row r="25" customFormat="false" ht="15" hidden="false" customHeight="false" outlineLevel="0" collapsed="false">
      <c r="B25" s="13" t="s">
        <v>157</v>
      </c>
      <c r="C25" s="10" t="n">
        <f aca="false">C23+C24</f>
        <v>27330.6455</v>
      </c>
      <c r="D25" s="10" t="n">
        <f aca="false">D23+D24</f>
        <v>26569.1338</v>
      </c>
      <c r="E25" s="2"/>
    </row>
    <row r="26" customFormat="false" ht="22.35" hidden="false" customHeight="false" outlineLevel="0" collapsed="false">
      <c r="B26" s="13" t="s">
        <v>158</v>
      </c>
      <c r="C26" s="10" t="n">
        <f aca="false">-6360</f>
        <v>-6360</v>
      </c>
      <c r="D26" s="10" t="n">
        <f aca="false">-6360</f>
        <v>-6360</v>
      </c>
      <c r="E26" s="2" t="s">
        <v>159</v>
      </c>
    </row>
    <row r="27" customFormat="false" ht="43.25" hidden="false" customHeight="false" outlineLevel="0" collapsed="false">
      <c r="B27" s="13" t="s">
        <v>160</v>
      </c>
      <c r="C27" s="9" t="n">
        <v>-1295</v>
      </c>
      <c r="D27" s="20" t="n">
        <f aca="false">-4_Emblem_Norm!C46</f>
        <v>-1521.56798326505</v>
      </c>
      <c r="E27" s="2" t="s">
        <v>161</v>
      </c>
    </row>
    <row r="28" customFormat="false" ht="15" hidden="false" customHeight="false" outlineLevel="0" collapsed="false">
      <c r="B28" s="6" t="s">
        <v>114</v>
      </c>
      <c r="C28" s="10" t="n">
        <f aca="false">SUM(C25:C27)</f>
        <v>19675.6455</v>
      </c>
      <c r="D28" s="10" t="n">
        <f aca="false">SUM(D25:D27)</f>
        <v>18687.565816735</v>
      </c>
      <c r="E28" s="2"/>
    </row>
    <row r="29" customFormat="false" ht="15" hidden="false" customHeight="false" outlineLevel="0" collapsed="false">
      <c r="B29" s="6" t="s">
        <v>162</v>
      </c>
      <c r="C29" s="10" t="n">
        <f aca="false">C28*256</f>
        <v>5036965.248</v>
      </c>
      <c r="D29" s="10" t="n">
        <f aca="false">D28*256</f>
        <v>4784016.84908415</v>
      </c>
      <c r="E29" s="2"/>
    </row>
    <row r="30" customFormat="false" ht="22.35" hidden="false" customHeight="false" outlineLevel="0" collapsed="false">
      <c r="B30" s="6" t="s">
        <v>163</v>
      </c>
      <c r="C30" s="21" t="n">
        <f aca="false">C29/$C$16</f>
        <v>0.066296113733696</v>
      </c>
      <c r="D30" s="21" t="n">
        <f aca="false">D29/$C$16</f>
        <v>0.0629668281425476</v>
      </c>
      <c r="E30" s="2" t="s">
        <v>164</v>
      </c>
    </row>
    <row r="31" customFormat="false" ht="15" hidden="false" customHeight="false" outlineLevel="0" collapsed="false">
      <c r="B31" s="6" t="s">
        <v>165</v>
      </c>
      <c r="C31" s="21" t="n">
        <f aca="false">C29/$C$14</f>
        <v>0.0646099214561384</v>
      </c>
      <c r="D31" s="21" t="n">
        <f aca="false">D29/$C$14</f>
        <v>0.0613653137644537</v>
      </c>
      <c r="E31" s="2"/>
    </row>
    <row r="33" customFormat="false" ht="15" hidden="false" customHeight="false" outlineLevel="0" collapsed="false">
      <c r="B33" s="14" t="s">
        <v>166</v>
      </c>
    </row>
    <row r="34" customFormat="false" ht="15" hidden="false" customHeight="true" outlineLevel="0" collapsed="false">
      <c r="B34" s="16" t="s">
        <v>167</v>
      </c>
      <c r="C34" s="16"/>
      <c r="D34" s="16"/>
      <c r="E34" s="16"/>
      <c r="F34" s="16"/>
      <c r="G34" s="16"/>
      <c r="H34" s="16"/>
      <c r="I34" s="16"/>
    </row>
    <row r="35" customFormat="false" ht="26.85" hidden="false" customHeight="false" outlineLevel="0" collapsed="false">
      <c r="B35" s="5" t="s">
        <v>168</v>
      </c>
      <c r="C35" s="5" t="s">
        <v>169</v>
      </c>
      <c r="D35" s="5" t="s">
        <v>170</v>
      </c>
      <c r="E35" s="5" t="s">
        <v>171</v>
      </c>
      <c r="F35" s="5" t="s">
        <v>172</v>
      </c>
      <c r="G35" s="5" t="s">
        <v>173</v>
      </c>
      <c r="H35" s="5" t="s">
        <v>174</v>
      </c>
    </row>
    <row r="36" customFormat="false" ht="15" hidden="false" customHeight="false" outlineLevel="0" collapsed="false">
      <c r="B36" s="22" t="n">
        <v>0.0575</v>
      </c>
      <c r="C36" s="10" t="n">
        <f aca="false">((B36*$C$16+((1959830-331600)+4_Emblem_Norm!C45))/0.9413-4207*256)/256/12</f>
        <v>1857.9703062323</v>
      </c>
      <c r="D36" s="10" t="n">
        <f aca="false">((B36*$C$16+((1959830-331600)+4_Emblem_Norm!C45))/0.9413-4_Emblem_Norm!C29*256)/256/12</f>
        <v>1925.38697289896</v>
      </c>
      <c r="E36" s="10" t="n">
        <f aca="false">((B36*$C$16+((1959830-331600)+4_Emblem_Norm!C45))/0.9413-2736*256)/256/12</f>
        <v>1980.55363956563</v>
      </c>
      <c r="F36" s="12" t="n">
        <f aca="false">D36/938.98</f>
        <v>2.05050903416363</v>
      </c>
      <c r="G36" s="15" t="n">
        <f aca="false">D36/1885-1</f>
        <v>0.0214254498137745</v>
      </c>
      <c r="H36" s="15" t="n">
        <f aca="false">F36/2.021-1</f>
        <v>0.0146012044352448</v>
      </c>
    </row>
    <row r="37" customFormat="false" ht="15" hidden="false" customHeight="false" outlineLevel="0" collapsed="false">
      <c r="B37" s="22" t="n">
        <v>0.06</v>
      </c>
      <c r="C37" s="10" t="n">
        <f aca="false">((B37*$C$16+((1959830-331600)+4_Emblem_Norm!C45))/0.9413-4207*256)/256/12</f>
        <v>1923.65612568301</v>
      </c>
      <c r="D37" s="10" t="n">
        <f aca="false">((B37*$C$16+((1959830-331600)+4_Emblem_Norm!C45))/0.9413-4_Emblem_Norm!C29*256)/256/12</f>
        <v>1991.07279234968</v>
      </c>
      <c r="E37" s="10" t="n">
        <f aca="false">((B37*$C$16+((1959830-331600)+4_Emblem_Norm!C45))/0.9413-2736*256)/256/12</f>
        <v>2046.23945901635</v>
      </c>
      <c r="F37" s="12" t="n">
        <f aca="false">D37/938.98</f>
        <v>2.12046347350282</v>
      </c>
      <c r="G37" s="15" t="n">
        <f aca="false">D37/1885-1</f>
        <v>0.0562720383817932</v>
      </c>
      <c r="H37" s="15" t="n">
        <f aca="false">F37/2.021-1</f>
        <v>0.0492149794670076</v>
      </c>
    </row>
    <row r="38" customFormat="false" ht="15" hidden="false" customHeight="false" outlineLevel="0" collapsed="false">
      <c r="B38" s="22" t="n">
        <v>0.0625</v>
      </c>
      <c r="C38" s="10" t="n">
        <f aca="false">((B38*$C$16+((1959830-331600)+4_Emblem_Norm!C45))/0.9413-4207*256)/256/12</f>
        <v>1989.34194513373</v>
      </c>
      <c r="D38" s="10" t="n">
        <f aca="false">((B38*$C$16+((1959830-331600)+4_Emblem_Norm!C45))/0.9413-4_Emblem_Norm!C29*256)/256/12</f>
        <v>2056.7586118004</v>
      </c>
      <c r="E38" s="10" t="n">
        <f aca="false">((B38*$C$16+((1959830-331600)+4_Emblem_Norm!C45))/0.9413-2736*256)/256/12</f>
        <v>2111.92527846706</v>
      </c>
      <c r="F38" s="12" t="n">
        <f aca="false">D38/938.98</f>
        <v>2.19041791284202</v>
      </c>
      <c r="G38" s="15" t="n">
        <f aca="false">D38/1885-1</f>
        <v>0.0911186269498117</v>
      </c>
      <c r="H38" s="15" t="n">
        <f aca="false">F38/2.021-1</f>
        <v>0.0838287544987704</v>
      </c>
    </row>
    <row r="39" customFormat="false" ht="15" hidden="false" customHeight="false" outlineLevel="0" collapsed="false">
      <c r="B39" s="22" t="n">
        <v>0.065</v>
      </c>
      <c r="C39" s="10" t="n">
        <f aca="false">((B39*$C$16+((1959830-331600)+4_Emblem_Norm!C45))/0.9413-4207*256)/256/12</f>
        <v>2055.02776458444</v>
      </c>
      <c r="D39" s="10" t="n">
        <f aca="false">((B39*$C$16+((1959830-331600)+4_Emblem_Norm!C45))/0.9413-4_Emblem_Norm!C29*256)/256/12</f>
        <v>2122.44443125111</v>
      </c>
      <c r="E39" s="10" t="n">
        <f aca="false">((B39*$C$16+((1959830-331600)+4_Emblem_Norm!C45))/0.9413-2736*256)/256/12</f>
        <v>2177.61109791778</v>
      </c>
      <c r="F39" s="12" t="n">
        <f aca="false">D39/938.98</f>
        <v>2.26037235218121</v>
      </c>
      <c r="G39" s="15" t="n">
        <f aca="false">D39/1885-1</f>
        <v>0.125965215517831</v>
      </c>
      <c r="H39" s="15" t="n">
        <f aca="false">F39/2.021-1</f>
        <v>0.118442529530533</v>
      </c>
    </row>
    <row r="40" customFormat="false" ht="15" hidden="false" customHeight="false" outlineLevel="0" collapsed="false">
      <c r="B40" s="22" t="n">
        <v>0.0675</v>
      </c>
      <c r="C40" s="10" t="n">
        <f aca="false">((B40*$C$16+((1959830-331600)+4_Emblem_Norm!C45))/0.9413-4207*256)/256/12</f>
        <v>2120.71358403516</v>
      </c>
      <c r="D40" s="10" t="n">
        <f aca="false">((B40*$C$16+((1959830-331600)+4_Emblem_Norm!C45))/0.9413-4_Emblem_Norm!C29*256)/256/12</f>
        <v>2188.13025070183</v>
      </c>
      <c r="E40" s="10" t="n">
        <f aca="false">((B40*$C$16+((1959830-331600)+4_Emblem_Norm!C45))/0.9413-2736*256)/256/12</f>
        <v>2243.29691736849</v>
      </c>
      <c r="F40" s="12" t="n">
        <f aca="false">D40/938.98</f>
        <v>2.3303267915204</v>
      </c>
      <c r="G40" s="15" t="n">
        <f aca="false">D40/1885-1</f>
        <v>0.160811804085849</v>
      </c>
      <c r="H40" s="15" t="n">
        <f aca="false">F40/2.021-1</f>
        <v>0.153056304562296</v>
      </c>
    </row>
    <row r="41" customFormat="false" ht="15" hidden="false" customHeight="false" outlineLevel="0" collapsed="false">
      <c r="B41" s="22" t="n">
        <v>0.07</v>
      </c>
      <c r="C41" s="10" t="n">
        <f aca="false">((B41*$C$16+((1959830-331600)+4_Emblem_Norm!C45))/0.9413-4207*256)/256/12</f>
        <v>2186.39940348587</v>
      </c>
      <c r="D41" s="10" t="n">
        <f aca="false">((B41*$C$16+((1959830-331600)+4_Emblem_Norm!C45))/0.9413-4_Emblem_Norm!C29*256)/256/12</f>
        <v>2253.81607015254</v>
      </c>
      <c r="E41" s="10" t="n">
        <f aca="false">((B41*$C$16+((1959830-331600)+4_Emblem_Norm!C45))/0.9413-2736*256)/256/12</f>
        <v>2308.98273681921</v>
      </c>
      <c r="F41" s="12" t="n">
        <f aca="false">D41/938.98</f>
        <v>2.40028123085959</v>
      </c>
      <c r="G41" s="15" t="n">
        <f aca="false">D41/1885-1</f>
        <v>0.195658392653868</v>
      </c>
      <c r="H41" s="15" t="n">
        <f aca="false">F41/2.021-1</f>
        <v>0.18767007959406</v>
      </c>
    </row>
    <row r="42" customFormat="false" ht="15" hidden="false" customHeight="false" outlineLevel="0" collapsed="false">
      <c r="B42" s="22" t="n">
        <v>0.0725</v>
      </c>
      <c r="C42" s="10" t="n">
        <f aca="false">((B42*$C$16+((1959830-331600)+4_Emblem_Norm!C45))/0.9413-4207*256)/256/12</f>
        <v>2252.08522293659</v>
      </c>
      <c r="D42" s="10" t="n">
        <f aca="false">((B42*$C$16+((1959830-331600)+4_Emblem_Norm!C45))/0.9413-4_Emblem_Norm!C29*256)/256/12</f>
        <v>2319.50188960326</v>
      </c>
      <c r="E42" s="10" t="n">
        <f aca="false">((B42*$C$16+((1959830-331600)+4_Emblem_Norm!C45))/0.9413-2736*256)/256/12</f>
        <v>2374.66855626992</v>
      </c>
      <c r="F42" s="12" t="n">
        <f aca="false">D42/938.98</f>
        <v>2.47023567019879</v>
      </c>
      <c r="G42" s="15" t="n">
        <f aca="false">D42/1885-1</f>
        <v>0.230504981221887</v>
      </c>
      <c r="H42" s="15" t="n">
        <f aca="false">F42/2.021-1</f>
        <v>0.222283854625822</v>
      </c>
    </row>
    <row r="44" customFormat="false" ht="15" hidden="false" customHeight="false" outlineLevel="0" collapsed="false">
      <c r="B44" s="14" t="s">
        <v>175</v>
      </c>
    </row>
    <row r="45" customFormat="false" ht="15" hidden="false" customHeight="false" outlineLevel="0" collapsed="false">
      <c r="B45" s="17" t="s">
        <v>176</v>
      </c>
      <c r="C45" s="23" t="n">
        <v>2026</v>
      </c>
      <c r="D45" s="23" t="n">
        <v>2027</v>
      </c>
      <c r="E45" s="23" t="n">
        <v>2028</v>
      </c>
      <c r="F45" s="23" t="n">
        <v>2029</v>
      </c>
      <c r="G45" s="23" t="n">
        <v>2030</v>
      </c>
      <c r="H45" s="23" t="n">
        <v>2031</v>
      </c>
      <c r="I45" s="23" t="n">
        <v>2032</v>
      </c>
    </row>
    <row r="46" customFormat="false" ht="15" hidden="false" customHeight="false" outlineLevel="0" collapsed="false">
      <c r="B46" s="24" t="s">
        <v>177</v>
      </c>
      <c r="D46" s="9" t="n">
        <v>1885</v>
      </c>
      <c r="E46" s="9" t="n">
        <v>1960</v>
      </c>
      <c r="F46" s="9" t="n">
        <v>2038</v>
      </c>
      <c r="G46" s="9" t="n">
        <v>2110</v>
      </c>
      <c r="H46" s="9" t="n">
        <v>2184</v>
      </c>
      <c r="I46" s="9" t="n">
        <v>2249</v>
      </c>
    </row>
    <row r="47" customFormat="false" ht="15" hidden="false" customHeight="false" outlineLevel="0" collapsed="false">
      <c r="B47" s="24" t="s">
        <v>178</v>
      </c>
      <c r="C47" s="10" t="n">
        <f aca="false">$D$37*1.03^0</f>
        <v>1991.07279234968</v>
      </c>
      <c r="D47" s="10" t="n">
        <f aca="false">$D$37*1.03^1</f>
        <v>2050.80497612017</v>
      </c>
      <c r="E47" s="10" t="n">
        <f aca="false">$D$37*1.03^2</f>
        <v>2112.32912540378</v>
      </c>
      <c r="F47" s="10" t="n">
        <f aca="false">$D$37*1.03^3</f>
        <v>2175.69899916589</v>
      </c>
      <c r="G47" s="10" t="n">
        <f aca="false">$D$37*1.03^4</f>
        <v>2240.96996914087</v>
      </c>
      <c r="H47" s="10" t="n">
        <f aca="false">$D$37*1.03^5</f>
        <v>2308.19906821509</v>
      </c>
      <c r="I47" s="10" t="n">
        <f aca="false">$D$37*1.03^6</f>
        <v>2377.44504026154</v>
      </c>
    </row>
    <row r="48" customFormat="false" ht="15" hidden="false" customHeight="false" outlineLevel="0" collapsed="false">
      <c r="B48" s="24" t="s">
        <v>179</v>
      </c>
      <c r="C48" s="10" t="n">
        <f aca="false">$D$39*1.03^0</f>
        <v>2122.44443125111</v>
      </c>
      <c r="D48" s="10" t="n">
        <f aca="false">$D$39*1.03^1</f>
        <v>2186.11776418864</v>
      </c>
      <c r="E48" s="10" t="n">
        <f aca="false">$D$39*1.03^2</f>
        <v>2251.7012971143</v>
      </c>
      <c r="F48" s="10" t="n">
        <f aca="false">$D$39*1.03^3</f>
        <v>2319.25233602773</v>
      </c>
      <c r="G48" s="10" t="n">
        <f aca="false">$D$39*1.03^4</f>
        <v>2388.82990610857</v>
      </c>
      <c r="H48" s="10" t="n">
        <f aca="false">$D$39*1.03^5</f>
        <v>2460.49480329182</v>
      </c>
      <c r="I48" s="10" t="n">
        <f aca="false">$D$39*1.03^6</f>
        <v>2534.30964739058</v>
      </c>
    </row>
    <row r="49" customFormat="false" ht="15" hidden="false" customHeight="false" outlineLevel="0" collapsed="false">
      <c r="B49" s="17" t="s">
        <v>180</v>
      </c>
      <c r="D49" s="15" t="n">
        <f aca="false">D46/D47-1</f>
        <v>-0.0808487291823574</v>
      </c>
      <c r="E49" s="15" t="n">
        <f aca="false">E46/E47-1</f>
        <v>-0.072114294866174</v>
      </c>
      <c r="F49" s="15" t="n">
        <f aca="false">F46/F47-1</f>
        <v>-0.0632895447480002</v>
      </c>
      <c r="G49" s="15" t="n">
        <f aca="false">G46/G47-1</f>
        <v>-0.0584434289367457</v>
      </c>
      <c r="H49" s="15" t="n">
        <f aca="false">H46/H47-1</f>
        <v>-0.0538077802410402</v>
      </c>
      <c r="I49" s="15" t="n">
        <f aca="false">I46/I47-1</f>
        <v>-0.0540265024370086</v>
      </c>
    </row>
    <row r="50" customFormat="false" ht="15" hidden="false" customHeight="false" outlineLevel="0" collapsed="false">
      <c r="B50" s="17" t="s">
        <v>181</v>
      </c>
      <c r="D50" s="15" t="n">
        <f aca="false">D46/D48-1</f>
        <v>-0.137740870652685</v>
      </c>
      <c r="E50" s="15" t="n">
        <f aca="false">E46/E48-1</f>
        <v>-0.129547066250811</v>
      </c>
      <c r="F50" s="15" t="n">
        <f aca="false">F46/F48-1</f>
        <v>-0.121268536268651</v>
      </c>
      <c r="G50" s="15" t="n">
        <f aca="false">G46/G48-1</f>
        <v>-0.116722377510244</v>
      </c>
      <c r="H50" s="15" t="n">
        <f aca="false">H46/H48-1</f>
        <v>-0.112373658713649</v>
      </c>
      <c r="I50" s="15" t="n">
        <f aca="false">I46/I48-1</f>
        <v>-0.112578842796239</v>
      </c>
    </row>
    <row r="52" customFormat="false" ht="15" hidden="false" customHeight="true" outlineLevel="0" collapsed="false">
      <c r="B52" s="25" t="s">
        <v>182</v>
      </c>
      <c r="C52" s="25"/>
      <c r="D52" s="25"/>
      <c r="E52" s="25"/>
      <c r="F52" s="25"/>
      <c r="G52" s="25"/>
      <c r="H52" s="25"/>
      <c r="I52" s="25"/>
    </row>
    <row r="53" customFormat="false" ht="15" hidden="false" customHeight="false" outlineLevel="0" collapsed="false">
      <c r="B53" s="25"/>
      <c r="C53" s="25"/>
      <c r="D53" s="25"/>
      <c r="E53" s="25"/>
      <c r="F53" s="25"/>
      <c r="G53" s="25"/>
      <c r="H53" s="25"/>
      <c r="I53" s="25"/>
    </row>
    <row r="54" customFormat="false" ht="15" hidden="false" customHeight="false" outlineLevel="0" collapsed="false">
      <c r="B54" s="25"/>
      <c r="C54" s="25"/>
      <c r="D54" s="25"/>
      <c r="E54" s="25"/>
      <c r="F54" s="25"/>
      <c r="G54" s="25"/>
      <c r="H54" s="25"/>
      <c r="I54" s="25"/>
    </row>
  </sheetData>
  <mergeCells count="2">
    <mergeCell ref="B34:I34"/>
    <mergeCell ref="B52:I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5" min="3" style="0" width="16"/>
    <col collapsed="false" customWidth="true" hidden="false" outlineLevel="0" max="6" min="6" style="0" width="60"/>
  </cols>
  <sheetData>
    <row r="2" customFormat="false" ht="17.35" hidden="false" customHeight="false" outlineLevel="0" collapsed="false">
      <c r="B2" s="1" t="s">
        <v>183</v>
      </c>
    </row>
    <row r="4" customFormat="false" ht="15" hidden="false" customHeight="false" outlineLevel="0" collapsed="false">
      <c r="B4" s="14" t="s">
        <v>184</v>
      </c>
    </row>
    <row r="5" customFormat="false" ht="15" hidden="false" customHeight="false" outlineLevel="0" collapsed="false">
      <c r="B5" s="13" t="s">
        <v>185</v>
      </c>
      <c r="C5" s="9" t="n">
        <v>77959624</v>
      </c>
      <c r="F5" s="2" t="s">
        <v>186</v>
      </c>
    </row>
    <row r="6" customFormat="false" ht="15" hidden="false" customHeight="false" outlineLevel="0" collapsed="false">
      <c r="B6" s="13" t="s">
        <v>187</v>
      </c>
      <c r="C6" s="9" t="n">
        <v>1982846</v>
      </c>
      <c r="F6" s="2" t="s">
        <v>188</v>
      </c>
    </row>
    <row r="7" customFormat="false" ht="15" hidden="false" customHeight="false" outlineLevel="0" collapsed="false">
      <c r="B7" s="13" t="s">
        <v>189</v>
      </c>
      <c r="C7" s="10" t="n">
        <f aca="false">C5-C6</f>
        <v>75976778</v>
      </c>
      <c r="F7" s="2"/>
    </row>
    <row r="8" customFormat="false" ht="15" hidden="false" customHeight="false" outlineLevel="0" collapsed="false">
      <c r="B8" s="13" t="s">
        <v>43</v>
      </c>
      <c r="C8" s="8" t="n">
        <v>256</v>
      </c>
      <c r="F8" s="2"/>
    </row>
    <row r="9" customFormat="false" ht="15" hidden="false" customHeight="false" outlineLevel="0" collapsed="false">
      <c r="B9" s="13" t="s">
        <v>190</v>
      </c>
      <c r="C9" s="8" t="n">
        <v>938.98</v>
      </c>
      <c r="F9" s="2"/>
    </row>
    <row r="10" customFormat="false" ht="15" hidden="false" customHeight="false" outlineLevel="0" collapsed="false">
      <c r="B10" s="13" t="s">
        <v>191</v>
      </c>
      <c r="C10" s="9" t="n">
        <v>5036490</v>
      </c>
      <c r="F10" s="2" t="s">
        <v>192</v>
      </c>
    </row>
    <row r="11" customFormat="false" ht="15" hidden="false" customHeight="false" outlineLevel="0" collapsed="false">
      <c r="B11" s="13" t="s">
        <v>193</v>
      </c>
      <c r="C11" s="21" t="n">
        <f aca="false">C10/C7</f>
        <v>0.0662898603044209</v>
      </c>
      <c r="F11" s="2" t="s">
        <v>194</v>
      </c>
    </row>
    <row r="12" customFormat="false" ht="15" hidden="false" customHeight="false" outlineLevel="0" collapsed="false">
      <c r="B12" s="13" t="s">
        <v>195</v>
      </c>
      <c r="C12" s="9" t="n">
        <v>331600</v>
      </c>
      <c r="F12" s="2" t="s">
        <v>196</v>
      </c>
    </row>
    <row r="13" customFormat="false" ht="15" hidden="false" customHeight="false" outlineLevel="0" collapsed="false">
      <c r="B13" s="13" t="s">
        <v>197</v>
      </c>
      <c r="C13" s="9" t="n">
        <v>5638571</v>
      </c>
      <c r="F13" s="2"/>
    </row>
    <row r="14" customFormat="false" ht="15" hidden="false" customHeight="false" outlineLevel="0" collapsed="false">
      <c r="B14" s="13" t="s">
        <v>198</v>
      </c>
      <c r="C14" s="11" t="n">
        <v>0.055</v>
      </c>
      <c r="F14" s="2"/>
    </row>
    <row r="15" customFormat="false" ht="15" hidden="false" customHeight="false" outlineLevel="0" collapsed="false">
      <c r="B15" s="13" t="s">
        <v>199</v>
      </c>
      <c r="C15" s="10" t="n">
        <f aca="false">C13/C14</f>
        <v>102519472.727273</v>
      </c>
      <c r="F15" s="2" t="s">
        <v>200</v>
      </c>
    </row>
    <row r="16" customFormat="false" ht="15" hidden="false" customHeight="false" outlineLevel="0" collapsed="false">
      <c r="B16" s="13" t="s">
        <v>201</v>
      </c>
      <c r="C16" s="9" t="n">
        <v>266400</v>
      </c>
      <c r="F16" s="2" t="s">
        <v>202</v>
      </c>
    </row>
    <row r="17" customFormat="false" ht="15" hidden="false" customHeight="false" outlineLevel="0" collapsed="false">
      <c r="B17" s="13" t="s">
        <v>203</v>
      </c>
      <c r="C17" s="9" t="n">
        <v>331776</v>
      </c>
      <c r="F17" s="2" t="s">
        <v>204</v>
      </c>
    </row>
    <row r="18" customFormat="false" ht="15" hidden="false" customHeight="false" outlineLevel="0" collapsed="false">
      <c r="B18" s="13" t="s">
        <v>205</v>
      </c>
      <c r="C18" s="9" t="n">
        <v>294267</v>
      </c>
      <c r="F18" s="2" t="s">
        <v>206</v>
      </c>
    </row>
    <row r="19" customFormat="false" ht="15" hidden="false" customHeight="false" outlineLevel="0" collapsed="false">
      <c r="B19" s="13" t="s">
        <v>207</v>
      </c>
      <c r="C19" s="9" t="n">
        <v>32256</v>
      </c>
      <c r="F19" s="2"/>
    </row>
    <row r="20" customFormat="false" ht="15" hidden="false" customHeight="false" outlineLevel="0" collapsed="false">
      <c r="B20" s="13" t="s">
        <v>208</v>
      </c>
      <c r="C20" s="9" t="n">
        <v>152320</v>
      </c>
      <c r="F20" s="2"/>
    </row>
    <row r="21" customFormat="false" ht="15" hidden="false" customHeight="false" outlineLevel="0" collapsed="false">
      <c r="B21" s="13" t="s">
        <v>209</v>
      </c>
      <c r="C21" s="10" t="n">
        <f aca="false">SUM(C16:C20)</f>
        <v>1077019</v>
      </c>
      <c r="F21" s="2" t="s">
        <v>210</v>
      </c>
    </row>
    <row r="23" customFormat="false" ht="15" hidden="false" customHeight="false" outlineLevel="0" collapsed="false">
      <c r="B23" s="14" t="s">
        <v>211</v>
      </c>
    </row>
    <row r="24" customFormat="false" ht="22.35" hidden="false" customHeight="false" outlineLevel="0" collapsed="false">
      <c r="B24" s="13" t="s">
        <v>212</v>
      </c>
      <c r="C24" s="26" t="n">
        <v>750</v>
      </c>
      <c r="F24" s="2" t="s">
        <v>213</v>
      </c>
    </row>
    <row r="25" customFormat="false" ht="15" hidden="false" customHeight="false" outlineLevel="0" collapsed="false">
      <c r="B25" s="13" t="s">
        <v>214</v>
      </c>
      <c r="C25" s="26" t="n">
        <v>1077</v>
      </c>
      <c r="F25" s="2" t="s">
        <v>215</v>
      </c>
    </row>
    <row r="26" customFormat="false" ht="15" hidden="false" customHeight="false" outlineLevel="0" collapsed="false">
      <c r="B26" s="13" t="s">
        <v>216</v>
      </c>
      <c r="C26" s="26" t="n">
        <v>850</v>
      </c>
      <c r="F26" s="2" t="s">
        <v>217</v>
      </c>
    </row>
    <row r="27" customFormat="false" ht="15" hidden="false" customHeight="false" outlineLevel="0" collapsed="false">
      <c r="B27" s="13" t="s">
        <v>218</v>
      </c>
      <c r="C27" s="9" t="n">
        <v>126</v>
      </c>
      <c r="F27" s="2"/>
    </row>
    <row r="28" customFormat="false" ht="15" hidden="false" customHeight="false" outlineLevel="0" collapsed="false">
      <c r="B28" s="13" t="s">
        <v>219</v>
      </c>
      <c r="C28" s="9" t="n">
        <v>595</v>
      </c>
      <c r="F28" s="2"/>
    </row>
    <row r="29" customFormat="false" ht="15" hidden="false" customHeight="false" outlineLevel="0" collapsed="false">
      <c r="B29" s="13" t="s">
        <v>220</v>
      </c>
      <c r="C29" s="10" t="n">
        <f aca="false">SUM(C24:C28)</f>
        <v>3398</v>
      </c>
      <c r="F29" s="2" t="s">
        <v>221</v>
      </c>
    </row>
    <row r="30" customFormat="false" ht="15" hidden="false" customHeight="false" outlineLevel="0" collapsed="false">
      <c r="B30" s="13" t="s">
        <v>222</v>
      </c>
      <c r="C30" s="10" t="n">
        <f aca="false">(C29-C21/C8)*C8</f>
        <v>-207131</v>
      </c>
      <c r="F30" s="2"/>
    </row>
    <row r="31" customFormat="false" ht="22.35" hidden="false" customHeight="false" outlineLevel="0" collapsed="false">
      <c r="B31" s="13" t="s">
        <v>223</v>
      </c>
      <c r="C31" s="11" t="n">
        <v>0.0045</v>
      </c>
      <c r="F31" s="2" t="s">
        <v>224</v>
      </c>
    </row>
    <row r="32" customFormat="false" ht="15" hidden="false" customHeight="false" outlineLevel="0" collapsed="false">
      <c r="B32" s="13" t="s">
        <v>225</v>
      </c>
      <c r="C32" s="11" t="n">
        <v>0.95</v>
      </c>
      <c r="F32" s="2" t="s">
        <v>226</v>
      </c>
    </row>
    <row r="33" customFormat="false" ht="15" hidden="false" customHeight="false" outlineLevel="0" collapsed="false">
      <c r="B33" s="13" t="s">
        <v>227</v>
      </c>
      <c r="C33" s="21" t="n">
        <f aca="false">C31*C32</f>
        <v>0.004275</v>
      </c>
      <c r="F33" s="2"/>
    </row>
    <row r="34" customFormat="false" ht="22.35" hidden="false" customHeight="false" outlineLevel="0" collapsed="false">
      <c r="B34" s="13" t="s">
        <v>228</v>
      </c>
      <c r="C34" s="27" t="n">
        <v>0.0525</v>
      </c>
      <c r="F34" s="2" t="s">
        <v>229</v>
      </c>
    </row>
    <row r="35" customFormat="false" ht="15" hidden="false" customHeight="false" outlineLevel="0" collapsed="false">
      <c r="B35" s="13" t="s">
        <v>230</v>
      </c>
      <c r="C35" s="11" t="n">
        <v>0.05</v>
      </c>
      <c r="F35" s="2"/>
    </row>
    <row r="37" customFormat="false" ht="15" hidden="false" customHeight="false" outlineLevel="0" collapsed="false">
      <c r="B37" s="14" t="s">
        <v>231</v>
      </c>
    </row>
    <row r="38" customFormat="false" ht="15" hidden="false" customHeight="false" outlineLevel="0" collapsed="false">
      <c r="B38" s="13" t="s">
        <v>232</v>
      </c>
      <c r="C38" s="10" t="n">
        <f aca="false">C10+C12+C30*0.9413</f>
        <v>5173117.5897</v>
      </c>
      <c r="F38" s="2" t="s">
        <v>233</v>
      </c>
    </row>
    <row r="39" customFormat="false" ht="15" hidden="false" customHeight="false" outlineLevel="0" collapsed="false">
      <c r="B39" s="13" t="s">
        <v>234</v>
      </c>
      <c r="C39" s="10" t="n">
        <f aca="false">C38/(C34+C33)</f>
        <v>91116117.8282695</v>
      </c>
      <c r="F39" s="2" t="s">
        <v>235</v>
      </c>
    </row>
    <row r="40" customFormat="false" ht="15" hidden="false" customHeight="false" outlineLevel="0" collapsed="false">
      <c r="B40" s="13" t="s">
        <v>236</v>
      </c>
      <c r="C40" s="10" t="n">
        <f aca="false">C39/C8</f>
        <v>355922.335266678</v>
      </c>
      <c r="F40" s="2"/>
    </row>
    <row r="41" customFormat="false" ht="15" hidden="false" customHeight="false" outlineLevel="0" collapsed="false">
      <c r="B41" s="13" t="s">
        <v>237</v>
      </c>
      <c r="C41" s="10" t="n">
        <f aca="false">C33*C39</f>
        <v>389521.403715852</v>
      </c>
      <c r="F41" s="2"/>
    </row>
    <row r="42" customFormat="false" ht="15" hidden="false" customHeight="false" outlineLevel="0" collapsed="false">
      <c r="B42" s="13" t="s">
        <v>236</v>
      </c>
      <c r="C42" s="10" t="n">
        <f aca="false">C41/C8</f>
        <v>1521.56798326505</v>
      </c>
      <c r="F42" s="2"/>
    </row>
    <row r="43" customFormat="false" ht="15" hidden="false" customHeight="false" outlineLevel="0" collapsed="false">
      <c r="B43" s="6" t="s">
        <v>238</v>
      </c>
      <c r="C43" s="10" t="n">
        <f aca="false">C38-C41</f>
        <v>4783596.18598415</v>
      </c>
      <c r="F43" s="2"/>
    </row>
    <row r="44" customFormat="false" ht="15" hidden="false" customHeight="false" outlineLevel="0" collapsed="false">
      <c r="B44" s="6" t="s">
        <v>239</v>
      </c>
      <c r="C44" s="21" t="n">
        <f aca="false">C43/C7</f>
        <v>0.0629612930675232</v>
      </c>
      <c r="F44" s="2" t="s">
        <v>240</v>
      </c>
    </row>
    <row r="45" customFormat="false" ht="15" hidden="false" customHeight="false" outlineLevel="0" collapsed="false">
      <c r="B45" s="13" t="s">
        <v>241</v>
      </c>
      <c r="C45" s="10" t="n">
        <f aca="false">C41</f>
        <v>389521.403715852</v>
      </c>
      <c r="F45" s="2"/>
    </row>
    <row r="46" customFormat="false" ht="15" hidden="false" customHeight="false" outlineLevel="0" collapsed="false">
      <c r="B46" s="13" t="s">
        <v>242</v>
      </c>
      <c r="C46" s="10" t="n">
        <f aca="false">C41/C8</f>
        <v>1521.56798326505</v>
      </c>
      <c r="F46" s="2"/>
    </row>
    <row r="47" customFormat="false" ht="15" hidden="false" customHeight="false" outlineLevel="0" collapsed="false">
      <c r="B47" s="13" t="s">
        <v>243</v>
      </c>
      <c r="C47" s="10" t="n">
        <f aca="false">C13+384319+C30*1.03^5*0.9413</f>
        <v>5796863.53953543</v>
      </c>
      <c r="F47" s="2" t="s">
        <v>244</v>
      </c>
    </row>
    <row r="48" customFormat="false" ht="15" hidden="false" customHeight="false" outlineLevel="0" collapsed="false">
      <c r="B48" s="13" t="s">
        <v>245</v>
      </c>
      <c r="C48" s="10" t="n">
        <f aca="false">C47/(C34+C33)</f>
        <v>102102396.116872</v>
      </c>
      <c r="F48" s="2"/>
    </row>
    <row r="49" customFormat="false" ht="15" hidden="false" customHeight="false" outlineLevel="0" collapsed="false">
      <c r="B49" s="13" t="s">
        <v>236</v>
      </c>
      <c r="C49" s="10" t="n">
        <f aca="false">C48/C8</f>
        <v>398837.484831533</v>
      </c>
      <c r="F49" s="2" t="s">
        <v>246</v>
      </c>
    </row>
    <row r="50" customFormat="false" ht="15" hidden="false" customHeight="false" outlineLevel="0" collapsed="false">
      <c r="B50" s="13" t="s">
        <v>247</v>
      </c>
      <c r="C50" s="10" t="n">
        <f aca="false">C47/(C35+C33)</f>
        <v>106805408.374674</v>
      </c>
      <c r="F50" s="2"/>
    </row>
    <row r="51" customFormat="false" ht="15" hidden="false" customHeight="false" outlineLevel="0" collapsed="false">
      <c r="B51" s="13" t="s">
        <v>236</v>
      </c>
      <c r="C51" s="10" t="n">
        <f aca="false">C50/C8</f>
        <v>417208.62646357</v>
      </c>
      <c r="F5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5" min="3" style="0" width="16"/>
    <col collapsed="false" customWidth="true" hidden="false" outlineLevel="0" max="6" min="6" style="0" width="60"/>
  </cols>
  <sheetData>
    <row r="2" customFormat="false" ht="17.35" hidden="false" customHeight="false" outlineLevel="0" collapsed="false">
      <c r="B2" s="1" t="s">
        <v>248</v>
      </c>
    </row>
    <row r="3" customFormat="false" ht="43.25" hidden="false" customHeight="false" outlineLevel="0" collapsed="false">
      <c r="B3" s="2" t="s">
        <v>249</v>
      </c>
    </row>
    <row r="5" customFormat="false" ht="15" hidden="false" customHeight="false" outlineLevel="0" collapsed="false">
      <c r="B5" s="14" t="s">
        <v>184</v>
      </c>
    </row>
    <row r="6" customFormat="false" ht="15" hidden="false" customHeight="false" outlineLevel="0" collapsed="false">
      <c r="B6" s="13" t="s">
        <v>185</v>
      </c>
      <c r="C6" s="9" t="n">
        <v>41691719</v>
      </c>
      <c r="F6" s="2"/>
    </row>
    <row r="7" customFormat="false" ht="15" hidden="false" customHeight="false" outlineLevel="0" collapsed="false">
      <c r="B7" s="13" t="s">
        <v>43</v>
      </c>
      <c r="C7" s="8" t="n">
        <v>162</v>
      </c>
      <c r="F7" s="2"/>
    </row>
    <row r="8" customFormat="false" ht="15" hidden="false" customHeight="false" outlineLevel="0" collapsed="false">
      <c r="B8" s="13" t="s">
        <v>190</v>
      </c>
      <c r="C8" s="8" t="n">
        <v>907.76</v>
      </c>
      <c r="F8" s="2"/>
    </row>
    <row r="9" customFormat="false" ht="15" hidden="false" customHeight="false" outlineLevel="0" collapsed="false">
      <c r="B9" s="13" t="s">
        <v>193</v>
      </c>
      <c r="C9" s="11" t="n">
        <v>0.0652</v>
      </c>
      <c r="F9" s="2"/>
    </row>
    <row r="10" customFormat="false" ht="15" hidden="false" customHeight="false" outlineLevel="0" collapsed="false">
      <c r="B10" s="13" t="s">
        <v>250</v>
      </c>
      <c r="C10" s="10" t="n">
        <f aca="false">C9*C6</f>
        <v>2718300.0788</v>
      </c>
      <c r="F10" s="2"/>
    </row>
    <row r="11" customFormat="false" ht="15" hidden="false" customHeight="false" outlineLevel="0" collapsed="false">
      <c r="B11" s="13" t="s">
        <v>251</v>
      </c>
      <c r="C11" s="9" t="n">
        <v>2914298</v>
      </c>
      <c r="F11" s="2"/>
    </row>
    <row r="12" customFormat="false" ht="15" hidden="false" customHeight="false" outlineLevel="0" collapsed="false">
      <c r="B12" s="13" t="s">
        <v>252</v>
      </c>
      <c r="C12" s="9" t="n">
        <v>356965</v>
      </c>
      <c r="F12" s="2" t="s">
        <v>253</v>
      </c>
    </row>
    <row r="13" customFormat="false" ht="15" hidden="false" customHeight="false" outlineLevel="0" collapsed="false">
      <c r="B13" s="13" t="s">
        <v>254</v>
      </c>
      <c r="C13" s="10" t="n">
        <f aca="false">C12/1.03^3</f>
        <v>326673.542431001</v>
      </c>
      <c r="F13" s="2" t="s">
        <v>255</v>
      </c>
    </row>
    <row r="14" customFormat="false" ht="15" hidden="false" customHeight="false" outlineLevel="0" collapsed="false">
      <c r="B14" s="13" t="s">
        <v>256</v>
      </c>
      <c r="C14" s="9" t="n">
        <v>578083</v>
      </c>
      <c r="F14" s="2" t="s">
        <v>257</v>
      </c>
    </row>
    <row r="15" customFormat="false" ht="15" hidden="false" customHeight="false" outlineLevel="0" collapsed="false">
      <c r="B15" s="13" t="s">
        <v>258</v>
      </c>
      <c r="C15" s="9" t="n">
        <v>3075765</v>
      </c>
      <c r="F15" s="2"/>
    </row>
    <row r="16" customFormat="false" ht="15" hidden="false" customHeight="false" outlineLevel="0" collapsed="false">
      <c r="B16" s="13" t="s">
        <v>198</v>
      </c>
      <c r="C16" s="11" t="n">
        <v>0.0525</v>
      </c>
      <c r="F16" s="2"/>
    </row>
    <row r="17" customFormat="false" ht="15" hidden="false" customHeight="false" outlineLevel="0" collapsed="false">
      <c r="B17" s="13" t="s">
        <v>199</v>
      </c>
      <c r="C17" s="10" t="n">
        <f aca="false">C15/C16</f>
        <v>58586000</v>
      </c>
      <c r="F17" s="2" t="s">
        <v>259</v>
      </c>
    </row>
    <row r="18" customFormat="false" ht="15" hidden="false" customHeight="false" outlineLevel="0" collapsed="false">
      <c r="B18" s="13" t="s">
        <v>260</v>
      </c>
      <c r="C18" s="9" t="n">
        <v>2448783</v>
      </c>
      <c r="F18" s="2" t="s">
        <v>261</v>
      </c>
    </row>
    <row r="19" customFormat="false" ht="15" hidden="false" customHeight="false" outlineLevel="0" collapsed="false">
      <c r="B19" s="13" t="s">
        <v>262</v>
      </c>
      <c r="C19" s="28" t="n">
        <v>6.13</v>
      </c>
      <c r="F19" s="2"/>
    </row>
    <row r="21" customFormat="false" ht="15" hidden="false" customHeight="false" outlineLevel="0" collapsed="false">
      <c r="B21" s="14" t="s">
        <v>263</v>
      </c>
    </row>
    <row r="22" customFormat="false" ht="15" hidden="false" customHeight="false" outlineLevel="0" collapsed="false">
      <c r="B22" s="13" t="s">
        <v>220</v>
      </c>
      <c r="C22" s="26" t="n">
        <v>3000</v>
      </c>
      <c r="F22" s="2" t="s">
        <v>264</v>
      </c>
    </row>
    <row r="23" customFormat="false" ht="15" hidden="false" customHeight="false" outlineLevel="0" collapsed="false">
      <c r="B23" s="13" t="s">
        <v>222</v>
      </c>
      <c r="C23" s="10" t="n">
        <f aca="false">(C22-C14/C7)*C7</f>
        <v>-92083</v>
      </c>
      <c r="F23" s="2"/>
    </row>
    <row r="24" customFormat="false" ht="15" hidden="false" customHeight="false" outlineLevel="0" collapsed="false">
      <c r="B24" s="13" t="s">
        <v>265</v>
      </c>
      <c r="C24" s="11" t="n">
        <v>0.0092</v>
      </c>
      <c r="F24" s="2" t="s">
        <v>266</v>
      </c>
    </row>
    <row r="25" customFormat="false" ht="15" hidden="false" customHeight="false" outlineLevel="0" collapsed="false">
      <c r="B25" s="13" t="s">
        <v>225</v>
      </c>
      <c r="C25" s="11" t="n">
        <v>0.95</v>
      </c>
      <c r="F25" s="2"/>
    </row>
    <row r="26" customFormat="false" ht="15" hidden="false" customHeight="false" outlineLevel="0" collapsed="false">
      <c r="B26" s="13" t="s">
        <v>227</v>
      </c>
      <c r="C26" s="21" t="n">
        <f aca="false">C24*C25</f>
        <v>0.00874</v>
      </c>
      <c r="F26" s="2"/>
    </row>
    <row r="27" customFormat="false" ht="15" hidden="false" customHeight="false" outlineLevel="0" collapsed="false">
      <c r="B27" s="13" t="s">
        <v>267</v>
      </c>
      <c r="C27" s="27" t="n">
        <v>0.0525</v>
      </c>
      <c r="F27" s="2" t="s">
        <v>268</v>
      </c>
    </row>
    <row r="28" customFormat="false" ht="15" hidden="false" customHeight="false" outlineLevel="0" collapsed="false">
      <c r="B28" s="13" t="s">
        <v>269</v>
      </c>
      <c r="C28" s="26" t="n">
        <v>625000</v>
      </c>
      <c r="F28" s="2" t="s">
        <v>270</v>
      </c>
    </row>
    <row r="30" customFormat="false" ht="15" hidden="false" customHeight="false" outlineLevel="0" collapsed="false">
      <c r="B30" s="14" t="s">
        <v>231</v>
      </c>
    </row>
    <row r="31" customFormat="false" ht="15" hidden="false" customHeight="false" outlineLevel="0" collapsed="false">
      <c r="B31" s="13" t="s">
        <v>271</v>
      </c>
      <c r="C31" s="10" t="n">
        <f aca="false">C10+C13+C23*0.9413</f>
        <v>2958295.893331</v>
      </c>
      <c r="F31" s="2" t="s">
        <v>272</v>
      </c>
    </row>
    <row r="32" customFormat="false" ht="15" hidden="false" customHeight="false" outlineLevel="0" collapsed="false">
      <c r="B32" s="13" t="s">
        <v>273</v>
      </c>
      <c r="C32" s="10" t="n">
        <f aca="false">C31/(C27+C26)</f>
        <v>48306595.2536088</v>
      </c>
      <c r="F32" s="2"/>
    </row>
    <row r="33" customFormat="false" ht="15" hidden="false" customHeight="false" outlineLevel="0" collapsed="false">
      <c r="B33" s="13" t="s">
        <v>274</v>
      </c>
      <c r="C33" s="10" t="n">
        <f aca="false">C26*C32</f>
        <v>422199.642516541</v>
      </c>
      <c r="F33" s="2"/>
    </row>
    <row r="34" customFormat="false" ht="15" hidden="false" customHeight="false" outlineLevel="0" collapsed="false">
      <c r="B34" s="13" t="s">
        <v>236</v>
      </c>
      <c r="C34" s="10" t="n">
        <f aca="false">C33/C7</f>
        <v>2606.17063281815</v>
      </c>
      <c r="F34" s="2" t="s">
        <v>275</v>
      </c>
    </row>
    <row r="35" customFormat="false" ht="15" hidden="false" customHeight="false" outlineLevel="0" collapsed="false">
      <c r="B35" s="6" t="s">
        <v>238</v>
      </c>
      <c r="C35" s="10" t="n">
        <f aca="false">C31-C33</f>
        <v>2536096.25081446</v>
      </c>
      <c r="F35" s="2"/>
    </row>
    <row r="36" customFormat="false" ht="15" hidden="false" customHeight="false" outlineLevel="0" collapsed="false">
      <c r="B36" s="6" t="s">
        <v>276</v>
      </c>
      <c r="C36" s="21" t="n">
        <f aca="false">C35/C6</f>
        <v>0.0608297357759334</v>
      </c>
      <c r="F36" s="2" t="s">
        <v>277</v>
      </c>
    </row>
    <row r="37" customFormat="false" ht="15" hidden="false" customHeight="false" outlineLevel="0" collapsed="false">
      <c r="B37" s="13" t="s">
        <v>243</v>
      </c>
      <c r="C37" s="10" t="n">
        <f aca="false">C15+367674+C23*1.03*0.9413</f>
        <v>3354160.940263</v>
      </c>
      <c r="F37" s="2" t="s">
        <v>278</v>
      </c>
    </row>
    <row r="38" customFormat="false" ht="15" hidden="false" customHeight="false" outlineLevel="0" collapsed="false">
      <c r="B38" s="13" t="s">
        <v>279</v>
      </c>
      <c r="C38" s="10" t="n">
        <f aca="false">C37/(C27+C26)</f>
        <v>54770753.4334259</v>
      </c>
      <c r="F38" s="2"/>
    </row>
    <row r="39" customFormat="false" ht="15" hidden="false" customHeight="false" outlineLevel="0" collapsed="false">
      <c r="B39" s="13" t="s">
        <v>236</v>
      </c>
      <c r="C39" s="10" t="n">
        <f aca="false">C38/C7</f>
        <v>338091.070576703</v>
      </c>
      <c r="F39" s="2" t="s">
        <v>280</v>
      </c>
    </row>
    <row r="40" customFormat="false" ht="15" hidden="false" customHeight="false" outlineLevel="0" collapsed="false">
      <c r="B40" s="14" t="s">
        <v>281</v>
      </c>
    </row>
    <row r="41" customFormat="false" ht="15" hidden="false" customHeight="false" outlineLevel="0" collapsed="false">
      <c r="B41" s="13" t="s">
        <v>282</v>
      </c>
      <c r="C41" s="10" t="n">
        <f aca="false">C28*C19</f>
        <v>3831250</v>
      </c>
      <c r="F41" s="2"/>
    </row>
    <row r="42" customFormat="false" ht="15" hidden="false" customHeight="false" outlineLevel="0" collapsed="false">
      <c r="B42" s="13" t="s">
        <v>283</v>
      </c>
      <c r="C42" s="10" t="n">
        <f aca="false">C41-C18</f>
        <v>1382467</v>
      </c>
      <c r="F42" s="2"/>
    </row>
    <row r="43" customFormat="false" ht="15" hidden="false" customHeight="false" outlineLevel="0" collapsed="false">
      <c r="B43" s="13" t="s">
        <v>284</v>
      </c>
      <c r="C43" s="10" t="n">
        <f aca="false">C6+C42</f>
        <v>43074186</v>
      </c>
      <c r="F43" s="2"/>
    </row>
    <row r="44" customFormat="false" ht="15" hidden="false" customHeight="false" outlineLevel="0" collapsed="false">
      <c r="B44" s="6" t="s">
        <v>285</v>
      </c>
      <c r="C44" s="21" t="n">
        <f aca="false">C35/C43</f>
        <v>0.0588774039935301</v>
      </c>
      <c r="F44" s="2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9" min="3" style="0" width="13"/>
    <col collapsed="false" customWidth="true" hidden="false" outlineLevel="0" max="10" min="10" style="0" width="46"/>
  </cols>
  <sheetData>
    <row r="2" customFormat="false" ht="17.35" hidden="false" customHeight="false" outlineLevel="0" collapsed="false">
      <c r="B2" s="1" t="s">
        <v>287</v>
      </c>
    </row>
    <row r="3" customFormat="false" ht="32.8" hidden="false" customHeight="false" outlineLevel="0" collapsed="false">
      <c r="B3" s="2" t="s">
        <v>288</v>
      </c>
    </row>
    <row r="5" customFormat="false" ht="15" hidden="false" customHeight="false" outlineLevel="0" collapsed="false">
      <c r="B5" s="14" t="s">
        <v>289</v>
      </c>
    </row>
    <row r="6" customFormat="false" ht="15" hidden="false" customHeight="false" outlineLevel="0" collapsed="false">
      <c r="B6" s="29" t="s">
        <v>290</v>
      </c>
    </row>
    <row r="7" customFormat="false" ht="15" hidden="false" customHeight="false" outlineLevel="0" collapsed="false">
      <c r="C7" s="30" t="n">
        <v>-0.05</v>
      </c>
      <c r="D7" s="30" t="n">
        <v>-0.025</v>
      </c>
      <c r="E7" s="30" t="n">
        <v>0</v>
      </c>
      <c r="F7" s="30" t="n">
        <v>0.025</v>
      </c>
      <c r="G7" s="30" t="n">
        <v>0.05</v>
      </c>
    </row>
    <row r="8" customFormat="false" ht="22.35" hidden="false" customHeight="false" outlineLevel="0" collapsed="false">
      <c r="B8" s="30" t="n">
        <v>-0.1</v>
      </c>
      <c r="C8" s="21" t="n">
        <f aca="false">((6355373*(1+C$7)+4_Emblem_Norm!$C$29*256)*0.9413-(1959830-331600)-4_Emblem_Norm!$C$41)/(4_Emblem_Norm!$C$7+54579077*$B8)</f>
        <v>0.0635896622600766</v>
      </c>
      <c r="D8" s="21" t="n">
        <f aca="false">((6355373*(1+D$7)+4_Emblem_Norm!$C$29*256)*0.9413-(1959830-331600)-4_Emblem_Norm!$C$41)/(4_Emblem_Norm!$C$7+54579077*$B8)</f>
        <v>0.0657104820418776</v>
      </c>
      <c r="E8" s="21" t="n">
        <f aca="false">((6355373*(1+E$7)+4_Emblem_Norm!$C$29*256)*0.9413-(1959830-331600)-4_Emblem_Norm!$C$41)/(4_Emblem_Norm!$C$7+54579077*$B8)</f>
        <v>0.0678313018236787</v>
      </c>
      <c r="F8" s="21" t="n">
        <f aca="false">((6355373*(1+F$7)+4_Emblem_Norm!$C$29*256)*0.9413-(1959830-331600)-4_Emblem_Norm!$C$41)/(4_Emblem_Norm!$C$7+54579077*$B8)</f>
        <v>0.0699521216054797</v>
      </c>
      <c r="G8" s="21" t="n">
        <f aca="false">((6355373*(1+G$7)+4_Emblem_Norm!$C$29*256)*0.9413-(1959830-331600)-4_Emblem_Norm!$C$41)/(4_Emblem_Norm!$C$7+54579077*$B8)</f>
        <v>0.0720729413872807</v>
      </c>
      <c r="J8" s="2" t="s">
        <v>291</v>
      </c>
    </row>
    <row r="9" customFormat="false" ht="15" hidden="false" customHeight="false" outlineLevel="0" collapsed="false">
      <c r="B9" s="30" t="n">
        <v>-0.05</v>
      </c>
      <c r="C9" s="21" t="n">
        <f aca="false">((6355373*(1+C$7)+4_Emblem_Norm!$C$29*256)*0.9413-(1959830-331600)-4_Emblem_Norm!$C$41)/(4_Emblem_Norm!$C$7+54579077*$B9)</f>
        <v>0.0612205372292843</v>
      </c>
      <c r="D9" s="21" t="n">
        <f aca="false">((6355373*(1+D$7)+4_Emblem_Norm!$C$29*256)*0.9413-(1959830-331600)-4_Emblem_Norm!$C$41)/(4_Emblem_Norm!$C$7+54579077*$B9)</f>
        <v>0.063262342796317</v>
      </c>
      <c r="E9" s="21" t="n">
        <f aca="false">((6355373*(1+E$7)+4_Emblem_Norm!$C$29*256)*0.9413-(1959830-331600)-4_Emblem_Norm!$C$41)/(4_Emblem_Norm!$C$7+54579077*$B9)</f>
        <v>0.0653041483633497</v>
      </c>
      <c r="F9" s="21" t="n">
        <f aca="false">((6355373*(1+F$7)+4_Emblem_Norm!$C$29*256)*0.9413-(1959830-331600)-4_Emblem_Norm!$C$41)/(4_Emblem_Norm!$C$7+54579077*$B9)</f>
        <v>0.0673459539303823</v>
      </c>
      <c r="G9" s="21" t="n">
        <f aca="false">((6355373*(1+G$7)+4_Emblem_Norm!$C$29*256)*0.9413-(1959830-331600)-4_Emblem_Norm!$C$41)/(4_Emblem_Norm!$C$7+54579077*$B9)</f>
        <v>0.069387759497415</v>
      </c>
    </row>
    <row r="10" customFormat="false" ht="15" hidden="false" customHeight="false" outlineLevel="0" collapsed="false">
      <c r="B10" s="30" t="n">
        <v>0</v>
      </c>
      <c r="C10" s="21" t="n">
        <f aca="false">((6355373*(1+C$7)+4_Emblem_Norm!$C$29*256)*0.9413-(1959830-331600)-4_Emblem_Norm!$C$41)/(4_Emblem_Norm!$C$7+54579077*$B10)</f>
        <v>0.0590216019076138</v>
      </c>
      <c r="D10" s="21" t="n">
        <f aca="false">((6355373*(1+D$7)+4_Emblem_Norm!$C$29*256)*0.9413-(1959830-331600)-4_Emblem_Norm!$C$41)/(4_Emblem_Norm!$C$7+54579077*$B10)</f>
        <v>0.06099006936648</v>
      </c>
      <c r="E10" s="21" t="n">
        <f aca="false">((6355373*(1+E$7)+4_Emblem_Norm!$C$29*256)*0.9413-(1959830-331600)-4_Emblem_Norm!$C$41)/(4_Emblem_Norm!$C$7+54579077*$B10)</f>
        <v>0.0629585368253461</v>
      </c>
      <c r="F10" s="21" t="n">
        <f aca="false">((6355373*(1+F$7)+4_Emblem_Norm!$C$29*256)*0.9413-(1959830-331600)-4_Emblem_Norm!$C$41)/(4_Emblem_Norm!$C$7+54579077*$B10)</f>
        <v>0.0649270042842123</v>
      </c>
      <c r="G10" s="21" t="n">
        <f aca="false">((6355373*(1+G$7)+4_Emblem_Norm!$C$29*256)*0.9413-(1959830-331600)-4_Emblem_Norm!$C$41)/(4_Emblem_Norm!$C$7+54579077*$B10)</f>
        <v>0.0668954717430785</v>
      </c>
    </row>
    <row r="11" customFormat="false" ht="15" hidden="false" customHeight="false" outlineLevel="0" collapsed="false">
      <c r="B11" s="30" t="n">
        <v>0.05</v>
      </c>
      <c r="C11" s="21" t="n">
        <f aca="false">((6355373*(1+C$7)+4_Emblem_Norm!$C$29*256)*0.9413-(1959830-331600)-4_Emblem_Norm!$C$41)/(4_Emblem_Norm!$C$7+54579077*$B11)</f>
        <v>0.0569751533965204</v>
      </c>
      <c r="D11" s="21" t="n">
        <f aca="false">((6355373*(1+D$7)+4_Emblem_Norm!$C$29*256)*0.9413-(1959830-331600)-4_Emblem_Norm!$C$41)/(4_Emblem_Norm!$C$7+54579077*$B11)</f>
        <v>0.0588753684330508</v>
      </c>
      <c r="E11" s="21" t="n">
        <f aca="false">((6355373*(1+E$7)+4_Emblem_Norm!$C$29*256)*0.9413-(1959830-331600)-4_Emblem_Norm!$C$41)/(4_Emblem_Norm!$C$7+54579077*$B11)</f>
        <v>0.0607755834695812</v>
      </c>
      <c r="F11" s="21" t="n">
        <f aca="false">((6355373*(1+F$7)+4_Emblem_Norm!$C$29*256)*0.9413-(1959830-331600)-4_Emblem_Norm!$C$41)/(4_Emblem_Norm!$C$7+54579077*$B11)</f>
        <v>0.0626757985061116</v>
      </c>
      <c r="G11" s="21" t="n">
        <f aca="false">((6355373*(1+G$7)+4_Emblem_Norm!$C$29*256)*0.9413-(1959830-331600)-4_Emblem_Norm!$C$41)/(4_Emblem_Norm!$C$7+54579077*$B11)</f>
        <v>0.064576013542642</v>
      </c>
    </row>
    <row r="12" customFormat="false" ht="15" hidden="false" customHeight="false" outlineLevel="0" collapsed="false">
      <c r="B12" s="30" t="n">
        <v>0.1</v>
      </c>
      <c r="C12" s="21" t="n">
        <f aca="false">((6355373*(1+C$7)+4_Emblem_Norm!$C$29*256)*0.9413-(1959830-331600)-4_Emblem_Norm!$C$41)/(4_Emblem_Norm!$C$7+54579077*$B12)</f>
        <v>0.0550658617613987</v>
      </c>
      <c r="D12" s="21" t="n">
        <f aca="false">((6355373*(1+D$7)+4_Emblem_Norm!$C$29*256)*0.9413-(1959830-331600)-4_Emblem_Norm!$C$41)/(4_Emblem_Norm!$C$7+54579077*$B12)</f>
        <v>0.0569023987829015</v>
      </c>
      <c r="E12" s="21" t="n">
        <f aca="false">((6355373*(1+E$7)+4_Emblem_Norm!$C$29*256)*0.9413-(1959830-331600)-4_Emblem_Norm!$C$41)/(4_Emblem_Norm!$C$7+54579077*$B12)</f>
        <v>0.0587389358044044</v>
      </c>
      <c r="F12" s="21" t="n">
        <f aca="false">((6355373*(1+F$7)+4_Emblem_Norm!$C$29*256)*0.9413-(1959830-331600)-4_Emblem_Norm!$C$41)/(4_Emblem_Norm!$C$7+54579077*$B12)</f>
        <v>0.0605754728259072</v>
      </c>
      <c r="G12" s="21" t="n">
        <f aca="false">((6355373*(1+G$7)+4_Emblem_Norm!$C$29*256)*0.9413-(1959830-331600)-4_Emblem_Norm!$C$41)/(4_Emblem_Norm!$C$7+54579077*$B12)</f>
        <v>0.0624120098474101</v>
      </c>
    </row>
    <row r="15" customFormat="false" ht="15" hidden="false" customHeight="false" outlineLevel="0" collapsed="false">
      <c r="B15" s="14" t="s">
        <v>292</v>
      </c>
    </row>
    <row r="16" customFormat="false" ht="15" hidden="false" customHeight="false" outlineLevel="0" collapsed="false">
      <c r="C16" s="30" t="n">
        <v>-0.1</v>
      </c>
      <c r="D16" s="30" t="n">
        <v>-0.05</v>
      </c>
      <c r="E16" s="30" t="n">
        <v>0</v>
      </c>
      <c r="F16" s="30" t="n">
        <v>0.05</v>
      </c>
      <c r="G16" s="30" t="n">
        <v>0.1</v>
      </c>
    </row>
    <row r="17" customFormat="false" ht="22.35" hidden="false" customHeight="false" outlineLevel="0" collapsed="false">
      <c r="B17" s="11" t="n">
        <v>0.0575</v>
      </c>
      <c r="C17" s="12" t="n">
        <f aca="false">(($B17*4_Emblem_Norm!$C$7*(1+C$16)+(1959830-331600)+4_Emblem_Norm!$C$41)/0.9413-4_Emblem_Norm!$C$29*256)/256/12/938.98</f>
        <v>1.88961378556508</v>
      </c>
      <c r="D17" s="12" t="n">
        <f aca="false">(($B17*4_Emblem_Norm!$C$7*(1+D$16)+(1959830-331600)+4_Emblem_Norm!$C$41)/0.9413-4_Emblem_Norm!$C$29*256)/256/12/938.98</f>
        <v>1.97006138868746</v>
      </c>
      <c r="E17" s="12" t="n">
        <f aca="false">(($B17*4_Emblem_Norm!$C$7*(1+E$16)+(1959830-331600)+4_Emblem_Norm!$C$41)/0.9413-4_Emblem_Norm!$C$29*256)/256/12/938.98</f>
        <v>2.05050899180984</v>
      </c>
      <c r="F17" s="12" t="n">
        <f aca="false">(($B17*4_Emblem_Norm!$C$7*(1+F$16)+(1959830-331600)+4_Emblem_Norm!$C$41)/0.9413-4_Emblem_Norm!$C$29*256)/256/12/938.98</f>
        <v>2.13095659493223</v>
      </c>
      <c r="G17" s="12" t="n">
        <f aca="false">(($B17*4_Emblem_Norm!$C$7*(1+G$16)+(1959830-331600)+4_Emblem_Norm!$C$41)/0.9413-4_Emblem_Norm!$C$29*256)/256/12/938.98</f>
        <v>2.21140419805461</v>
      </c>
      <c r="J17" s="2" t="s">
        <v>293</v>
      </c>
    </row>
    <row r="18" customFormat="false" ht="15" hidden="false" customHeight="false" outlineLevel="0" collapsed="false">
      <c r="B18" s="11" t="n">
        <v>0.06</v>
      </c>
      <c r="C18" s="12" t="n">
        <f aca="false">(($B18*4_Emblem_Norm!$C$7*(1+C$16)+(1959830-331600)+4_Emblem_Norm!$C$41)/0.9413-4_Emblem_Norm!$C$29*256)/256/12/938.98</f>
        <v>1.95257277931303</v>
      </c>
      <c r="D18" s="12" t="n">
        <f aca="false">(($B18*4_Emblem_Norm!$C$7*(1+D$16)+(1959830-331600)+4_Emblem_Norm!$C$41)/0.9413-4_Emblem_Norm!$C$29*256)/256/12/938.98</f>
        <v>2.0365181043103</v>
      </c>
      <c r="E18" s="12" t="n">
        <f aca="false">(($B18*4_Emblem_Norm!$C$7*(1+E$16)+(1959830-331600)+4_Emblem_Norm!$C$41)/0.9413-4_Emblem_Norm!$C$29*256)/256/12/938.98</f>
        <v>2.12046342930757</v>
      </c>
      <c r="F18" s="12" t="n">
        <f aca="false">(($B18*4_Emblem_Norm!$C$7*(1+F$16)+(1959830-331600)+4_Emblem_Norm!$C$41)/0.9413-4_Emblem_Norm!$C$29*256)/256/12/938.98</f>
        <v>2.20440875430484</v>
      </c>
      <c r="G18" s="12" t="n">
        <f aca="false">(($B18*4_Emblem_Norm!$C$7*(1+G$16)+(1959830-331600)+4_Emblem_Norm!$C$41)/0.9413-4_Emblem_Norm!$C$29*256)/256/12/938.98</f>
        <v>2.28835407930211</v>
      </c>
    </row>
    <row r="19" customFormat="false" ht="15" hidden="false" customHeight="false" outlineLevel="0" collapsed="false">
      <c r="B19" s="11" t="n">
        <v>0.0625</v>
      </c>
      <c r="C19" s="12" t="n">
        <f aca="false">(($B19*4_Emblem_Norm!$C$7*(1+C$16)+(1959830-331600)+4_Emblem_Norm!$C$41)/0.9413-4_Emblem_Norm!$C$29*256)/256/12/938.98</f>
        <v>2.01553177306098</v>
      </c>
      <c r="D19" s="12" t="n">
        <f aca="false">(($B19*4_Emblem_Norm!$C$7*(1+D$16)+(1959830-331600)+4_Emblem_Norm!$C$41)/0.9413-4_Emblem_Norm!$C$29*256)/256/12/938.98</f>
        <v>2.10297481993314</v>
      </c>
      <c r="E19" s="12" t="n">
        <f aca="false">(($B19*4_Emblem_Norm!$C$7*(1+E$16)+(1959830-331600)+4_Emblem_Norm!$C$41)/0.9413-4_Emblem_Norm!$C$29*256)/256/12/938.98</f>
        <v>2.19041786680529</v>
      </c>
      <c r="F19" s="12" t="n">
        <f aca="false">(($B19*4_Emblem_Norm!$C$7*(1+F$16)+(1959830-331600)+4_Emblem_Norm!$C$41)/0.9413-4_Emblem_Norm!$C$29*256)/256/12/938.98</f>
        <v>2.27786091367745</v>
      </c>
      <c r="G19" s="12" t="n">
        <f aca="false">(($B19*4_Emblem_Norm!$C$7*(1+G$16)+(1959830-331600)+4_Emblem_Norm!$C$41)/0.9413-4_Emblem_Norm!$C$29*256)/256/12/938.98</f>
        <v>2.3653039605496</v>
      </c>
    </row>
    <row r="20" customFormat="false" ht="15" hidden="false" customHeight="false" outlineLevel="0" collapsed="false">
      <c r="B20" s="11" t="n">
        <v>0.065</v>
      </c>
      <c r="C20" s="12" t="n">
        <f aca="false">(($B20*4_Emblem_Norm!$C$7*(1+C$16)+(1959830-331600)+4_Emblem_Norm!$C$41)/0.9413-4_Emblem_Norm!$C$29*256)/256/12/938.98</f>
        <v>2.07849076680893</v>
      </c>
      <c r="D20" s="12" t="n">
        <f aca="false">(($B20*4_Emblem_Norm!$C$7*(1+D$16)+(1959830-331600)+4_Emblem_Norm!$C$41)/0.9413-4_Emblem_Norm!$C$29*256)/256/12/938.98</f>
        <v>2.16943153555598</v>
      </c>
      <c r="E20" s="12" t="n">
        <f aca="false">(($B20*4_Emblem_Norm!$C$7*(1+E$16)+(1959830-331600)+4_Emblem_Norm!$C$41)/0.9413-4_Emblem_Norm!$C$29*256)/256/12/938.98</f>
        <v>2.26037230430302</v>
      </c>
      <c r="F20" s="12" t="n">
        <f aca="false">(($B20*4_Emblem_Norm!$C$7*(1+F$16)+(1959830-331600)+4_Emblem_Norm!$C$41)/0.9413-4_Emblem_Norm!$C$29*256)/256/12/938.98</f>
        <v>2.35131307305006</v>
      </c>
      <c r="G20" s="12" t="n">
        <f aca="false">(($B20*4_Emblem_Norm!$C$7*(1+G$16)+(1959830-331600)+4_Emblem_Norm!$C$41)/0.9413-4_Emblem_Norm!$C$29*256)/256/12/938.98</f>
        <v>2.4422538417971</v>
      </c>
    </row>
    <row r="21" customFormat="false" ht="15" hidden="false" customHeight="false" outlineLevel="0" collapsed="false">
      <c r="B21" s="11" t="n">
        <v>0.0675</v>
      </c>
      <c r="C21" s="12" t="n">
        <f aca="false">(($B21*4_Emblem_Norm!$C$7*(1+C$16)+(1959830-331600)+4_Emblem_Norm!$C$41)/0.9413-4_Emblem_Norm!$C$29*256)/256/12/938.98</f>
        <v>2.14144976055689</v>
      </c>
      <c r="D21" s="12" t="n">
        <f aca="false">(($B21*4_Emblem_Norm!$C$7*(1+D$16)+(1959830-331600)+4_Emblem_Norm!$C$41)/0.9413-4_Emblem_Norm!$C$29*256)/256/12/938.98</f>
        <v>2.23588825117881</v>
      </c>
      <c r="E21" s="12" t="n">
        <f aca="false">(($B21*4_Emblem_Norm!$C$7*(1+E$16)+(1959830-331600)+4_Emblem_Norm!$C$41)/0.9413-4_Emblem_Norm!$C$29*256)/256/12/938.98</f>
        <v>2.33032674180074</v>
      </c>
      <c r="F21" s="12" t="n">
        <f aca="false">(($B21*4_Emblem_Norm!$C$7*(1+F$16)+(1959830-331600)+4_Emblem_Norm!$C$41)/0.9413-4_Emblem_Norm!$C$29*256)/256/12/938.98</f>
        <v>2.42476523242267</v>
      </c>
      <c r="G21" s="12" t="n">
        <f aca="false">(($B21*4_Emblem_Norm!$C$7*(1+G$16)+(1959830-331600)+4_Emblem_Norm!$C$41)/0.9413-4_Emblem_Norm!$C$29*256)/256/12/938.98</f>
        <v>2.5192037230446</v>
      </c>
    </row>
    <row r="22" customFormat="false" ht="15" hidden="false" customHeight="false" outlineLevel="0" collapsed="false">
      <c r="B22" s="11" t="n">
        <v>0.07</v>
      </c>
      <c r="C22" s="12" t="n">
        <f aca="false">(($B22*4_Emblem_Norm!$C$7*(1+C$16)+(1959830-331600)+4_Emblem_Norm!$C$41)/0.9413-4_Emblem_Norm!$C$29*256)/256/12/938.98</f>
        <v>2.20440875430484</v>
      </c>
      <c r="D22" s="12" t="n">
        <f aca="false">(($B22*4_Emblem_Norm!$C$7*(1+D$16)+(1959830-331600)+4_Emblem_Norm!$C$41)/0.9413-4_Emblem_Norm!$C$29*256)/256/12/938.98</f>
        <v>2.30234496680165</v>
      </c>
      <c r="E22" s="12" t="n">
        <f aca="false">(($B22*4_Emblem_Norm!$C$7*(1+E$16)+(1959830-331600)+4_Emblem_Norm!$C$41)/0.9413-4_Emblem_Norm!$C$29*256)/256/12/938.98</f>
        <v>2.40028117929846</v>
      </c>
      <c r="F22" s="12" t="n">
        <f aca="false">(($B22*4_Emblem_Norm!$C$7*(1+F$16)+(1959830-331600)+4_Emblem_Norm!$C$41)/0.9413-4_Emblem_Norm!$C$29*256)/256/12/938.98</f>
        <v>2.49821739179528</v>
      </c>
      <c r="G22" s="12" t="n">
        <f aca="false">(($B22*4_Emblem_Norm!$C$7*(1+G$16)+(1959830-331600)+4_Emblem_Norm!$C$41)/0.9413-4_Emblem_Norm!$C$29*256)/256/12/938.98</f>
        <v>2.59615360429209</v>
      </c>
    </row>
    <row r="24" customFormat="false" ht="15" hidden="false" customHeight="false" outlineLevel="0" collapsed="false">
      <c r="B24" s="14" t="s">
        <v>294</v>
      </c>
    </row>
    <row r="25" customFormat="false" ht="15" hidden="false" customHeight="false" outlineLevel="0" collapsed="false">
      <c r="C25" s="7" t="s">
        <v>295</v>
      </c>
      <c r="D25" s="7" t="s">
        <v>296</v>
      </c>
      <c r="E25" s="7" t="s">
        <v>297</v>
      </c>
      <c r="F25" s="7" t="s">
        <v>298</v>
      </c>
      <c r="G25" s="7" t="s">
        <v>299</v>
      </c>
    </row>
    <row r="26" customFormat="false" ht="22.35" hidden="false" customHeight="false" outlineLevel="0" collapsed="false">
      <c r="B26" s="9" t="n">
        <v>399000</v>
      </c>
      <c r="C26" s="21" t="n">
        <f aca="false">(5_Judy_Norm!$C$31-(0.007*0.95)*(5_Judy_Norm!$C$31/(5_Judy_Norm!$C$27+0.007*0.95)))/(5_Judy_Norm!$C$6+MAX(0,$B26*6.13-2448783))</f>
        <v>0.062979087386613</v>
      </c>
      <c r="D26" s="21" t="n">
        <f aca="false">(5_Judy_Norm!$C$31-(0.0078*0.95)*(5_Judy_Norm!$C$31/(5_Judy_Norm!$C$27+0.0078*0.95)))/(5_Judy_Norm!$C$6+MAX(0,$B26*6.13-2448783))</f>
        <v>0.0621801538794552</v>
      </c>
      <c r="E26" s="21" t="n">
        <f aca="false">(5_Judy_Norm!$C$31-(0.0085*0.95)*(5_Judy_Norm!$C$31/(5_Judy_Norm!$C$27+0.0085*0.95)))/(5_Judy_Norm!$C$6+MAX(0,$B26*6.13-2448783))</f>
        <v>0.0614975322974521</v>
      </c>
      <c r="F26" s="21" t="n">
        <f aca="false">(5_Judy_Norm!$C$31-(0.0092*0.95)*(5_Judy_Norm!$C$31/(5_Judy_Norm!$C$27+0.0092*0.95)))/(5_Judy_Norm!$C$6+MAX(0,$B26*6.13-2448783))</f>
        <v>0.0608297357759334</v>
      </c>
      <c r="G26" s="21" t="n">
        <f aca="false">(5_Judy_Norm!$C$31-(0.01*0.95)*(5_Judy_Norm!$C$31/(5_Judy_Norm!$C$27+0.01*0.95)))/(5_Judy_Norm!$C$6+MAX(0,$B26*6.13-2448783))</f>
        <v>0.0600840809502929</v>
      </c>
      <c r="J26" s="2" t="s">
        <v>300</v>
      </c>
    </row>
    <row r="27" customFormat="false" ht="15" hidden="false" customHeight="false" outlineLevel="0" collapsed="false">
      <c r="B27" s="9" t="n">
        <v>500000</v>
      </c>
      <c r="C27" s="21" t="n">
        <f aca="false">(5_Judy_Norm!$C$31-(0.007*0.95)*(5_Judy_Norm!$C$31/(5_Judy_Norm!$C$27+0.007*0.95)))/(5_Judy_Norm!$C$6+MAX(0,$B27*6.13-2448783))</f>
        <v>0.0620617941324085</v>
      </c>
      <c r="D27" s="21" t="n">
        <f aca="false">(5_Judy_Norm!$C$31-(0.0078*0.95)*(5_Judy_Norm!$C$31/(5_Judy_Norm!$C$27+0.0078*0.95)))/(5_Judy_Norm!$C$6+MAX(0,$B27*6.13-2448783))</f>
        <v>0.0612744971278912</v>
      </c>
      <c r="E27" s="21" t="n">
        <f aca="false">(5_Judy_Norm!$C$31-(0.0085*0.95)*(5_Judy_Norm!$C$31/(5_Judy_Norm!$C$27+0.0085*0.95)))/(5_Judy_Norm!$C$6+MAX(0,$B27*6.13-2448783))</f>
        <v>0.0606018179600819</v>
      </c>
      <c r="F27" s="21" t="n">
        <f aca="false">(5_Judy_Norm!$C$31-(0.0092*0.95)*(5_Judy_Norm!$C$31/(5_Judy_Norm!$C$27+0.0092*0.95)))/(5_Judy_Norm!$C$6+MAX(0,$B27*6.13-2448783))</f>
        <v>0.059943747925081</v>
      </c>
      <c r="G27" s="21" t="n">
        <f aca="false">(5_Judy_Norm!$C$31-(0.01*0.95)*(5_Judy_Norm!$C$31/(5_Judy_Norm!$C$27+0.01*0.95)))/(5_Judy_Norm!$C$6+MAX(0,$B27*6.13-2448783))</f>
        <v>0.0592089535956768</v>
      </c>
    </row>
    <row r="28" customFormat="false" ht="15" hidden="false" customHeight="false" outlineLevel="0" collapsed="false">
      <c r="B28" s="9" t="n">
        <v>625000</v>
      </c>
      <c r="C28" s="21" t="n">
        <f aca="false">(5_Judy_Norm!$C$31-(0.007*0.95)*(5_Judy_Norm!$C$31/(5_Judy_Norm!$C$27+0.007*0.95)))/(5_Judy_Norm!$C$6+MAX(0,$B28*6.13-2448783))</f>
        <v>0.0609577721143497</v>
      </c>
      <c r="D28" s="21" t="n">
        <f aca="false">(5_Judy_Norm!$C$31-(0.0078*0.95)*(5_Judy_Norm!$C$31/(5_Judy_Norm!$C$27+0.0078*0.95)))/(5_Judy_Norm!$C$6+MAX(0,$B28*6.13-2448783))</f>
        <v>0.0601844803966581</v>
      </c>
      <c r="E28" s="21" t="n">
        <f aca="false">(5_Judy_Norm!$C$31-(0.0085*0.95)*(5_Judy_Norm!$C$31/(5_Judy_Norm!$C$27+0.0085*0.95)))/(5_Judy_Norm!$C$6+MAX(0,$B28*6.13-2448783))</f>
        <v>0.0595237675701822</v>
      </c>
      <c r="F28" s="21" t="n">
        <f aca="false">(5_Judy_Norm!$C$31-(0.0092*0.95)*(5_Judy_Norm!$C$31/(5_Judy_Norm!$C$27+0.0092*0.95)))/(5_Judy_Norm!$C$6+MAX(0,$B28*6.13-2448783))</f>
        <v>0.0588774039935301</v>
      </c>
      <c r="G28" s="21" t="n">
        <f aca="false">(5_Judy_Norm!$C$31-(0.01*0.95)*(5_Judy_Norm!$C$31/(5_Judy_Norm!$C$27+0.01*0.95)))/(5_Judy_Norm!$C$6+MAX(0,$B28*6.13-2448783))</f>
        <v>0.0581556809768352</v>
      </c>
    </row>
    <row r="29" customFormat="false" ht="15" hidden="false" customHeight="false" outlineLevel="0" collapsed="false">
      <c r="B29" s="9" t="n">
        <v>750000</v>
      </c>
      <c r="C29" s="21" t="n">
        <f aca="false">(5_Judy_Norm!$C$31-(0.007*0.95)*(5_Judy_Norm!$C$31/(5_Judy_Norm!$C$27+0.007*0.95)))/(5_Judy_Norm!$C$6+MAX(0,$B29*6.13-2448783))</f>
        <v>0.0598923426354408</v>
      </c>
      <c r="D29" s="21" t="n">
        <f aca="false">(5_Judy_Norm!$C$31-(0.0078*0.95)*(5_Judy_Norm!$C$31/(5_Judy_Norm!$C$27+0.0078*0.95)))/(5_Judy_Norm!$C$6+MAX(0,$B29*6.13-2448783))</f>
        <v>0.0591325666313858</v>
      </c>
      <c r="E29" s="21" t="n">
        <f aca="false">(5_Judy_Norm!$C$31-(0.0085*0.95)*(5_Judy_Norm!$C$31/(5_Judy_Norm!$C$27+0.0085*0.95)))/(5_Judy_Norm!$C$6+MAX(0,$B29*6.13-2448783))</f>
        <v>0.0584834018470709</v>
      </c>
      <c r="F29" s="21" t="n">
        <f aca="false">(5_Judy_Norm!$C$31-(0.0092*0.95)*(5_Judy_Norm!$C$31/(5_Judy_Norm!$C$27+0.0092*0.95)))/(5_Judy_Norm!$C$6+MAX(0,$B29*6.13-2448783))</f>
        <v>0.0578483355141464</v>
      </c>
      <c r="G29" s="21" t="n">
        <f aca="false">(5_Judy_Norm!$C$31-(0.01*0.95)*(5_Judy_Norm!$C$31/(5_Judy_Norm!$C$27+0.01*0.95)))/(5_Judy_Norm!$C$6+MAX(0,$B29*6.13-2448783))</f>
        <v>0.0571392268852633</v>
      </c>
    </row>
    <row r="30" customFormat="false" ht="15" hidden="false" customHeight="false" outlineLevel="0" collapsed="false">
      <c r="B30" s="9" t="n">
        <v>850000</v>
      </c>
      <c r="C30" s="21" t="n">
        <f aca="false">(5_Judy_Norm!$C$31-(0.007*0.95)*(5_Judy_Norm!$C$31/(5_Judy_Norm!$C$27+0.007*0.95)))/(5_Judy_Norm!$C$6+MAX(0,$B30*6.13-2448783))</f>
        <v>0.0590664445870756</v>
      </c>
      <c r="D30" s="21" t="n">
        <f aca="false">(5_Judy_Norm!$C$31-(0.0078*0.95)*(5_Judy_Norm!$C$31/(5_Judy_Norm!$C$27+0.0078*0.95)))/(5_Judy_Norm!$C$6+MAX(0,$B30*6.13-2448783))</f>
        <v>0.0583171456739363</v>
      </c>
      <c r="E30" s="21" t="n">
        <f aca="false">(5_Judy_Norm!$C$31-(0.0085*0.95)*(5_Judy_Norm!$C$31/(5_Judy_Norm!$C$27+0.0085*0.95)))/(5_Judy_Norm!$C$6+MAX(0,$B30*6.13-2448783))</f>
        <v>0.0576769326838716</v>
      </c>
      <c r="F30" s="21" t="n">
        <f aca="false">(5_Judy_Norm!$C$31-(0.0092*0.95)*(5_Judy_Norm!$C$31/(5_Judy_Norm!$C$27+0.0092*0.95)))/(5_Judy_Norm!$C$6+MAX(0,$B30*6.13-2448783))</f>
        <v>0.0570506237316382</v>
      </c>
      <c r="G30" s="21" t="n">
        <f aca="false">(5_Judy_Norm!$C$31-(0.01*0.95)*(5_Judy_Norm!$C$31/(5_Judy_Norm!$C$27+0.01*0.95)))/(5_Judy_Norm!$C$6+MAX(0,$B30*6.13-2448783))</f>
        <v>0.0563512935052504</v>
      </c>
    </row>
    <row r="33" customFormat="false" ht="32.8" hidden="false" customHeight="false" outlineLevel="0" collapsed="false">
      <c r="B33" s="2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5" min="3" style="0" width="16"/>
    <col collapsed="false" customWidth="true" hidden="false" outlineLevel="0" max="6" min="6" style="0" width="54"/>
  </cols>
  <sheetData>
    <row r="2" customFormat="false" ht="17.35" hidden="false" customHeight="false" outlineLevel="0" collapsed="false">
      <c r="B2" s="1" t="s">
        <v>302</v>
      </c>
    </row>
    <row r="4" customFormat="false" ht="15" hidden="false" customHeight="false" outlineLevel="0" collapsed="false">
      <c r="B4" s="14" t="s">
        <v>303</v>
      </c>
    </row>
    <row r="5" customFormat="false" ht="15" hidden="false" customHeight="false" outlineLevel="0" collapsed="false">
      <c r="B5" s="5" t="s">
        <v>304</v>
      </c>
      <c r="C5" s="5" t="s">
        <v>305</v>
      </c>
      <c r="D5" s="5" t="s">
        <v>306</v>
      </c>
      <c r="E5" s="5" t="s">
        <v>307</v>
      </c>
    </row>
    <row r="6" customFormat="false" ht="22.35" hidden="false" customHeight="false" outlineLevel="0" collapsed="false">
      <c r="B6" s="13" t="s">
        <v>308</v>
      </c>
      <c r="C6" s="31" t="n">
        <v>0.004053</v>
      </c>
      <c r="D6" s="31" t="n">
        <v>0.002033</v>
      </c>
      <c r="E6" s="2" t="s">
        <v>309</v>
      </c>
    </row>
    <row r="7" customFormat="false" ht="32.8" hidden="false" customHeight="false" outlineLevel="0" collapsed="false">
      <c r="B7" s="13" t="s">
        <v>310</v>
      </c>
      <c r="C7" s="31" t="n">
        <v>0.002797</v>
      </c>
      <c r="D7" s="31" t="n">
        <v>0.000332</v>
      </c>
      <c r="E7" s="2" t="s">
        <v>311</v>
      </c>
    </row>
    <row r="8" customFormat="false" ht="15" hidden="false" customHeight="false" outlineLevel="0" collapsed="false">
      <c r="B8" s="13" t="s">
        <v>312</v>
      </c>
      <c r="C8" s="31" t="n">
        <v>0.002209</v>
      </c>
      <c r="D8" s="31" t="n">
        <v>0.002142</v>
      </c>
      <c r="E8" s="2" t="s">
        <v>313</v>
      </c>
    </row>
    <row r="9" customFormat="false" ht="53.7" hidden="false" customHeight="false" outlineLevel="0" collapsed="false">
      <c r="B9" s="6" t="s">
        <v>314</v>
      </c>
      <c r="C9" s="31" t="n">
        <v>0.009059</v>
      </c>
      <c r="D9" s="31" t="n">
        <v>0.004507</v>
      </c>
      <c r="E9" s="2" t="s">
        <v>315</v>
      </c>
    </row>
    <row r="11" customFormat="false" ht="15" hidden="false" customHeight="false" outlineLevel="0" collapsed="false">
      <c r="B11" s="14" t="s">
        <v>316</v>
      </c>
    </row>
    <row r="12" customFormat="false" ht="15" hidden="false" customHeight="true" outlineLevel="0" collapsed="false">
      <c r="B12" s="32" t="s">
        <v>317</v>
      </c>
      <c r="C12" s="32"/>
      <c r="D12" s="32"/>
      <c r="E12" s="32"/>
      <c r="F12" s="32"/>
    </row>
    <row r="13" customFormat="false" ht="15" hidden="false" customHeight="false" outlineLevel="0" collapsed="false">
      <c r="B13" s="32"/>
      <c r="C13" s="32"/>
      <c r="D13" s="32"/>
      <c r="E13" s="32"/>
      <c r="F13" s="32"/>
    </row>
    <row r="14" customFormat="false" ht="15" hidden="false" customHeight="false" outlineLevel="0" collapsed="false">
      <c r="B14" s="32"/>
      <c r="C14" s="32"/>
      <c r="D14" s="32"/>
      <c r="E14" s="32"/>
      <c r="F14" s="32"/>
    </row>
    <row r="16" customFormat="false" ht="15" hidden="false" customHeight="false" outlineLevel="0" collapsed="false">
      <c r="B16" s="14" t="s">
        <v>318</v>
      </c>
    </row>
    <row r="17" customFormat="false" ht="15" hidden="false" customHeight="false" outlineLevel="0" collapsed="false">
      <c r="B17" s="13" t="s">
        <v>319</v>
      </c>
      <c r="C17" s="10" t="n">
        <f aca="false">3428-1340</f>
        <v>2088</v>
      </c>
      <c r="F17" s="2" t="s">
        <v>320</v>
      </c>
    </row>
    <row r="18" customFormat="false" ht="15" hidden="false" customHeight="false" outlineLevel="0" collapsed="false">
      <c r="B18" s="13" t="s">
        <v>321</v>
      </c>
      <c r="C18" s="10" t="n">
        <f aca="false">C17/0.05</f>
        <v>41760</v>
      </c>
      <c r="F18" s="2" t="s">
        <v>322</v>
      </c>
    </row>
    <row r="19" customFormat="false" ht="15" hidden="false" customHeight="false" outlineLevel="0" collapsed="false">
      <c r="B19" s="13" t="s">
        <v>323</v>
      </c>
      <c r="C19" s="9" t="n">
        <v>381944</v>
      </c>
      <c r="F19" s="2"/>
    </row>
    <row r="20" customFormat="false" ht="15" hidden="false" customHeight="false" outlineLevel="0" collapsed="false">
      <c r="B20" s="13" t="s">
        <v>324</v>
      </c>
      <c r="C20" s="10" t="n">
        <f aca="false">5027967+C17*288</f>
        <v>5629311</v>
      </c>
      <c r="F20" s="2" t="s">
        <v>325</v>
      </c>
    </row>
    <row r="21" customFormat="false" ht="15" hidden="false" customHeight="false" outlineLevel="0" collapsed="false">
      <c r="B21" s="13" t="s">
        <v>326</v>
      </c>
      <c r="C21" s="10" t="n">
        <f aca="false">C20/0.045709/288</f>
        <v>427622.979063204</v>
      </c>
      <c r="F21" s="2"/>
    </row>
    <row r="22" customFormat="false" ht="15" hidden="false" customHeight="false" outlineLevel="0" collapsed="false">
      <c r="B22" s="13" t="s">
        <v>327</v>
      </c>
      <c r="C22" s="9" t="n">
        <v>327778</v>
      </c>
      <c r="F22" s="2"/>
    </row>
    <row r="23" customFormat="false" ht="15" hidden="false" customHeight="false" outlineLevel="0" collapsed="false">
      <c r="B23" s="13" t="s">
        <v>328</v>
      </c>
      <c r="C23" s="15" t="n">
        <f aca="false">C22/C21-1</f>
        <v>-0.233488338914656</v>
      </c>
      <c r="F23" s="2" t="s">
        <v>329</v>
      </c>
    </row>
    <row r="24" customFormat="false" ht="15" hidden="false" customHeight="false" outlineLevel="0" collapsed="false">
      <c r="B24" s="13" t="s">
        <v>330</v>
      </c>
      <c r="C24" s="10" t="n">
        <f aca="false">(5904654-C17*360)/0.05/360</f>
        <v>286276.333333333</v>
      </c>
      <c r="F24" s="2" t="s">
        <v>331</v>
      </c>
    </row>
    <row r="26" customFormat="false" ht="15" hidden="false" customHeight="true" outlineLevel="0" collapsed="false">
      <c r="B26" s="16" t="s">
        <v>332</v>
      </c>
      <c r="C26" s="16"/>
      <c r="D26" s="16"/>
      <c r="E26" s="16"/>
      <c r="F26" s="16"/>
    </row>
    <row r="27" customFormat="false" ht="15" hidden="false" customHeight="false" outlineLevel="0" collapsed="false">
      <c r="B27" s="16"/>
      <c r="C27" s="16"/>
      <c r="D27" s="16"/>
      <c r="E27" s="16"/>
      <c r="F27" s="16"/>
    </row>
  </sheetData>
  <mergeCells count="2">
    <mergeCell ref="B12:F14"/>
    <mergeCell ref="B26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5" min="3" style="0" width="15"/>
    <col collapsed="false" customWidth="true" hidden="false" outlineLevel="0" max="6" min="6" style="0" width="56"/>
  </cols>
  <sheetData>
    <row r="2" customFormat="false" ht="17.35" hidden="false" customHeight="false" outlineLevel="0" collapsed="false">
      <c r="B2" s="1" t="s">
        <v>333</v>
      </c>
    </row>
    <row r="4" customFormat="false" ht="15" hidden="false" customHeight="false" outlineLevel="0" collapsed="false">
      <c r="B4" s="14" t="s">
        <v>334</v>
      </c>
    </row>
    <row r="5" customFormat="false" ht="26.85" hidden="false" customHeight="false" outlineLevel="0" collapsed="false">
      <c r="B5" s="5"/>
      <c r="C5" s="5" t="s">
        <v>20</v>
      </c>
      <c r="D5" s="5" t="s">
        <v>22</v>
      </c>
    </row>
    <row r="6" customFormat="false" ht="15" hidden="false" customHeight="false" outlineLevel="0" collapsed="false">
      <c r="B6" s="6" t="s">
        <v>335</v>
      </c>
      <c r="C6" s="8" t="n">
        <v>1130</v>
      </c>
      <c r="D6" s="8" t="n">
        <v>143</v>
      </c>
    </row>
    <row r="7" customFormat="false" ht="15" hidden="false" customHeight="false" outlineLevel="0" collapsed="false">
      <c r="B7" s="6" t="s">
        <v>336</v>
      </c>
      <c r="C7" s="8" t="n">
        <v>228</v>
      </c>
      <c r="D7" s="8" t="n">
        <v>44</v>
      </c>
    </row>
    <row r="8" customFormat="false" ht="15" hidden="false" customHeight="false" outlineLevel="0" collapsed="false">
      <c r="B8" s="6" t="s">
        <v>337</v>
      </c>
      <c r="C8" s="8" t="n">
        <v>507</v>
      </c>
      <c r="D8" s="8" t="n">
        <v>102</v>
      </c>
    </row>
    <row r="9" customFormat="false" ht="15" hidden="false" customHeight="false" outlineLevel="0" collapsed="false">
      <c r="B9" s="6" t="s">
        <v>338</v>
      </c>
      <c r="C9" s="8" t="n">
        <v>309</v>
      </c>
      <c r="D9" s="8" t="n">
        <v>40</v>
      </c>
    </row>
    <row r="11" customFormat="false" ht="15" hidden="false" customHeight="false" outlineLevel="0" collapsed="false">
      <c r="B11" s="14" t="s">
        <v>339</v>
      </c>
    </row>
    <row r="12" customFormat="false" ht="15" hidden="false" customHeight="false" outlineLevel="0" collapsed="false">
      <c r="B12" s="5" t="s">
        <v>340</v>
      </c>
      <c r="C12" s="5" t="s">
        <v>43</v>
      </c>
      <c r="D12" s="5" t="s">
        <v>341</v>
      </c>
    </row>
    <row r="13" customFormat="false" ht="15" hidden="false" customHeight="false" outlineLevel="0" collapsed="false">
      <c r="B13" s="13" t="s">
        <v>342</v>
      </c>
      <c r="C13" s="8" t="n">
        <v>552</v>
      </c>
      <c r="D13" s="7" t="s">
        <v>343</v>
      </c>
    </row>
    <row r="14" customFormat="false" ht="15" hidden="false" customHeight="false" outlineLevel="0" collapsed="false">
      <c r="B14" s="13" t="s">
        <v>344</v>
      </c>
      <c r="C14" s="8" t="n">
        <v>213</v>
      </c>
      <c r="D14" s="7" t="s">
        <v>343</v>
      </c>
    </row>
    <row r="15" customFormat="false" ht="15" hidden="false" customHeight="false" outlineLevel="0" collapsed="false">
      <c r="B15" s="13" t="s">
        <v>345</v>
      </c>
      <c r="C15" s="8" t="n">
        <v>212</v>
      </c>
      <c r="D15" s="7" t="s">
        <v>346</v>
      </c>
    </row>
    <row r="16" customFormat="false" ht="15" hidden="false" customHeight="false" outlineLevel="0" collapsed="false">
      <c r="B16" s="13" t="s">
        <v>347</v>
      </c>
      <c r="C16" s="8" t="n">
        <v>164</v>
      </c>
      <c r="D16" s="7" t="s">
        <v>348</v>
      </c>
    </row>
    <row r="17" customFormat="false" ht="15" hidden="false" customHeight="false" outlineLevel="0" collapsed="false">
      <c r="B17" s="13" t="s">
        <v>349</v>
      </c>
      <c r="C17" s="8" t="n">
        <v>72</v>
      </c>
      <c r="D17" s="7" t="s">
        <v>346</v>
      </c>
    </row>
    <row r="18" customFormat="false" ht="15" hidden="false" customHeight="false" outlineLevel="0" collapsed="false">
      <c r="B18" s="17" t="s">
        <v>350</v>
      </c>
      <c r="C18" s="33" t="n">
        <f aca="false">SUM(C13:C17)</f>
        <v>1213</v>
      </c>
    </row>
    <row r="20" customFormat="false" ht="15" hidden="false" customHeight="false" outlineLevel="0" collapsed="false">
      <c r="B20" s="14" t="s">
        <v>351</v>
      </c>
    </row>
    <row r="21" customFormat="false" ht="15" hidden="false" customHeight="false" outlineLevel="0" collapsed="false">
      <c r="B21" s="5" t="s">
        <v>340</v>
      </c>
      <c r="C21" s="5" t="s">
        <v>43</v>
      </c>
    </row>
    <row r="22" customFormat="false" ht="15" hidden="false" customHeight="false" outlineLevel="0" collapsed="false">
      <c r="B22" s="13" t="s">
        <v>352</v>
      </c>
      <c r="C22" s="8" t="n">
        <v>472</v>
      </c>
    </row>
    <row r="23" customFormat="false" ht="15" hidden="false" customHeight="false" outlineLevel="0" collapsed="false">
      <c r="B23" s="13" t="s">
        <v>353</v>
      </c>
      <c r="C23" s="8" t="n">
        <v>390</v>
      </c>
    </row>
    <row r="24" customFormat="false" ht="15" hidden="false" customHeight="false" outlineLevel="0" collapsed="false">
      <c r="B24" s="13" t="s">
        <v>354</v>
      </c>
      <c r="C24" s="8" t="n">
        <v>322</v>
      </c>
    </row>
    <row r="25" customFormat="false" ht="15" hidden="false" customHeight="false" outlineLevel="0" collapsed="false">
      <c r="B25" s="13" t="s">
        <v>355</v>
      </c>
      <c r="C25" s="8" t="n">
        <v>301</v>
      </c>
    </row>
    <row r="26" customFormat="false" ht="15" hidden="false" customHeight="false" outlineLevel="0" collapsed="false">
      <c r="B26" s="13" t="s">
        <v>356</v>
      </c>
      <c r="C26" s="8" t="n">
        <v>275</v>
      </c>
    </row>
    <row r="27" customFormat="false" ht="15" hidden="false" customHeight="false" outlineLevel="0" collapsed="false">
      <c r="B27" s="13" t="s">
        <v>357</v>
      </c>
      <c r="C27" s="8" t="n">
        <v>270</v>
      </c>
    </row>
    <row r="28" customFormat="false" ht="15" hidden="false" customHeight="false" outlineLevel="0" collapsed="false">
      <c r="B28" s="13" t="s">
        <v>358</v>
      </c>
      <c r="C28" s="8" t="n">
        <v>250</v>
      </c>
    </row>
    <row r="29" customFormat="false" ht="15" hidden="false" customHeight="false" outlineLevel="0" collapsed="false">
      <c r="B29" s="13" t="s">
        <v>359</v>
      </c>
      <c r="C29" s="8" t="n">
        <v>200</v>
      </c>
    </row>
    <row r="30" customFormat="false" ht="15" hidden="false" customHeight="false" outlineLevel="0" collapsed="false">
      <c r="B30" s="13" t="s">
        <v>360</v>
      </c>
      <c r="C30" s="8" t="n">
        <v>200</v>
      </c>
    </row>
    <row r="31" customFormat="false" ht="15" hidden="false" customHeight="false" outlineLevel="0" collapsed="false">
      <c r="B31" s="13" t="s">
        <v>361</v>
      </c>
      <c r="C31" s="8" t="n">
        <v>162</v>
      </c>
    </row>
    <row r="32" customFormat="false" ht="15" hidden="false" customHeight="false" outlineLevel="0" collapsed="false">
      <c r="B32" s="13" t="s">
        <v>362</v>
      </c>
      <c r="C32" s="8" t="n">
        <v>156</v>
      </c>
    </row>
    <row r="33" customFormat="false" ht="15" hidden="false" customHeight="false" outlineLevel="0" collapsed="false">
      <c r="B33" s="13" t="s">
        <v>363</v>
      </c>
      <c r="C33" s="8" t="n">
        <v>138</v>
      </c>
    </row>
    <row r="34" customFormat="false" ht="15" hidden="false" customHeight="false" outlineLevel="0" collapsed="false">
      <c r="B34" s="13" t="s">
        <v>364</v>
      </c>
      <c r="C34" s="8" t="n">
        <v>36</v>
      </c>
    </row>
    <row r="35" customFormat="false" ht="15" hidden="false" customHeight="false" outlineLevel="0" collapsed="false">
      <c r="B35" s="6" t="s">
        <v>365</v>
      </c>
      <c r="C35" s="8" t="n">
        <v>256</v>
      </c>
    </row>
    <row r="36" customFormat="false" ht="15" hidden="false" customHeight="false" outlineLevel="0" collapsed="false">
      <c r="B36" s="17" t="s">
        <v>366</v>
      </c>
      <c r="C36" s="33" t="n">
        <f aca="false">SUM(C22:C35)</f>
        <v>3428</v>
      </c>
    </row>
    <row r="38" customFormat="false" ht="15" hidden="false" customHeight="true" outlineLevel="0" collapsed="false">
      <c r="B38" s="16" t="s">
        <v>367</v>
      </c>
      <c r="C38" s="16"/>
      <c r="D38" s="16"/>
      <c r="E38" s="16"/>
      <c r="F38" s="16"/>
    </row>
    <row r="39" customFormat="false" ht="15" hidden="false" customHeight="false" outlineLevel="0" collapsed="false">
      <c r="B39" s="16"/>
      <c r="C39" s="16"/>
      <c r="D39" s="16"/>
      <c r="E39" s="16"/>
      <c r="F39" s="16"/>
    </row>
  </sheetData>
  <mergeCells count="1">
    <mergeCell ref="B38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92"/>
  </cols>
  <sheetData>
    <row r="2" customFormat="false" ht="17.35" hidden="false" customHeight="false" outlineLevel="0" collapsed="false">
      <c r="B2" s="1" t="s">
        <v>368</v>
      </c>
    </row>
    <row r="4" customFormat="false" ht="15" hidden="false" customHeight="false" outlineLevel="0" collapsed="false">
      <c r="B4" s="34" t="s">
        <v>369</v>
      </c>
      <c r="C4" s="35" t="s">
        <v>370</v>
      </c>
    </row>
    <row r="5" customFormat="false" ht="23.85" hidden="false" customHeight="false" outlineLevel="0" collapsed="false">
      <c r="B5" s="34" t="s">
        <v>371</v>
      </c>
      <c r="C5" s="35" t="s">
        <v>372</v>
      </c>
    </row>
    <row r="6" customFormat="false" ht="15" hidden="false" customHeight="false" outlineLevel="0" collapsed="false">
      <c r="B6" s="34" t="s">
        <v>373</v>
      </c>
      <c r="C6" s="35" t="s">
        <v>374</v>
      </c>
    </row>
    <row r="7" customFormat="false" ht="15" hidden="false" customHeight="false" outlineLevel="0" collapsed="false">
      <c r="B7" s="34" t="s">
        <v>375</v>
      </c>
      <c r="C7" s="35" t="s">
        <v>376</v>
      </c>
    </row>
    <row r="8" customFormat="false" ht="15" hidden="false" customHeight="false" outlineLevel="0" collapsed="false">
      <c r="B8" s="34" t="s">
        <v>377</v>
      </c>
      <c r="C8" s="35" t="s">
        <v>378</v>
      </c>
    </row>
    <row r="9" customFormat="false" ht="23.85" hidden="false" customHeight="false" outlineLevel="0" collapsed="false">
      <c r="B9" s="34" t="s">
        <v>379</v>
      </c>
      <c r="C9" s="35" t="s">
        <v>380</v>
      </c>
    </row>
    <row r="10" customFormat="false" ht="15" hidden="false" customHeight="false" outlineLevel="0" collapsed="false">
      <c r="B10" s="34" t="s">
        <v>381</v>
      </c>
      <c r="C10" s="35" t="s">
        <v>382</v>
      </c>
    </row>
    <row r="11" customFormat="false" ht="23.85" hidden="false" customHeight="false" outlineLevel="0" collapsed="false">
      <c r="B11" s="34" t="s">
        <v>383</v>
      </c>
      <c r="C11" s="35" t="s">
        <v>384</v>
      </c>
    </row>
    <row r="12" customFormat="false" ht="46.25" hidden="false" customHeight="false" outlineLevel="0" collapsed="false">
      <c r="B12" s="34" t="s">
        <v>385</v>
      </c>
      <c r="C12" s="35" t="s">
        <v>386</v>
      </c>
    </row>
    <row r="14" customFormat="false" ht="15" hidden="false" customHeight="false" outlineLevel="0" collapsed="false">
      <c r="B14" s="29" t="s">
        <v>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2026-08-13T02:45:13Z</dcterms:created>
  <dc:creator>openpyxl</dc:creator>
  <dc:description/>
  <dc:language>en-US</dc:language>
  <cp:lastModifiedBy/>
  <dcterms:modified xsi:type="dcterms:W3CDTF">2026-08-13T02:45:13Z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