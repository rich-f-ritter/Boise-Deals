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ilestonegp.sharepoint.com/sites/TMG-Internal-T/Milestone/Investments-Unrealized/00. Acquisitions/03. West/01. Mountain West/Boise/Seasons at Meridian/02. Supply Chart/"/>
    </mc:Choice>
  </mc:AlternateContent>
  <xr:revisionPtr revIDLastSave="11" documentId="11_C128DAB12049395D77F031C0C443A25679131294" xr6:coauthVersionLast="47" xr6:coauthVersionMax="47" xr10:uidLastSave="{C1286B61-B83E-4F3A-A5B2-79B5E7726622}"/>
  <bookViews>
    <workbookView xWindow="38290" yWindow="-110" windowWidth="38620" windowHeight="21100" xr2:uid="{00000000-000D-0000-FFFF-FFFF00000000}"/>
  </bookViews>
  <sheets>
    <sheet name="Competitive Analysis" sheetId="1" r:id="rId1"/>
    <sheet name="Supply &amp; Absorption" sheetId="2" r:id="rId2"/>
    <sheet name="Reconciliation Log" sheetId="3" r:id="rId3"/>
    <sheet name="Diligence" sheetId="4" r:id="rId4"/>
  </sheets>
  <externalReferences>
    <externalReference r:id="rId5"/>
    <externalReference r:id="rId6"/>
  </externalReferences>
  <calcPr calcId="191029" iterate="1" iterateCount="1000" iterateDelta="0.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1" i="2" l="1"/>
  <c r="N61" i="2"/>
  <c r="M61" i="2"/>
  <c r="L61" i="2"/>
  <c r="K61" i="2"/>
  <c r="J61" i="2"/>
  <c r="O60" i="2"/>
  <c r="N60" i="2"/>
  <c r="M60" i="2"/>
  <c r="L60" i="2"/>
  <c r="K60" i="2"/>
  <c r="J60" i="2"/>
  <c r="O59" i="2"/>
  <c r="N59" i="2"/>
  <c r="M59" i="2"/>
  <c r="L59" i="2"/>
  <c r="K59" i="2"/>
  <c r="J59" i="2"/>
  <c r="O40" i="2"/>
  <c r="N40" i="2"/>
  <c r="M40" i="2"/>
  <c r="L40" i="2"/>
  <c r="K40" i="2"/>
  <c r="J40" i="2"/>
  <c r="O39" i="2"/>
  <c r="N39" i="2"/>
  <c r="M39" i="2"/>
  <c r="L39" i="2"/>
  <c r="K39" i="2"/>
  <c r="J39" i="2"/>
  <c r="O38" i="2"/>
  <c r="N38" i="2"/>
  <c r="M38" i="2"/>
  <c r="L38" i="2"/>
  <c r="K38" i="2"/>
  <c r="J38" i="2"/>
  <c r="P38" i="2" s="1"/>
  <c r="O37" i="2"/>
  <c r="O41" i="2" s="1"/>
  <c r="N37" i="2"/>
  <c r="N41" i="2" s="1"/>
  <c r="M37" i="2"/>
  <c r="M41" i="2" s="1"/>
  <c r="L37" i="2"/>
  <c r="K37" i="2"/>
  <c r="J37" i="2"/>
  <c r="I34" i="2"/>
  <c r="V28" i="2"/>
  <c r="H28" i="2"/>
  <c r="G28" i="2"/>
  <c r="F28" i="2"/>
  <c r="E28" i="2"/>
  <c r="D28" i="2"/>
  <c r="C28" i="2"/>
  <c r="V27" i="2"/>
  <c r="W27" i="2" s="1"/>
  <c r="O27" i="2"/>
  <c r="N27" i="2"/>
  <c r="M27" i="2"/>
  <c r="L27" i="2"/>
  <c r="K27" i="2"/>
  <c r="J27" i="2"/>
  <c r="I27" i="2"/>
  <c r="H26" i="2"/>
  <c r="G26" i="2"/>
  <c r="F26" i="2"/>
  <c r="E26" i="2"/>
  <c r="D26" i="2"/>
  <c r="V25" i="2"/>
  <c r="W25" i="2" s="1"/>
  <c r="O25" i="2"/>
  <c r="N25" i="2"/>
  <c r="M25" i="2"/>
  <c r="L25" i="2"/>
  <c r="K25" i="2"/>
  <c r="J25" i="2"/>
  <c r="I25" i="2"/>
  <c r="I26" i="2" s="1"/>
  <c r="V24" i="2"/>
  <c r="W24" i="2" s="1"/>
  <c r="H24" i="2"/>
  <c r="G24" i="2"/>
  <c r="F24" i="2"/>
  <c r="E24" i="2"/>
  <c r="D24" i="2"/>
  <c r="V23" i="2"/>
  <c r="W23" i="2" s="1"/>
  <c r="O23" i="2"/>
  <c r="N23" i="2"/>
  <c r="M23" i="2"/>
  <c r="L23" i="2"/>
  <c r="K23" i="2"/>
  <c r="J23" i="2"/>
  <c r="I23" i="2"/>
  <c r="V22" i="2"/>
  <c r="V21" i="2"/>
  <c r="V20" i="2"/>
  <c r="V19" i="2"/>
  <c r="V18" i="2"/>
  <c r="W18" i="2" s="1"/>
  <c r="V17" i="2"/>
  <c r="W17" i="2" s="1"/>
  <c r="V16" i="2"/>
  <c r="W16" i="2" s="1"/>
  <c r="V15" i="2"/>
  <c r="W15" i="2" s="1"/>
  <c r="V14" i="2"/>
  <c r="W14" i="2" s="1"/>
  <c r="V13" i="2"/>
  <c r="W13" i="2" s="1"/>
  <c r="C11" i="2"/>
  <c r="T9" i="2"/>
  <c r="V9" i="2" s="1"/>
  <c r="S9" i="2"/>
  <c r="R9" i="2"/>
  <c r="T8" i="2"/>
  <c r="V8" i="2" s="1"/>
  <c r="S8" i="2"/>
  <c r="R8" i="2"/>
  <c r="T7" i="2"/>
  <c r="V7" i="2" s="1"/>
  <c r="S7" i="2"/>
  <c r="R7" i="2"/>
  <c r="T6" i="2"/>
  <c r="V6" i="2" s="1"/>
  <c r="S6" i="2"/>
  <c r="R6" i="2"/>
  <c r="T5" i="2"/>
  <c r="V5" i="2" s="1"/>
  <c r="S5" i="2"/>
  <c r="R5" i="2"/>
  <c r="Z3" i="2"/>
  <c r="Z2" i="2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1" i="1"/>
  <c r="M40" i="1"/>
  <c r="M39" i="1"/>
  <c r="M38" i="1"/>
  <c r="M37" i="1"/>
  <c r="M34" i="1"/>
  <c r="M33" i="1"/>
  <c r="M32" i="1"/>
  <c r="M31" i="1"/>
  <c r="M30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I19" i="2" s="1"/>
  <c r="I33" i="2" s="1"/>
  <c r="L41" i="2" l="1"/>
  <c r="K41" i="2"/>
  <c r="O26" i="2"/>
  <c r="M26" i="2"/>
  <c r="W20" i="2"/>
  <c r="W28" i="2"/>
  <c r="W22" i="2"/>
  <c r="W6" i="2"/>
  <c r="N26" i="2"/>
  <c r="L26" i="2"/>
  <c r="K26" i="2"/>
  <c r="J26" i="2"/>
  <c r="W19" i="2"/>
  <c r="W8" i="2"/>
  <c r="W5" i="2"/>
  <c r="P40" i="2"/>
  <c r="P39" i="2"/>
  <c r="W21" i="2"/>
  <c r="W9" i="2"/>
  <c r="W7" i="2"/>
  <c r="J41" i="2"/>
  <c r="P37" i="2"/>
  <c r="P41" i="2" s="1"/>
  <c r="O28" i="2"/>
  <c r="O24" i="2"/>
  <c r="O42" i="2" s="1"/>
  <c r="N24" i="2"/>
  <c r="N42" i="2" s="1"/>
  <c r="N28" i="2"/>
  <c r="M24" i="2"/>
  <c r="M42" i="2" s="1"/>
  <c r="M28" i="2"/>
  <c r="L28" i="2"/>
  <c r="L24" i="2"/>
  <c r="L42" i="2" s="1"/>
  <c r="K24" i="2"/>
  <c r="K42" i="2" s="1"/>
  <c r="K28" i="2"/>
  <c r="J24" i="2"/>
  <c r="J42" i="2" s="1"/>
  <c r="J28" i="2"/>
  <c r="I28" i="2"/>
  <c r="I24" i="2"/>
  <c r="O19" i="2"/>
  <c r="M19" i="2"/>
  <c r="J19" i="2"/>
  <c r="N19" i="2"/>
  <c r="X14" i="2"/>
  <c r="X13" i="2"/>
  <c r="X27" i="2"/>
  <c r="X17" i="2"/>
  <c r="X24" i="2"/>
  <c r="X18" i="2"/>
  <c r="X28" i="2"/>
  <c r="X23" i="2"/>
  <c r="X22" i="2"/>
  <c r="X15" i="2"/>
  <c r="X19" i="2"/>
  <c r="X25" i="2"/>
  <c r="X21" i="2"/>
  <c r="X20" i="2"/>
  <c r="X16" i="2"/>
  <c r="K18" i="2"/>
  <c r="M18" i="2"/>
  <c r="O18" i="2"/>
  <c r="J18" i="2"/>
  <c r="N18" i="2"/>
  <c r="L18" i="2"/>
  <c r="J33" i="2"/>
  <c r="I21" i="2"/>
  <c r="K19" i="2" l="1"/>
  <c r="L19" i="2"/>
  <c r="K33" i="2"/>
  <c r="J34" i="2"/>
  <c r="P42" i="2"/>
  <c r="J48" i="2"/>
  <c r="J46" i="2"/>
  <c r="J47" i="2"/>
  <c r="K48" i="2" l="1"/>
  <c r="K47" i="2"/>
  <c r="K46" i="2"/>
  <c r="K34" i="2"/>
  <c r="L33" i="2"/>
  <c r="J20" i="2"/>
  <c r="J21" i="2"/>
  <c r="K20" i="2" l="1"/>
  <c r="K21" i="2"/>
  <c r="L46" i="2"/>
  <c r="L47" i="2"/>
  <c r="L48" i="2"/>
  <c r="L34" i="2"/>
  <c r="M33" i="2"/>
  <c r="L20" i="2" l="1"/>
  <c r="L21" i="2"/>
  <c r="M48" i="2"/>
  <c r="M46" i="2"/>
  <c r="M47" i="2"/>
  <c r="M34" i="2"/>
  <c r="N33" i="2"/>
  <c r="M20" i="2" l="1"/>
  <c r="M21" i="2"/>
  <c r="N47" i="2"/>
  <c r="N48" i="2"/>
  <c r="N46" i="2"/>
  <c r="O33" i="2"/>
  <c r="N34" i="2"/>
  <c r="O47" i="2" l="1"/>
  <c r="O46" i="2"/>
  <c r="O48" i="2"/>
  <c r="O34" i="2"/>
  <c r="N20" i="2"/>
  <c r="N21" i="2"/>
  <c r="O20" i="2" l="1"/>
  <c r="O21" i="2"/>
</calcChain>
</file>

<file path=xl/sharedStrings.xml><?xml version="1.0" encoding="utf-8"?>
<sst xmlns="http://schemas.openxmlformats.org/spreadsheetml/2006/main" count="1021" uniqueCount="570">
  <si>
    <t>SEASONS AT MERIDIAN — 5-Mile Competitive Supply</t>
  </si>
  <si>
    <t>#</t>
  </si>
  <si>
    <t>Property</t>
  </si>
  <si>
    <t>Units</t>
  </si>
  <si>
    <t>Est. Delivery</t>
  </si>
  <si>
    <t>Occupancy</t>
  </si>
  <si>
    <t>Avg Mkt Rent</t>
  </si>
  <si>
    <t>Owner</t>
  </si>
  <si>
    <t>Proximity</t>
  </si>
  <si>
    <t>Type</t>
  </si>
  <si>
    <t>Notes</t>
  </si>
  <si>
    <t>P(deliver by YE2031)</t>
  </si>
  <si>
    <t>STABILIZED / STABILIZING (22 properties, 2,879 units)</t>
  </si>
  <si>
    <t>The Lost Rapid Townhomes</t>
  </si>
  <si>
    <t>Q1 2022</t>
  </si>
  <si>
    <t>—</t>
  </si>
  <si>
    <t>Baker, Matthew J</t>
  </si>
  <si>
    <t>Townhome</t>
  </si>
  <si>
    <t>South Ridge I</t>
  </si>
  <si>
    <t>Q2 2022</t>
  </si>
  <si>
    <t>Privately Owned</t>
  </si>
  <si>
    <t>Garden</t>
  </si>
  <si>
    <t>Delivery quarter estimated; RealPage-only — not in CoStar's 5-mi series</t>
  </si>
  <si>
    <t>Meritage West</t>
  </si>
  <si>
    <t>Pacific West Communities, Inc.</t>
  </si>
  <si>
    <t>Mid-Rise</t>
  </si>
  <si>
    <t>Ambleside Townhomes</t>
  </si>
  <si>
    <t>Open Door Rentals Llc</t>
  </si>
  <si>
    <t>Celebration Acres</t>
  </si>
  <si>
    <t>El Ada Comm Action Agency Inc</t>
  </si>
  <si>
    <t>Low-Rise</t>
  </si>
  <si>
    <t>Pine 43</t>
  </si>
  <si>
    <t>Bruce M Reichard</t>
  </si>
  <si>
    <t>Old Town Lofts</t>
  </si>
  <si>
    <t>Q3 2022</t>
  </si>
  <si>
    <t>Year built: 2022/2023</t>
  </si>
  <si>
    <t>Lavender Village</t>
  </si>
  <si>
    <t>Rent: HD mix-wtd $1,748 vs CoStar ask $2,110</t>
  </si>
  <si>
    <t>The Prospect</t>
  </si>
  <si>
    <t>Q4 2022</t>
  </si>
  <si>
    <t>Ke Holdings Llc</t>
  </si>
  <si>
    <t>Etheridge Lane</t>
  </si>
  <si>
    <t>Visser Building Co</t>
  </si>
  <si>
    <t>Modern Craftsman Ten Mile</t>
  </si>
  <si>
    <t>Q1 2023</t>
  </si>
  <si>
    <t>Baron Properties</t>
  </si>
  <si>
    <t>Single Family</t>
  </si>
  <si>
    <t>Year built: 2022/2023; Occ: CoStar 95% vs RealPage 99%</t>
  </si>
  <si>
    <t>WaterWalk Boise – Meridian</t>
  </si>
  <si>
    <t>WaterWalk Live Stay</t>
  </si>
  <si>
    <t>Alante Homes at Hazelwood</t>
  </si>
  <si>
    <t>PEG Companies</t>
  </si>
  <si>
    <t>Altair</t>
  </si>
  <si>
    <t>Q2 2023</t>
  </si>
  <si>
    <t>Brighton</t>
  </si>
  <si>
    <t>Occ: CoStar 95% vs RealPage 100%</t>
  </si>
  <si>
    <t>Dovetail</t>
  </si>
  <si>
    <t>Kennedy Wilson, Inc.</t>
  </si>
  <si>
    <t>Units: CoStar 240 vs RealPage 480; Year built: 2020/2023; Occ: CoStar 96% vs RealPage 99%; inside Pine 43 master plan — distinct from proposed 270u CUP (#43)</t>
  </si>
  <si>
    <t>Yellowstone Apartments</t>
  </si>
  <si>
    <t>CBH Homes</t>
  </si>
  <si>
    <t>Year built: 2023/2025; Occ: CoStar 76% vs RealPage 94%</t>
  </si>
  <si>
    <t>Telluride</t>
  </si>
  <si>
    <t>Albert Meier</t>
  </si>
  <si>
    <t>Movado Village</t>
  </si>
  <si>
    <t>Q1 2024</t>
  </si>
  <si>
    <t>Realty Asset Management, Inc.</t>
  </si>
  <si>
    <t>Viera at Pinnacle</t>
  </si>
  <si>
    <t>The Aren</t>
  </si>
  <si>
    <t>Q2 2024</t>
  </si>
  <si>
    <t>Year built: 2024/2025; Occ: CoStar 97% vs RealPage 100%</t>
  </si>
  <si>
    <t>★ Seasons at Meridian  (SUBJECT)</t>
  </si>
  <si>
    <t>Q3 2024</t>
  </si>
  <si>
    <t>The Carlyle Group</t>
  </si>
  <si>
    <t>Year built: 2024/2025; SUBJECT — this deal; Occ: CoStar 96% vs RealPage 99%</t>
  </si>
  <si>
    <t>Springtree Apartments</t>
  </si>
  <si>
    <t>Q4 2024</t>
  </si>
  <si>
    <t>Commercial Northwest Property Management</t>
  </si>
  <si>
    <t>LEASING UP (5 properties, 815 units)</t>
  </si>
  <si>
    <t>Village Apartments</t>
  </si>
  <si>
    <t>Rockworth Companies</t>
  </si>
  <si>
    <t>Occ: CoStar 80% vs RealPage 11%; Occ: HD ~12% (CoStar/RP showed 80%); HD (90d): occ ~12% (units leased), ~13 leases/mo</t>
  </si>
  <si>
    <t>Wesley Apartments and Townhomes</t>
  </si>
  <si>
    <t>Executive Management Services, LLC</t>
  </si>
  <si>
    <t>Occ: CoStar 28% vs RealPage 84%; Rent: CoStar ask $1,716 vs RealPage eff $2,004; Rent: HD mix-wtd $1,994 vs CoStar ask $1,716; Occ: HD ~48% (CoStar/RP showed 28%); HD (90d): occ ~48% (units leased), ~22 leases/mo</t>
  </si>
  <si>
    <t>Shamrock Apartments</t>
  </si>
  <si>
    <t>Q2 2025</t>
  </si>
  <si>
    <t>Dc Fairview Llc</t>
  </si>
  <si>
    <t>Verify rent/occ w/ HelloData</t>
  </si>
  <si>
    <t>Tauri Apartments</t>
  </si>
  <si>
    <t>Q2 2026</t>
  </si>
  <si>
    <t>Units: CoStar 156 vs RealPage 128; Year built: 2026/2027; Occ: CoStar 25% vs RealPage 18%; Rent: CoStar ask $1,862 vs RealPage eff $1,684; Occ: HD ~100% (CoStar/RP showed 25%); HD (90d): occ ~100% (units leased), ~20 leases/mo</t>
  </si>
  <si>
    <t>Delano</t>
  </si>
  <si>
    <t>Delivery quarter estimated; Verify rent/occ w/ HelloData; RealPage-only — not in CoStar's 5-mi series</t>
  </si>
  <si>
    <t>UNDER CONSTRUCTION (5 properties, 1,177 units)</t>
  </si>
  <si>
    <t>South Ridge II</t>
  </si>
  <si>
    <t>Q2 2027</t>
  </si>
  <si>
    <t>Phase II of the delivered South Ridge I (476u, 2022) at the same Grand Fork Way site.</t>
  </si>
  <si>
    <t>Dorado Station</t>
  </si>
  <si>
    <t>Q3 2027</t>
  </si>
  <si>
    <t>J. Fisher Companies</t>
  </si>
  <si>
    <t>Broke ground Oct 2025. 100% income-restricted (50-80% AMI, incl. 21 Our Path Home units), $70M — limited overlap with the subject at $1,796.</t>
  </si>
  <si>
    <t>Summertown (remaining phases)</t>
  </si>
  <si>
    <t>Shannon Robnett Industries</t>
  </si>
  <si>
    <t>Phased garden/rowhouse community at Ustick &amp; Venable; early buildings leasing, three new 24-plex permits issued June 2025.</t>
  </si>
  <si>
    <t>Centrepoint</t>
  </si>
  <si>
    <t>Q1 2028</t>
  </si>
  <si>
    <t>Studio PBA (market-rate replacement)</t>
  </si>
  <si>
    <t>213u market-rate approved Dec 2025 REPLACING DevCo's 239u affordable plan, which died in 2025 when its LIHTC financing collapsed. Permits issuing 2026.</t>
  </si>
  <si>
    <t>Outer Banks Apartments</t>
  </si>
  <si>
    <t>Elk Ventures (10 Mile Franklin LLC)</t>
  </si>
  <si>
    <t>BUILDING NOW — the only permitted deal in the ring. 3 of ~50 bldgs permitted 6/17/26; first units Q4 27-Q2 28, full 516u into 2029-30.</t>
  </si>
  <si>
    <t>PROPOSED (15 properties, 3,978 units)</t>
  </si>
  <si>
    <t>Heritage Square (ex-Union 93)</t>
  </si>
  <si>
    <t>Q1 2029</t>
  </si>
  <si>
    <t>Pacific Companies + Ahlquist (Gray Owl)</t>
  </si>
  <si>
    <t>Strong sponsors and a cheap basis ($6.77M at foreclosure) — but NO application filed as of Aug 2026 and the program is unentitled. 2030 at best.</t>
  </si>
  <si>
    <t>Rolling Hill (Assemble Management)</t>
  </si>
  <si>
    <t>Assemble Management</t>
  </si>
  <si>
    <t>Freshest entitlement in the ring (approved 5-1 on 5/19/26, no lapse risk to ~2028) — but land was LOI-stage, not closed, and the access road is unfunded.</t>
  </si>
  <si>
    <t>Pine 43 Multifamily (H-2024-0071 CUP)</t>
  </si>
  <si>
    <t>TBD</t>
  </si>
  <si>
    <t>DRB Investments (Matt Baker)</t>
  </si>
  <si>
    <t>CUP current to ~10/21/27 and the sponsor has real credibility (built Dovetail here) — but its own guidance is townhomes FIRST, groundbreaking "2027 or later."</t>
  </si>
  <si>
    <t>Meridian OZ Apartments</t>
  </si>
  <si>
    <t>SOLD 8/7/26 — buyer unknown (was Realm Venture)</t>
  </si>
  <si>
    <t>SOLD 8/7/26 for $1.7M. CUP expires ~10/17/26 — about 8 weeks out — with no extension filed and no sign the new owner is moving to permit.</t>
  </si>
  <si>
    <t>12565 West Fairview Avenue</t>
  </si>
  <si>
    <t>UNVERIFIED — not publicly disclosed</t>
  </si>
  <si>
    <t>Shows "Entitled" on Boise's tracker but the developer is unknown and there is no permit 16 months post concept review. Structured-parking product needs rents well above the garden hurdle.</t>
  </si>
  <si>
    <t>The Judy (Maple Grove &amp; Overland)</t>
  </si>
  <si>
    <t>Hawkins Companies</t>
  </si>
  <si>
    <t>Real dirt moved (~4.2 of 6.1 ac graded) but the CUP clock appears to expire ~9/10/26 with no extension found. Watch for a lapse or extension filing.</t>
  </si>
  <si>
    <t>Ascent Overland</t>
  </si>
  <si>
    <t>MVRK Development (under contract 8/7/26)</t>
  </si>
  <si>
    <t>UNDER CONTRACT 8/7/26 after 469 days on market — the developer chose to sell rather than build. Buyer and intent unknown.</t>
  </si>
  <si>
    <t>Record</t>
  </si>
  <si>
    <t>Brighton Development</t>
  </si>
  <si>
    <t>ENTITLEMENT LAPSED. Base clock ran out ~Apr/May 2024 and even a maximum extension expired ~Apr/May 2026. Requires full re-entitlement.</t>
  </si>
  <si>
    <t>Victory Flats</t>
  </si>
  <si>
    <t>Welltower Inc (Layton Construction)</t>
  </si>
  <si>
    <t>Extension-as-life-support: the Jan-2024 extension ALSO lapsed and a SECOND request was docketed 5/4/26. Healthcare REIT owner; MF is non-core.</t>
  </si>
  <si>
    <t>Emblem Meridian (Quarterra)</t>
  </si>
  <si>
    <t>Quarterra (TPG-controlled); land: Baron Properties</t>
  </si>
  <si>
    <t>Earliest-stage deal in the pipeline — no application, no H-file, no hearing, AND Quarterra does not own the land (Baron is still trying to sell it).</t>
  </si>
  <si>
    <t>The Gateway at Ten Mile</t>
  </si>
  <si>
    <t>GFI Meridian Investments (Trevor Gasser)</t>
  </si>
  <si>
    <t>Developer says residential is 5-7 years out; commercial builds first and is only at pad-leasing stage. CUP lapses ~11/19/26.</t>
  </si>
  <si>
    <t>The Cole Denton</t>
  </si>
  <si>
    <t>Kal Pacific (Don Veasy)</t>
  </si>
  <si>
    <t>No entitlement for the 224u program — the only approval this site ever had was a 2021 DA for 136u that was never permitted. Post-2031.</t>
  </si>
  <si>
    <t>Vanguard Village</t>
  </si>
  <si>
    <t>Endurance Holdings / Challenger Dev (CBH)</t>
  </si>
  <si>
    <t>NOT under construction — CoStar flag is wrong. Raw land, zero permits, CUP likely lapsed ~Jul 2024. Treat as dormant paper.</t>
  </si>
  <si>
    <t>Syringa Crossing</t>
  </si>
  <si>
    <t>NOT entitled. Unanimous P&amp;Z denial rec 4/2/26, council remand 6/16/26, re-heard 8/6/26 with the outcome still unpublished. 302u is Phase 1 only.</t>
  </si>
  <si>
    <t>12548 West Overland Road</t>
  </si>
  <si>
    <t>Hook Family Trust</t>
  </si>
  <si>
    <t>LAPSED — PUD commencement passed ~3/12/26 with no extension ever filed; zero city activity since 10/23/23. Site earns income as RV storage.</t>
  </si>
  <si>
    <t>* 5-Mile radius. Rent ($) = HelloData mix-weighted asking where covered, else CoStar market asking. Proximity (mi) = straight-line from the subject. Est. Delivery drives the Supply &amp; Absorption tab. NOTES = the IC conclusion only; full evidence, timelines, file numbers and sources are on the DILIGENCE tab, source reconciliation on the RECONCILIATION LOG. P(deliver by YE2031) is a reasoned probability from the Aug-2026 46-agent deep dive (research/audit_2026-08/pipeline_likelihood_report.md), weighting permits and financing far above entitlement status: 4,494 proposed units -&gt; 1,221 probability-weighted.</t>
  </si>
  <si>
    <t>SUPPLY &amp; ABSORPTION  —  5-MILE MARKET (relative-year / TTM)</t>
  </si>
  <si>
    <t>UNDER CONSTRUCTION (linked from Competitive Analysis)</t>
  </si>
  <si>
    <t>As-of Quarter (Y0 end)</t>
  </si>
  <si>
    <t>◂ Y0 = the trailing-12-months ending here (latest complete CoStar quarter); -Y1…-Y6 step back a year each.</t>
  </si>
  <si>
    <t>Close Quarter (Y1 start)</t>
  </si>
  <si>
    <t>Q4 2026</t>
  </si>
  <si>
    <t>◂ Expected deal close. Y1 = the 12 months starting here; pipeline deliveries bucket into hold years off this anchor — edit it and the Y1–Y6 windows &amp; supply shift.</t>
  </si>
  <si>
    <t>Stabilization Target</t>
  </si>
  <si>
    <t>Demand Scenario</t>
  </si>
  <si>
    <t>Base</t>
  </si>
  <si>
    <t>Bear Annual Absorption</t>
  </si>
  <si>
    <t>Base Annual Absorption</t>
  </si>
  <si>
    <t>Bull Annual Absorption</t>
  </si>
  <si>
    <t>◂ Base = trailing-3-yr CoStar average (annualized, complete quarters).</t>
  </si>
  <si>
    <t>Selected Annual Demand</t>
  </si>
  <si>
    <t>PROPOSED PIPELINE (scenario toggle)</t>
  </si>
  <si>
    <t>Built In</t>
  </si>
  <si>
    <t>Bear only</t>
  </si>
  <si>
    <t>5-MILE MARKET</t>
  </si>
  <si>
    <t>-Y6</t>
  </si>
  <si>
    <t>-Y5</t>
  </si>
  <si>
    <t>-Y4</t>
  </si>
  <si>
    <t>-Y3</t>
  </si>
  <si>
    <t>-Y2</t>
  </si>
  <si>
    <t>-Y1</t>
  </si>
  <si>
    <t>Y0</t>
  </si>
  <si>
    <t>Y1</t>
  </si>
  <si>
    <t>Y2</t>
  </si>
  <si>
    <t>Y3</t>
  </si>
  <si>
    <t>Y4</t>
  </si>
  <si>
    <t>Y5</t>
  </si>
  <si>
    <t>Y6</t>
  </si>
  <si>
    <t>Q3'19-Q2'20</t>
  </si>
  <si>
    <t>Q3'20-Q2'21</t>
  </si>
  <si>
    <t>Q3'21-Q2'22</t>
  </si>
  <si>
    <t>Q3'22-Q2'23</t>
  </si>
  <si>
    <t>Q3'23-Q2'24</t>
  </si>
  <si>
    <t>Q3'24-Q2'25</t>
  </si>
  <si>
    <t>Q3'25-Q2'26</t>
  </si>
  <si>
    <t>NEW SUPPLY (5-mi)</t>
  </si>
  <si>
    <t>ABSORPTION (5-mi)</t>
  </si>
  <si>
    <t>OCCUPANCY (5-mi)</t>
  </si>
  <si>
    <t>SUBJECT (Seasons at Meridian)</t>
  </si>
  <si>
    <t xml:space="preserve">  Market Rent  (HelloData mix-wtd)</t>
  </si>
  <si>
    <t xml:space="preserve">    Market Rent YoY %</t>
  </si>
  <si>
    <t xml:space="preserve">  Effective Rent</t>
  </si>
  <si>
    <t xml:space="preserve">    Effective Rent YoY %</t>
  </si>
  <si>
    <t xml:space="preserve">  Occupancy (financials / CoStar)</t>
  </si>
  <si>
    <t xml:space="preserve">  Concession %</t>
  </si>
  <si>
    <t>Bear+Base</t>
  </si>
  <si>
    <t xml:space="preserve">  inventory</t>
  </si>
  <si>
    <t xml:space="preserve">  occupied</t>
  </si>
  <si>
    <t>MARKET-RENT GROWTH — TMG vs 3RD-PARTY FORECAST</t>
  </si>
  <si>
    <t>AVG</t>
  </si>
  <si>
    <t xml:space="preserve">  CoStar</t>
  </si>
  <si>
    <t xml:space="preserve">  RealPage</t>
  </si>
  <si>
    <t xml:space="preserve">  Yardi</t>
  </si>
  <si>
    <t xml:space="preserve">  GreenStreet</t>
  </si>
  <si>
    <t xml:space="preserve">  Consensus (4-source avg)</t>
  </si>
  <si>
    <t xml:space="preserve">  TMG — our market-rent growth  ◄</t>
  </si>
  <si>
    <t>▸ SCENARIO INPUTS — Bear / Base / Bull  (implied occupancy, rent-growth &amp; concession assumptions — click + to expand)</t>
  </si>
  <si>
    <t>IMPLIED 5-MI OCCUPANCY BY DEMAND SCENARIO</t>
  </si>
  <si>
    <t>Bear</t>
  </si>
  <si>
    <t>Bull</t>
  </si>
  <si>
    <t>MARKET RENT GROWTH (editable assumptions)</t>
  </si>
  <si>
    <t>CONCESSIONS % — forward assumption (editable)</t>
  </si>
  <si>
    <t>EFFECTIVE RENT GROWTH (derived)</t>
  </si>
  <si>
    <t>▸ DETAIL: subject rent source by year, delivered-units tie-out &amp; reconciliation (grouped — click + to expand)</t>
  </si>
  <si>
    <t xml:space="preserve">  -Y6  Q3 2019–Q2 2020</t>
  </si>
  <si>
    <t xml:space="preserve">  -Y5  Q3 2020–Q2 2021</t>
  </si>
  <si>
    <t xml:space="preserve">  -Y4  Q3 2021–Q2 2022</t>
  </si>
  <si>
    <t xml:space="preserve">  -Y3  Q3 2022–Q2 2023</t>
  </si>
  <si>
    <t xml:space="preserve">  -Y2  Q3 2023–Q2 2024</t>
  </si>
  <si>
    <t xml:space="preserve">  -Y1  Q3 2024–Q2 2025</t>
  </si>
  <si>
    <t>HD</t>
  </si>
  <si>
    <t xml:space="preserve">  Y0  Q3 2025–Q2 2026</t>
  </si>
  <si>
    <t xml:space="preserve">  UC scheduled vs CoStar UC</t>
  </si>
  <si>
    <t>1,177 / 552 (Outer Banks permitted+added to UC; Vanguard moved to Proposed - CoStar UC flag was Life Time club bleed-over)</t>
  </si>
  <si>
    <t xml:space="preserve">  Delivered units — roster vs CoStar 5-mi series:</t>
  </si>
  <si>
    <t xml:space="preserve">    -Y4: roster (CoStar-tracked) 275 vs CoStar 629   (+354 sub-50/unnamed; roster also carries +476 RealPage-only supply CoStar misses)</t>
  </si>
  <si>
    <t xml:space="preserve">    -Y3: roster (CoStar-tracked) 1,214 vs CoStar 1,232   (+18 sub-50/unnamed)</t>
  </si>
  <si>
    <t xml:space="preserve">    -Y2: roster (CoStar-tracked) 1,039 vs CoStar 1,049   (+10 sub-50/unnamed)</t>
  </si>
  <si>
    <t xml:space="preserve">    -Y1: roster (CoStar-tracked) 450 vs CoStar 450   (tie ✓)</t>
  </si>
  <si>
    <t xml:space="preserve">    Y0: roster (CoStar-tracked) 156 vs CoStar 156   (tie ✓; roster also carries +84 RealPage-only supply CoStar misses)</t>
  </si>
  <si>
    <t xml:space="preserve">  Newest CoStar row (2026 Q3 QTD) is partial (QTD) — excluded from TTM sums; Y0 anchors to the latest complete quarter.</t>
  </si>
  <si>
    <t>Address</t>
  </si>
  <si>
    <t>Year Built</t>
  </si>
  <si>
    <t>Deliv. Source</t>
  </si>
  <si>
    <t>Bucket</t>
  </si>
  <si>
    <t>CoStar Occ</t>
  </si>
  <si>
    <t>RealPage Occ</t>
  </si>
  <si>
    <t>HD Occ</t>
  </si>
  <si>
    <t>CoStar Ask Rent</t>
  </si>
  <si>
    <t>RealPage Eff Rent</t>
  </si>
  <si>
    <t>HD Ask (mix-wtd)</t>
  </si>
  <si>
    <t>HD Eff (mix-wtd)</t>
  </si>
  <si>
    <t>Sources</t>
  </si>
  <si>
    <t>121 S Springtree Ln</t>
  </si>
  <si>
    <t>CoStar property analytics</t>
  </si>
  <si>
    <t>STABILIZED / STABILIZING</t>
  </si>
  <si>
    <t>CoStar</t>
  </si>
  <si>
    <t>Seasons at Meridian</t>
  </si>
  <si>
    <t>2700 E Overland Rd</t>
  </si>
  <si>
    <t>CoStar+RealPage</t>
  </si>
  <si>
    <t>1066 S Silverstone Way</t>
  </si>
  <si>
    <t>6269 S Aspiration Ave</t>
  </si>
  <si>
    <t>1711 S Movado Way</t>
  </si>
  <si>
    <t>597 N Maple Grove Rd</t>
  </si>
  <si>
    <t>2743 W Peak Cloud Ln</t>
  </si>
  <si>
    <t>1350 N Webb Way</t>
  </si>
  <si>
    <t>Units: CoStar 240 vs RealPage 480; Year built: 2020/2023; Occ: CoStar 96% vs RealPage 99%</t>
  </si>
  <si>
    <t>3500 West Pine Avenue</t>
  </si>
  <si>
    <t>6222 S Gloriosa Ln</t>
  </si>
  <si>
    <t>3233 W Littleton Ln</t>
  </si>
  <si>
    <t>88 n Olson Ave</t>
  </si>
  <si>
    <t>8002 W Overland Rd</t>
  </si>
  <si>
    <t>1428 N Etheridge Ln</t>
  </si>
  <si>
    <t>33 E Idaho Ave</t>
  </si>
  <si>
    <t>2607-2615 N Linda Vista Ln</t>
  </si>
  <si>
    <t>13450 W Baldcypress St</t>
  </si>
  <si>
    <t>10881 W Florence Dr</t>
  </si>
  <si>
    <t>1890 N Shamrock Ave</t>
  </si>
  <si>
    <t>1301 N Meadowglen Ave</t>
  </si>
  <si>
    <t>1703 S Grand Frk Wy</t>
  </si>
  <si>
    <t>RealPage</t>
  </si>
  <si>
    <t>3400 W Chinden Blvd</t>
  </si>
  <si>
    <t>12673 W Ashcreek St</t>
  </si>
  <si>
    <t>LEASING UP</t>
  </si>
  <si>
    <t>3858 N Centrepoint Way</t>
  </si>
  <si>
    <t>1590 N Shamrock St</t>
  </si>
  <si>
    <t>2651 N Records Ave</t>
  </si>
  <si>
    <t>3104 N Venable Ln</t>
  </si>
  <si>
    <t>1085 S 10 Mile Rd</t>
  </si>
  <si>
    <t>PROPOSED</t>
  </si>
  <si>
    <t>Aug 2026: developer = Endurance Holdings/Challenger (CBH); ex-Vanguard Commons 432u (2022); CoStar UC flag unconfirmed by city permit record — verify | Moved UC→PROPOSED Aug 2026 (permit unverified)</t>
  </si>
  <si>
    <t>3100 N Centrepoint Way</t>
  </si>
  <si>
    <t>UNDER CONSTRUCTION</t>
  </si>
  <si>
    <t>RealPage pipeline (not yet in CoStar); Diligence: under construction - revived; permits issuing 2026</t>
  </si>
  <si>
    <t>1500 N Eldorado St, Boise 83704</t>
  </si>
  <si>
    <t>Diligence</t>
  </si>
  <si>
    <t>Analyst-sourced deal (not in CoStar/RealPage); Diligence: under construction</t>
  </si>
  <si>
    <t>3005 N Ridgebury Ln, Meridian 83646</t>
  </si>
  <si>
    <t>580 N Cole Rd</t>
  </si>
  <si>
    <t>RealPage pipeline (not yet in CoStar); Diligence: proposed - refiled May/Jun 2026 as 6-story 200+ units (PLN26-00493)</t>
  </si>
  <si>
    <t>4270 E Overland Rd, Meridian 83642</t>
  </si>
  <si>
    <t>Analyst-sourced deal (not in CoStar/RealPage); Diligence: proposed</t>
  </si>
  <si>
    <t>SE corner Main St &amp; Broadway Ave, Meridian 83642</t>
  </si>
  <si>
    <t>Analyst-sourced deal (not in CoStar/RealPage); Diligence: proposed - announced Jul 13 2026; Union 93 skeleton repurposed</t>
  </si>
  <si>
    <t>1770 S Maple Grove Rd, Boise 83704</t>
  </si>
  <si>
    <t>Analyst-sourced deal (not in CoStar/RealPage); Diligence: proposed - equity raise underway; construction targeted Q3 2026</t>
  </si>
  <si>
    <t>1475 E Franklin Rd</t>
  </si>
  <si>
    <t>Diligence: proposed - stalled; downsized to 36u Oct 2024 - entitled site listed then off-market</t>
  </si>
  <si>
    <t>2954 W Franklin Rd</t>
  </si>
  <si>
    <t>Diligence: proposed - long-dated; residential 5-7 yrs out per developer</t>
  </si>
  <si>
    <t>11101 W Overland Rd</t>
  </si>
  <si>
    <t>Diligence: proposed - stalled; entitled site for sale via CBRE at $5.0M</t>
  </si>
  <si>
    <t>8373 West Victory Rd</t>
  </si>
  <si>
    <t>Diligence: proposed - stalled; Jan 2024 start extension lapsed unbuilt</t>
  </si>
  <si>
    <t>E Fairview Ave &amp; N Records Way</t>
  </si>
  <si>
    <t>RealPage pipeline (not yet in CoStar); Diligence: proposed - stalled; CUP likely lapsed - Brighton silent 4+ years</t>
  </si>
  <si>
    <t>12548 W Overland Rd</t>
  </si>
  <si>
    <t>RealPage pipeline (not yet in CoStar); Diligence: proposed - stalled; PUD likely lapsed ~Mar 2026 - RV storage still operating</t>
  </si>
  <si>
    <t>12565 W Fairview Ave</t>
  </si>
  <si>
    <t>RealPage pipeline (not yet in CoStar); Diligence: proposed - stalled; pre-application only - silent since Apr 2025</t>
  </si>
  <si>
    <t>Amity Ave &amp; Meridian Rd</t>
  </si>
  <si>
    <t>RealPage pipeline (not yet in CoStar); Diligence: proposed</t>
  </si>
  <si>
    <t>E Pine Ave &amp; N Webb Way, Meridian 83642</t>
  </si>
  <si>
    <t>SW corner W Franklin Rd &amp; N Ten Mile Rd</t>
  </si>
  <si>
    <t>Q4 2027</t>
  </si>
  <si>
    <t>Audit find Aug 2026 — promoted from shadow watch; Elk Ventures 516u CUP; groundbreaking expected 2026</t>
  </si>
  <si>
    <t>2820 S Eagle Rd area, N of Eagle &amp; Victory</t>
  </si>
  <si>
    <t>Promoted from shadow watch Aug 2026 — formal early plans filed June 2026 (BoiseDev)</t>
  </si>
  <si>
    <t>PIPELINE DILIGENCE</t>
  </si>
  <si>
    <t>Property / Site</t>
  </si>
  <si>
    <t>Status</t>
  </si>
  <si>
    <t>Leasing Pace</t>
  </si>
  <si>
    <t>Source</t>
  </si>
  <si>
    <t>The 10</t>
  </si>
  <si>
    <t>withdrawn - superseded by The Gateway at Ten Mile</t>
  </si>
  <si>
    <t>Original 559-unit 'The 10' (Elk Ventures, 2021) never proceeded; the site was re-entitled as The Gateway at Ten Mile (H-2024-0010) for 390 units, approved Nov 2024. Removed to avoid double-counting the same site as two deals — the Gateway row carries the live entitlement.</t>
  </si>
  <si>
    <t>https://boisedev.com/news/2024/11/20/the-gateway-at-10-mile-meridian/</t>
  </si>
  <si>
    <t>472</t>
  </si>
  <si>
    <t>proposed - stalled; CUP likely lapsed - Brighton silent 4+ years</t>
  </si>
  <si>
    <t>Brighton Development Inc (Brighton Corporation). 472u urban product at the NE corner of Fairview &amp; Records Way. CUP H-2022-0008 approved ~spring 2022; base 2-year commencement expired ~Apr/May 2024; the outside limit even with a maximum unposted Director TEC was ~Apr/May 2026 — also passed. No TECC appears in any 2022-2026 council agenda. Parcel S1104347006 remains PROPCODE F with TOTALVALUE $21,000 (still assessed as farmland). Brighton still markets "Records" as coming soon but has been publicly silent 4+ years. Deep-pocketed local sponsor with continued site control and an easy re-entitlement path (already C-G, no annexation, no opposition record) — which is why this is 20% and not lower. 5-story podium is the exact product the LTC compression punishes.</t>
  </si>
  <si>
    <t>https://www.brighton.co/brighton-place/records-way-the-village-at-meridian/</t>
  </si>
  <si>
    <t>213</t>
  </si>
  <si>
    <t>under construction - revived; permits issuing 2026</t>
  </si>
  <si>
    <t>AUDIT CORRECTION (July 2026): previously marked withdrawn per 2024 reporting, but the project was revived — Meridian's June 2026 permit report shows C-MULTI-2026-0007 (Bldg C, 56u) ISSUED 6/25/2026; 213 units in 5 buildings at N Centrepoint Way south of Ustick (Rockefeller; workforce/affordable positioning). Phased delivery est. from permit timing.</t>
  </si>
  <si>
    <t>https://meridiancity.org/media/f5alu5zs/bldgmonthlypermits.pdf</t>
  </si>
  <si>
    <t>Cobalt Point</t>
  </si>
  <si>
    <t>264</t>
  </si>
  <si>
    <t>withdrawn - applicant withdrew CUP H-2022-0042 on Dec 1 2022; never re-filed</t>
  </si>
  <si>
    <t>DEEP-DIVE VERIFIED 7/16/2026 (all verdicts survived 3-lens adversarial check). DEAD: The Land Group's 264u CUP (H-2022-0042, 11.95 ac C-G parcel R7909850396 east of S Cobalt Point Way) was continued from 10/20/2022 and formally WITHDRAWN by the applicant at the 12/1/2022 P&amp;Z meeting — never approved. No re-application in 3.5 years, no permits, cobaltpointmeridian.com no longer resolves (DNS dead, verified 7/16/2026), and the land was marketed for office/mixed-use. RealPage's Ten Mile framing confuses it with Flats/Lofts at Ten Mile on W Cobalt Dr. Dropped; at most Bear-case shadow LAND, not a project.'</t>
  </si>
  <si>
    <t>https://boisedev.com/news/2022/06/13/cobalt-point-meridian/</t>
  </si>
  <si>
    <t>Madison Town Square</t>
  </si>
  <si>
    <t>dead - plan pulled June 2024; site for sale</t>
  </si>
  <si>
    <t>Madison Capital Group (MCG Boise Owner LLC) bought the old Sears at 460 N Milwaukee in 2021 and proposed 251 units, but pulled its design-review request and the plan was reported dead June 2024; site listed for sale at $8M (later $7.5M), still unsold.</t>
  </si>
  <si>
    <t>https://boisedev.com/news/2024/06/04/boise-sears-sale/</t>
  </si>
  <si>
    <t>proposed - remanded; revised 302u CUP re-heard P&amp;Z 8/6/2026 (outcome unpublished)</t>
  </si>
  <si>
    <t>Hawkins Companies (Boise). 302u MF CUP on 15.23 ac R-40 at Meridian Rd/SH-69 &amp; Amity — Phase 1 only; the combined annexation carries ~400-423 homes including 86-101 R-15 apartments/townhomes on the north parcel (shadow, not counted). Process: unanimous P&amp;Z denial recommendation 4/2/2026; Council REMANDED rather than denied 6/16/2026; P&amp;Z re-heard 8/6/2026 — OUTCOME STILL UNPUBLISHED as of 8/15/2026. 8+ months and 6+ hearings so far. Staff core objection (south parcel 68% residential vs a 50% cap) only partly cured by the revision. ITD granted a right-in/right-out SH-69 access June 2026, a genuine positive.</t>
  </si>
  <si>
    <t>https://boisedev.com/news/2026/06/17/a-developer-made-changes-to-a-proposed-400-home-mixed-use-project-meridian-gives-commission-another-vote-on-it/</t>
  </si>
  <si>
    <t>proposed - refiled May/Jun 2026 as 6-story, 224 units</t>
  </si>
  <si>
    <t>Kal Pacific (Garden City ID office; principal Don Veasy, Temecula CA) — a small commercial/shopping-center developer, not an MF specialist; Veasy also controls Urban Capital Partners. 224u is the May/Jul 2026 redesign (up from 136u). ENTITLEMENT: no CUP, no DA, no design-review approval, no confirmed hearing date for the 224u version; the recorded 2021 DA for 136u must be terminated by Council first. The 136u version sat in permit "corrections" 16+ months and died. MX-3 under Boise 2023 code has no density cap = an easier procedural path, but Cole Rd is torn up through 2026. File no. PLN26-00493 could NOT be confirmed in any city document — treat as unverified.</t>
  </si>
  <si>
    <t>https://boisedev.com/news/2021/05/04/five-story-apartment-building-coming-to-lot-across-from-boise-town-square/</t>
  </si>
  <si>
    <t>275</t>
  </si>
  <si>
    <t>proposed - stalled; pre-application only - silent since Apr 2025</t>
  </si>
  <si>
    <t>Developer/owner UNVERIFIED — not disclosed in any public source located. 275u, 4-5 story with structured parking. Shows as "Entitled" on Boise's live daily-updated development tracker; a second design review (DRH26-00124) shows continued engagement. RISK: no permit 16 months after concept review; the site's prior AutoNation entitlement also lapsed (2023); structured-parking product carries a cost basis materially above the $305-322k/unit garden benchmark, so its required rent sits even further above the $2,224/u/mo hurdle. The unknown sponsor is itself the risk.</t>
  </si>
  <si>
    <t>https://boisedev.com/news/2025/04/23/boise-fairview-apartments/</t>
  </si>
  <si>
    <t>156</t>
  </si>
  <si>
    <t>proposed - stalled; PUD likely lapsed ~Mar 2026 - RV storage still operating</t>
  </si>
  <si>
    <t>Hook Family Trust (filed under case name "HOOK"; trust established 3/11/2003) — a long-time family landowner, no institutional apartment developer involved. 156u. LAPSED: PUD/CAR/DRH approvals from Oct 2023; commencement deadline ~3/12/2026 passed with no extension ever filed; zero city case activity since 10/23/2023. The owner listed the entitled land 8 days after approval and never found a buyer. The site continues to earn income as RV storage, which removes any carrying-cost pressure to develop.</t>
  </si>
  <si>
    <t>https://boisedev.com/news/2023/11/29/hook-trust-boise/</t>
  </si>
  <si>
    <t>10975 West Lake Hazel Road</t>
  </si>
  <si>
    <t>exclude - unverifiable / likely misidentified</t>
  </si>
  <si>
    <t>No development application found at this address (an 11.85-ac parcel with a 1994 single-family home per county records); the nearest real deal — PEG Companies' 118-unit proposal at Five Mile &amp; Lake Hazel — was denied twice by Ada County commissioners (2022 and May 2024). RealPage entry cannot be tied to any live project.</t>
  </si>
  <si>
    <t>https://boisedev.com/news/2024/05/22/southwest-boise-commercial/</t>
  </si>
  <si>
    <t>Cole Road</t>
  </si>
  <si>
    <t>exclude - existing 1978-82 asset (76u Ridgeline Apartments); not new supply</t>
  </si>
  <si>
    <t>709 N Cole Rd is the EXISTING 76-unit Ridgeline Apartments (built 1978-1982), marketed for sale by Berkadia — a misidentified pipeline entry; no evidence of any new 61-unit multifamily proposal or rezone at this address.</t>
  </si>
  <si>
    <t>https://properties.berkadia.com/cole-road-469858/</t>
  </si>
  <si>
    <t>Villas at Twelve Oaks East</t>
  </si>
  <si>
    <t>exclude - likely duplicate of existing built Twelve Oaks community</t>
  </si>
  <si>
    <t>Could not confirm a distinct 64-unit 'East' phase at 115 S Linder Rd; Meridian records show only ZV-2021-0055 'Twelve Oaks Apartments' and the existing CBH Twelve Oaks (~106u) is built and leasing — the RealPage entry likely duplicates or misidentifies it.</t>
  </si>
  <si>
    <t>https://weblink.meridiancity.org/WebLink/Browse.aspx?id=244917&amp;dbid=0&amp;repo=MeridianCity&amp;cr=1</t>
  </si>
  <si>
    <t>Promenade Cottages I</t>
  </si>
  <si>
    <t>not multifamily - for-sale townhomes/cottages</t>
  </si>
  <si>
    <t>Per BuildIdaho and a City of Meridian site plan, Promenade Cottages at the SE corner of Fairview Ave &amp; 3rd St (A-Team Consultants) is a 30-unit mix of FOR-SALE townhomes and single-family alley-load cottage homes — not a rental apartment community.</t>
  </si>
  <si>
    <t>https://www.buildidaho.com/meridian-homes-for-sale/promenade-cottages/</t>
  </si>
  <si>
    <t>36</t>
  </si>
  <si>
    <t>proposed - stalled; downsized to 36u Oct 2024 - entitled site listed then off-market</t>
  </si>
  <si>
    <t>Original developer Realm Venture Group (2022-23); the 2024 modification was filed by Pivot North Design (Danielle Stehman) as agent. SOLD 8/7/2026 for $1,700,000 (MLS 98949803 — list price = close price); buyer unknown. 36u = 18 one-bed + 18 two-bed at 15 du/ac in 3 climate-controlled buildings, DOWN from the originally proposed 60u/25 du/ac/8 garden buildings. Site: 1475 E Franklin Rd (SW corner Franklin &amp; Locust Grove), 2.39 ac, R-40, in an Idaho Opportunity Zone. CUP approved 10/17/2024 but its 2-year commencement expires ~10/17/2026 with no extension evidence — and the site changed hands one week before this analysis. This parcel has now failed three times: a 1999 DA for 90+ apartments lapsed, a 60u plan was denied Mar 2023, and the 36u redesign is about to run out of clock.</t>
  </si>
  <si>
    <t>https://boisedev.com/news/2023/01/23/meridian-oz-apartments/</t>
  </si>
  <si>
    <t>Union 93</t>
  </si>
  <si>
    <t>dead - foreclosed &amp; sold at auction Oct 2025; superseded by Heritage Square</t>
  </si>
  <si>
    <t>DEEP-DIVE VERIFIED 7/16/2026 (all verdicts survived 3-lens adversarial check). Union 93 is definitively dead: Galena's project stalled late 2022 under $20M+ contractor liens, went through foreclosure, and the property was SOLD at an Ada County Sheriff's auction Oct 2025 to Ahlquist (Gray Owl) + Pacific Companies. Dropped from the competitive set; the successor project is tracked as 'Heritage Square (ex-Union 93)' — ~250u, announced 7/13/2026.</t>
  </si>
  <si>
    <t>https://boisedev.com/news/2025/10/09/ahlquist-pacific-companies-union-93-meridian/</t>
  </si>
  <si>
    <t>301</t>
  </si>
  <si>
    <t>proposed - stalled; Jan 2024 start extension lapsed unbuilt</t>
  </si>
  <si>
    <t>Owner Welltower Inc (NYSE: WELL, Toledo OH); developer/applicant Layton Construction (Alex Drecksel). 301u at 8373 W Victory Rd, Boise. Approved Mar 2022. WORSE THAN OUR PRIOR RECORD: the city granted a two-year extension ~Jan 2024, that extension ALSO lapsed, and a SECOND extension request (PUD21-00062) hit the Boise P&amp;Z docket 5/4/2026 with the outcome unknown. Land owned outright ($12M paid 2021; assessed $9.1M, i.e. carried below cost). Sponsor is a healthcare REIT for whom market-rate MF is non-core; sibling project Vista Point (~800u) also sits unbuilt.</t>
  </si>
  <si>
    <t>https://boisedev.com/news/2022/03/11/mix-of-hundreds-of-housing-units-approved-on-former-school-district-site-in-southwest-boise/</t>
  </si>
  <si>
    <t>The Hummingbird</t>
  </si>
  <si>
    <t>dead - approval expired spring 2025</t>
  </si>
  <si>
    <t>Approved 2023 at 170 units (reworked from ~200) on the Aquarium of Boise site at Franklin &amp; Cole (60 N Cole Rd); the two-year approval expired spring 2025 and the owner instead proposed an aquarium expansion on the site (Aug 2025) — CoStar's Q3 2028 delivery is not supported.</t>
  </si>
  <si>
    <t>https://boisedev.com/news/2025/08/18/aquarium-boise-expansion/</t>
  </si>
  <si>
    <t>390</t>
  </si>
  <si>
    <t>proposed - long-dated; residential 5-7 yrs out per developer</t>
  </si>
  <si>
    <t>GFI Meridian Investments LLC (Trevor Gasser, Bountiful UT); site entity GFI - Meridian Investments II LLC; engineer KM Engineering LLP. CORRECTION: our chart carried "TGI Corp" — no such entity appears in any primary source. 390u = 200 1BR + 174 2BR + 16 3BR in six 4-story interior-corridor buildings + five 3-story townhome-style buildings. Site: NE corner Franklin &amp; Ten Mile, 38.99 ac, C-G + R-40, parcel S1211336065 — a DIFFERENT corner and developer from Outer Banks (no double-count). CUP + preliminary plat approved unanimously 11/19/2024. RISK: commencement lapses ~11/19/2026 (~3 months out) with no TEC found; developer stated on the record that residential is 5-7 years out with commercial first, and the commercial is still only at pad-leasing stage; Ten Mile rated LOS F with no widening programmed; 80+ opposition letters on file.</t>
  </si>
  <si>
    <t>138</t>
  </si>
  <si>
    <t>proposed - stalled; entitled site for sale via CBRE at $5.0M</t>
  </si>
  <si>
    <t>MVRK Development (Denver-based multifamily/condo developer active in Boise). 138u on ~3.5 ac, approved 5-1 Nov 2023. STATUS CHANGE: went under contract ~8/7/2026 after 469 days on market (Crexi/BHHS). The original developer chose to sell rather than build while executing its condo pipeline — a telling signal about MF feasibility at this basis. Buyer, price and intended use are all unknown. CORRECTION: the "$5.0M CBRE asking price" we previously carried could NOT be verified — the live listing is unpriced. Commencement clock very likely stale (2.5+ years, no permit).</t>
  </si>
  <si>
    <t>https://boisedev.com/news/2023/11/15/boise-city-council-approves-overland-road-apartment-project-over-some-neighborhood-opposition/</t>
  </si>
  <si>
    <t>Fairview</t>
  </si>
  <si>
    <t>150</t>
  </si>
  <si>
    <t>withdrawn - CUP H-2023-0001 withdrawn Jun 15 2023; site re-tenanted as RV dealership Apr 2024</t>
  </si>
  <si>
    <t>DEEP-DIVE VERIFIED 7/16/2026 (all verdicts survived 3-lens adversarial check). DEAD: Biltmore/Pivot North's 150u CUP (H-2023-0001, 8.25 ac C-G at 1005 E Fairview) was WITHDRAWN by the applicant at the 6/15/2023 P&amp;Z hearing before any vote. The 20k sf ex-dealership building was marketed for retail lease Jan 2024 and the city issued occupancy permit C-CO-2024-0029 on 4/10/2024 to Uncharted Recreation (RV/golf-cart dealership), still operating mid-2026. Biltmore's 'coming soon' page is a stale placeholder. Dropped; C-G zoning would allow a future resubmittal — shadow footnote only.</t>
  </si>
  <si>
    <t>https://boisedev.com/news/2023/01/11/fairview-apartments-meridian/</t>
  </si>
  <si>
    <t>Promenade Cottages II</t>
  </si>
  <si>
    <t>not multifamily - for-sale townhomes/cottages (same community as Phase I)</t>
  </si>
  <si>
    <t>Phase II of the Promenade Cottages for-sale townhome/cottage community at Fairview &amp; 3rd (A-Team Consultants) — same for-sale product as Phase I; not rental apartment supply.</t>
  </si>
  <si>
    <t>162</t>
  </si>
  <si>
    <t>proposed - equity raise underway; construction targeted Q3 2026</t>
  </si>
  <si>
    <t>Hawkins Companies (Boise; delivered Canyon Ridge 287u and Denton in 2025). 174u approved by Boise Council 9/10/2024 over a P&amp;Z denial recommendation (3-2 vote); 162u per the later Design Review DRH24-00090 redesign — carry 162, footnote 174. ~4.2 of 6.1 ac cleared/graded = more physical progress than any other unpermitted deal in the ring. RISK: commencement appears to expire ~9/10/2026, no extension found; 1.9 ac of the site still improved/occupied; the 3-2 approval means re-entitlement would be contested.</t>
  </si>
  <si>
    <t>Hawkins Capital Markets OM — research/oms/Maple_Grove_Overland_Equity_Hawkins_OM.pdf</t>
  </si>
  <si>
    <t>200</t>
  </si>
  <si>
    <t>proposed</t>
  </si>
  <si>
    <t>Assemble Management (California-based; applicant of record David Ruby; architect The Architects Office). 200u + ~19,517 sf ground-floor commercial in four 3-story vertically-integrated buildings (up from 184u/18,226 sf at filing). Site: 4270 + 4240 E Overland Rd + 1480/1520/1560 Rolling Hill Dr, 8.16 ac, NE corner Overland &amp; S Rolling Hill Dr, ~1.0 mi from subject. Annexation + rezone (R1 to C-C) + DA approved by Council 5-1 on 5/19/2026 (H-2025-0040) OVER a unanimous P&amp;Z denial recommendation AND a staff denial recommendation. History: the original 154u plan was denied in 2024 over a mid-footprint holdout parcel. RISK: land was under LOI, not closed, at approval; the View Circle/Movado collector road is unfunded and staff warned it "may never be constructed"; single unsignalized right-in/right-out access for 200 units.</t>
  </si>
  <si>
    <t>https://boisedev.com/news/2026/05/20/ready-for-its-next-phase-meridian-approves-project-bringing-something-new-to-overland-rd/</t>
  </si>
  <si>
    <t>270</t>
  </si>
  <si>
    <t>DRB Investments LLC (principal/co-owner Matt Baker) — built Dovetail (240u, 2020-23) inside this same master plan, so execution credibility is genuine. 270u CUP in two buildings on 6.28 ac with a height exception to 87 ft, approved by Council 4-1 on 10/21/2025; commencement runs to ~10/21/2027. E Pine Ave between Locust Grove &amp; Hickory. DISTINCT from the built Dovetail community at 1350 N Webb Way — do not conflate. SHADOW: the same MDA allows up to ~604 vertically-integrated units + ~30-35 townhomes (up to ~848-900 total apartments) plus ~218-229k sf office, a hotel/conference center and retail on 33+ ac, ~$1B, phased over 10-12 years — carried as a shadow row, not counted. RISK: developer guidance is townhomes first, groundbreaking "2027 or later"; podium/underground parking basis is well above the garden benchmark.</t>
  </si>
  <si>
    <t>https://boisedev.com/news/2025/10/22/large-urban-project-gets-green-light-from-meridian-city-council/</t>
  </si>
  <si>
    <t>212</t>
  </si>
  <si>
    <t>under construction</t>
  </si>
  <si>
    <t>AUDIT FIND: J. Fisher Companies 6-story, 100% income-restricted (50-80% AMI, incl. 21 Our Path Home units), $70M, broke ground Oct 2025 at 1500 N Eldorado St (west Boise bench) — 4.9 mi from subject, just inside the ring. Delivery targeted summer 2027. Affordable positioning limits direct rent competition but adds ring supply. Classic CoStar/RealPage-invisible affordable deal.</t>
  </si>
  <si>
    <t>https://www.cityofboise.org/news/planning-and-development-services/2025/october/dorado-station-apartments-celebrate-groundbreaking/</t>
  </si>
  <si>
    <t>72</t>
  </si>
  <si>
    <t>AUDIT FIND: Shannon Robnett Industries' 191-unit phased garden/rowhouse community at Ustick &amp; Venable (~3.5 mi); early buildings already leasing but THREE new 24-plex permits issued June 2026 (C-MULTI-2025-0016/-0022/-0023, incl. 3005 N Ridgebury Ln) = 72 units of fresh supply. Not in CoStar/RealPage; verify delivered-vs-remaining split against next vendor pull.</t>
  </si>
  <si>
    <t>250</t>
  </si>
  <si>
    <t>proposed - announced Jul 13 2026; Union 93 skeleton repurposed</t>
  </si>
  <si>
    <t>Residential by The Pacific Companies (Eagle ID; Caleb Roope); office/retail by Ahlquist (Tommy Ahlquist), title via Gray Owl Holdings. ~250u — DOWN from the 385 apartments approved under the original Union 93 CUP; flag that drop. Site: SE corner Main &amp; Broadway, downtown Meridian, across from City Hall. ENTITLEMENT: functionally unentitled for the current program — the 2020 CUP covered 385u/28,000 sf retail with no office tower or hotel; the new ~250u + 120,000 sf office + 32,000 sf retail concept has no confirmed application on file, described as "very nascent design." Predecessor Union 93 died on a $22M judgment and sheriff auction Oct 2025; spec office + hotel in the new stack is a real execution risk on a site that already consumed $20M+.</t>
  </si>
  <si>
    <t>https://boisedev.com/news/2026/07/13/union-93-heritage-square-meridian-ahlquist-pacific-companies/</t>
  </si>
  <si>
    <t>Elk Ventures LLC (Erik Pilegaard, Truckee CA); owner entity 10 Mile Franklin LLC; GC Perryman Construction Mgmt. 516u = 364 apts + 126 flats + 26 TH on 19.34 ac R-40/C-C, SW corner Franklin &amp; Ten Mile. Council approved 12/14/2021; that CUP LAPSED ~Dec 2023 unused; re-approved unchanged as H-2024-0026 (P&amp;Z 10/3/2024). Sewer/water easement ESMT-2025-0071 approved 8/12/2025. Permits C-MULTI-2025-0023/-0024 + a third issued 6/17/2026 for tri-level Bldgs A/B/C on S Tallac Ln (~18-26 units). RISK: only 3 of ~50 buildings permitted; financing for later phases UNVERIFIED; Ten Mile LOS flagged unacceptable ~1 hr/day by staff in 2021.</t>
  </si>
  <si>
    <t>Overland &amp; Wells II / "Seasons at Meridian II" (2600 E Overland)</t>
  </si>
  <si>
    <t>DEAD - DENIED by City Council 10/25/2022; findings adopted 11/9/2022; no re-application through Aug 2026</t>
  </si>
  <si>
    <t>AUG 2026 AUDIT (the blind-spot find): Morgan Stonehill's marketed 351u Phase II next door to the subject (345u at hearing; H-2022-0030 MDA+CUP, owner WinCo Foods). P&amp;Z rec. denial 3-1 (traffic; original approval was retail); council denied both requests — employment-land loss, failing Overland/Eagle intersections, MF over-concentration next to Phase 1. No CUP ever issued → no TEC possible. WinCo lot-split the 18 ac Feb 2025 along future Cinema Dr; marketed since Jan 2024 (Colliers) as big-box/pad retail ground leases. ~5% de-novo revival; earliest delivery ~2030 if ever. Denial precedent SHIELDS the subject's node.</t>
  </si>
  <si>
    <t>https://meetings.municode.com/adaHtmlDocument/index?cc=MERIDIANID&amp;me=3aa003edf07646dc9cbd1598e8b33e22&amp;ip=true</t>
  </si>
  <si>
    <t>proposed - formal early plans filed June 2026</t>
  </si>
  <si>
    <t>Quarterra — majority-owned by TPG Real Estate as of Jan 2026 (Lennar sold control, retained a minority stake; TPG committed $1B fresh capital). 250u = 204 apartments + 46 townhomes (~440 bedrooms) is the plan of record; the 256u/$78.0M/6.65-6.80% YoC figures are Quarterra's internal merchant model. Site: ~13-14 ac at the NE corner of S Eagle Rd (SH-55) &amp; E Victory Rd — the same 14.473-ac R-15 parcel as the prior "Artisan Victory Market" approval (138 BTR units, H-2022-0066, approved 2023, never built; our file said 131 — 138 is correct). CRITICAL: Quarterra does NOT own the land — June 2026 press confirms Baron Properties still owns it and is trying to sell. ENTITLEMENT: pre-application/concept only — no formal Meridian application, no H-file, no hearing scheduled. 18 u/ac requires a discretionary comp-plan amendment against a 15 u/ac cap. NOTE: we hold Quarterra's actual equity book + merchant model — see replacement_cost_analysis.md; its ancillary income runs +83% vs what the subject collects.</t>
  </si>
  <si>
    <t>https://boisedev.com/news/2026/06/10/meridian-emblem-victory-eagle-homes-apartment/</t>
  </si>
  <si>
    <t>proposed - moved from UC (analyst call): CoStar UC flag unconfirmed by permits</t>
  </si>
  <si>
    <t>Endurance Holdings LLC + Challenger Development Inc (Corey Barton / CBH-affiliated; DA also includes Ten Mile West Commercial LLC, all at 1977 W Overland Rd); original applicant of record Meridian 118 LLC. 552u is the entitled figure (432 was an earlier design iteration). Residential component is an unplatted 32.55-ac R-15 parcel (S1215131410, PROPCODE L, no TOTALVALUE) inside a ~115-ac mixed-use assemblage at Ten Mile &amp; I-84. CORRECTION: the CoStar UC/Q1-2028 flag is bleed-over from the $50.7M Life Time club (C-NEW-2026-0003) on a commercial lot in the same plat — zero permits on the R-15 parcel across 5 weekly + the Jan-2026 monthly permit reports. Commercial lots ARE building; the MF parcel is untouched 4 years post-approval. DA absorbed into the commercial-first District at Ten Mile agreement.</t>
  </si>
  <si>
    <t>https://boisedev.com/news/2022/08/01/vanguard-commons-meridian/</t>
  </si>
  <si>
    <t>SHADOW SUPPLY (latent / untracked — watch list)</t>
  </si>
  <si>
    <t>Emblem Meridian (Quarterra) / Artisan Victory Market site</t>
  </si>
  <si>
    <t>PROMOTED Aug 2026 to pipeline row #44 (250u) — kept here for history. Land-use analysis site SM-76: ~12-ac BPS Eagle Road LLC assemblage on S Eagle Rd. 'Artisan Victory Market' (H-2022-0066) approved 2023 for 131 build-to-rent units + commercial but never built; superseded by Quarterra's 'Emblem Meridian' ~250-unit concept (pre-application June 2026). Closest large latent MF site to the subject (~1 mi). | AUG 2026 AUDIT: formal early plans FILED June 2026 — 250 units (apts+TH) on ~13 ac (BoiseDev 6/10/26). Nearest live MF application to the subject (1.0 mi).</t>
  </si>
  <si>
    <t>Tanner Creek apartments (Waltman/Johnson Ln)</t>
  </si>
  <si>
    <t>280</t>
  </si>
  <si>
    <t>Land-use analysis site SM-15: Tanner Creek (heard Nov 2023; moved forward) — 83 SF homes + 45 townhomes + 280 phased apartments on ~38 ac, paired with ~30-ac Hawkins commercial between I-84 and Waltman Ln. Residential now being built by CBH Homes; the 280-unit apartment component is latent supply not yet in the CoStar/RealPage pipeline.</t>
  </si>
  <si>
    <t>https://boisedev.com/news/2023/11/28/plans-for-two-large-developments-off-i-84-and-meridian-rd-move-forward/</t>
  </si>
  <si>
    <t>Graycliff Estates R-40 block</t>
  </si>
  <si>
    <t>224</t>
  </si>
  <si>
    <t>Land-use analysis site SM-3: Graycliff Estates (Star Development) approved preliminary plat of ~200 SF homes PLUS 224 apartments (R-40 high-density block) on ~52 ac; SF portion building since 2021. The 224-unit apartment block remains unbuilt latent supply. | AUG 2026 AUDIT: confirmed still unbuilt; no 2026 hearing/permit activity found.</t>
  </si>
  <si>
    <t>https://www.weknowboise.com/graycliff-estates.php</t>
  </si>
  <si>
    <t>Touchmark Meadow Lake Village expansion</t>
  </si>
  <si>
    <t>Land-use analysis site SM-9: ~64 undeveloped ac of Touchmark's ~121-ac senior community. July 2025 development-modification agreement + rezone + PUD in progress to a broader 'Touchmark Mixed Use' (mixed housing types). Senior-oriented, but adds rental housing capacity 1.5 mi from subject.</t>
  </si>
  <si>
    <t>https://boisedev.com/news/2025/07/14/touchmark-meridian-meadowlake-mixed-use/</t>
  </si>
  <si>
    <t>Ten Mile Crossing residual HDR parcels</t>
  </si>
  <si>
    <t>Land-use analysis site SM-4: residential portion (R-15/R-8) of Brighton's Ten Mile Crossing at SW Overland &amp; Ten Mile — partially built (Cortland South Meridian + CBH SF); remaining High-Density Residential parcels planned/dormant, including an 8.6-ac and a 14.4-ac R-15 vacant parcel (highest-interest sites in the land-use ranking). Note: South Ridge II (164u UC, tracked in the chart) is rising in this same corridor.</t>
  </si>
  <si>
    <t>https://www.brighton.co/brighton-place/ten-mile-crossing/</t>
  </si>
  <si>
    <t>Brighton Apex R-15 parcel (Lake Hazel)</t>
  </si>
  <si>
    <t>Land-use analysis site SM-61: 15.1-ac R-15 (med-high-density) parcel on E Lake Hazel Rd inside Brighton's approved Apex/Pinnacle master-plan footprint; adjacent phases actively building. Latent MF-capable ground in the fast-growing S Meridian corridor.</t>
  </si>
  <si>
    <t>https://boisedev.com/news/2024/12/20/brighton-pinnacle-costco-meridian/</t>
  </si>
  <si>
    <t>Outer Banks Subdivision (TM Creek / Cobalt Dr)</t>
  </si>
  <si>
    <t xml:space="preserve">PROMOTED Aug 2026 to pipeline row #33 "Outer Banks Apartments" (516u, groundbreaking expected 2026) — kept here for history. </t>
  </si>
  <si>
    <t>https://boisedev.com/news/2021/12/17/outer-banks-pera-place/</t>
  </si>
  <si>
    <t>Grandview Communities (Lake Hazel &amp; Linder)</t>
  </si>
  <si>
    <t>130</t>
  </si>
  <si>
    <t>AUDIT WATCH: 79-ac pre-application (July 2025) at NE corner Lake Hazel &amp; Linder — ~510 homes incl. ~130 apartments + 176 TH/cluster; no formal H-file or hearing yet; sits near the southern ring edge (~4.5 mi).</t>
  </si>
  <si>
    <t>https://boisedev.com/news/2025/07/07/hundreds-of-homes-apartments-planned-for-lake-hazel-and-linder/</t>
  </si>
  <si>
    <t>Discovery project (Lake Hazel &amp; Locust Grove)</t>
  </si>
  <si>
    <t>AUDIT WATCH: April 2024 pre-application for 200+ units (nine 3-story buildings + TH/SFR) on ~20 ac by Discovery Park; no formal application since — dormant but the land is teed up (~3.5 mi).</t>
  </si>
  <si>
    <t>https://boisedev.com/news/2024/04/12/200-apartments-meridian-discovery/</t>
  </si>
  <si>
    <t>709 N Cole Rd (city land trust)</t>
  </si>
  <si>
    <t>AUDIT WATCH: City of Boise closing (July 2026) on 1.64 ac by Boise Towne Square for future affordable housing (prior owner proposed 71 micro-units in 2021); no developer or program yet — 2029+ speculative. Same parcel as the excluded 'Cole Road' RealPage entry.</t>
  </si>
  <si>
    <t>https://boisedev.com/news/2026/06/01/709-cole-boise/</t>
  </si>
  <si>
    <t>Aren east phase (verify)</t>
  </si>
  <si>
    <t>AUDIT WATCH: The Aren (396u, delivered 2024) was planned as two phases at Eagle View Landing; verify whether the east-phase (~200u) buildings are fully delivered within the tracked 396 or represent additional untracked pipeline.</t>
  </si>
  <si>
    <t>https://arenmeridian.com/</t>
  </si>
  <si>
    <t>Murio Farms MF phases (SW Boise)</t>
  </si>
  <si>
    <t>AUDIT WATCH: 380-ac, 3,500-home master plan approved 2024 between Maple Grove &amp; Cole at the New York Canal; apartments in later phases (15-20 yr buildout) — long-dated only.</t>
  </si>
  <si>
    <t>https://www.ktvb.com/article/news/local/idaho-press/city-council-approves-murio-farms-3500-homes-southwest-boise/277-eb746dad-15bb-4c8e-868d-ca9d6c1e355e</t>
  </si>
  <si>
    <t>Pine 43 VI residential (same MDA as the 270u CUP)</t>
  </si>
  <si>
    <t>AUG 2026 AUDIT: H-2024-0071 (approved 10/21/2025) also allows up to 604 vertically-integrated units over ground-floor commercial (87-ft height exception) + 30 TH — up to 904 total units in the Pine 43 revamp (~$1B, 10-12 yr buildout, ~1.8 mi). Legacy-name filing; in nobody's pipeline count.</t>
  </si>
  <si>
    <t>The District at Ten Mile (BVA + CenterCal principals)</t>
  </si>
  <si>
    <t>AUG 2026 AUDIT: 222-ac master plan NW quadrant I-84 &amp; Ten Mile broke ground May 2026 (Target, Life Time, hotels); ~1,800 residential units incl. up to 400 TH with vertical from ~June 2026. Rental MF phases unbranded/uncounted in any feed (~3.3 mi).</t>
  </si>
  <si>
    <t>https://idahobusinessreview.com/2026/06/22/district-at-ten-mile-meridian-development/</t>
  </si>
  <si>
    <t>Modern Craftsman Franklin (Baron BTR, Franklin &amp; Black Cat)</t>
  </si>
  <si>
    <t>AUG 2026 AUDIT: 122 BTR dwellings (SFR/duplex/6-plex) filed 2023 (annexation+CUP+plat); post-2023 status UNVERIFIED — name collides with built Modern Craftsman Ten Mile. Verify with Meridian planning before counting (~4.0 mi).</t>
  </si>
  <si>
    <t>https://boisedev.com/news/2023/02/17/modern-craftsman-subdivision/</t>
  </si>
  <si>
    <t>Kleiner Trust field (Fairview &amp; Eagle, 71.8 ac C-G)</t>
  </si>
  <si>
    <t>AUG 2026 AUDIT: Two ag-exempt parcels (3000 E Fairview 36.6 ac + N Eagle Rd 35.2 ac) = the ~72.5-ac Julius Kleiner family trust field. No applications, not listed, held for decades; CenterCal dropped 549 apartments at the adjacent Village expansion for lack of demand. Biggest long-term optionality in the ring; zero current motion (~2.0-2.3 mi).</t>
  </si>
  <si>
    <t>https://boisedev.com/news/2022/09/20/kleiner-eagle-fairview/</t>
  </si>
  <si>
    <t>1780 E Overland Rd (5.4 ac ag-exempt C-G)</t>
  </si>
  <si>
    <t>AUG 2026 AUDIT: Idle freeway-visible C-G 0.6 mi W of subject; no application, no listing, owner unverified. On a corridor where C-G→MF CUPs keep passing (Rolling Hill 200u approved 5/19/26). Nearest genuinely convertible dirt after the WinCo denial.</t>
  </si>
  <si>
    <t>1450 E Franklin Rd (12.8 ac ag-exempt C-G)</t>
  </si>
  <si>
    <t>AUG 2026 AUDIT: Was on LoopNet ("Northeast Meridian Land"), now delisted; no application (1.2 mi). Stalled 36u OZ project across the street signals weak small-MF economics.</t>
  </si>
  <si>
    <t>Latitude Forty Three (675/715/955 S Wells St — benign marker)</t>
  </si>
  <si>
    <t>AUG 2026 AUDIT: H-2024-0059: 79 detached FOR-SALE homes + 1 C-N pad on the Magic View enclave 0.3 mi N. P&amp;Z rec. approval 6-0 (4/3/25); council continued repeatedly pending ITD TIA (latest 4/7/26). NOT multifamily — extinguishes the enclave's prior senior/MF potential. Logged so the closest-in application is on the map.</t>
  </si>
  <si>
    <t>SHOT-DOWN MF REGISTER (denied / withdrawn / expired / converted — 2015-2026 sweep, Aug 14 2026)</t>
  </si>
  <si>
    <t>Project</t>
  </si>
  <si>
    <t>Outcome / year</t>
  </si>
  <si>
    <t>Overland &amp; Wells II / "Seasons at Meridian II" (H-2022-0030)</t>
  </si>
  <si>
    <t>DENIED Nov 2022</t>
  </si>
  <si>
    <t>Touching parcel. Employment-land loss, failing intersections, MF over-concentration. WinCo owns; retail pads marketed. ~5% revival, earliest ~2030.</t>
  </si>
  <si>
    <t>meetings.municode.com MERIDIANID 11/9/2022</t>
  </si>
  <si>
    <t>Andorra Senior Living (H-2019-0127) + 2021 assisted-living</t>
  </si>
  <si>
    <t>EXPIRED 2020 / DENIED 2021</t>
  </si>
  <si>
    <t>Magic View enclave 0.3 mi: senior annexation approved 2019 but DA never signed; 2021 assisted-living denied. Site now in the for-sale Latitude 43 plat.</t>
  </si>
  <si>
    <t>Meridian records</t>
  </si>
  <si>
    <t>Cobalt Point (H-2022-0042)</t>
  </si>
  <si>
    <t>WITHDRAWN Dec 2022</t>
  </si>
  <si>
    <t>11.95-ac C-G at Copper Point/Cobalt Point Way (0.8 mi); never re-filed; land still vacant — entitled-once dirt, kept Low-Watch.</t>
  </si>
  <si>
    <t>Fairview Apartments (H-2023-0001)</t>
  </si>
  <si>
    <t>WITHDRAWN Jun 2023</t>
  </si>
  <si>
    <t>1005 E Fairview; site re-tenanted as RV dealership Apr 2024.</t>
  </si>
  <si>
    <t>The 10 at Meridian (Elk Ventures)</t>
  </si>
  <si>
    <t>ABANDONED ~2024</t>
  </si>
  <si>
    <t>SW Franklin &amp; Ten Mile; superseded by Gateway (#39) / Outer Banks (#33) — VERIFY footprint split.</t>
  </si>
  <si>
    <t>BoiseDev</t>
  </si>
  <si>
    <t>Rolling Hill original plan</t>
  </si>
  <si>
    <t>DENIED 2024</t>
  </si>
  <si>
    <t>First Assemble plan denied (county enclave); revised 200u APPROVED 5/19/2026 → row #37.</t>
  </si>
  <si>
    <t>BoiseDev 5/20/26</t>
  </si>
  <si>
    <t>WITHDRAWN Jun 2024</t>
  </si>
  <si>
    <t>Old Sears site, 460 N Milwaukee (Boise); pulled; site for sale.</t>
  </si>
  <si>
    <t>The Bridge at Village at Meridian</t>
  </si>
  <si>
    <t>ABANDONED Aug 2024</t>
  </si>
  <si>
    <t>CenterCal dropped residential expansion "for lack of demand"; retail-only rebuild.</t>
  </si>
  <si>
    <t>BoiseDev 8/19/24</t>
  </si>
  <si>
    <t>Lake Hazel &amp; Five Mile (Ada County)</t>
  </si>
  <si>
    <t>DENIED 2022 &amp; 2024</t>
  </si>
  <si>
    <t>128u then 118u denied; 2025 commercial-only approved. Dead as MF.</t>
  </si>
  <si>
    <t>Ada County records</t>
  </si>
  <si>
    <t>Centrepoint — Devco affordable (H-2024-0019)</t>
  </si>
  <si>
    <t>WITHDRAWN 2025</t>
  </si>
  <si>
    <t>Affordable plan killed; superseded by 213u market-rate approval Dec 2025 → row #32.</t>
  </si>
  <si>
    <t>Newkirk (H-2024-0043)</t>
  </si>
  <si>
    <t>CONVERTED Feb 2025</t>
  </si>
  <si>
    <t>Approved 216 apartments converted to 95 for-sale attached homes (Franklin &amp; Black Cat).</t>
  </si>
  <si>
    <t>BoiseDev 2/13/25</t>
  </si>
  <si>
    <t>EXPIRED spring 2025</t>
  </si>
  <si>
    <t>60 N Cole Rd; approval lapsed; aquarium expansion planned instead.</t>
  </si>
  <si>
    <t>BoiseDev 8/18/25</t>
  </si>
  <si>
    <t>FORECLOSED Oct 2025</t>
  </si>
  <si>
    <t>Main &amp; Broadway skeleton foreclosed/auctioned; superseded by Heritage Square 250u → row #35.</t>
  </si>
  <si>
    <t>Tanner Creek original (Schulz)</t>
  </si>
  <si>
    <t>DENIED 2018</t>
  </si>
  <si>
    <t>Waltman Ln; corridor later approved as phased Tanner Creek (280 apts, CBH) — on watch list.</t>
  </si>
  <si>
    <t>(pattern read)</t>
  </si>
  <si>
    <t>Council kills big MF at retail/employment nodes (protective for subject); denial is often round one — Rolling Hill/Centrepoint/Union 93/Tanner Creek all returned in new form; Magic View enclave killed senior/MF 3x; ~2,100 units died in-ring 2024-2025. Dormant-but-entitled deals (Records #38, Victory Flats #41, Ascent #46, 12548 #45, OZ #47) remain in the chart, NOT here. Syringa #40 is contested-live.</t>
  </si>
  <si>
    <t>SHADOW WATCH — ADDED AUG 14 2026 (agent sweep)</t>
  </si>
  <si>
    <t>Apex Zenith (Brighton) — Lake Hazel &amp; Meridian Rd</t>
  </si>
  <si>
    <t>AUG 2026 SWEEP: Annexation/rezone/DA approved 4-1 Jan 2025; application references MF units; Costco portion under construction (Aug 2026 opening target). Southern ring edge (~4 mi); MF phases undated.</t>
  </si>
  <si>
    <t>BoiseDev / Meridian records</t>
  </si>
  <si>
    <t>Victory &amp; Ten Mile mixed-use pre-app (~142 ac)</t>
  </si>
  <si>
    <t>AUG 2026 SWEEP: Oct 2025 pre-application concept (Mark Bottles RE / West Ada SD land) with a second housing product plausibly attached/MF; no formal file yet (~2.9 mi).</t>
  </si>
  <si>
    <t>Oct 2025 reporting</t>
  </si>
  <si>
    <t xml:space="preserve">5-mile radius  |  As of 2026 Q3 QTD  </t>
  </si>
  <si>
    <t>BOISE MSA POP GRWTH (Placer)</t>
  </si>
  <si>
    <t>Wage Grwth (QCEW)</t>
  </si>
  <si>
    <t>New Lease Trade-Outs (Boise Market, Realpage)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</si>
</sst>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&quot;$&quot;#,##0;;&quot;—&quot;"/>
    <numFmt numFmtId="166" formatCode="0.0&quot; mi&quot;;;&quot;—&quot;"/>
    <numFmt numFmtId="167" formatCode="&quot;$&quot;#,##0"/>
  </numFmts>
  <fonts count="20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sz val="9"/>
      <color rgb="FFFFFFFF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</font>
    <font>
      <sz val="8"/>
      <color rgb="FF808080"/>
      <name val="Calibri"/>
      <family val="2"/>
    </font>
    <font>
      <b/>
      <sz val="9"/>
      <color rgb="FF000000"/>
      <name val="Calibri"/>
      <family val="2"/>
    </font>
    <font>
      <i/>
      <sz val="7"/>
      <color rgb="FF808080"/>
      <name val="Calibri"/>
      <family val="2"/>
    </font>
    <font>
      <b/>
      <sz val="9"/>
      <color rgb="FF0000FF"/>
      <name val="Calibri"/>
      <family val="2"/>
    </font>
    <font>
      <b/>
      <sz val="8"/>
      <color rgb="FFFFFFFF"/>
      <name val="Calibri"/>
      <family val="2"/>
    </font>
    <font>
      <sz val="9"/>
      <color rgb="FF0000FF"/>
      <name val="Calibri"/>
      <family val="2"/>
    </font>
    <font>
      <i/>
      <sz val="8"/>
      <color rgb="FF000000"/>
      <name val="Calibri"/>
      <family val="2"/>
    </font>
    <font>
      <i/>
      <sz val="8"/>
      <color rgb="FF808080"/>
      <name val="Calibri"/>
      <family val="2"/>
    </font>
    <font>
      <b/>
      <sz val="9"/>
      <color rgb="FF153D64"/>
      <name val="Calibri"/>
      <family val="2"/>
    </font>
    <font>
      <b/>
      <sz val="8"/>
      <color rgb="FF595959"/>
      <name val="Calibri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sz val="8"/>
      <color rgb="FFC00000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53D64"/>
      </patternFill>
    </fill>
    <fill>
      <patternFill patternType="solid">
        <fgColor rgb="FF2E75B6"/>
      </patternFill>
    </fill>
    <fill>
      <patternFill patternType="solid">
        <fgColor rgb="FFDDEBF7"/>
      </patternFill>
    </fill>
    <fill>
      <patternFill patternType="solid">
        <fgColor rgb="FFED7D31"/>
      </patternFill>
    </fill>
    <fill>
      <patternFill patternType="solid">
        <fgColor rgb="FFFCE4D6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F0000"/>
      </patternFill>
    </fill>
    <fill>
      <patternFill patternType="solid">
        <fgColor rgb="FFFCE4E4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D6E0F0"/>
      </patternFill>
    </fill>
    <fill>
      <patternFill patternType="solid">
        <fgColor rgb="FFFFE699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9" fillId="0" borderId="0"/>
  </cellStyleXfs>
  <cellXfs count="9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166" fontId="4" fillId="4" borderId="1" xfId="0" applyNumberFormat="1" applyFont="1" applyFill="1" applyBorder="1" applyAlignment="1">
      <alignment horizontal="center" vertical="center" wrapText="1"/>
    </xf>
    <xf numFmtId="0" fontId="0" fillId="5" borderId="0" xfId="0" applyFill="1"/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/>
    </xf>
    <xf numFmtId="3" fontId="4" fillId="6" borderId="1" xfId="0" applyNumberFormat="1" applyFont="1" applyFill="1" applyBorder="1" applyAlignment="1">
      <alignment horizontal="center" vertical="center" wrapText="1"/>
    </xf>
    <xf numFmtId="164" fontId="4" fillId="6" borderId="1" xfId="0" applyNumberFormat="1" applyFont="1" applyFill="1" applyBorder="1" applyAlignment="1">
      <alignment horizontal="center" vertical="center" wrapText="1"/>
    </xf>
    <xf numFmtId="165" fontId="4" fillId="6" borderId="1" xfId="0" applyNumberFormat="1" applyFont="1" applyFill="1" applyBorder="1" applyAlignment="1">
      <alignment horizontal="center" vertical="center" wrapText="1"/>
    </xf>
    <xf numFmtId="166" fontId="4" fillId="6" borderId="1" xfId="0" applyNumberFormat="1" applyFont="1" applyFill="1" applyBorder="1" applyAlignment="1">
      <alignment horizontal="center" vertical="center" wrapText="1"/>
    </xf>
    <xf numFmtId="0" fontId="0" fillId="7" borderId="0" xfId="0" applyFill="1"/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/>
    </xf>
    <xf numFmtId="3" fontId="4" fillId="8" borderId="1" xfId="0" applyNumberFormat="1" applyFont="1" applyFill="1" applyBorder="1" applyAlignment="1">
      <alignment horizontal="center" vertical="center" wrapText="1"/>
    </xf>
    <xf numFmtId="164" fontId="4" fillId="8" borderId="1" xfId="0" applyNumberFormat="1" applyFont="1" applyFill="1" applyBorder="1" applyAlignment="1">
      <alignment horizontal="center" vertical="center" wrapText="1"/>
    </xf>
    <xf numFmtId="165" fontId="4" fillId="8" borderId="1" xfId="0" applyNumberFormat="1" applyFont="1" applyFill="1" applyBorder="1" applyAlignment="1">
      <alignment horizontal="center" vertical="center" wrapText="1"/>
    </xf>
    <xf numFmtId="166" fontId="4" fillId="8" borderId="1" xfId="0" applyNumberFormat="1" applyFont="1" applyFill="1" applyBorder="1" applyAlignment="1">
      <alignment horizontal="center" vertical="center" wrapText="1"/>
    </xf>
    <xf numFmtId="0" fontId="0" fillId="9" borderId="0" xfId="0" applyFill="1"/>
    <xf numFmtId="0" fontId="4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/>
    </xf>
    <xf numFmtId="3" fontId="4" fillId="10" borderId="1" xfId="0" applyNumberFormat="1" applyFont="1" applyFill="1" applyBorder="1" applyAlignment="1">
      <alignment horizontal="center" vertical="center" wrapText="1"/>
    </xf>
    <xf numFmtId="164" fontId="4" fillId="10" borderId="1" xfId="0" applyNumberFormat="1" applyFont="1" applyFill="1" applyBorder="1" applyAlignment="1">
      <alignment horizontal="center" vertical="center" wrapText="1"/>
    </xf>
    <xf numFmtId="165" fontId="4" fillId="10" borderId="1" xfId="0" applyNumberFormat="1" applyFont="1" applyFill="1" applyBorder="1" applyAlignment="1">
      <alignment horizontal="center" vertical="center" wrapText="1"/>
    </xf>
    <xf numFmtId="166" fontId="4" fillId="10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3" fillId="2" borderId="0" xfId="0" applyFont="1" applyFill="1"/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9" fillId="3" borderId="1" xfId="0" applyFont="1" applyFill="1" applyBorder="1" applyAlignment="1">
      <alignment horizontal="center" vertical="center" wrapText="1"/>
    </xf>
    <xf numFmtId="0" fontId="8" fillId="11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9" fontId="8" fillId="11" borderId="0" xfId="0" applyNumberFormat="1" applyFont="1" applyFill="1" applyAlignment="1">
      <alignment horizontal="center" vertical="center" wrapText="1"/>
    </xf>
    <xf numFmtId="3" fontId="8" fillId="11" borderId="0" xfId="0" applyNumberFormat="1" applyFont="1" applyFill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3" fontId="4" fillId="12" borderId="1" xfId="0" applyNumberFormat="1" applyFont="1" applyFill="1" applyBorder="1" applyAlignment="1">
      <alignment horizontal="center" vertical="center" wrapText="1"/>
    </xf>
    <xf numFmtId="3" fontId="4" fillId="13" borderId="1" xfId="0" applyNumberFormat="1" applyFont="1" applyFill="1" applyBorder="1" applyAlignment="1">
      <alignment horizontal="center" vertical="center" wrapText="1"/>
    </xf>
    <xf numFmtId="164" fontId="6" fillId="12" borderId="1" xfId="0" applyNumberFormat="1" applyFont="1" applyFill="1" applyBorder="1" applyAlignment="1">
      <alignment horizontal="center" vertical="center" wrapText="1"/>
    </xf>
    <xf numFmtId="164" fontId="6" fillId="13" borderId="1" xfId="0" applyNumberFormat="1" applyFont="1" applyFill="1" applyBorder="1" applyAlignment="1">
      <alignment horizontal="center" vertical="center" wrapText="1"/>
    </xf>
    <xf numFmtId="167" fontId="4" fillId="12" borderId="1" xfId="0" applyNumberFormat="1" applyFont="1" applyFill="1" applyBorder="1" applyAlignment="1">
      <alignment horizontal="center" vertical="center" wrapText="1"/>
    </xf>
    <xf numFmtId="167" fontId="4" fillId="13" borderId="1" xfId="0" applyNumberFormat="1" applyFont="1" applyFill="1" applyBorder="1" applyAlignment="1">
      <alignment horizontal="center" vertical="center" wrapText="1"/>
    </xf>
    <xf numFmtId="0" fontId="11" fillId="0" borderId="0" xfId="0" applyFont="1"/>
    <xf numFmtId="164" fontId="12" fillId="12" borderId="1" xfId="0" applyNumberFormat="1" applyFont="1" applyFill="1" applyBorder="1" applyAlignment="1">
      <alignment horizontal="center" vertical="center" wrapText="1"/>
    </xf>
    <xf numFmtId="164" fontId="12" fillId="13" borderId="1" xfId="0" applyNumberFormat="1" applyFont="1" applyFill="1" applyBorder="1" applyAlignment="1">
      <alignment horizontal="center" vertical="center" wrapText="1"/>
    </xf>
    <xf numFmtId="164" fontId="4" fillId="12" borderId="1" xfId="0" applyNumberFormat="1" applyFont="1" applyFill="1" applyBorder="1" applyAlignment="1">
      <alignment horizontal="center" vertical="center" wrapText="1"/>
    </xf>
    <xf numFmtId="164" fontId="4" fillId="13" borderId="1" xfId="0" applyNumberFormat="1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0" fontId="0" fillId="2" borderId="0" xfId="0" applyFill="1"/>
    <xf numFmtId="0" fontId="3" fillId="2" borderId="0" xfId="0" applyFont="1" applyFill="1" applyAlignment="1">
      <alignment horizontal="center" vertical="center" wrapText="1"/>
    </xf>
    <xf numFmtId="0" fontId="4" fillId="12" borderId="0" xfId="0" applyFont="1" applyFill="1"/>
    <xf numFmtId="0" fontId="0" fillId="12" borderId="0" xfId="0" applyFill="1"/>
    <xf numFmtId="0" fontId="6" fillId="14" borderId="0" xfId="0" applyFont="1" applyFill="1"/>
    <xf numFmtId="0" fontId="0" fillId="14" borderId="0" xfId="0" applyFill="1"/>
    <xf numFmtId="164" fontId="6" fillId="14" borderId="1" xfId="0" applyNumberFormat="1" applyFont="1" applyFill="1" applyBorder="1" applyAlignment="1">
      <alignment horizontal="center" vertical="center" wrapText="1"/>
    </xf>
    <xf numFmtId="0" fontId="13" fillId="15" borderId="0" xfId="0" applyFont="1" applyFill="1"/>
    <xf numFmtId="0" fontId="0" fillId="15" borderId="0" xfId="0" applyFill="1"/>
    <xf numFmtId="164" fontId="6" fillId="15" borderId="1" xfId="0" applyNumberFormat="1" applyFont="1" applyFill="1" applyBorder="1" applyAlignment="1">
      <alignment horizontal="center" vertical="center" wrapText="1"/>
    </xf>
    <xf numFmtId="0" fontId="14" fillId="0" borderId="0" xfId="0" applyFont="1"/>
    <xf numFmtId="0" fontId="3" fillId="3" borderId="0" xfId="0" applyFont="1" applyFill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15" fillId="0" borderId="0" xfId="0" applyFont="1"/>
    <xf numFmtId="164" fontId="10" fillId="11" borderId="1" xfId="0" applyNumberFormat="1" applyFont="1" applyFill="1" applyBorder="1" applyAlignment="1">
      <alignment horizontal="center" vertical="center" wrapText="1"/>
    </xf>
    <xf numFmtId="0" fontId="16" fillId="0" borderId="0" xfId="0" applyFont="1"/>
    <xf numFmtId="0" fontId="17" fillId="0" borderId="0" xfId="0" applyFont="1"/>
    <xf numFmtId="164" fontId="0" fillId="0" borderId="0" xfId="0" applyNumberFormat="1"/>
    <xf numFmtId="3" fontId="0" fillId="0" borderId="0" xfId="0" applyNumberFormat="1"/>
    <xf numFmtId="0" fontId="4" fillId="0" borderId="1" xfId="0" applyFont="1" applyBorder="1" applyAlignment="1">
      <alignment horizontal="center" vertical="center" wrapText="1"/>
    </xf>
    <xf numFmtId="0" fontId="3" fillId="9" borderId="0" xfId="0" applyFont="1" applyFill="1" applyAlignment="1">
      <alignment horizontal="left" vertical="center"/>
    </xf>
    <xf numFmtId="0" fontId="18" fillId="2" borderId="0" xfId="0" applyFont="1" applyFill="1"/>
    <xf numFmtId="0" fontId="3" fillId="0" borderId="0" xfId="0" applyFont="1" applyAlignment="1">
      <alignment horizontal="center" wrapText="1"/>
    </xf>
    <xf numFmtId="9" fontId="0" fillId="0" borderId="0" xfId="0" applyNumberFormat="1" applyAlignment="1">
      <alignment horizontal="center"/>
    </xf>
    <xf numFmtId="0" fontId="4" fillId="8" borderId="1" xfId="0" applyFont="1" applyFill="1" applyBorder="1" applyAlignment="1">
      <alignment vertical="top" wrapText="1"/>
    </xf>
    <xf numFmtId="0" fontId="4" fillId="10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1" applyFont="1"/>
    <xf numFmtId="0" fontId="19" fillId="0" borderId="0" xfId="1"/>
    <xf numFmtId="164" fontId="4" fillId="16" borderId="1" xfId="1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0" fontId="0" fillId="0" borderId="0" xfId="0"/>
    <xf numFmtId="0" fontId="3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18" fillId="2" borderId="0" xfId="0" applyFont="1" applyFill="1"/>
  </cellXfs>
  <cellStyles count="2">
    <cellStyle name="Normal" xfId="0" builtinId="0"/>
    <cellStyle name="Normal 10" xfId="1" xr:uid="{A622E577-7C6E-425C-9489-1CCD7BDE35A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ash%20Flow%20(Annual)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nt%20&amp;%20Occ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 Flow (Annual)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nt &amp; Occ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61"/>
  <sheetViews>
    <sheetView showGridLines="0" tabSelected="1" workbookViewId="0">
      <selection activeCell="C26" sqref="C26"/>
    </sheetView>
  </sheetViews>
  <sheetFormatPr defaultRowHeight="14.5" x14ac:dyDescent="0.35"/>
  <cols>
    <col min="1" max="1" width="3" customWidth="1"/>
    <col min="2" max="2" width="3.453125" customWidth="1"/>
    <col min="3" max="3" width="30" customWidth="1"/>
    <col min="4" max="4" width="8" customWidth="1"/>
    <col min="5" max="5" width="11.453125" customWidth="1"/>
    <col min="6" max="6" width="10" customWidth="1"/>
    <col min="7" max="7" width="13" customWidth="1"/>
    <col min="8" max="8" width="30" customWidth="1"/>
    <col min="9" max="9" width="11" customWidth="1"/>
    <col min="10" max="10" width="14" customWidth="1"/>
    <col min="11" max="11" width="62" customWidth="1"/>
    <col min="13" max="13" width="13" hidden="1" customWidth="1"/>
  </cols>
  <sheetData>
    <row r="2" spans="2:13" ht="22" customHeight="1" x14ac:dyDescent="0.35">
      <c r="C2" s="93" t="s">
        <v>0</v>
      </c>
      <c r="D2" s="91"/>
      <c r="E2" s="91"/>
      <c r="F2" s="91"/>
      <c r="G2" s="91"/>
    </row>
    <row r="3" spans="2:13" x14ac:dyDescent="0.35">
      <c r="B3" s="90" t="s">
        <v>566</v>
      </c>
      <c r="C3" s="91"/>
      <c r="D3" s="91"/>
      <c r="E3" s="91"/>
      <c r="F3" s="91"/>
      <c r="G3" s="91"/>
    </row>
    <row r="4" spans="2:13" ht="18" customHeight="1" x14ac:dyDescent="0.35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80" t="s">
        <v>11</v>
      </c>
    </row>
    <row r="5" spans="2:13" x14ac:dyDescent="0.35">
      <c r="B5" s="2"/>
      <c r="C5" s="92" t="s">
        <v>12</v>
      </c>
      <c r="D5" s="91"/>
      <c r="E5" s="91"/>
      <c r="F5" s="91"/>
      <c r="G5" s="91"/>
      <c r="H5" s="91"/>
      <c r="I5" s="91"/>
      <c r="J5" s="91"/>
      <c r="K5" s="91"/>
    </row>
    <row r="6" spans="2:13" x14ac:dyDescent="0.35">
      <c r="B6" s="3">
        <v>1</v>
      </c>
      <c r="C6" s="4" t="s">
        <v>13</v>
      </c>
      <c r="D6" s="5">
        <v>72</v>
      </c>
      <c r="E6" s="3" t="s">
        <v>14</v>
      </c>
      <c r="F6" s="6">
        <v>0.94444399999999995</v>
      </c>
      <c r="G6" s="7" t="s">
        <v>15</v>
      </c>
      <c r="H6" s="4" t="s">
        <v>16</v>
      </c>
      <c r="I6" s="8">
        <v>5</v>
      </c>
      <c r="J6" s="3" t="s">
        <v>17</v>
      </c>
      <c r="K6" s="4"/>
      <c r="M6">
        <f>IFERROR(VALUE(RIGHT(E6,4))*4+MATCH(LEFT(E6,2),{"Q1","Q2","Q3","Q4"},0)-1,"")</f>
        <v>8088</v>
      </c>
    </row>
    <row r="7" spans="2:13" x14ac:dyDescent="0.35">
      <c r="B7" s="3">
        <v>2</v>
      </c>
      <c r="C7" s="4" t="s">
        <v>18</v>
      </c>
      <c r="D7" s="5">
        <v>476</v>
      </c>
      <c r="E7" s="3" t="s">
        <v>19</v>
      </c>
      <c r="F7" s="6">
        <v>0.99399999999999999</v>
      </c>
      <c r="G7" s="7" t="s">
        <v>15</v>
      </c>
      <c r="H7" s="4" t="s">
        <v>20</v>
      </c>
      <c r="I7" s="8">
        <v>3.1</v>
      </c>
      <c r="J7" s="3" t="s">
        <v>21</v>
      </c>
      <c r="K7" s="4" t="s">
        <v>22</v>
      </c>
      <c r="M7">
        <f>IFERROR(VALUE(RIGHT(E7,4))*4+MATCH(LEFT(E7,2),{"Q1","Q2","Q3","Q4"},0)-1,"")</f>
        <v>8089</v>
      </c>
    </row>
    <row r="8" spans="2:13" x14ac:dyDescent="0.35">
      <c r="B8" s="3">
        <v>3</v>
      </c>
      <c r="C8" s="4" t="s">
        <v>23</v>
      </c>
      <c r="D8" s="5">
        <v>83</v>
      </c>
      <c r="E8" s="3" t="s">
        <v>19</v>
      </c>
      <c r="F8" s="6">
        <v>0.98795200000000005</v>
      </c>
      <c r="G8" s="7">
        <v>1651.435028248588</v>
      </c>
      <c r="H8" s="4" t="s">
        <v>24</v>
      </c>
      <c r="I8" s="8">
        <v>3.2</v>
      </c>
      <c r="J8" s="3" t="s">
        <v>25</v>
      </c>
      <c r="K8" s="4"/>
      <c r="M8">
        <f>IFERROR(VALUE(RIGHT(E8,4))*4+MATCH(LEFT(E8,2),{"Q1","Q2","Q3","Q4"},0)-1,"")</f>
        <v>8089</v>
      </c>
    </row>
    <row r="9" spans="2:13" x14ac:dyDescent="0.35">
      <c r="B9" s="3">
        <v>4</v>
      </c>
      <c r="C9" s="4" t="s">
        <v>26</v>
      </c>
      <c r="D9" s="5">
        <v>67</v>
      </c>
      <c r="E9" s="3" t="s">
        <v>19</v>
      </c>
      <c r="F9" s="6">
        <v>0.97014900000000004</v>
      </c>
      <c r="G9" s="7">
        <v>2130</v>
      </c>
      <c r="H9" s="4" t="s">
        <v>27</v>
      </c>
      <c r="I9" s="8">
        <v>2.8</v>
      </c>
      <c r="J9" s="3" t="s">
        <v>17</v>
      </c>
      <c r="K9" s="4"/>
      <c r="M9">
        <f>IFERROR(VALUE(RIGHT(E9,4))*4+MATCH(LEFT(E9,2),{"Q1","Q2","Q3","Q4"},0)-1,"")</f>
        <v>8089</v>
      </c>
    </row>
    <row r="10" spans="2:13" x14ac:dyDescent="0.35">
      <c r="B10" s="3">
        <v>5</v>
      </c>
      <c r="C10" s="4" t="s">
        <v>28</v>
      </c>
      <c r="D10" s="5">
        <v>28</v>
      </c>
      <c r="E10" s="3" t="s">
        <v>19</v>
      </c>
      <c r="F10" s="6">
        <v>0.96428599999999998</v>
      </c>
      <c r="G10" s="7" t="s">
        <v>15</v>
      </c>
      <c r="H10" s="4" t="s">
        <v>29</v>
      </c>
      <c r="I10" s="8">
        <v>2.7</v>
      </c>
      <c r="J10" s="3" t="s">
        <v>30</v>
      </c>
      <c r="K10" s="4"/>
      <c r="M10">
        <f>IFERROR(VALUE(RIGHT(E10,4))*4+MATCH(LEFT(E10,2),{"Q1","Q2","Q3","Q4"},0)-1,"")</f>
        <v>8089</v>
      </c>
    </row>
    <row r="11" spans="2:13" x14ac:dyDescent="0.35">
      <c r="B11" s="3">
        <v>6</v>
      </c>
      <c r="C11" s="4" t="s">
        <v>31</v>
      </c>
      <c r="D11" s="5">
        <v>25</v>
      </c>
      <c r="E11" s="3" t="s">
        <v>19</v>
      </c>
      <c r="F11" s="6">
        <v>1</v>
      </c>
      <c r="G11" s="7">
        <v>2236</v>
      </c>
      <c r="H11" s="4" t="s">
        <v>32</v>
      </c>
      <c r="I11" s="8">
        <v>1.7</v>
      </c>
      <c r="J11" s="3" t="s">
        <v>21</v>
      </c>
      <c r="K11" s="4"/>
      <c r="M11">
        <f>IFERROR(VALUE(RIGHT(E11,4))*4+MATCH(LEFT(E11,2),{"Q1","Q2","Q3","Q4"},0)-1,"")</f>
        <v>8089</v>
      </c>
    </row>
    <row r="12" spans="2:13" x14ac:dyDescent="0.35">
      <c r="B12" s="3">
        <v>7</v>
      </c>
      <c r="C12" s="4" t="s">
        <v>33</v>
      </c>
      <c r="D12" s="5">
        <v>102</v>
      </c>
      <c r="E12" s="3" t="s">
        <v>34</v>
      </c>
      <c r="F12" s="6">
        <v>0.99019599999999997</v>
      </c>
      <c r="G12" s="7">
        <v>1665.5116279069771</v>
      </c>
      <c r="H12" s="4" t="s">
        <v>24</v>
      </c>
      <c r="I12" s="8">
        <v>2.1</v>
      </c>
      <c r="J12" s="3" t="s">
        <v>17</v>
      </c>
      <c r="K12" s="4" t="s">
        <v>35</v>
      </c>
      <c r="M12">
        <f>IFERROR(VALUE(RIGHT(E12,4))*4+MATCH(LEFT(E12,2),{"Q1","Q2","Q3","Q4"},0)-1,"")</f>
        <v>8090</v>
      </c>
    </row>
    <row r="13" spans="2:13" x14ac:dyDescent="0.35">
      <c r="B13" s="3">
        <v>8</v>
      </c>
      <c r="C13" s="4" t="s">
        <v>36</v>
      </c>
      <c r="D13" s="5">
        <v>6</v>
      </c>
      <c r="E13" s="3" t="s">
        <v>34</v>
      </c>
      <c r="F13" s="6">
        <v>1</v>
      </c>
      <c r="G13" s="7">
        <v>1747.5136612021861</v>
      </c>
      <c r="H13" s="4" t="s">
        <v>15</v>
      </c>
      <c r="I13" s="8">
        <v>3.9</v>
      </c>
      <c r="J13" s="3" t="s">
        <v>21</v>
      </c>
      <c r="K13" s="4" t="s">
        <v>37</v>
      </c>
      <c r="M13">
        <f>IFERROR(VALUE(RIGHT(E13,4))*4+MATCH(LEFT(E13,2),{"Q1","Q2","Q3","Q4"},0)-1,"")</f>
        <v>8090</v>
      </c>
    </row>
    <row r="14" spans="2:13" x14ac:dyDescent="0.35">
      <c r="B14" s="3">
        <v>9</v>
      </c>
      <c r="C14" s="4" t="s">
        <v>38</v>
      </c>
      <c r="D14" s="5">
        <v>91</v>
      </c>
      <c r="E14" s="3" t="s">
        <v>39</v>
      </c>
      <c r="F14" s="6">
        <v>0.98901099999999997</v>
      </c>
      <c r="G14" s="7">
        <v>1165.5555555555561</v>
      </c>
      <c r="H14" s="4" t="s">
        <v>40</v>
      </c>
      <c r="I14" s="8">
        <v>3.9</v>
      </c>
      <c r="J14" s="3" t="s">
        <v>21</v>
      </c>
      <c r="K14" s="4"/>
      <c r="M14">
        <f>IFERROR(VALUE(RIGHT(E14,4))*4+MATCH(LEFT(E14,2),{"Q1","Q2","Q3","Q4"},0)-1,"")</f>
        <v>8091</v>
      </c>
    </row>
    <row r="15" spans="2:13" x14ac:dyDescent="0.35">
      <c r="B15" s="3">
        <v>10</v>
      </c>
      <c r="C15" s="4" t="s">
        <v>41</v>
      </c>
      <c r="D15" s="5">
        <v>12</v>
      </c>
      <c r="E15" s="3" t="s">
        <v>39</v>
      </c>
      <c r="F15" s="6">
        <v>1</v>
      </c>
      <c r="G15" s="7" t="s">
        <v>15</v>
      </c>
      <c r="H15" s="4" t="s">
        <v>42</v>
      </c>
      <c r="I15" s="8">
        <v>4.4000000000000004</v>
      </c>
      <c r="J15" s="3" t="s">
        <v>21</v>
      </c>
      <c r="K15" s="4"/>
      <c r="M15">
        <f>IFERROR(VALUE(RIGHT(E15,4))*4+MATCH(LEFT(E15,2),{"Q1","Q2","Q3","Q4"},0)-1,"")</f>
        <v>8091</v>
      </c>
    </row>
    <row r="16" spans="2:13" x14ac:dyDescent="0.35">
      <c r="B16" s="3">
        <v>11</v>
      </c>
      <c r="C16" s="4" t="s">
        <v>43</v>
      </c>
      <c r="D16" s="5">
        <v>135</v>
      </c>
      <c r="E16" s="3" t="s">
        <v>44</v>
      </c>
      <c r="F16" s="6">
        <v>0.94814799999999999</v>
      </c>
      <c r="G16" s="7">
        <v>2164.3198067632852</v>
      </c>
      <c r="H16" s="4" t="s">
        <v>45</v>
      </c>
      <c r="I16" s="8">
        <v>3.9</v>
      </c>
      <c r="J16" s="3" t="s">
        <v>46</v>
      </c>
      <c r="K16" s="4" t="s">
        <v>47</v>
      </c>
      <c r="M16">
        <f>IFERROR(VALUE(RIGHT(E16,4))*4+MATCH(LEFT(E16,2),{"Q1","Q2","Q3","Q4"},0)-1,"")</f>
        <v>8092</v>
      </c>
    </row>
    <row r="17" spans="2:13" x14ac:dyDescent="0.35">
      <c r="B17" s="3">
        <v>12</v>
      </c>
      <c r="C17" s="4" t="s">
        <v>48</v>
      </c>
      <c r="D17" s="5">
        <v>38</v>
      </c>
      <c r="E17" s="3" t="s">
        <v>44</v>
      </c>
      <c r="F17" s="6">
        <v>0.94736799999999999</v>
      </c>
      <c r="G17" s="7">
        <v>1655</v>
      </c>
      <c r="H17" s="4" t="s">
        <v>49</v>
      </c>
      <c r="I17" s="8">
        <v>1</v>
      </c>
      <c r="J17" s="3" t="s">
        <v>25</v>
      </c>
      <c r="K17" s="4"/>
      <c r="M17">
        <f>IFERROR(VALUE(RIGHT(E17,4))*4+MATCH(LEFT(E17,2),{"Q1","Q2","Q3","Q4"},0)-1,"")</f>
        <v>8092</v>
      </c>
    </row>
    <row r="18" spans="2:13" x14ac:dyDescent="0.35">
      <c r="B18" s="3">
        <v>13</v>
      </c>
      <c r="C18" s="4" t="s">
        <v>50</v>
      </c>
      <c r="D18" s="5">
        <v>32</v>
      </c>
      <c r="E18" s="3" t="s">
        <v>44</v>
      </c>
      <c r="F18" s="6">
        <v>0.96875</v>
      </c>
      <c r="G18" s="7">
        <v>2276</v>
      </c>
      <c r="H18" s="4" t="s">
        <v>51</v>
      </c>
      <c r="I18" s="8">
        <v>3.8</v>
      </c>
      <c r="J18" s="3" t="s">
        <v>21</v>
      </c>
      <c r="K18" s="4"/>
      <c r="M18">
        <f>IFERROR(VALUE(RIGHT(E18,4))*4+MATCH(LEFT(E18,2),{"Q1","Q2","Q3","Q4"},0)-1,"")</f>
        <v>8092</v>
      </c>
    </row>
    <row r="19" spans="2:13" x14ac:dyDescent="0.35">
      <c r="B19" s="3">
        <v>14</v>
      </c>
      <c r="C19" s="4" t="s">
        <v>52</v>
      </c>
      <c r="D19" s="5">
        <v>240</v>
      </c>
      <c r="E19" s="3" t="s">
        <v>53</v>
      </c>
      <c r="F19" s="6">
        <v>0.94583300000000003</v>
      </c>
      <c r="G19" s="7">
        <v>1624.407772304324</v>
      </c>
      <c r="H19" s="4" t="s">
        <v>54</v>
      </c>
      <c r="I19" s="8">
        <v>3.4</v>
      </c>
      <c r="J19" s="3" t="s">
        <v>25</v>
      </c>
      <c r="K19" s="4" t="s">
        <v>55</v>
      </c>
      <c r="M19">
        <f>IFERROR(VALUE(RIGHT(E19,4))*4+MATCH(LEFT(E19,2),{"Q1","Q2","Q3","Q4"},0)-1,"")</f>
        <v>8093</v>
      </c>
    </row>
    <row r="20" spans="2:13" x14ac:dyDescent="0.35">
      <c r="B20" s="3">
        <v>15</v>
      </c>
      <c r="C20" s="4" t="s">
        <v>56</v>
      </c>
      <c r="D20" s="5">
        <v>240</v>
      </c>
      <c r="E20" s="3" t="s">
        <v>53</v>
      </c>
      <c r="F20" s="6">
        <v>0.95833299999999999</v>
      </c>
      <c r="G20" s="7">
        <v>1832</v>
      </c>
      <c r="H20" s="4" t="s">
        <v>57</v>
      </c>
      <c r="I20" s="8">
        <v>1.8</v>
      </c>
      <c r="J20" s="3" t="s">
        <v>21</v>
      </c>
      <c r="K20" s="4" t="s">
        <v>58</v>
      </c>
      <c r="M20">
        <f>IFERROR(VALUE(RIGHT(E20,4))*4+MATCH(LEFT(E20,2),{"Q1","Q2","Q3","Q4"},0)-1,"")</f>
        <v>8093</v>
      </c>
    </row>
    <row r="21" spans="2:13" x14ac:dyDescent="0.35">
      <c r="B21" s="3">
        <v>16</v>
      </c>
      <c r="C21" s="4" t="s">
        <v>59</v>
      </c>
      <c r="D21" s="5">
        <v>216</v>
      </c>
      <c r="E21" s="3" t="s">
        <v>53</v>
      </c>
      <c r="F21" s="6">
        <v>0.76388900000000004</v>
      </c>
      <c r="G21" s="7">
        <v>1735.4693877551019</v>
      </c>
      <c r="H21" s="4" t="s">
        <v>60</v>
      </c>
      <c r="I21" s="8">
        <v>4.0999999999999996</v>
      </c>
      <c r="J21" s="3" t="s">
        <v>21</v>
      </c>
      <c r="K21" s="4" t="s">
        <v>61</v>
      </c>
      <c r="M21">
        <f>IFERROR(VALUE(RIGHT(E21,4))*4+MATCH(LEFT(E21,2),{"Q1","Q2","Q3","Q4"},0)-1,"")</f>
        <v>8093</v>
      </c>
    </row>
    <row r="22" spans="2:13" x14ac:dyDescent="0.35">
      <c r="B22" s="3">
        <v>17</v>
      </c>
      <c r="C22" s="4" t="s">
        <v>62</v>
      </c>
      <c r="D22" s="5">
        <v>102</v>
      </c>
      <c r="E22" s="3" t="s">
        <v>53</v>
      </c>
      <c r="F22" s="6">
        <v>0.99019599999999997</v>
      </c>
      <c r="G22" s="7">
        <v>1884.446808510638</v>
      </c>
      <c r="H22" s="4" t="s">
        <v>63</v>
      </c>
      <c r="I22" s="8">
        <v>3.5</v>
      </c>
      <c r="J22" s="3" t="s">
        <v>30</v>
      </c>
      <c r="K22" s="4"/>
      <c r="M22">
        <f>IFERROR(VALUE(RIGHT(E22,4))*4+MATCH(LEFT(E22,2),{"Q1","Q2","Q3","Q4"},0)-1,"")</f>
        <v>8093</v>
      </c>
    </row>
    <row r="23" spans="2:13" x14ac:dyDescent="0.35">
      <c r="B23" s="3">
        <v>18</v>
      </c>
      <c r="C23" s="4" t="s">
        <v>64</v>
      </c>
      <c r="D23" s="5">
        <v>60</v>
      </c>
      <c r="E23" s="3" t="s">
        <v>65</v>
      </c>
      <c r="F23" s="6">
        <v>0.93333299999999997</v>
      </c>
      <c r="G23" s="7">
        <v>1995</v>
      </c>
      <c r="H23" s="4" t="s">
        <v>66</v>
      </c>
      <c r="I23" s="8">
        <v>1</v>
      </c>
      <c r="J23" s="3" t="s">
        <v>21</v>
      </c>
      <c r="K23" s="4"/>
      <c r="M23">
        <f>IFERROR(VALUE(RIGHT(E23,4))*4+MATCH(LEFT(E23,2),{"Q1","Q2","Q3","Q4"},0)-1,"")</f>
        <v>8096</v>
      </c>
    </row>
    <row r="24" spans="2:13" x14ac:dyDescent="0.35">
      <c r="B24" s="3">
        <v>19</v>
      </c>
      <c r="C24" s="4" t="s">
        <v>67</v>
      </c>
      <c r="D24" s="5">
        <v>56</v>
      </c>
      <c r="E24" s="3" t="s">
        <v>65</v>
      </c>
      <c r="F24" s="6">
        <v>1</v>
      </c>
      <c r="G24" s="7">
        <v>2489.375</v>
      </c>
      <c r="H24" s="4" t="s">
        <v>54</v>
      </c>
      <c r="I24" s="8">
        <v>3.2</v>
      </c>
      <c r="J24" s="3" t="s">
        <v>21</v>
      </c>
      <c r="K24" s="4"/>
      <c r="M24">
        <f>IFERROR(VALUE(RIGHT(E24,4))*4+MATCH(LEFT(E24,2),{"Q1","Q2","Q3","Q4"},0)-1,"")</f>
        <v>8096</v>
      </c>
    </row>
    <row r="25" spans="2:13" x14ac:dyDescent="0.35">
      <c r="B25" s="3">
        <v>20</v>
      </c>
      <c r="C25" s="4" t="s">
        <v>68</v>
      </c>
      <c r="D25" s="5">
        <v>396</v>
      </c>
      <c r="E25" s="3" t="s">
        <v>69</v>
      </c>
      <c r="F25" s="6">
        <v>0.96969700000000003</v>
      </c>
      <c r="G25" s="7">
        <v>1739.2090264724311</v>
      </c>
      <c r="H25" s="4" t="s">
        <v>54</v>
      </c>
      <c r="I25" s="8">
        <v>0.9</v>
      </c>
      <c r="J25" s="3" t="s">
        <v>21</v>
      </c>
      <c r="K25" s="4" t="s">
        <v>70</v>
      </c>
      <c r="M25">
        <f>IFERROR(VALUE(RIGHT(E25,4))*4+MATCH(LEFT(E25,2),{"Q1","Q2","Q3","Q4"},0)-1,"")</f>
        <v>8097</v>
      </c>
    </row>
    <row r="26" spans="2:13" x14ac:dyDescent="0.35">
      <c r="B26" s="3">
        <v>21</v>
      </c>
      <c r="C26" s="4" t="s">
        <v>71</v>
      </c>
      <c r="D26" s="5">
        <v>360</v>
      </c>
      <c r="E26" s="3" t="s">
        <v>72</v>
      </c>
      <c r="F26" s="6">
        <v>0.95555599999999996</v>
      </c>
      <c r="G26" s="7">
        <v>1911.1190994483379</v>
      </c>
      <c r="H26" s="4" t="s">
        <v>73</v>
      </c>
      <c r="I26" s="8">
        <v>0</v>
      </c>
      <c r="J26" s="3" t="s">
        <v>21</v>
      </c>
      <c r="K26" s="4" t="s">
        <v>74</v>
      </c>
      <c r="M26">
        <f>IFERROR(VALUE(RIGHT(E26,4))*4+MATCH(LEFT(E26,2),{"Q1","Q2","Q3","Q4"},0)-1,"")</f>
        <v>8098</v>
      </c>
    </row>
    <row r="27" spans="2:13" x14ac:dyDescent="0.35">
      <c r="B27" s="3">
        <v>22</v>
      </c>
      <c r="C27" s="4" t="s">
        <v>75</v>
      </c>
      <c r="D27" s="5">
        <v>42</v>
      </c>
      <c r="E27" s="3" t="s">
        <v>76</v>
      </c>
      <c r="F27" s="6">
        <v>0.95238100000000003</v>
      </c>
      <c r="G27" s="7">
        <v>1514</v>
      </c>
      <c r="H27" s="4" t="s">
        <v>77</v>
      </c>
      <c r="I27" s="8">
        <v>4.8</v>
      </c>
      <c r="J27" s="3" t="s">
        <v>30</v>
      </c>
      <c r="K27" s="4"/>
      <c r="M27">
        <f>IFERROR(VALUE(RIGHT(E27,4))*4+MATCH(LEFT(E27,2),{"Q1","Q2","Q3","Q4"},0)-1,"")</f>
        <v>8099</v>
      </c>
    </row>
    <row r="29" spans="2:13" x14ac:dyDescent="0.35">
      <c r="B29" s="9"/>
      <c r="C29" s="95" t="s">
        <v>78</v>
      </c>
      <c r="D29" s="91"/>
      <c r="E29" s="91"/>
      <c r="F29" s="91"/>
      <c r="G29" s="91"/>
      <c r="H29" s="91"/>
      <c r="I29" s="91"/>
      <c r="J29" s="91"/>
      <c r="K29" s="91"/>
    </row>
    <row r="30" spans="2:13" x14ac:dyDescent="0.35">
      <c r="B30" s="10">
        <v>1</v>
      </c>
      <c r="C30" s="11" t="s">
        <v>79</v>
      </c>
      <c r="D30" s="12">
        <v>336</v>
      </c>
      <c r="E30" s="10" t="s">
        <v>69</v>
      </c>
      <c r="F30" s="13">
        <v>0.119047619047619</v>
      </c>
      <c r="G30" s="14">
        <v>1747.5136612021861</v>
      </c>
      <c r="H30" s="11" t="s">
        <v>80</v>
      </c>
      <c r="I30" s="15">
        <v>2.6</v>
      </c>
      <c r="J30" s="10" t="s">
        <v>25</v>
      </c>
      <c r="K30" s="11" t="s">
        <v>81</v>
      </c>
      <c r="M30">
        <f>IFERROR(VALUE(RIGHT(E30,4))*4+MATCH(LEFT(E30,2),{"Q1","Q2","Q3","Q4"},0)-1,"")</f>
        <v>8097</v>
      </c>
    </row>
    <row r="31" spans="2:13" x14ac:dyDescent="0.35">
      <c r="B31" s="10">
        <v>2</v>
      </c>
      <c r="C31" s="11" t="s">
        <v>82</v>
      </c>
      <c r="D31" s="12">
        <v>191</v>
      </c>
      <c r="E31" s="10" t="s">
        <v>69</v>
      </c>
      <c r="F31" s="13">
        <v>0.47643979057591618</v>
      </c>
      <c r="G31" s="14">
        <v>1994.484728234728</v>
      </c>
      <c r="H31" s="11" t="s">
        <v>83</v>
      </c>
      <c r="I31" s="15">
        <v>3.5</v>
      </c>
      <c r="J31" s="10" t="s">
        <v>17</v>
      </c>
      <c r="K31" s="11" t="s">
        <v>84</v>
      </c>
      <c r="M31">
        <f>IFERROR(VALUE(RIGHT(E31,4))*4+MATCH(LEFT(E31,2),{"Q1","Q2","Q3","Q4"},0)-1,"")</f>
        <v>8097</v>
      </c>
    </row>
    <row r="32" spans="2:13" x14ac:dyDescent="0.35">
      <c r="B32" s="10">
        <v>3</v>
      </c>
      <c r="C32" s="11" t="s">
        <v>85</v>
      </c>
      <c r="D32" s="12">
        <v>48</v>
      </c>
      <c r="E32" s="10" t="s">
        <v>86</v>
      </c>
      <c r="F32" s="13">
        <v>0.83333299999999999</v>
      </c>
      <c r="G32" s="14" t="s">
        <v>15</v>
      </c>
      <c r="H32" s="11" t="s">
        <v>87</v>
      </c>
      <c r="I32" s="15">
        <v>2.6</v>
      </c>
      <c r="J32" s="10" t="s">
        <v>30</v>
      </c>
      <c r="K32" s="11" t="s">
        <v>88</v>
      </c>
      <c r="M32">
        <f>IFERROR(VALUE(RIGHT(E32,4))*4+MATCH(LEFT(E32,2),{"Q1","Q2","Q3","Q4"},0)-1,"")</f>
        <v>8101</v>
      </c>
    </row>
    <row r="33" spans="2:13" x14ac:dyDescent="0.35">
      <c r="B33" s="10">
        <v>4</v>
      </c>
      <c r="C33" s="11" t="s">
        <v>89</v>
      </c>
      <c r="D33" s="12">
        <v>156</v>
      </c>
      <c r="E33" s="10" t="s">
        <v>90</v>
      </c>
      <c r="F33" s="13">
        <v>1</v>
      </c>
      <c r="G33" s="14">
        <v>1833.726076373041</v>
      </c>
      <c r="H33" s="11" t="s">
        <v>54</v>
      </c>
      <c r="I33" s="15">
        <v>4.5999999999999996</v>
      </c>
      <c r="J33" s="10" t="s">
        <v>17</v>
      </c>
      <c r="K33" s="11" t="s">
        <v>91</v>
      </c>
      <c r="M33">
        <f>IFERROR(VALUE(RIGHT(E33,4))*4+MATCH(LEFT(E33,2),{"Q1","Q2","Q3","Q4"},0)-1,"")</f>
        <v>8105</v>
      </c>
    </row>
    <row r="34" spans="2:13" x14ac:dyDescent="0.35">
      <c r="B34" s="10">
        <v>5</v>
      </c>
      <c r="C34" s="11" t="s">
        <v>92</v>
      </c>
      <c r="D34" s="12">
        <v>84</v>
      </c>
      <c r="E34" s="10" t="s">
        <v>90</v>
      </c>
      <c r="F34" s="13">
        <v>0.45200000000000001</v>
      </c>
      <c r="G34" s="14" t="s">
        <v>15</v>
      </c>
      <c r="H34" s="11" t="s">
        <v>60</v>
      </c>
      <c r="I34" s="15">
        <v>3.3</v>
      </c>
      <c r="J34" s="10" t="s">
        <v>21</v>
      </c>
      <c r="K34" s="11" t="s">
        <v>93</v>
      </c>
      <c r="M34">
        <f>IFERROR(VALUE(RIGHT(E34,4))*4+MATCH(LEFT(E34,2),{"Q1","Q2","Q3","Q4"},0)-1,"")</f>
        <v>8105</v>
      </c>
    </row>
    <row r="36" spans="2:13" x14ac:dyDescent="0.35">
      <c r="B36" s="16"/>
      <c r="C36" s="94" t="s">
        <v>94</v>
      </c>
      <c r="D36" s="91"/>
      <c r="E36" s="91"/>
      <c r="F36" s="91"/>
      <c r="G36" s="91"/>
      <c r="H36" s="91"/>
      <c r="I36" s="91"/>
      <c r="J36" s="91"/>
      <c r="K36" s="91"/>
    </row>
    <row r="37" spans="2:13" x14ac:dyDescent="0.35">
      <c r="B37" s="17">
        <v>1</v>
      </c>
      <c r="C37" s="18" t="s">
        <v>95</v>
      </c>
      <c r="D37" s="19">
        <v>164</v>
      </c>
      <c r="E37" s="17" t="s">
        <v>96</v>
      </c>
      <c r="F37" s="20"/>
      <c r="G37" s="21" t="s">
        <v>15</v>
      </c>
      <c r="H37" s="82" t="s">
        <v>15</v>
      </c>
      <c r="I37" s="22">
        <v>3.1</v>
      </c>
      <c r="J37" s="17" t="s">
        <v>21</v>
      </c>
      <c r="K37" s="82" t="s">
        <v>97</v>
      </c>
      <c r="M37">
        <f>IFERROR(VALUE(RIGHT(E37,4))*4+MATCH(LEFT(E37,2),{"Q1","Q2","Q3","Q4"},0)-1,"")</f>
        <v>8109</v>
      </c>
    </row>
    <row r="38" spans="2:13" ht="24" x14ac:dyDescent="0.35">
      <c r="B38" s="17">
        <v>2</v>
      </c>
      <c r="C38" s="18" t="s">
        <v>98</v>
      </c>
      <c r="D38" s="19">
        <v>212</v>
      </c>
      <c r="E38" s="17" t="s">
        <v>99</v>
      </c>
      <c r="F38" s="20"/>
      <c r="G38" s="21" t="s">
        <v>15</v>
      </c>
      <c r="H38" s="82" t="s">
        <v>100</v>
      </c>
      <c r="I38" s="22">
        <v>4.9000000000000004</v>
      </c>
      <c r="J38" s="17"/>
      <c r="K38" s="82" t="s">
        <v>101</v>
      </c>
      <c r="M38">
        <f>IFERROR(VALUE(RIGHT(E38,4))*4+MATCH(LEFT(E38,2),{"Q1","Q2","Q3","Q4"},0)-1,"")</f>
        <v>8110</v>
      </c>
    </row>
    <row r="39" spans="2:13" ht="24" x14ac:dyDescent="0.35">
      <c r="B39" s="17">
        <v>3</v>
      </c>
      <c r="C39" s="18" t="s">
        <v>102</v>
      </c>
      <c r="D39" s="19">
        <v>72</v>
      </c>
      <c r="E39" s="17" t="s">
        <v>99</v>
      </c>
      <c r="F39" s="20"/>
      <c r="G39" s="21" t="s">
        <v>15</v>
      </c>
      <c r="H39" s="82" t="s">
        <v>103</v>
      </c>
      <c r="I39" s="22">
        <v>3.5</v>
      </c>
      <c r="J39" s="17"/>
      <c r="K39" s="82" t="s">
        <v>104</v>
      </c>
      <c r="M39">
        <f>IFERROR(VALUE(RIGHT(E39,4))*4+MATCH(LEFT(E39,2),{"Q1","Q2","Q3","Q4"},0)-1,"")</f>
        <v>8110</v>
      </c>
    </row>
    <row r="40" spans="2:13" ht="24" x14ac:dyDescent="0.35">
      <c r="B40" s="17">
        <v>4</v>
      </c>
      <c r="C40" s="18" t="s">
        <v>105</v>
      </c>
      <c r="D40" s="19">
        <v>213</v>
      </c>
      <c r="E40" s="17" t="s">
        <v>106</v>
      </c>
      <c r="F40" s="20"/>
      <c r="G40" s="21" t="s">
        <v>15</v>
      </c>
      <c r="H40" s="82" t="s">
        <v>107</v>
      </c>
      <c r="I40" s="22">
        <v>2.9</v>
      </c>
      <c r="J40" s="17" t="s">
        <v>25</v>
      </c>
      <c r="K40" s="82" t="s">
        <v>108</v>
      </c>
      <c r="M40">
        <f>IFERROR(VALUE(RIGHT(E40,4))*4+MATCH(LEFT(E40,2),{"Q1","Q2","Q3","Q4"},0)-1,"")</f>
        <v>8112</v>
      </c>
    </row>
    <row r="41" spans="2:13" ht="24" x14ac:dyDescent="0.35">
      <c r="B41" s="17">
        <v>5</v>
      </c>
      <c r="C41" s="18" t="s">
        <v>109</v>
      </c>
      <c r="D41" s="19">
        <v>516</v>
      </c>
      <c r="E41" s="17" t="s">
        <v>106</v>
      </c>
      <c r="F41" s="20"/>
      <c r="G41" s="21"/>
      <c r="H41" s="82" t="s">
        <v>110</v>
      </c>
      <c r="I41" s="22">
        <v>3.3</v>
      </c>
      <c r="J41" s="17" t="s">
        <v>21</v>
      </c>
      <c r="K41" s="82" t="s">
        <v>111</v>
      </c>
      <c r="L41" s="81">
        <v>0.8</v>
      </c>
      <c r="M41">
        <f>IFERROR(VALUE(RIGHT(E41,4))*4+MATCH(LEFT(E41,2),{"Q1","Q2","Q3","Q4"},0)-1,"")</f>
        <v>8112</v>
      </c>
    </row>
    <row r="43" spans="2:13" x14ac:dyDescent="0.35">
      <c r="B43" s="23"/>
      <c r="C43" s="78" t="s">
        <v>112</v>
      </c>
    </row>
    <row r="44" spans="2:13" ht="24" x14ac:dyDescent="0.35">
      <c r="B44" s="24">
        <v>1</v>
      </c>
      <c r="C44" s="25" t="s">
        <v>113</v>
      </c>
      <c r="D44" s="26">
        <v>250</v>
      </c>
      <c r="E44" s="24" t="s">
        <v>114</v>
      </c>
      <c r="F44" s="27"/>
      <c r="G44" s="28" t="s">
        <v>15</v>
      </c>
      <c r="H44" s="83" t="s">
        <v>115</v>
      </c>
      <c r="I44" s="29">
        <v>1.9</v>
      </c>
      <c r="J44" s="24"/>
      <c r="K44" s="83" t="s">
        <v>116</v>
      </c>
      <c r="L44" s="81">
        <v>0.38</v>
      </c>
      <c r="M44">
        <f>IFERROR(VALUE(RIGHT(E44,4))*4+MATCH(LEFT(E44,2),{"Q1","Q2","Q3","Q4"},0)-1,"")</f>
        <v>8116</v>
      </c>
    </row>
    <row r="45" spans="2:13" ht="24" x14ac:dyDescent="0.35">
      <c r="B45" s="24">
        <v>2</v>
      </c>
      <c r="C45" s="25" t="s">
        <v>117</v>
      </c>
      <c r="D45" s="26">
        <v>200</v>
      </c>
      <c r="E45" s="24" t="s">
        <v>114</v>
      </c>
      <c r="F45" s="27"/>
      <c r="G45" s="28" t="s">
        <v>15</v>
      </c>
      <c r="H45" s="83" t="s">
        <v>118</v>
      </c>
      <c r="I45" s="29">
        <v>1</v>
      </c>
      <c r="J45" s="24"/>
      <c r="K45" s="83" t="s">
        <v>119</v>
      </c>
      <c r="L45" s="81">
        <v>0.32</v>
      </c>
      <c r="M45">
        <f>IFERROR(VALUE(RIGHT(E45,4))*4+MATCH(LEFT(E45,2),{"Q1","Q2","Q3","Q4"},0)-1,"")</f>
        <v>8116</v>
      </c>
    </row>
    <row r="46" spans="2:13" ht="24" x14ac:dyDescent="0.35">
      <c r="B46" s="24">
        <v>3</v>
      </c>
      <c r="C46" s="25" t="s">
        <v>120</v>
      </c>
      <c r="D46" s="26">
        <v>270</v>
      </c>
      <c r="E46" s="24" t="s">
        <v>121</v>
      </c>
      <c r="F46" s="27"/>
      <c r="G46" s="28" t="s">
        <v>15</v>
      </c>
      <c r="H46" s="83" t="s">
        <v>122</v>
      </c>
      <c r="I46" s="29">
        <v>1.4</v>
      </c>
      <c r="J46" s="24"/>
      <c r="K46" s="83" t="s">
        <v>123</v>
      </c>
      <c r="L46" s="81">
        <v>0.3</v>
      </c>
      <c r="M46" t="str">
        <f>IFERROR(VALUE(RIGHT(E46,4))*4+MATCH(LEFT(E46,2),{"Q1","Q2","Q3","Q4"},0)-1,"")</f>
        <v/>
      </c>
    </row>
    <row r="47" spans="2:13" ht="24" x14ac:dyDescent="0.35">
      <c r="B47" s="24">
        <v>4</v>
      </c>
      <c r="C47" s="25" t="s">
        <v>124</v>
      </c>
      <c r="D47" s="26">
        <v>36</v>
      </c>
      <c r="E47" s="24" t="s">
        <v>121</v>
      </c>
      <c r="F47" s="27"/>
      <c r="G47" s="28" t="s">
        <v>15</v>
      </c>
      <c r="H47" s="83" t="s">
        <v>125</v>
      </c>
      <c r="I47" s="29">
        <v>1.1000000000000001</v>
      </c>
      <c r="J47" s="24" t="s">
        <v>21</v>
      </c>
      <c r="K47" s="83" t="s">
        <v>126</v>
      </c>
      <c r="L47" s="81">
        <v>0.3</v>
      </c>
      <c r="M47" t="str">
        <f>IFERROR(VALUE(RIGHT(E47,4))*4+MATCH(LEFT(E47,2),{"Q1","Q2","Q3","Q4"},0)-1,"")</f>
        <v/>
      </c>
    </row>
    <row r="48" spans="2:13" ht="36" x14ac:dyDescent="0.35">
      <c r="B48" s="24">
        <v>5</v>
      </c>
      <c r="C48" s="25" t="s">
        <v>127</v>
      </c>
      <c r="D48" s="26">
        <v>275</v>
      </c>
      <c r="E48" s="24" t="s">
        <v>121</v>
      </c>
      <c r="F48" s="27"/>
      <c r="G48" s="28" t="s">
        <v>15</v>
      </c>
      <c r="H48" s="83" t="s">
        <v>128</v>
      </c>
      <c r="I48" s="29">
        <v>2.1</v>
      </c>
      <c r="J48" s="24" t="s">
        <v>25</v>
      </c>
      <c r="K48" s="83" t="s">
        <v>129</v>
      </c>
      <c r="L48" s="81">
        <v>0.25</v>
      </c>
      <c r="M48" t="str">
        <f>IFERROR(VALUE(RIGHT(E48,4))*4+MATCH(LEFT(E48,2),{"Q1","Q2","Q3","Q4"},0)-1,"")</f>
        <v/>
      </c>
    </row>
    <row r="49" spans="2:13" ht="24" x14ac:dyDescent="0.35">
      <c r="B49" s="24">
        <v>6</v>
      </c>
      <c r="C49" s="25" t="s">
        <v>130</v>
      </c>
      <c r="D49" s="26">
        <v>162</v>
      </c>
      <c r="E49" s="24" t="s">
        <v>106</v>
      </c>
      <c r="F49" s="27"/>
      <c r="G49" s="28" t="s">
        <v>15</v>
      </c>
      <c r="H49" s="83" t="s">
        <v>131</v>
      </c>
      <c r="I49" s="29">
        <v>3.4</v>
      </c>
      <c r="J49" s="24"/>
      <c r="K49" s="83" t="s">
        <v>132</v>
      </c>
      <c r="L49" s="81">
        <v>0.25</v>
      </c>
      <c r="M49">
        <f>IFERROR(VALUE(RIGHT(E49,4))*4+MATCH(LEFT(E49,2),{"Q1","Q2","Q3","Q4"},0)-1,"")</f>
        <v>8112</v>
      </c>
    </row>
    <row r="50" spans="2:13" ht="24" x14ac:dyDescent="0.35">
      <c r="B50" s="24">
        <v>7</v>
      </c>
      <c r="C50" s="25" t="s">
        <v>133</v>
      </c>
      <c r="D50" s="26">
        <v>138</v>
      </c>
      <c r="E50" s="24" t="s">
        <v>121</v>
      </c>
      <c r="F50" s="27"/>
      <c r="G50" s="28" t="s">
        <v>15</v>
      </c>
      <c r="H50" s="83" t="s">
        <v>134</v>
      </c>
      <c r="I50" s="29">
        <v>1.5</v>
      </c>
      <c r="J50" s="24" t="s">
        <v>25</v>
      </c>
      <c r="K50" s="83" t="s">
        <v>135</v>
      </c>
      <c r="L50" s="81">
        <v>0.22</v>
      </c>
      <c r="M50" t="str">
        <f>IFERROR(VALUE(RIGHT(E50,4))*4+MATCH(LEFT(E50,2),{"Q1","Q2","Q3","Q4"},0)-1,"")</f>
        <v/>
      </c>
    </row>
    <row r="51" spans="2:13" ht="24" x14ac:dyDescent="0.35">
      <c r="B51" s="24">
        <v>8</v>
      </c>
      <c r="C51" s="25" t="s">
        <v>136</v>
      </c>
      <c r="D51" s="26">
        <v>472</v>
      </c>
      <c r="E51" s="24" t="s">
        <v>121</v>
      </c>
      <c r="F51" s="27"/>
      <c r="G51" s="28" t="s">
        <v>15</v>
      </c>
      <c r="H51" s="83" t="s">
        <v>137</v>
      </c>
      <c r="I51" s="29">
        <v>1.9</v>
      </c>
      <c r="J51" s="24" t="s">
        <v>25</v>
      </c>
      <c r="K51" s="83" t="s">
        <v>138</v>
      </c>
      <c r="L51" s="81">
        <v>0.2</v>
      </c>
      <c r="M51" t="str">
        <f>IFERROR(VALUE(RIGHT(E51,4))*4+MATCH(LEFT(E51,2),{"Q1","Q2","Q3","Q4"},0)-1,"")</f>
        <v/>
      </c>
    </row>
    <row r="52" spans="2:13" ht="24" x14ac:dyDescent="0.35">
      <c r="B52" s="24">
        <v>9</v>
      </c>
      <c r="C52" s="25" t="s">
        <v>139</v>
      </c>
      <c r="D52" s="26">
        <v>301</v>
      </c>
      <c r="E52" s="24" t="s">
        <v>121</v>
      </c>
      <c r="F52" s="27"/>
      <c r="G52" s="28" t="s">
        <v>15</v>
      </c>
      <c r="H52" s="83" t="s">
        <v>140</v>
      </c>
      <c r="I52" s="29">
        <v>3.9</v>
      </c>
      <c r="J52" s="24" t="s">
        <v>17</v>
      </c>
      <c r="K52" s="83" t="s">
        <v>141</v>
      </c>
      <c r="L52" s="81">
        <v>0.2</v>
      </c>
      <c r="M52" t="str">
        <f>IFERROR(VALUE(RIGHT(E52,4))*4+MATCH(LEFT(E52,2),{"Q1","Q2","Q3","Q4"},0)-1,"")</f>
        <v/>
      </c>
    </row>
    <row r="53" spans="2:13" ht="24" x14ac:dyDescent="0.35">
      <c r="B53" s="24">
        <v>10</v>
      </c>
      <c r="C53" s="25" t="s">
        <v>142</v>
      </c>
      <c r="D53" s="26">
        <v>250</v>
      </c>
      <c r="E53" s="24" t="s">
        <v>121</v>
      </c>
      <c r="F53" s="27"/>
      <c r="G53" s="28" t="s">
        <v>15</v>
      </c>
      <c r="H53" s="83" t="s">
        <v>143</v>
      </c>
      <c r="I53" s="29">
        <v>1</v>
      </c>
      <c r="J53" s="24" t="s">
        <v>21</v>
      </c>
      <c r="K53" s="83" t="s">
        <v>144</v>
      </c>
      <c r="L53" s="81">
        <v>0.2</v>
      </c>
      <c r="M53" t="str">
        <f>IFERROR(VALUE(RIGHT(E53,4))*4+MATCH(LEFT(E53,2),{"Q1","Q2","Q3","Q4"},0)-1,"")</f>
        <v/>
      </c>
    </row>
    <row r="54" spans="2:13" ht="24" x14ac:dyDescent="0.35">
      <c r="B54" s="24">
        <v>11</v>
      </c>
      <c r="C54" s="25" t="s">
        <v>145</v>
      </c>
      <c r="D54" s="26">
        <v>390</v>
      </c>
      <c r="E54" s="24" t="s">
        <v>121</v>
      </c>
      <c r="F54" s="27"/>
      <c r="G54" s="28" t="s">
        <v>15</v>
      </c>
      <c r="H54" s="83" t="s">
        <v>146</v>
      </c>
      <c r="I54" s="29">
        <v>3.7</v>
      </c>
      <c r="J54" s="24" t="s">
        <v>25</v>
      </c>
      <c r="K54" s="83" t="s">
        <v>147</v>
      </c>
      <c r="L54" s="81">
        <v>0.15</v>
      </c>
      <c r="M54" t="str">
        <f>IFERROR(VALUE(RIGHT(E54,4))*4+MATCH(LEFT(E54,2),{"Q1","Q2","Q3","Q4"},0)-1,"")</f>
        <v/>
      </c>
    </row>
    <row r="55" spans="2:13" ht="24" x14ac:dyDescent="0.35">
      <c r="B55" s="24">
        <v>12</v>
      </c>
      <c r="C55" s="25" t="s">
        <v>148</v>
      </c>
      <c r="D55" s="26">
        <v>224</v>
      </c>
      <c r="E55" s="24" t="s">
        <v>114</v>
      </c>
      <c r="F55" s="27"/>
      <c r="G55" s="28" t="s">
        <v>15</v>
      </c>
      <c r="H55" s="83" t="s">
        <v>149</v>
      </c>
      <c r="I55" s="29">
        <v>4.5</v>
      </c>
      <c r="J55" s="24" t="s">
        <v>25</v>
      </c>
      <c r="K55" s="83" t="s">
        <v>150</v>
      </c>
      <c r="L55" s="81">
        <v>0.15</v>
      </c>
      <c r="M55">
        <f>IFERROR(VALUE(RIGHT(E55,4))*4+MATCH(LEFT(E55,2),{"Q1","Q2","Q3","Q4"},0)-1,"")</f>
        <v>8116</v>
      </c>
    </row>
    <row r="56" spans="2:13" ht="24" x14ac:dyDescent="0.35">
      <c r="B56" s="24">
        <v>13</v>
      </c>
      <c r="C56" s="25" t="s">
        <v>151</v>
      </c>
      <c r="D56" s="26">
        <v>552</v>
      </c>
      <c r="E56" s="24" t="s">
        <v>106</v>
      </c>
      <c r="F56" s="27"/>
      <c r="G56" s="28" t="s">
        <v>15</v>
      </c>
      <c r="H56" s="83" t="s">
        <v>152</v>
      </c>
      <c r="I56" s="29">
        <v>4.3</v>
      </c>
      <c r="J56" s="24" t="s">
        <v>25</v>
      </c>
      <c r="K56" s="83" t="s">
        <v>153</v>
      </c>
      <c r="L56" s="81">
        <v>0.12</v>
      </c>
      <c r="M56">
        <f>IFERROR(VALUE(RIGHT(E56,4))*4+MATCH(LEFT(E56,2),{"Q1","Q2","Q3","Q4"},0)-1,"")</f>
        <v>8112</v>
      </c>
    </row>
    <row r="57" spans="2:13" ht="24" x14ac:dyDescent="0.35">
      <c r="B57" s="24">
        <v>14</v>
      </c>
      <c r="C57" s="25" t="s">
        <v>154</v>
      </c>
      <c r="D57" s="26">
        <v>302</v>
      </c>
      <c r="E57" s="24" t="s">
        <v>121</v>
      </c>
      <c r="F57" s="27"/>
      <c r="G57" s="28" t="s">
        <v>15</v>
      </c>
      <c r="H57" s="83" t="s">
        <v>131</v>
      </c>
      <c r="I57" s="29">
        <v>2.8</v>
      </c>
      <c r="J57" s="24" t="s">
        <v>25</v>
      </c>
      <c r="K57" s="83" t="s">
        <v>155</v>
      </c>
      <c r="L57" s="81">
        <v>0.12</v>
      </c>
      <c r="M57" t="str">
        <f>IFERROR(VALUE(RIGHT(E57,4))*4+MATCH(LEFT(E57,2),{"Q1","Q2","Q3","Q4"},0)-1,"")</f>
        <v/>
      </c>
    </row>
    <row r="58" spans="2:13" ht="24" x14ac:dyDescent="0.35">
      <c r="B58" s="24">
        <v>15</v>
      </c>
      <c r="C58" s="25" t="s">
        <v>156</v>
      </c>
      <c r="D58" s="26">
        <v>156</v>
      </c>
      <c r="E58" s="24" t="s">
        <v>121</v>
      </c>
      <c r="F58" s="27"/>
      <c r="G58" s="28" t="s">
        <v>15</v>
      </c>
      <c r="H58" s="83" t="s">
        <v>157</v>
      </c>
      <c r="I58" s="29">
        <v>1.1000000000000001</v>
      </c>
      <c r="J58" s="24" t="s">
        <v>25</v>
      </c>
      <c r="K58" s="83" t="s">
        <v>158</v>
      </c>
      <c r="L58" s="81">
        <v>0.12</v>
      </c>
      <c r="M58" t="str">
        <f>IFERROR(VALUE(RIGHT(E58,4))*4+MATCH(LEFT(E58,2),{"Q1","Q2","Q3","Q4"},0)-1,"")</f>
        <v/>
      </c>
    </row>
    <row r="59" spans="2:13" x14ac:dyDescent="0.35">
      <c r="B59" s="91"/>
      <c r="C59" s="91"/>
      <c r="D59" s="91"/>
      <c r="E59" s="91"/>
      <c r="F59" s="91"/>
      <c r="G59" s="91"/>
      <c r="H59" s="91"/>
      <c r="I59" s="91"/>
      <c r="J59" s="91"/>
      <c r="K59" s="91"/>
    </row>
    <row r="61" spans="2:13" ht="409.5" x14ac:dyDescent="0.35">
      <c r="B61" s="86" t="s">
        <v>159</v>
      </c>
    </row>
  </sheetData>
  <mergeCells count="6">
    <mergeCell ref="B3:G3"/>
    <mergeCell ref="C5:K5"/>
    <mergeCell ref="C2:G2"/>
    <mergeCell ref="C36:K36"/>
    <mergeCell ref="B59:K59"/>
    <mergeCell ref="C29:K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B1:Z80"/>
  <sheetViews>
    <sheetView showGridLines="0" workbookViewId="0">
      <selection activeCell="J86" sqref="J86"/>
    </sheetView>
  </sheetViews>
  <sheetFormatPr defaultRowHeight="14.5" outlineLevelRow="1" x14ac:dyDescent="0.35"/>
  <cols>
    <col min="1" max="1" width="2.453125" customWidth="1"/>
    <col min="2" max="2" width="26" customWidth="1"/>
    <col min="3" max="16" width="9.453125" customWidth="1"/>
    <col min="18" max="18" width="28" customWidth="1"/>
    <col min="19" max="19" width="7" customWidth="1"/>
    <col min="20" max="20" width="11" customWidth="1"/>
    <col min="21" max="21" width="9" customWidth="1"/>
    <col min="22" max="22" width="8" hidden="1" customWidth="1"/>
    <col min="23" max="23" width="7" hidden="1" customWidth="1"/>
    <col min="24" max="24" width="6" hidden="1" customWidth="1"/>
    <col min="26" max="26" width="13" hidden="1" customWidth="1"/>
  </cols>
  <sheetData>
    <row r="1" spans="2:26" ht="14.4" customHeight="1" x14ac:dyDescent="0.35">
      <c r="Z1">
        <v>8105</v>
      </c>
    </row>
    <row r="2" spans="2:26" ht="20" customHeight="1" x14ac:dyDescent="0.35">
      <c r="B2" s="93" t="s">
        <v>160</v>
      </c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Z2">
        <f>IFERROR(VALUE(RIGHT($C$5,4))*4+MATCH(LEFT($C$5,2),{"Q1","Q2","Q3","Q4"},0)-1,0)</f>
        <v>8107</v>
      </c>
    </row>
    <row r="3" spans="2:26" ht="14.4" customHeight="1" x14ac:dyDescent="0.35">
      <c r="R3" s="31" t="s">
        <v>161</v>
      </c>
      <c r="Z3">
        <f>IF($C$7="Bear",3,IF($C$7="Base",2,1))</f>
        <v>2</v>
      </c>
    </row>
    <row r="4" spans="2:26" ht="14.4" customHeight="1" x14ac:dyDescent="0.35">
      <c r="B4" s="32" t="s">
        <v>162</v>
      </c>
      <c r="C4" s="33" t="s">
        <v>90</v>
      </c>
      <c r="D4" s="34" t="s">
        <v>163</v>
      </c>
      <c r="R4" s="35" t="s">
        <v>2</v>
      </c>
      <c r="S4" s="35" t="s">
        <v>3</v>
      </c>
      <c r="T4" s="35" t="s">
        <v>4</v>
      </c>
    </row>
    <row r="5" spans="2:26" ht="14.4" customHeight="1" x14ac:dyDescent="0.35">
      <c r="B5" s="32" t="s">
        <v>164</v>
      </c>
      <c r="C5" s="36" t="s">
        <v>165</v>
      </c>
      <c r="D5" s="34" t="s">
        <v>166</v>
      </c>
      <c r="R5" s="37" t="str">
        <f>'Competitive Analysis'!C37</f>
        <v>South Ridge II</v>
      </c>
      <c r="S5" s="38">
        <f>'Competitive Analysis'!D37</f>
        <v>164</v>
      </c>
      <c r="T5" s="39" t="str">
        <f>'Competitive Analysis'!E37</f>
        <v>Q2 2027</v>
      </c>
      <c r="V5">
        <f>IFERROR(VALUE(RIGHT(T5,4))*4+MATCH(LEFT(T5,2),{"Q1","Q2","Q3","Q4"},0)-1,"")</f>
        <v>8109</v>
      </c>
      <c r="W5">
        <f>IF(V5="","",IF(V5&lt;=$Z$1,0,MAX(1,INT((V5-$Z$2)/4)+1)))</f>
        <v>1</v>
      </c>
    </row>
    <row r="6" spans="2:26" ht="14.4" customHeight="1" x14ac:dyDescent="0.35">
      <c r="B6" s="32" t="s">
        <v>167</v>
      </c>
      <c r="C6" s="40">
        <v>0.95</v>
      </c>
      <c r="R6" s="37" t="str">
        <f>'Competitive Analysis'!C38</f>
        <v>Dorado Station</v>
      </c>
      <c r="S6" s="38">
        <f>'Competitive Analysis'!D38</f>
        <v>212</v>
      </c>
      <c r="T6" s="39" t="str">
        <f>'Competitive Analysis'!E38</f>
        <v>Q3 2027</v>
      </c>
      <c r="V6">
        <f>IFERROR(VALUE(RIGHT(T6,4))*4+MATCH(LEFT(T6,2),{"Q1","Q2","Q3","Q4"},0)-1,"")</f>
        <v>8110</v>
      </c>
      <c r="W6">
        <f>IF(V6="","",IF(V6&lt;=$Z$1,0,MAX(1,INT((V6-$Z$2)/4)+1)))</f>
        <v>1</v>
      </c>
    </row>
    <row r="7" spans="2:26" ht="14.4" customHeight="1" x14ac:dyDescent="0.35">
      <c r="B7" s="32" t="s">
        <v>168</v>
      </c>
      <c r="C7" s="36" t="s">
        <v>169</v>
      </c>
      <c r="R7" s="37" t="str">
        <f>'Competitive Analysis'!C39</f>
        <v>Summertown (remaining phases)</v>
      </c>
      <c r="S7" s="38">
        <f>'Competitive Analysis'!D39</f>
        <v>72</v>
      </c>
      <c r="T7" s="39" t="str">
        <f>'Competitive Analysis'!E39</f>
        <v>Q3 2027</v>
      </c>
      <c r="V7">
        <f>IFERROR(VALUE(RIGHT(T7,4))*4+MATCH(LEFT(T7,2),{"Q1","Q2","Q3","Q4"},0)-1,"")</f>
        <v>8110</v>
      </c>
      <c r="W7">
        <f>IF(V7="","",IF(V7&lt;=$Z$1,0,MAX(1,INT((V7-$Z$2)/4)+1)))</f>
        <v>1</v>
      </c>
    </row>
    <row r="8" spans="2:26" ht="14.4" customHeight="1" x14ac:dyDescent="0.35">
      <c r="B8" s="32" t="s">
        <v>170</v>
      </c>
      <c r="C8" s="41">
        <v>425</v>
      </c>
      <c r="R8" s="37" t="str">
        <f>'Competitive Analysis'!C40</f>
        <v>Centrepoint</v>
      </c>
      <c r="S8" s="38">
        <f>'Competitive Analysis'!D40</f>
        <v>213</v>
      </c>
      <c r="T8" s="39" t="str">
        <f>'Competitive Analysis'!E40</f>
        <v>Q1 2028</v>
      </c>
      <c r="V8">
        <f>IFERROR(VALUE(RIGHT(T8,4))*4+MATCH(LEFT(T8,2),{"Q1","Q2","Q3","Q4"},0)-1,"")</f>
        <v>8112</v>
      </c>
      <c r="W8">
        <f>IF(V8="","",IF(V8&lt;=$Z$1,0,MAX(1,INT((V8-$Z$2)/4)+1)))</f>
        <v>2</v>
      </c>
    </row>
    <row r="9" spans="2:26" ht="14.4" customHeight="1" x14ac:dyDescent="0.35">
      <c r="B9" s="32" t="s">
        <v>171</v>
      </c>
      <c r="C9" s="41">
        <v>850</v>
      </c>
      <c r="R9" s="37" t="str">
        <f>'Competitive Analysis'!C41</f>
        <v>Outer Banks Apartments</v>
      </c>
      <c r="S9" s="38">
        <f>'Competitive Analysis'!D41</f>
        <v>516</v>
      </c>
      <c r="T9" s="39" t="str">
        <f>'Competitive Analysis'!E41</f>
        <v>Q1 2028</v>
      </c>
      <c r="V9">
        <f>IFERROR(VALUE(RIGHT(T9,4))*4+MATCH(LEFT(T9,2),{"Q1","Q2","Q3","Q4"},0)-1,"")</f>
        <v>8112</v>
      </c>
      <c r="W9">
        <f>IF(V9="","",IF(V9&lt;=$Z$1,0,MAX(1,INT((V9-$Z$2)/4)+1)))</f>
        <v>2</v>
      </c>
    </row>
    <row r="10" spans="2:26" ht="14.4" customHeight="1" x14ac:dyDescent="0.35">
      <c r="B10" s="32" t="s">
        <v>172</v>
      </c>
      <c r="C10" s="41">
        <v>1275</v>
      </c>
      <c r="D10" s="34" t="s">
        <v>173</v>
      </c>
    </row>
    <row r="11" spans="2:26" ht="14.4" customHeight="1" x14ac:dyDescent="0.35">
      <c r="B11" s="32" t="s">
        <v>174</v>
      </c>
      <c r="C11" s="42">
        <f>IF($C$7="Bear",$C$8,IF($C$7="Bull",$C$10,$C$9))</f>
        <v>850</v>
      </c>
      <c r="R11" s="31" t="s">
        <v>175</v>
      </c>
    </row>
    <row r="12" spans="2:26" ht="14.4" customHeight="1" x14ac:dyDescent="0.35">
      <c r="R12" s="35" t="s">
        <v>2</v>
      </c>
      <c r="S12" s="35" t="s">
        <v>3</v>
      </c>
      <c r="T12" s="35" t="s">
        <v>4</v>
      </c>
      <c r="U12" s="35" t="s">
        <v>176</v>
      </c>
    </row>
    <row r="13" spans="2:26" ht="14.4" customHeight="1" x14ac:dyDescent="0.35">
      <c r="R13" s="37" t="s">
        <v>136</v>
      </c>
      <c r="S13" s="38">
        <v>472</v>
      </c>
      <c r="T13" s="43"/>
      <c r="U13" s="43" t="s">
        <v>177</v>
      </c>
      <c r="V13" t="str">
        <f>IFERROR(VALUE(RIGHT(T13,4))*4+MATCH(LEFT(T13,2),{"Q1","Q2","Q3","Q4"},0)-1,"")</f>
        <v/>
      </c>
      <c r="W13" t="str">
        <f t="shared" ref="W13:W25" si="0">IF(V13="","",IF(V13&lt;=$Z$1,0,MAX(1,INT((V13-$Z$2)/4)+1)))</f>
        <v/>
      </c>
      <c r="X13">
        <f t="shared" ref="X13:X25" si="1">IF(U13="All",1,IF(U13="Bear+Base",IF($Z$3&gt;=2,1,0),IF(U13="Bear only",IF($Z$3&gt;=3,1,0),0)))</f>
        <v>0</v>
      </c>
    </row>
    <row r="14" spans="2:26" ht="14.4" customHeight="1" x14ac:dyDescent="0.35">
      <c r="R14" s="37" t="s">
        <v>145</v>
      </c>
      <c r="S14" s="38">
        <v>390</v>
      </c>
      <c r="T14" s="43"/>
      <c r="U14" s="43" t="s">
        <v>177</v>
      </c>
      <c r="V14" t="str">
        <f>IFERROR(VALUE(RIGHT(T14,4))*4+MATCH(LEFT(T14,2),{"Q1","Q2","Q3","Q4"},0)-1,"")</f>
        <v/>
      </c>
      <c r="W14" t="str">
        <f t="shared" si="0"/>
        <v/>
      </c>
      <c r="X14">
        <f t="shared" si="1"/>
        <v>0</v>
      </c>
    </row>
    <row r="15" spans="2:26" ht="14.4" customHeight="1" x14ac:dyDescent="0.35">
      <c r="R15" s="37" t="s">
        <v>154</v>
      </c>
      <c r="S15" s="38">
        <v>302</v>
      </c>
      <c r="T15" s="43"/>
      <c r="U15" s="43" t="s">
        <v>177</v>
      </c>
      <c r="V15" t="str">
        <f>IFERROR(VALUE(RIGHT(T15,4))*4+MATCH(LEFT(T15,2),{"Q1","Q2","Q3","Q4"},0)-1,"")</f>
        <v/>
      </c>
      <c r="W15" t="str">
        <f t="shared" si="0"/>
        <v/>
      </c>
      <c r="X15">
        <f t="shared" si="1"/>
        <v>0</v>
      </c>
    </row>
    <row r="16" spans="2:26" ht="14.4" customHeight="1" x14ac:dyDescent="0.35">
      <c r="R16" s="37" t="s">
        <v>139</v>
      </c>
      <c r="S16" s="38">
        <v>301</v>
      </c>
      <c r="T16" s="43"/>
      <c r="U16" s="43" t="s">
        <v>177</v>
      </c>
      <c r="V16" t="str">
        <f>IFERROR(VALUE(RIGHT(T16,4))*4+MATCH(LEFT(T16,2),{"Q1","Q2","Q3","Q4"},0)-1,"")</f>
        <v/>
      </c>
      <c r="W16" t="str">
        <f t="shared" si="0"/>
        <v/>
      </c>
      <c r="X16">
        <f t="shared" si="1"/>
        <v>0</v>
      </c>
    </row>
    <row r="17" spans="2:24" ht="14.4" customHeight="1" x14ac:dyDescent="0.35">
      <c r="B17" s="32" t="s">
        <v>178</v>
      </c>
      <c r="C17" s="1" t="s">
        <v>179</v>
      </c>
      <c r="D17" s="1" t="s">
        <v>180</v>
      </c>
      <c r="E17" s="1" t="s">
        <v>181</v>
      </c>
      <c r="F17" s="1" t="s">
        <v>182</v>
      </c>
      <c r="G17" s="1" t="s">
        <v>183</v>
      </c>
      <c r="H17" s="1" t="s">
        <v>184</v>
      </c>
      <c r="I17" s="1" t="s">
        <v>185</v>
      </c>
      <c r="J17" s="44" t="s">
        <v>186</v>
      </c>
      <c r="K17" s="44" t="s">
        <v>187</v>
      </c>
      <c r="L17" s="44" t="s">
        <v>188</v>
      </c>
      <c r="M17" s="44" t="s">
        <v>189</v>
      </c>
      <c r="N17" s="44" t="s">
        <v>190</v>
      </c>
      <c r="O17" s="44" t="s">
        <v>191</v>
      </c>
      <c r="R17" s="37" t="s">
        <v>127</v>
      </c>
      <c r="S17" s="38">
        <v>275</v>
      </c>
      <c r="T17" s="43"/>
      <c r="U17" s="43" t="s">
        <v>177</v>
      </c>
      <c r="V17" t="str">
        <f>IFERROR(VALUE(RIGHT(T17,4))*4+MATCH(LEFT(T17,2),{"Q1","Q2","Q3","Q4"},0)-1,"")</f>
        <v/>
      </c>
      <c r="W17" t="str">
        <f t="shared" si="0"/>
        <v/>
      </c>
      <c r="X17">
        <f t="shared" si="1"/>
        <v>0</v>
      </c>
    </row>
    <row r="18" spans="2:24" ht="14.4" customHeight="1" x14ac:dyDescent="0.35">
      <c r="C18" s="45" t="s">
        <v>192</v>
      </c>
      <c r="D18" s="45" t="s">
        <v>193</v>
      </c>
      <c r="E18" s="45" t="s">
        <v>194</v>
      </c>
      <c r="F18" s="45" t="s">
        <v>195</v>
      </c>
      <c r="G18" s="45" t="s">
        <v>196</v>
      </c>
      <c r="H18" s="45" t="s">
        <v>197</v>
      </c>
      <c r="I18" s="45" t="s">
        <v>198</v>
      </c>
      <c r="J18" s="45" t="str">
        <f>"Q"&amp;(MOD(($Z$2+0),4)+1)&amp;"'"&amp;RIGHT(INT(($Z$2+0)/4),2)&amp;"-Q"&amp;(MOD(($Z$2+3),4)+1)&amp;"'"&amp;RIGHT(INT(($Z$2+3)/4),2)</f>
        <v>Q4'26-Q3'27</v>
      </c>
      <c r="K18" s="45" t="str">
        <f>"Q"&amp;(MOD(($Z$2+4),4)+1)&amp;"'"&amp;RIGHT(INT(($Z$2+4)/4),2)&amp;"-Q"&amp;(MOD(($Z$2+7),4)+1)&amp;"'"&amp;RIGHT(INT(($Z$2+7)/4),2)</f>
        <v>Q4'27-Q3'28</v>
      </c>
      <c r="L18" s="45" t="str">
        <f>"Q"&amp;(MOD(($Z$2+8),4)+1)&amp;"'"&amp;RIGHT(INT(($Z$2+8)/4),2)&amp;"-Q"&amp;(MOD(($Z$2+11),4)+1)&amp;"'"&amp;RIGHT(INT(($Z$2+11)/4),2)</f>
        <v>Q4'28-Q3'29</v>
      </c>
      <c r="M18" s="45" t="str">
        <f>"Q"&amp;(MOD(($Z$2+12),4)+1)&amp;"'"&amp;RIGHT(INT(($Z$2+12)/4),2)&amp;"-Q"&amp;(MOD(($Z$2+15),4)+1)&amp;"'"&amp;RIGHT(INT(($Z$2+15)/4),2)</f>
        <v>Q4'29-Q3'30</v>
      </c>
      <c r="N18" s="45" t="str">
        <f>"Q"&amp;(MOD(($Z$2+16),4)+1)&amp;"'"&amp;RIGHT(INT(($Z$2+16)/4),2)&amp;"-Q"&amp;(MOD(($Z$2+19),4)+1)&amp;"'"&amp;RIGHT(INT(($Z$2+19)/4),2)</f>
        <v>Q4'30-Q3'31</v>
      </c>
      <c r="O18" s="45" t="str">
        <f>"Q"&amp;(MOD(($Z$2+20),4)+1)&amp;"'"&amp;RIGHT(INT(($Z$2+20)/4),2)&amp;"-Q"&amp;(MOD(($Z$2+23),4)+1)&amp;"'"&amp;RIGHT(INT(($Z$2+23)/4),2)</f>
        <v>Q4'31-Q3'32</v>
      </c>
      <c r="R18" s="37" t="s">
        <v>120</v>
      </c>
      <c r="S18" s="38">
        <v>270</v>
      </c>
      <c r="T18" s="43"/>
      <c r="U18" s="43" t="s">
        <v>177</v>
      </c>
      <c r="V18" t="str">
        <f>IFERROR(VALUE(RIGHT(T18,4))*4+MATCH(LEFT(T18,2),{"Q1","Q2","Q3","Q4"},0)-1,"")</f>
        <v/>
      </c>
      <c r="W18" t="str">
        <f t="shared" si="0"/>
        <v/>
      </c>
      <c r="X18">
        <f t="shared" si="1"/>
        <v>0</v>
      </c>
    </row>
    <row r="19" spans="2:24" ht="14.4" customHeight="1" x14ac:dyDescent="0.35">
      <c r="B19" s="32" t="s">
        <v>199</v>
      </c>
      <c r="C19" s="46">
        <v>1227</v>
      </c>
      <c r="D19" s="46">
        <v>1575</v>
      </c>
      <c r="E19" s="46">
        <v>629</v>
      </c>
      <c r="F19" s="46">
        <v>1232</v>
      </c>
      <c r="G19" s="46">
        <v>1049</v>
      </c>
      <c r="H19" s="46">
        <v>450</v>
      </c>
      <c r="I19" s="46">
        <f>SUMIFS('Competitive Analysis'!$D$5:$D$58,'Competitive Analysis'!$M$5:$M$58,"&gt;="&amp;8102,'Competitive Analysis'!$M$5:$M$58,"&lt;="&amp;8105)</f>
        <v>240</v>
      </c>
      <c r="J19" s="47">
        <f>SUMIFS($S$5:$S$9,$W$5:$W$9,1)+SUMIFS($S$13:$S$28,$W$13:$W$28,1,$X$13:$X$28,1)</f>
        <v>448</v>
      </c>
      <c r="K19" s="47">
        <f>SUMIFS($S$5:$S$9,$W$5:$W$9,2)+SUMIFS($S$13:$S$28,$W$13:$W$28,2,$X$13:$X$28,1)</f>
        <v>1281</v>
      </c>
      <c r="L19" s="47">
        <f>SUMIFS($S$5:$S$9,$W$5:$W$9,3)+SUMIFS($S$13:$S$28,$W$13:$W$28,3,$X$13:$X$28,1)</f>
        <v>0</v>
      </c>
      <c r="M19" s="47">
        <f>SUMIFS($S$5:$S$9,$W$5:$W$9,4)+SUMIFS($S$13:$S$28,$W$13:$W$28,4,$X$13:$X$28,1)</f>
        <v>0</v>
      </c>
      <c r="N19" s="47">
        <f>SUMIFS($S$5:$S$9,$W$5:$W$9,5)+SUMIFS($S$13:$S$28,$W$13:$W$28,5,$X$13:$X$28,1)</f>
        <v>0</v>
      </c>
      <c r="O19" s="47">
        <f>SUMIFS($S$5:$S$9,$W$5:$W$9,6)+SUMIFS($S$13:$S$28,$W$13:$W$28,6,$X$13:$X$28,1)</f>
        <v>0</v>
      </c>
      <c r="R19" s="37" t="s">
        <v>113</v>
      </c>
      <c r="S19" s="38">
        <v>250</v>
      </c>
      <c r="T19" s="43" t="s">
        <v>114</v>
      </c>
      <c r="U19" s="43" t="s">
        <v>177</v>
      </c>
      <c r="V19">
        <f>IFERROR(VALUE(RIGHT(T19,4))*4+MATCH(LEFT(T19,2),{"Q1","Q2","Q3","Q4"},0)-1,"")</f>
        <v>8116</v>
      </c>
      <c r="W19">
        <f t="shared" si="0"/>
        <v>3</v>
      </c>
      <c r="X19">
        <f t="shared" si="1"/>
        <v>0</v>
      </c>
    </row>
    <row r="20" spans="2:24" ht="14.4" customHeight="1" x14ac:dyDescent="0.35">
      <c r="B20" s="32" t="s">
        <v>200</v>
      </c>
      <c r="C20" s="46">
        <v>1334</v>
      </c>
      <c r="D20" s="46">
        <v>1532</v>
      </c>
      <c r="E20" s="46">
        <v>736</v>
      </c>
      <c r="F20" s="46">
        <v>44</v>
      </c>
      <c r="G20" s="46">
        <v>852</v>
      </c>
      <c r="H20" s="46">
        <v>1144</v>
      </c>
      <c r="I20" s="46">
        <v>585</v>
      </c>
      <c r="J20" s="47">
        <f t="shared" ref="J20:O20" si="2">J34-I34</f>
        <v>589.75</v>
      </c>
      <c r="K20" s="47">
        <f t="shared" si="2"/>
        <v>850</v>
      </c>
      <c r="L20" s="47">
        <f t="shared" si="2"/>
        <v>366.94999999999891</v>
      </c>
      <c r="M20" s="47">
        <f t="shared" si="2"/>
        <v>0</v>
      </c>
      <c r="N20" s="47">
        <f t="shared" si="2"/>
        <v>0</v>
      </c>
      <c r="O20" s="47">
        <f t="shared" si="2"/>
        <v>0</v>
      </c>
      <c r="R20" s="37" t="s">
        <v>148</v>
      </c>
      <c r="S20" s="38">
        <v>224</v>
      </c>
      <c r="T20" s="43" t="s">
        <v>114</v>
      </c>
      <c r="U20" s="43" t="s">
        <v>177</v>
      </c>
      <c r="V20">
        <f>IFERROR(VALUE(RIGHT(T20,4))*4+MATCH(LEFT(T20,2),{"Q1","Q2","Q3","Q4"},0)-1,"")</f>
        <v>8116</v>
      </c>
      <c r="W20">
        <f t="shared" si="0"/>
        <v>3</v>
      </c>
      <c r="X20">
        <f t="shared" si="1"/>
        <v>0</v>
      </c>
    </row>
    <row r="21" spans="2:24" ht="14.4" customHeight="1" x14ac:dyDescent="0.35">
      <c r="B21" s="32" t="s">
        <v>201</v>
      </c>
      <c r="C21" s="48">
        <v>0.93500000000000005</v>
      </c>
      <c r="D21" s="48">
        <v>0.94</v>
      </c>
      <c r="E21" s="48">
        <v>0.95299999999999996</v>
      </c>
      <c r="F21" s="48">
        <v>0.86499999999999999</v>
      </c>
      <c r="G21" s="48">
        <v>0.86099999999999999</v>
      </c>
      <c r="H21" s="48">
        <v>0.91400000000000003</v>
      </c>
      <c r="I21" s="48">
        <f>IFERROR(I34/I33,"")</f>
        <v>0.93873910955615014</v>
      </c>
      <c r="J21" s="49">
        <f t="shared" ref="J21:O21" si="3">IFERROR(J34/J33,0)</f>
        <v>0.95</v>
      </c>
      <c r="K21" s="49">
        <f t="shared" si="3"/>
        <v>0.92749601373727464</v>
      </c>
      <c r="L21" s="49">
        <f t="shared" si="3"/>
        <v>0.95</v>
      </c>
      <c r="M21" s="49">
        <f t="shared" si="3"/>
        <v>0.95</v>
      </c>
      <c r="N21" s="49">
        <f t="shared" si="3"/>
        <v>0.95</v>
      </c>
      <c r="O21" s="49">
        <f t="shared" si="3"/>
        <v>0.95</v>
      </c>
      <c r="R21" s="37" t="s">
        <v>117</v>
      </c>
      <c r="S21" s="38">
        <v>200</v>
      </c>
      <c r="T21" s="43" t="s">
        <v>114</v>
      </c>
      <c r="U21" s="43" t="s">
        <v>177</v>
      </c>
      <c r="V21">
        <f>IFERROR(VALUE(RIGHT(T21,4))*4+MATCH(LEFT(T21,2),{"Q1","Q2","Q3","Q4"},0)-1,"")</f>
        <v>8116</v>
      </c>
      <c r="W21">
        <f t="shared" si="0"/>
        <v>3</v>
      </c>
      <c r="X21">
        <f t="shared" si="1"/>
        <v>0</v>
      </c>
    </row>
    <row r="22" spans="2:24" ht="14.4" customHeight="1" x14ac:dyDescent="0.35">
      <c r="B22" s="32" t="s">
        <v>202</v>
      </c>
      <c r="R22" s="37" t="s">
        <v>130</v>
      </c>
      <c r="S22" s="38">
        <v>162</v>
      </c>
      <c r="T22" s="43" t="s">
        <v>106</v>
      </c>
      <c r="U22" s="43" t="s">
        <v>177</v>
      </c>
      <c r="V22">
        <f>IFERROR(VALUE(RIGHT(T22,4))*4+MATCH(LEFT(T22,2),{"Q1","Q2","Q3","Q4"},0)-1,"")</f>
        <v>8112</v>
      </c>
      <c r="W22">
        <f t="shared" si="0"/>
        <v>2</v>
      </c>
      <c r="X22">
        <f t="shared" si="1"/>
        <v>0</v>
      </c>
    </row>
    <row r="23" spans="2:24" ht="14.4" customHeight="1" x14ac:dyDescent="0.35">
      <c r="B23" s="32" t="s">
        <v>203</v>
      </c>
      <c r="C23" s="50"/>
      <c r="D23" s="50"/>
      <c r="E23" s="50"/>
      <c r="F23" s="50"/>
      <c r="G23" s="50"/>
      <c r="H23" s="50">
        <v>1777</v>
      </c>
      <c r="I23" s="50">
        <f>IFERROR('[1]Cash Flow (Annual)'!$F$4,1735)</f>
        <v>1735</v>
      </c>
      <c r="J23" s="51" t="str">
        <f>IFERROR('[1]Cash Flow (Annual)'!$K$4,"")</f>
        <v/>
      </c>
      <c r="K23" s="51" t="str">
        <f>IFERROR('[1]Cash Flow (Annual)'!$L$4,"")</f>
        <v/>
      </c>
      <c r="L23" s="51" t="str">
        <f>IFERROR('[1]Cash Flow (Annual)'!$M$4,"")</f>
        <v/>
      </c>
      <c r="M23" s="51" t="str">
        <f>IFERROR('[1]Cash Flow (Annual)'!$N$4,"")</f>
        <v/>
      </c>
      <c r="N23" s="51" t="str">
        <f>IFERROR('[1]Cash Flow (Annual)'!$O$4,"")</f>
        <v/>
      </c>
      <c r="O23" s="51" t="str">
        <f>IFERROR('[1]Cash Flow (Annual)'!$P$4,"")</f>
        <v/>
      </c>
      <c r="R23" s="37" t="s">
        <v>156</v>
      </c>
      <c r="S23" s="38">
        <v>156</v>
      </c>
      <c r="T23" s="43"/>
      <c r="U23" s="43" t="s">
        <v>177</v>
      </c>
      <c r="V23" t="str">
        <f>IFERROR(VALUE(RIGHT(T23,4))*4+MATCH(LEFT(T23,2),{"Q1","Q2","Q3","Q4"},0)-1,"")</f>
        <v/>
      </c>
      <c r="W23" t="str">
        <f t="shared" si="0"/>
        <v/>
      </c>
      <c r="X23">
        <f t="shared" si="1"/>
        <v>0</v>
      </c>
    </row>
    <row r="24" spans="2:24" ht="14.4" customHeight="1" x14ac:dyDescent="0.35">
      <c r="B24" s="52" t="s">
        <v>204</v>
      </c>
      <c r="C24" s="53"/>
      <c r="D24" s="53" t="str">
        <f t="shared" ref="D24:O24" si="4">IFERROR(D23/C23-1,"")</f>
        <v/>
      </c>
      <c r="E24" s="53" t="str">
        <f t="shared" si="4"/>
        <v/>
      </c>
      <c r="F24" s="53" t="str">
        <f t="shared" si="4"/>
        <v/>
      </c>
      <c r="G24" s="53" t="str">
        <f t="shared" si="4"/>
        <v/>
      </c>
      <c r="H24" s="53" t="str">
        <f t="shared" si="4"/>
        <v/>
      </c>
      <c r="I24" s="53">
        <f t="shared" si="4"/>
        <v>-2.3635340461451881E-2</v>
      </c>
      <c r="J24" s="54" t="str">
        <f t="shared" si="4"/>
        <v/>
      </c>
      <c r="K24" s="54" t="str">
        <f t="shared" si="4"/>
        <v/>
      </c>
      <c r="L24" s="54" t="str">
        <f t="shared" si="4"/>
        <v/>
      </c>
      <c r="M24" s="54" t="str">
        <f t="shared" si="4"/>
        <v/>
      </c>
      <c r="N24" s="54" t="str">
        <f t="shared" si="4"/>
        <v/>
      </c>
      <c r="O24" s="54" t="str">
        <f t="shared" si="4"/>
        <v/>
      </c>
      <c r="R24" s="37" t="s">
        <v>133</v>
      </c>
      <c r="S24" s="38">
        <v>138</v>
      </c>
      <c r="T24" s="43"/>
      <c r="U24" s="43" t="s">
        <v>177</v>
      </c>
      <c r="V24" t="str">
        <f>IFERROR(VALUE(RIGHT(T24,4))*4+MATCH(LEFT(T24,2),{"Q1","Q2","Q3","Q4"},0)-1,"")</f>
        <v/>
      </c>
      <c r="W24" t="str">
        <f t="shared" si="0"/>
        <v/>
      </c>
      <c r="X24">
        <f t="shared" si="1"/>
        <v>0</v>
      </c>
    </row>
    <row r="25" spans="2:24" ht="14.4" customHeight="1" x14ac:dyDescent="0.35">
      <c r="B25" s="32" t="s">
        <v>205</v>
      </c>
      <c r="C25" s="50"/>
      <c r="D25" s="50"/>
      <c r="E25" s="50"/>
      <c r="F25" s="50"/>
      <c r="G25" s="50"/>
      <c r="H25" s="50">
        <v>1619</v>
      </c>
      <c r="I25" s="50">
        <f>IFERROR('[1]Cash Flow (Annual)'!$F$5,1578)</f>
        <v>1578</v>
      </c>
      <c r="J25" s="51" t="str">
        <f>IFERROR('[1]Cash Flow (Annual)'!$K$5,"")</f>
        <v/>
      </c>
      <c r="K25" s="51" t="str">
        <f>IFERROR('[1]Cash Flow (Annual)'!$L$5,"")</f>
        <v/>
      </c>
      <c r="L25" s="51" t="str">
        <f>IFERROR('[1]Cash Flow (Annual)'!$M$5,"")</f>
        <v/>
      </c>
      <c r="M25" s="51" t="str">
        <f>IFERROR('[1]Cash Flow (Annual)'!$N$5,"")</f>
        <v/>
      </c>
      <c r="N25" s="51" t="str">
        <f>IFERROR('[1]Cash Flow (Annual)'!$O$5,"")</f>
        <v/>
      </c>
      <c r="O25" s="51" t="str">
        <f>IFERROR('[1]Cash Flow (Annual)'!$P$5,"")</f>
        <v/>
      </c>
      <c r="R25" s="37" t="s">
        <v>124</v>
      </c>
      <c r="S25" s="38">
        <v>36</v>
      </c>
      <c r="T25" s="43"/>
      <c r="U25" s="43" t="s">
        <v>177</v>
      </c>
      <c r="V25" t="str">
        <f>IFERROR(VALUE(RIGHT(T25,4))*4+MATCH(LEFT(T25,2),{"Q1","Q2","Q3","Q4"},0)-1,"")</f>
        <v/>
      </c>
      <c r="W25" t="str">
        <f t="shared" si="0"/>
        <v/>
      </c>
      <c r="X25">
        <f t="shared" si="1"/>
        <v>0</v>
      </c>
    </row>
    <row r="26" spans="2:24" ht="14.4" customHeight="1" x14ac:dyDescent="0.35">
      <c r="B26" s="52" t="s">
        <v>206</v>
      </c>
      <c r="C26" s="53"/>
      <c r="D26" s="53" t="str">
        <f t="shared" ref="D26:O26" si="5">IFERROR(D25/C25-1,"")</f>
        <v/>
      </c>
      <c r="E26" s="53" t="str">
        <f t="shared" si="5"/>
        <v/>
      </c>
      <c r="F26" s="53" t="str">
        <f t="shared" si="5"/>
        <v/>
      </c>
      <c r="G26" s="53" t="str">
        <f t="shared" si="5"/>
        <v/>
      </c>
      <c r="H26" s="53" t="str">
        <f t="shared" si="5"/>
        <v/>
      </c>
      <c r="I26" s="53">
        <f t="shared" si="5"/>
        <v>-2.5324274243360145E-2</v>
      </c>
      <c r="J26" s="54" t="str">
        <f t="shared" si="5"/>
        <v/>
      </c>
      <c r="K26" s="54" t="str">
        <f t="shared" si="5"/>
        <v/>
      </c>
      <c r="L26" s="54" t="str">
        <f t="shared" si="5"/>
        <v/>
      </c>
      <c r="M26" s="54" t="str">
        <f t="shared" si="5"/>
        <v/>
      </c>
      <c r="N26" s="54" t="str">
        <f t="shared" si="5"/>
        <v/>
      </c>
      <c r="O26" s="54" t="str">
        <f t="shared" si="5"/>
        <v/>
      </c>
      <c r="R26" s="37"/>
      <c r="S26" s="38"/>
      <c r="T26" s="43"/>
      <c r="U26" s="43"/>
    </row>
    <row r="27" spans="2:24" ht="14.4" customHeight="1" x14ac:dyDescent="0.35">
      <c r="B27" s="32" t="s">
        <v>207</v>
      </c>
      <c r="C27" s="55"/>
      <c r="D27" s="55"/>
      <c r="E27" s="55"/>
      <c r="F27" s="55"/>
      <c r="G27" s="55"/>
      <c r="H27" s="55">
        <v>0.52394281413420041</v>
      </c>
      <c r="I27" s="55">
        <f>IFERROR('[1]Cash Flow (Annual)'!$F$14,0.829026506335206)</f>
        <v>0.82902650633520603</v>
      </c>
      <c r="J27" s="56" t="str">
        <f>IFERROR('[1]Cash Flow (Annual)'!$K$14,"")</f>
        <v/>
      </c>
      <c r="K27" s="56" t="str">
        <f>IFERROR('[1]Cash Flow (Annual)'!$L$14,"")</f>
        <v/>
      </c>
      <c r="L27" s="56" t="str">
        <f>IFERROR('[1]Cash Flow (Annual)'!$M$14,"")</f>
        <v/>
      </c>
      <c r="M27" s="56" t="str">
        <f>IFERROR('[1]Cash Flow (Annual)'!$N$14,"")</f>
        <v/>
      </c>
      <c r="N27" s="56" t="str">
        <f>IFERROR('[1]Cash Flow (Annual)'!$O$14,"")</f>
        <v/>
      </c>
      <c r="O27" s="56" t="str">
        <f>IFERROR('[1]Cash Flow (Annual)'!$P$14,"")</f>
        <v/>
      </c>
      <c r="R27" s="37" t="s">
        <v>142</v>
      </c>
      <c r="S27" s="38">
        <v>250</v>
      </c>
      <c r="T27" s="43" t="s">
        <v>121</v>
      </c>
      <c r="U27" s="43" t="s">
        <v>177</v>
      </c>
      <c r="V27" t="str">
        <f>IFERROR(VALUE(RIGHT(T27,4))*4+MATCH(LEFT(T27,2),{"Q1","Q2","Q3","Q4"},0)-1,"")</f>
        <v/>
      </c>
      <c r="W27" t="str">
        <f>IF(V27="","",IF(V27&lt;=$Z$1,0,MAX(1,INT((V27-$Z$2)/4)+1)))</f>
        <v/>
      </c>
      <c r="X27">
        <f>IF(U27="All",1,IF(U27="Bear+Base",IF($Z$3&gt;=2,1,0),IF(U27="Bear only",IF($Z$3&gt;=3,1,0),0)))</f>
        <v>0</v>
      </c>
    </row>
    <row r="28" spans="2:24" ht="14.4" customHeight="1" x14ac:dyDescent="0.35">
      <c r="B28" s="32" t="s">
        <v>208</v>
      </c>
      <c r="C28" s="55" t="str">
        <f t="shared" ref="C28:O28" si="6">IFERROR((C23-C25)/C23,"")</f>
        <v/>
      </c>
      <c r="D28" s="55" t="str">
        <f t="shared" si="6"/>
        <v/>
      </c>
      <c r="E28" s="55" t="str">
        <f t="shared" si="6"/>
        <v/>
      </c>
      <c r="F28" s="55" t="str">
        <f t="shared" si="6"/>
        <v/>
      </c>
      <c r="G28" s="55" t="str">
        <f t="shared" si="6"/>
        <v/>
      </c>
      <c r="H28" s="55">
        <f t="shared" si="6"/>
        <v>8.8913899831176146E-2</v>
      </c>
      <c r="I28" s="55">
        <f t="shared" si="6"/>
        <v>9.0489913544668593E-2</v>
      </c>
      <c r="J28" s="56" t="str">
        <f t="shared" si="6"/>
        <v/>
      </c>
      <c r="K28" s="56" t="str">
        <f t="shared" si="6"/>
        <v/>
      </c>
      <c r="L28" s="56" t="str">
        <f t="shared" si="6"/>
        <v/>
      </c>
      <c r="M28" s="56" t="str">
        <f t="shared" si="6"/>
        <v/>
      </c>
      <c r="N28" s="56" t="str">
        <f t="shared" si="6"/>
        <v/>
      </c>
      <c r="O28" s="56" t="str">
        <f t="shared" si="6"/>
        <v/>
      </c>
      <c r="R28" s="37" t="s">
        <v>151</v>
      </c>
      <c r="S28" s="38">
        <v>552</v>
      </c>
      <c r="T28" s="43" t="s">
        <v>106</v>
      </c>
      <c r="U28" s="43" t="s">
        <v>209</v>
      </c>
      <c r="V28">
        <f>IFERROR(VALUE(RIGHT(T28,4))*4+MATCH(LEFT(T28,2),{"Q1","Q2","Q3","Q4"},0)-1,"")</f>
        <v>8112</v>
      </c>
      <c r="W28">
        <f>IF(V28="","",IF(V28&lt;=$Z$1,0,MAX(1,INT((V28-$Z$2)/4)+1)))</f>
        <v>2</v>
      </c>
      <c r="X28">
        <f>IF(U28="All",1,IF(U28="Bear+Base",IF($Z$3&gt;=2,1,0),IF(U28="Bear only",IF($Z$3&gt;=3,1,0),0)))</f>
        <v>1</v>
      </c>
    </row>
    <row r="29" spans="2:24" ht="14.4" customHeight="1" x14ac:dyDescent="0.35"/>
    <row r="30" spans="2:24" ht="14.4" customHeight="1" x14ac:dyDescent="0.35">
      <c r="B30" s="87" t="s">
        <v>567</v>
      </c>
      <c r="C30" s="88"/>
      <c r="D30" s="88"/>
      <c r="E30" s="89">
        <v>0.02</v>
      </c>
      <c r="F30" s="89">
        <v>1.6E-2</v>
      </c>
      <c r="G30" s="89">
        <v>1.4999999999999999E-2</v>
      </c>
      <c r="H30" s="89">
        <v>1.6E-2</v>
      </c>
      <c r="I30" s="89">
        <v>2.1999999999999999E-2</v>
      </c>
    </row>
    <row r="31" spans="2:24" ht="14.4" customHeight="1" x14ac:dyDescent="0.35">
      <c r="B31" s="87" t="s">
        <v>568</v>
      </c>
      <c r="C31" s="88"/>
      <c r="D31" s="88"/>
      <c r="E31" s="89">
        <v>7.4999999999999997E-2</v>
      </c>
      <c r="F31" s="89">
        <v>6.2E-2</v>
      </c>
      <c r="G31" s="89">
        <v>2.9000000000000001E-2</v>
      </c>
      <c r="H31" s="89">
        <v>6.4000000000000001E-2</v>
      </c>
      <c r="I31" s="89">
        <v>5.0999999999999997E-2</v>
      </c>
    </row>
    <row r="32" spans="2:24" ht="14.4" customHeight="1" x14ac:dyDescent="0.35">
      <c r="B32" s="87" t="s">
        <v>569</v>
      </c>
      <c r="C32" s="88"/>
      <c r="D32" s="88"/>
      <c r="E32" s="89">
        <v>0.18328595438344997</v>
      </c>
      <c r="F32" s="89">
        <v>-1.0908295601488541E-2</v>
      </c>
      <c r="G32" s="89">
        <v>-5.166258505201192E-2</v>
      </c>
      <c r="H32" s="89">
        <v>-2.8814436729657483E-4</v>
      </c>
      <c r="I32" s="89">
        <v>1.4567947469640829E-2</v>
      </c>
    </row>
    <row r="33" spans="2:16" ht="14.4" hidden="1" customHeight="1" x14ac:dyDescent="0.35">
      <c r="B33" s="30" t="s">
        <v>210</v>
      </c>
      <c r="C33" s="57">
        <v>9402</v>
      </c>
      <c r="D33" s="57">
        <v>10977</v>
      </c>
      <c r="E33" s="57">
        <v>11606</v>
      </c>
      <c r="F33" s="57">
        <v>12838</v>
      </c>
      <c r="G33" s="57">
        <v>13887</v>
      </c>
      <c r="H33" s="57">
        <v>14337</v>
      </c>
      <c r="I33" s="57">
        <f t="shared" ref="I33:O33" si="7">H33+I19</f>
        <v>14577</v>
      </c>
      <c r="J33" s="57">
        <f t="shared" si="7"/>
        <v>15025</v>
      </c>
      <c r="K33" s="57">
        <f t="shared" si="7"/>
        <v>16306</v>
      </c>
      <c r="L33" s="57">
        <f t="shared" si="7"/>
        <v>16306</v>
      </c>
      <c r="M33" s="57">
        <f t="shared" si="7"/>
        <v>16306</v>
      </c>
      <c r="N33" s="57">
        <f t="shared" si="7"/>
        <v>16306</v>
      </c>
      <c r="O33" s="57">
        <f t="shared" si="7"/>
        <v>16306</v>
      </c>
    </row>
    <row r="34" spans="2:16" ht="14.4" hidden="1" customHeight="1" x14ac:dyDescent="0.35">
      <c r="B34" s="30" t="s">
        <v>211</v>
      </c>
      <c r="C34" s="57">
        <v>8789</v>
      </c>
      <c r="D34" s="57">
        <v>10320</v>
      </c>
      <c r="E34" s="57">
        <v>11057</v>
      </c>
      <c r="F34" s="57">
        <v>11105</v>
      </c>
      <c r="G34" s="57">
        <v>11956</v>
      </c>
      <c r="H34" s="57">
        <v>13099</v>
      </c>
      <c r="I34" s="57">
        <f>H34+I20</f>
        <v>13684</v>
      </c>
      <c r="J34" s="57">
        <f t="shared" ref="J34:O34" si="8">MIN($C$6*J33,I34+$C$11)</f>
        <v>14273.75</v>
      </c>
      <c r="K34" s="57">
        <f t="shared" si="8"/>
        <v>15123.75</v>
      </c>
      <c r="L34" s="57">
        <f t="shared" si="8"/>
        <v>15490.699999999999</v>
      </c>
      <c r="M34" s="57">
        <f t="shared" si="8"/>
        <v>15490.699999999999</v>
      </c>
      <c r="N34" s="57">
        <f t="shared" si="8"/>
        <v>15490.699999999999</v>
      </c>
      <c r="O34" s="57">
        <f t="shared" si="8"/>
        <v>15490.699999999999</v>
      </c>
    </row>
    <row r="35" spans="2:16" ht="14.4" customHeight="1" x14ac:dyDescent="0.35"/>
    <row r="36" spans="2:16" ht="14.4" customHeight="1" x14ac:dyDescent="0.35">
      <c r="B36" s="31" t="s">
        <v>212</v>
      </c>
      <c r="C36" s="58"/>
      <c r="D36" s="58"/>
      <c r="E36" s="58"/>
      <c r="F36" s="58"/>
      <c r="G36" s="58"/>
      <c r="H36" s="58"/>
      <c r="I36" s="58"/>
      <c r="J36" s="59" t="s">
        <v>186</v>
      </c>
      <c r="K36" s="59" t="s">
        <v>187</v>
      </c>
      <c r="L36" s="59" t="s">
        <v>188</v>
      </c>
      <c r="M36" s="59" t="s">
        <v>189</v>
      </c>
      <c r="N36" s="59" t="s">
        <v>190</v>
      </c>
      <c r="O36" s="59" t="s">
        <v>191</v>
      </c>
      <c r="P36" s="59" t="s">
        <v>213</v>
      </c>
    </row>
    <row r="37" spans="2:16" ht="14.4" customHeight="1" x14ac:dyDescent="0.35">
      <c r="B37" s="60" t="s">
        <v>214</v>
      </c>
      <c r="C37" s="61"/>
      <c r="D37" s="61"/>
      <c r="E37" s="61"/>
      <c r="F37" s="61"/>
      <c r="G37" s="61"/>
      <c r="H37" s="61"/>
      <c r="I37" s="61"/>
      <c r="J37" s="55" t="str">
        <f>IFERROR('[2]Rent &amp; Occ Data'!$C$31,"")</f>
        <v/>
      </c>
      <c r="K37" s="55" t="str">
        <f>IFERROR('[2]Rent &amp; Occ Data'!$D$31,"")</f>
        <v/>
      </c>
      <c r="L37" s="55" t="str">
        <f>IFERROR('[2]Rent &amp; Occ Data'!$E$31,"")</f>
        <v/>
      </c>
      <c r="M37" s="55" t="str">
        <f>IFERROR('[2]Rent &amp; Occ Data'!$F$31,"")</f>
        <v/>
      </c>
      <c r="N37" s="55" t="str">
        <f>IFERROR('[2]Rent &amp; Occ Data'!$G$31,"")</f>
        <v/>
      </c>
      <c r="O37" s="55" t="str">
        <f>IFERROR('[2]Rent &amp; Occ Data'!$H$31,"")</f>
        <v/>
      </c>
      <c r="P37" s="55" t="str">
        <f>IFERROR(AVERAGE(J37:O37),"")</f>
        <v/>
      </c>
    </row>
    <row r="38" spans="2:16" ht="14.4" customHeight="1" x14ac:dyDescent="0.35">
      <c r="B38" s="60" t="s">
        <v>215</v>
      </c>
      <c r="C38" s="61"/>
      <c r="D38" s="61"/>
      <c r="E38" s="61"/>
      <c r="F38" s="61"/>
      <c r="G38" s="61"/>
      <c r="H38" s="61"/>
      <c r="I38" s="61"/>
      <c r="J38" s="55" t="str">
        <f>IFERROR('[2]Rent &amp; Occ Data'!$C$32,"")</f>
        <v/>
      </c>
      <c r="K38" s="55" t="str">
        <f>IFERROR('[2]Rent &amp; Occ Data'!$D$32,"")</f>
        <v/>
      </c>
      <c r="L38" s="55" t="str">
        <f>IFERROR('[2]Rent &amp; Occ Data'!$E$32,"")</f>
        <v/>
      </c>
      <c r="M38" s="55" t="str">
        <f>IFERROR('[2]Rent &amp; Occ Data'!$F$32,"")</f>
        <v/>
      </c>
      <c r="N38" s="55" t="str">
        <f>IFERROR('[2]Rent &amp; Occ Data'!$G$32,"")</f>
        <v/>
      </c>
      <c r="O38" s="55" t="str">
        <f>IFERROR('[2]Rent &amp; Occ Data'!$H$32,"")</f>
        <v/>
      </c>
      <c r="P38" s="55" t="str">
        <f>IFERROR(AVERAGE(J38:O38),"")</f>
        <v/>
      </c>
    </row>
    <row r="39" spans="2:16" ht="14.4" customHeight="1" x14ac:dyDescent="0.35">
      <c r="B39" s="60" t="s">
        <v>216</v>
      </c>
      <c r="C39" s="61"/>
      <c r="D39" s="61"/>
      <c r="E39" s="61"/>
      <c r="F39" s="61"/>
      <c r="G39" s="61"/>
      <c r="H39" s="61"/>
      <c r="I39" s="61"/>
      <c r="J39" s="55" t="str">
        <f>IFERROR('[2]Rent &amp; Occ Data'!$C$33,"")</f>
        <v/>
      </c>
      <c r="K39" s="55" t="str">
        <f>IFERROR('[2]Rent &amp; Occ Data'!$D$33,"")</f>
        <v/>
      </c>
      <c r="L39" s="55" t="str">
        <f>IFERROR('[2]Rent &amp; Occ Data'!$E$33,"")</f>
        <v/>
      </c>
      <c r="M39" s="55" t="str">
        <f>IFERROR('[2]Rent &amp; Occ Data'!$F$33,"")</f>
        <v/>
      </c>
      <c r="N39" s="55" t="str">
        <f>IFERROR('[2]Rent &amp; Occ Data'!$G$33,"")</f>
        <v/>
      </c>
      <c r="O39" s="55" t="str">
        <f>IFERROR('[2]Rent &amp; Occ Data'!$H$33,"")</f>
        <v/>
      </c>
      <c r="P39" s="55" t="str">
        <f>IFERROR(AVERAGE(J39:O39),"")</f>
        <v/>
      </c>
    </row>
    <row r="40" spans="2:16" ht="14.4" customHeight="1" x14ac:dyDescent="0.35">
      <c r="B40" s="60" t="s">
        <v>217</v>
      </c>
      <c r="C40" s="61"/>
      <c r="D40" s="61"/>
      <c r="E40" s="61"/>
      <c r="F40" s="61"/>
      <c r="G40" s="61"/>
      <c r="H40" s="61"/>
      <c r="I40" s="61"/>
      <c r="J40" s="55" t="str">
        <f>IFERROR('[2]Rent &amp; Occ Data'!$C$34,"")</f>
        <v/>
      </c>
      <c r="K40" s="55" t="str">
        <f>IFERROR('[2]Rent &amp; Occ Data'!$D$34,"")</f>
        <v/>
      </c>
      <c r="L40" s="55" t="str">
        <f>IFERROR('[2]Rent &amp; Occ Data'!$E$34,"")</f>
        <v/>
      </c>
      <c r="M40" s="55" t="str">
        <f>IFERROR('[2]Rent &amp; Occ Data'!$F$34,"")</f>
        <v/>
      </c>
      <c r="N40" s="55" t="str">
        <f>IFERROR('[2]Rent &amp; Occ Data'!$G$34,"")</f>
        <v/>
      </c>
      <c r="O40" s="55" t="str">
        <f>IFERROR('[2]Rent &amp; Occ Data'!$H$34,"")</f>
        <v/>
      </c>
      <c r="P40" s="55" t="str">
        <f>IFERROR(AVERAGE(J40:O40),"")</f>
        <v/>
      </c>
    </row>
    <row r="41" spans="2:16" ht="14.4" customHeight="1" x14ac:dyDescent="0.35">
      <c r="B41" s="62" t="s">
        <v>218</v>
      </c>
      <c r="C41" s="63"/>
      <c r="D41" s="63"/>
      <c r="E41" s="63"/>
      <c r="F41" s="63"/>
      <c r="G41" s="63"/>
      <c r="H41" s="63"/>
      <c r="I41" s="63"/>
      <c r="J41" s="64" t="str">
        <f t="shared" ref="J41:P41" si="9">IFERROR(AVERAGE(J37:J40),"")</f>
        <v/>
      </c>
      <c r="K41" s="64" t="str">
        <f t="shared" si="9"/>
        <v/>
      </c>
      <c r="L41" s="64" t="str">
        <f t="shared" si="9"/>
        <v/>
      </c>
      <c r="M41" s="64" t="str">
        <f t="shared" si="9"/>
        <v/>
      </c>
      <c r="N41" s="64" t="str">
        <f t="shared" si="9"/>
        <v/>
      </c>
      <c r="O41" s="64" t="str">
        <f t="shared" si="9"/>
        <v/>
      </c>
      <c r="P41" s="64" t="str">
        <f t="shared" si="9"/>
        <v/>
      </c>
    </row>
    <row r="42" spans="2:16" ht="14.4" customHeight="1" x14ac:dyDescent="0.35">
      <c r="B42" s="65" t="s">
        <v>219</v>
      </c>
      <c r="C42" s="66"/>
      <c r="D42" s="66"/>
      <c r="E42" s="66"/>
      <c r="F42" s="66"/>
      <c r="G42" s="66"/>
      <c r="H42" s="66"/>
      <c r="I42" s="66"/>
      <c r="J42" s="67" t="str">
        <f t="shared" ref="J42:O42" si="10">IFERROR(J24,"")</f>
        <v/>
      </c>
      <c r="K42" s="67" t="str">
        <f t="shared" si="10"/>
        <v/>
      </c>
      <c r="L42" s="67" t="str">
        <f t="shared" si="10"/>
        <v/>
      </c>
      <c r="M42" s="67" t="str">
        <f t="shared" si="10"/>
        <v/>
      </c>
      <c r="N42" s="67" t="str">
        <f t="shared" si="10"/>
        <v/>
      </c>
      <c r="O42" s="67" t="str">
        <f t="shared" si="10"/>
        <v/>
      </c>
      <c r="P42" s="67" t="str">
        <f>IFERROR(AVERAGE(J42:O42),"")</f>
        <v/>
      </c>
    </row>
    <row r="43" spans="2:16" ht="14.4" customHeight="1" x14ac:dyDescent="0.35"/>
    <row r="44" spans="2:16" ht="14.4" customHeight="1" collapsed="1" x14ac:dyDescent="0.35">
      <c r="B44" s="68" t="s">
        <v>220</v>
      </c>
    </row>
    <row r="45" spans="2:16" ht="14.4" hidden="1" customHeight="1" outlineLevel="1" x14ac:dyDescent="0.35">
      <c r="B45" s="32" t="s">
        <v>221</v>
      </c>
      <c r="J45" s="69" t="s">
        <v>186</v>
      </c>
      <c r="K45" s="69" t="s">
        <v>187</v>
      </c>
      <c r="L45" s="69" t="s">
        <v>188</v>
      </c>
      <c r="M45" s="69" t="s">
        <v>189</v>
      </c>
      <c r="N45" s="69" t="s">
        <v>190</v>
      </c>
      <c r="O45" s="69" t="s">
        <v>191</v>
      </c>
    </row>
    <row r="46" spans="2:16" ht="14.4" hidden="1" customHeight="1" outlineLevel="1" x14ac:dyDescent="0.35">
      <c r="B46" s="32" t="s">
        <v>222</v>
      </c>
      <c r="J46" s="70">
        <f>MIN($C$6,($I$34+$C$8*1)/J33)</f>
        <v>0.93903494176372715</v>
      </c>
      <c r="K46" s="70">
        <f>MIN($C$6,($I$34+$C$8*2)/K33)</f>
        <v>0.89132834539433337</v>
      </c>
      <c r="L46" s="70">
        <f>MIN($C$6,($I$34+$C$8*3)/L33)</f>
        <v>0.91739237090641479</v>
      </c>
      <c r="M46" s="70">
        <f>MIN($C$6,($I$34+$C$8*4)/M33)</f>
        <v>0.94345639641849621</v>
      </c>
      <c r="N46" s="70">
        <f>MIN($C$6,($I$34+$C$8*5)/N33)</f>
        <v>0.95</v>
      </c>
      <c r="O46" s="70">
        <f>MIN($C$6,($I$34+$C$8*6)/O33)</f>
        <v>0.95</v>
      </c>
    </row>
    <row r="47" spans="2:16" ht="14.4" hidden="1" customHeight="1" outlineLevel="1" x14ac:dyDescent="0.35">
      <c r="B47" s="32" t="s">
        <v>169</v>
      </c>
      <c r="J47" s="70">
        <f>MIN($C$6,($I$34+$C$9*1)/J33)</f>
        <v>0.95</v>
      </c>
      <c r="K47" s="70">
        <f>MIN($C$6,($I$34+$C$9*2)/K33)</f>
        <v>0.94345639641849621</v>
      </c>
      <c r="L47" s="70">
        <f>MIN($C$6,($I$34+$C$9*3)/L33)</f>
        <v>0.95</v>
      </c>
      <c r="M47" s="70">
        <f>MIN($C$6,($I$34+$C$9*4)/M33)</f>
        <v>0.95</v>
      </c>
      <c r="N47" s="70">
        <f>MIN($C$6,($I$34+$C$9*5)/N33)</f>
        <v>0.95</v>
      </c>
      <c r="O47" s="70">
        <f>MIN($C$6,($I$34+$C$9*6)/O33)</f>
        <v>0.95</v>
      </c>
    </row>
    <row r="48" spans="2:16" ht="14.4" hidden="1" customHeight="1" outlineLevel="1" x14ac:dyDescent="0.35">
      <c r="B48" s="32" t="s">
        <v>223</v>
      </c>
      <c r="J48" s="70">
        <f>MIN($C$6,($I$34+$C$10*1)/J33)</f>
        <v>0.95</v>
      </c>
      <c r="K48" s="70">
        <f>MIN($C$6,($I$34+$C$10*2)/K33)</f>
        <v>0.95</v>
      </c>
      <c r="L48" s="70">
        <f>MIN($C$6,($I$34+$C$10*3)/L33)</f>
        <v>0.95</v>
      </c>
      <c r="M48" s="70">
        <f>MIN($C$6,($I$34+$C$10*4)/M33)</f>
        <v>0.95</v>
      </c>
      <c r="N48" s="70">
        <f>MIN($C$6,($I$34+$C$10*5)/N33)</f>
        <v>0.95</v>
      </c>
      <c r="O48" s="70">
        <f>MIN($C$6,($I$34+$C$10*6)/O33)</f>
        <v>0.95</v>
      </c>
    </row>
    <row r="49" spans="2:15" ht="14.4" hidden="1" customHeight="1" outlineLevel="1" x14ac:dyDescent="0.35"/>
    <row r="50" spans="2:15" ht="14.4" hidden="1" customHeight="1" outlineLevel="1" x14ac:dyDescent="0.35">
      <c r="B50" s="32" t="s">
        <v>224</v>
      </c>
      <c r="J50" s="71" t="s">
        <v>186</v>
      </c>
      <c r="K50" s="71" t="s">
        <v>187</v>
      </c>
      <c r="L50" s="71" t="s">
        <v>188</v>
      </c>
      <c r="M50" s="71" t="s">
        <v>189</v>
      </c>
      <c r="N50" s="71" t="s">
        <v>190</v>
      </c>
      <c r="O50" s="71" t="s">
        <v>191</v>
      </c>
    </row>
    <row r="51" spans="2:15" ht="14.4" hidden="1" customHeight="1" outlineLevel="1" x14ac:dyDescent="0.35">
      <c r="B51" s="32" t="s">
        <v>222</v>
      </c>
      <c r="J51" s="72">
        <v>-2.5000000000000001E-3</v>
      </c>
      <c r="K51" s="72">
        <v>1.7500000000000002E-2</v>
      </c>
      <c r="L51" s="72">
        <v>2.75E-2</v>
      </c>
      <c r="M51" s="72">
        <v>3.7499999999999999E-2</v>
      </c>
      <c r="N51" s="72">
        <v>2.75E-2</v>
      </c>
      <c r="O51" s="72">
        <v>1.7500000000000002E-2</v>
      </c>
    </row>
    <row r="52" spans="2:15" ht="14.4" hidden="1" customHeight="1" outlineLevel="1" x14ac:dyDescent="0.35">
      <c r="B52" s="32" t="s">
        <v>169</v>
      </c>
      <c r="J52" s="72">
        <v>0.01</v>
      </c>
      <c r="K52" s="72">
        <v>0.03</v>
      </c>
      <c r="L52" s="72">
        <v>0.04</v>
      </c>
      <c r="M52" s="72">
        <v>0.05</v>
      </c>
      <c r="N52" s="72">
        <v>0.04</v>
      </c>
      <c r="O52" s="72">
        <v>0.03</v>
      </c>
    </row>
    <row r="53" spans="2:15" ht="14.4" hidden="1" customHeight="1" outlineLevel="1" x14ac:dyDescent="0.35">
      <c r="B53" s="32" t="s">
        <v>223</v>
      </c>
      <c r="J53" s="72">
        <v>0.02</v>
      </c>
      <c r="K53" s="72">
        <v>0.04</v>
      </c>
      <c r="L53" s="72">
        <v>0.05</v>
      </c>
      <c r="M53" s="72">
        <v>0.06</v>
      </c>
      <c r="N53" s="72">
        <v>0.05</v>
      </c>
      <c r="O53" s="72">
        <v>0.04</v>
      </c>
    </row>
    <row r="54" spans="2:15" ht="14.4" hidden="1" customHeight="1" outlineLevel="1" x14ac:dyDescent="0.35">
      <c r="B54" s="32" t="s">
        <v>225</v>
      </c>
    </row>
    <row r="55" spans="2:15" ht="14.4" hidden="1" customHeight="1" outlineLevel="1" x14ac:dyDescent="0.35">
      <c r="B55" s="32" t="s">
        <v>222</v>
      </c>
      <c r="J55" s="72">
        <v>0.06</v>
      </c>
      <c r="K55" s="72">
        <v>4.4999999999999998E-2</v>
      </c>
      <c r="L55" s="72">
        <v>3.5000000000000003E-2</v>
      </c>
      <c r="M55" s="72">
        <v>3.5000000000000003E-2</v>
      </c>
      <c r="N55" s="72">
        <v>3.5000000000000003E-2</v>
      </c>
      <c r="O55" s="72">
        <v>3.5000000000000003E-2</v>
      </c>
    </row>
    <row r="56" spans="2:15" ht="14.4" hidden="1" customHeight="1" outlineLevel="1" x14ac:dyDescent="0.35">
      <c r="B56" s="32" t="s">
        <v>169</v>
      </c>
      <c r="J56" s="72">
        <v>0.03</v>
      </c>
      <c r="K56" s="72">
        <v>1.4999999999999999E-2</v>
      </c>
      <c r="L56" s="72">
        <v>5.0000000000000001E-3</v>
      </c>
      <c r="M56" s="72">
        <v>5.0000000000000001E-3</v>
      </c>
      <c r="N56" s="72">
        <v>5.0000000000000001E-3</v>
      </c>
      <c r="O56" s="72">
        <v>5.0000000000000001E-3</v>
      </c>
    </row>
    <row r="57" spans="2:15" ht="14.4" hidden="1" customHeight="1" outlineLevel="1" x14ac:dyDescent="0.35">
      <c r="B57" s="32" t="s">
        <v>223</v>
      </c>
      <c r="J57" s="72">
        <v>0.02</v>
      </c>
      <c r="K57" s="72">
        <v>5.0000000000000001E-3</v>
      </c>
      <c r="L57" s="72">
        <v>0</v>
      </c>
      <c r="M57" s="72">
        <v>0</v>
      </c>
      <c r="N57" s="72">
        <v>0</v>
      </c>
      <c r="O57" s="72">
        <v>0</v>
      </c>
    </row>
    <row r="58" spans="2:15" ht="14.4" hidden="1" customHeight="1" outlineLevel="1" x14ac:dyDescent="0.35">
      <c r="B58" s="32" t="s">
        <v>226</v>
      </c>
    </row>
    <row r="59" spans="2:15" ht="14.4" hidden="1" customHeight="1" outlineLevel="1" x14ac:dyDescent="0.35">
      <c r="B59" s="32" t="s">
        <v>222</v>
      </c>
      <c r="J59" s="70">
        <f>(1+J51)*(1-J55)-1</f>
        <v>-6.2350000000000017E-2</v>
      </c>
      <c r="K59" s="70">
        <f t="shared" ref="K59:O61" si="11">(1+K51)*(1-K55)/(1-J55)-1</f>
        <v>3.3736702127659557E-2</v>
      </c>
      <c r="L59" s="70">
        <f t="shared" si="11"/>
        <v>3.8259162303664995E-2</v>
      </c>
      <c r="M59" s="70">
        <f t="shared" si="11"/>
        <v>3.7500000000000089E-2</v>
      </c>
      <c r="N59" s="70">
        <f t="shared" si="11"/>
        <v>2.750000000000008E-2</v>
      </c>
      <c r="O59" s="70">
        <f t="shared" si="11"/>
        <v>1.7500000000000071E-2</v>
      </c>
    </row>
    <row r="60" spans="2:15" ht="14.4" hidden="1" customHeight="1" outlineLevel="1" x14ac:dyDescent="0.35">
      <c r="B60" s="32" t="s">
        <v>169</v>
      </c>
      <c r="J60" s="70">
        <f>(1+J52)*(1-J56)-1</f>
        <v>-2.0299999999999985E-2</v>
      </c>
      <c r="K60" s="70">
        <f t="shared" si="11"/>
        <v>4.5927835051546406E-2</v>
      </c>
      <c r="L60" s="70">
        <f t="shared" si="11"/>
        <v>5.0558375634517816E-2</v>
      </c>
      <c r="M60" s="70">
        <f t="shared" si="11"/>
        <v>5.0000000000000044E-2</v>
      </c>
      <c r="N60" s="70">
        <f t="shared" si="11"/>
        <v>4.0000000000000036E-2</v>
      </c>
      <c r="O60" s="70">
        <f t="shared" si="11"/>
        <v>3.0000000000000027E-2</v>
      </c>
    </row>
    <row r="61" spans="2:15" ht="14.4" hidden="1" customHeight="1" outlineLevel="1" x14ac:dyDescent="0.35">
      <c r="B61" s="32" t="s">
        <v>223</v>
      </c>
      <c r="J61" s="70">
        <f>(1+J53)*(1-J57)-1</f>
        <v>-3.9999999999995595E-4</v>
      </c>
      <c r="K61" s="70">
        <f t="shared" si="11"/>
        <v>5.591836734693878E-2</v>
      </c>
      <c r="L61" s="70">
        <f t="shared" si="11"/>
        <v>5.5276381909547867E-2</v>
      </c>
      <c r="M61" s="70">
        <f t="shared" si="11"/>
        <v>6.0000000000000053E-2</v>
      </c>
      <c r="N61" s="70">
        <f t="shared" si="11"/>
        <v>5.0000000000000044E-2</v>
      </c>
      <c r="O61" s="70">
        <f t="shared" si="11"/>
        <v>4.0000000000000036E-2</v>
      </c>
    </row>
    <row r="62" spans="2:15" ht="14.4" customHeight="1" x14ac:dyDescent="0.35"/>
    <row r="63" spans="2:15" ht="14.4" customHeight="1" collapsed="1" x14ac:dyDescent="0.35">
      <c r="B63" s="71" t="s">
        <v>227</v>
      </c>
    </row>
    <row r="64" spans="2:15" ht="14.4" hidden="1" customHeight="1" outlineLevel="1" x14ac:dyDescent="0.35">
      <c r="B64" s="73" t="s">
        <v>228</v>
      </c>
      <c r="E64" s="73" t="s">
        <v>15</v>
      </c>
    </row>
    <row r="65" spans="2:5" ht="14.4" hidden="1" customHeight="1" outlineLevel="1" x14ac:dyDescent="0.35">
      <c r="B65" s="73" t="s">
        <v>229</v>
      </c>
      <c r="E65" s="73" t="s">
        <v>15</v>
      </c>
    </row>
    <row r="66" spans="2:5" ht="14.4" hidden="1" customHeight="1" outlineLevel="1" x14ac:dyDescent="0.35">
      <c r="B66" s="73" t="s">
        <v>230</v>
      </c>
      <c r="E66" s="73" t="s">
        <v>15</v>
      </c>
    </row>
    <row r="67" spans="2:5" ht="14.4" hidden="1" customHeight="1" outlineLevel="1" x14ac:dyDescent="0.35">
      <c r="B67" s="73" t="s">
        <v>231</v>
      </c>
      <c r="E67" s="73" t="s">
        <v>15</v>
      </c>
    </row>
    <row r="68" spans="2:5" ht="14.4" hidden="1" customHeight="1" outlineLevel="1" x14ac:dyDescent="0.35">
      <c r="B68" s="73" t="s">
        <v>232</v>
      </c>
      <c r="E68" s="73" t="s">
        <v>15</v>
      </c>
    </row>
    <row r="69" spans="2:5" ht="14.4" hidden="1" customHeight="1" outlineLevel="1" x14ac:dyDescent="0.35">
      <c r="B69" s="73" t="s">
        <v>233</v>
      </c>
      <c r="E69" s="73" t="s">
        <v>234</v>
      </c>
    </row>
    <row r="70" spans="2:5" ht="14.4" hidden="1" customHeight="1" outlineLevel="1" x14ac:dyDescent="0.35">
      <c r="B70" s="73" t="s">
        <v>235</v>
      </c>
      <c r="E70" s="73" t="s">
        <v>234</v>
      </c>
    </row>
    <row r="71" spans="2:5" ht="14.4" hidden="1" customHeight="1" outlineLevel="1" x14ac:dyDescent="0.35">
      <c r="B71" s="73" t="s">
        <v>236</v>
      </c>
      <c r="E71" s="73" t="s">
        <v>237</v>
      </c>
    </row>
    <row r="72" spans="2:5" ht="14.4" hidden="1" customHeight="1" outlineLevel="1" x14ac:dyDescent="0.35">
      <c r="B72" s="71" t="s">
        <v>238</v>
      </c>
    </row>
    <row r="73" spans="2:5" ht="14.4" hidden="1" customHeight="1" outlineLevel="1" x14ac:dyDescent="0.35">
      <c r="B73" s="74" t="s">
        <v>239</v>
      </c>
    </row>
    <row r="74" spans="2:5" ht="14.4" hidden="1" customHeight="1" outlineLevel="1" x14ac:dyDescent="0.35">
      <c r="B74" s="30" t="s">
        <v>240</v>
      </c>
    </row>
    <row r="75" spans="2:5" ht="14.4" hidden="1" customHeight="1" outlineLevel="1" x14ac:dyDescent="0.35">
      <c r="B75" s="30" t="s">
        <v>241</v>
      </c>
    </row>
    <row r="76" spans="2:5" ht="14.4" hidden="1" customHeight="1" outlineLevel="1" x14ac:dyDescent="0.35">
      <c r="B76" s="30" t="s">
        <v>242</v>
      </c>
    </row>
    <row r="77" spans="2:5" ht="14.4" hidden="1" customHeight="1" outlineLevel="1" x14ac:dyDescent="0.35">
      <c r="B77" s="30" t="s">
        <v>243</v>
      </c>
    </row>
    <row r="78" spans="2:5" ht="14.4" hidden="1" customHeight="1" outlineLevel="1" x14ac:dyDescent="0.35">
      <c r="B78" s="30" t="s">
        <v>244</v>
      </c>
    </row>
    <row r="79" spans="2:5" ht="14.4" customHeight="1" x14ac:dyDescent="0.35"/>
    <row r="80" spans="2:5" ht="14.4" customHeight="1" x14ac:dyDescent="0.35"/>
  </sheetData>
  <mergeCells count="1">
    <mergeCell ref="B2:O2"/>
  </mergeCells>
  <dataValidations count="2">
    <dataValidation type="list" sqref="C7" xr:uid="{00000000-0002-0000-0100-000000000000}">
      <formula1>"Bear,Base,Bull"</formula1>
    </dataValidation>
    <dataValidation type="list" allowBlank="1" sqref="U13:U25" xr:uid="{00000000-0002-0000-0100-000001000000}">
      <formula1>"Bear only,Bear+Base,All,None"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8"/>
  <sheetViews>
    <sheetView workbookViewId="0"/>
  </sheetViews>
  <sheetFormatPr defaultRowHeight="14.5" x14ac:dyDescent="0.35"/>
  <cols>
    <col min="1" max="1" width="30" customWidth="1"/>
    <col min="2" max="2" width="24" customWidth="1"/>
    <col min="3" max="15" width="15" customWidth="1"/>
    <col min="16" max="16" width="44" customWidth="1"/>
  </cols>
  <sheetData>
    <row r="1" spans="1:16" x14ac:dyDescent="0.35">
      <c r="A1" s="59" t="s">
        <v>2</v>
      </c>
      <c r="B1" s="59" t="s">
        <v>245</v>
      </c>
      <c r="C1" s="59" t="s">
        <v>3</v>
      </c>
      <c r="D1" s="59" t="s">
        <v>246</v>
      </c>
      <c r="E1" s="59" t="s">
        <v>4</v>
      </c>
      <c r="F1" s="59" t="s">
        <v>247</v>
      </c>
      <c r="G1" s="59" t="s">
        <v>248</v>
      </c>
      <c r="H1" s="59" t="s">
        <v>249</v>
      </c>
      <c r="I1" s="59" t="s">
        <v>250</v>
      </c>
      <c r="J1" s="59" t="s">
        <v>251</v>
      </c>
      <c r="K1" s="59" t="s">
        <v>252</v>
      </c>
      <c r="L1" s="59" t="s">
        <v>253</v>
      </c>
      <c r="M1" s="59" t="s">
        <v>254</v>
      </c>
      <c r="N1" s="59" t="s">
        <v>255</v>
      </c>
      <c r="O1" s="59" t="s">
        <v>256</v>
      </c>
      <c r="P1" s="59" t="s">
        <v>10</v>
      </c>
    </row>
    <row r="2" spans="1:16" x14ac:dyDescent="0.35">
      <c r="A2" t="s">
        <v>75</v>
      </c>
      <c r="B2" t="s">
        <v>257</v>
      </c>
      <c r="C2">
        <v>42</v>
      </c>
      <c r="D2">
        <v>2024</v>
      </c>
      <c r="E2" t="s">
        <v>76</v>
      </c>
      <c r="F2" t="s">
        <v>258</v>
      </c>
      <c r="G2" t="s">
        <v>259</v>
      </c>
      <c r="H2" s="75">
        <v>0.95238100000000003</v>
      </c>
      <c r="I2" s="75"/>
      <c r="J2" s="75"/>
      <c r="K2" s="76">
        <v>1514</v>
      </c>
      <c r="L2" s="76"/>
      <c r="M2" s="76"/>
      <c r="N2" s="76"/>
      <c r="O2" t="s">
        <v>260</v>
      </c>
    </row>
    <row r="3" spans="1:16" x14ac:dyDescent="0.35">
      <c r="A3" t="s">
        <v>261</v>
      </c>
      <c r="B3" t="s">
        <v>262</v>
      </c>
      <c r="C3">
        <v>360</v>
      </c>
      <c r="D3">
        <v>2024</v>
      </c>
      <c r="E3" t="s">
        <v>72</v>
      </c>
      <c r="F3" t="s">
        <v>258</v>
      </c>
      <c r="G3" t="s">
        <v>259</v>
      </c>
      <c r="H3" s="75">
        <v>0.95555599999999996</v>
      </c>
      <c r="I3" s="75">
        <v>0.98899999999999999</v>
      </c>
      <c r="J3" s="75"/>
      <c r="K3" s="76">
        <v>1951</v>
      </c>
      <c r="L3" s="76">
        <v>1884</v>
      </c>
      <c r="M3" s="76">
        <v>1911.1190994483379</v>
      </c>
      <c r="N3" s="76">
        <v>1879.261597336116</v>
      </c>
      <c r="O3" t="s">
        <v>263</v>
      </c>
      <c r="P3" t="s">
        <v>74</v>
      </c>
    </row>
    <row r="4" spans="1:16" x14ac:dyDescent="0.35">
      <c r="A4" t="s">
        <v>68</v>
      </c>
      <c r="B4" t="s">
        <v>264</v>
      </c>
      <c r="C4">
        <v>396</v>
      </c>
      <c r="D4">
        <v>2024</v>
      </c>
      <c r="E4" t="s">
        <v>69</v>
      </c>
      <c r="F4" t="s">
        <v>258</v>
      </c>
      <c r="G4" t="s">
        <v>259</v>
      </c>
      <c r="H4" s="75">
        <v>0.96969700000000003</v>
      </c>
      <c r="I4" s="75">
        <v>0.998</v>
      </c>
      <c r="J4" s="75"/>
      <c r="K4" s="76">
        <v>1762</v>
      </c>
      <c r="L4" s="76">
        <v>1841</v>
      </c>
      <c r="M4" s="76">
        <v>1739.2090264724311</v>
      </c>
      <c r="N4" s="76">
        <v>1663.8122352756891</v>
      </c>
      <c r="O4" t="s">
        <v>263</v>
      </c>
      <c r="P4" t="s">
        <v>70</v>
      </c>
    </row>
    <row r="5" spans="1:16" x14ac:dyDescent="0.35">
      <c r="A5" t="s">
        <v>67</v>
      </c>
      <c r="B5" t="s">
        <v>265</v>
      </c>
      <c r="C5">
        <v>56</v>
      </c>
      <c r="D5">
        <v>2024</v>
      </c>
      <c r="E5" t="s">
        <v>65</v>
      </c>
      <c r="F5" t="s">
        <v>258</v>
      </c>
      <c r="G5" t="s">
        <v>259</v>
      </c>
      <c r="H5" s="75">
        <v>1</v>
      </c>
      <c r="I5" s="75"/>
      <c r="J5" s="75"/>
      <c r="K5" s="76">
        <v>2595</v>
      </c>
      <c r="L5" s="76"/>
      <c r="M5" s="76">
        <v>2489.375</v>
      </c>
      <c r="N5" s="76">
        <v>2395.895833333333</v>
      </c>
      <c r="O5" t="s">
        <v>260</v>
      </c>
    </row>
    <row r="6" spans="1:16" x14ac:dyDescent="0.35">
      <c r="A6" t="s">
        <v>64</v>
      </c>
      <c r="B6" t="s">
        <v>266</v>
      </c>
      <c r="C6">
        <v>60</v>
      </c>
      <c r="D6">
        <v>2024</v>
      </c>
      <c r="E6" t="s">
        <v>65</v>
      </c>
      <c r="F6" t="s">
        <v>258</v>
      </c>
      <c r="G6" t="s">
        <v>259</v>
      </c>
      <c r="H6" s="75">
        <v>0.93333299999999997</v>
      </c>
      <c r="I6" s="75"/>
      <c r="J6" s="75"/>
      <c r="K6" s="76">
        <v>2070</v>
      </c>
      <c r="L6" s="76"/>
      <c r="M6" s="76">
        <v>1995</v>
      </c>
      <c r="N6" s="76">
        <v>1995</v>
      </c>
      <c r="O6" t="s">
        <v>260</v>
      </c>
    </row>
    <row r="7" spans="1:16" x14ac:dyDescent="0.35">
      <c r="A7" t="s">
        <v>62</v>
      </c>
      <c r="B7" t="s">
        <v>267</v>
      </c>
      <c r="C7">
        <v>102</v>
      </c>
      <c r="D7">
        <v>2023</v>
      </c>
      <c r="E7" t="s">
        <v>53</v>
      </c>
      <c r="F7" t="s">
        <v>258</v>
      </c>
      <c r="G7" t="s">
        <v>259</v>
      </c>
      <c r="H7" s="75">
        <v>0.99019599999999997</v>
      </c>
      <c r="I7" s="75"/>
      <c r="J7" s="75"/>
      <c r="K7" s="76">
        <v>1898</v>
      </c>
      <c r="L7" s="76"/>
      <c r="M7" s="76">
        <v>1884.446808510638</v>
      </c>
      <c r="N7" s="76">
        <v>1884.446808510638</v>
      </c>
      <c r="O7" t="s">
        <v>260</v>
      </c>
    </row>
    <row r="8" spans="1:16" x14ac:dyDescent="0.35">
      <c r="A8" t="s">
        <v>52</v>
      </c>
      <c r="B8" t="s">
        <v>268</v>
      </c>
      <c r="C8">
        <v>240</v>
      </c>
      <c r="D8">
        <v>2023</v>
      </c>
      <c r="E8" t="s">
        <v>53</v>
      </c>
      <c r="F8" t="s">
        <v>258</v>
      </c>
      <c r="G8" t="s">
        <v>259</v>
      </c>
      <c r="H8" s="75">
        <v>0.94583300000000003</v>
      </c>
      <c r="I8" s="75">
        <v>0.996</v>
      </c>
      <c r="J8" s="75"/>
      <c r="K8" s="76">
        <v>1689</v>
      </c>
      <c r="L8" s="76">
        <v>1754</v>
      </c>
      <c r="M8" s="76">
        <v>1624.407772304324</v>
      </c>
      <c r="N8" s="76">
        <v>1573.1922550629449</v>
      </c>
      <c r="O8" t="s">
        <v>263</v>
      </c>
      <c r="P8" t="s">
        <v>55</v>
      </c>
    </row>
    <row r="9" spans="1:16" x14ac:dyDescent="0.35">
      <c r="A9" t="s">
        <v>56</v>
      </c>
      <c r="B9" t="s">
        <v>269</v>
      </c>
      <c r="C9">
        <v>240</v>
      </c>
      <c r="D9">
        <v>2023</v>
      </c>
      <c r="E9" t="s">
        <v>53</v>
      </c>
      <c r="F9" t="s">
        <v>258</v>
      </c>
      <c r="G9" t="s">
        <v>259</v>
      </c>
      <c r="H9" s="75">
        <v>0.95833299999999999</v>
      </c>
      <c r="I9" s="75">
        <v>0.99199999999999999</v>
      </c>
      <c r="J9" s="75"/>
      <c r="K9" s="76">
        <v>1832</v>
      </c>
      <c r="L9" s="76">
        <v>1856</v>
      </c>
      <c r="M9" s="76"/>
      <c r="N9" s="76"/>
      <c r="O9" t="s">
        <v>263</v>
      </c>
      <c r="P9" t="s">
        <v>270</v>
      </c>
    </row>
    <row r="10" spans="1:16" x14ac:dyDescent="0.35">
      <c r="A10" t="s">
        <v>59</v>
      </c>
      <c r="B10" t="s">
        <v>271</v>
      </c>
      <c r="C10">
        <v>216</v>
      </c>
      <c r="D10">
        <v>2023</v>
      </c>
      <c r="E10" t="s">
        <v>53</v>
      </c>
      <c r="F10" t="s">
        <v>258</v>
      </c>
      <c r="G10" t="s">
        <v>259</v>
      </c>
      <c r="H10" s="75">
        <v>0.76388900000000004</v>
      </c>
      <c r="I10" s="75">
        <v>0.94399999999999995</v>
      </c>
      <c r="J10" s="75"/>
      <c r="K10" s="76">
        <v>1707</v>
      </c>
      <c r="L10" s="76">
        <v>1691</v>
      </c>
      <c r="M10" s="76">
        <v>1735.4693877551019</v>
      </c>
      <c r="N10" s="76">
        <v>1735.4693877551019</v>
      </c>
      <c r="O10" t="s">
        <v>263</v>
      </c>
      <c r="P10" t="s">
        <v>61</v>
      </c>
    </row>
    <row r="11" spans="1:16" x14ac:dyDescent="0.35">
      <c r="A11" t="s">
        <v>50</v>
      </c>
      <c r="B11" t="s">
        <v>272</v>
      </c>
      <c r="C11">
        <v>32</v>
      </c>
      <c r="D11">
        <v>2023</v>
      </c>
      <c r="E11" t="s">
        <v>44</v>
      </c>
      <c r="F11" t="s">
        <v>258</v>
      </c>
      <c r="G11" t="s">
        <v>259</v>
      </c>
      <c r="H11" s="75">
        <v>0.96875</v>
      </c>
      <c r="I11" s="75"/>
      <c r="J11" s="75"/>
      <c r="K11" s="76">
        <v>2276</v>
      </c>
      <c r="L11" s="76"/>
      <c r="M11" s="76"/>
      <c r="N11" s="76"/>
      <c r="O11" t="s">
        <v>260</v>
      </c>
    </row>
    <row r="12" spans="1:16" x14ac:dyDescent="0.35">
      <c r="A12" t="s">
        <v>43</v>
      </c>
      <c r="B12" t="s">
        <v>273</v>
      </c>
      <c r="C12">
        <v>135</v>
      </c>
      <c r="D12">
        <v>2023</v>
      </c>
      <c r="E12" t="s">
        <v>44</v>
      </c>
      <c r="F12" t="s">
        <v>258</v>
      </c>
      <c r="G12" t="s">
        <v>259</v>
      </c>
      <c r="H12" s="75">
        <v>0.94814799999999999</v>
      </c>
      <c r="I12" s="75">
        <v>0.99299999999999999</v>
      </c>
      <c r="J12" s="75"/>
      <c r="K12" s="76">
        <v>2229</v>
      </c>
      <c r="L12" s="76">
        <v>2243</v>
      </c>
      <c r="M12" s="76">
        <v>2164.3198067632852</v>
      </c>
      <c r="N12" s="76">
        <v>2140.342028985508</v>
      </c>
      <c r="O12" t="s">
        <v>263</v>
      </c>
      <c r="P12" t="s">
        <v>47</v>
      </c>
    </row>
    <row r="13" spans="1:16" x14ac:dyDescent="0.35">
      <c r="A13" t="s">
        <v>48</v>
      </c>
      <c r="B13" t="s">
        <v>274</v>
      </c>
      <c r="C13">
        <v>38</v>
      </c>
      <c r="D13">
        <v>2023</v>
      </c>
      <c r="E13" t="s">
        <v>44</v>
      </c>
      <c r="F13" t="s">
        <v>258</v>
      </c>
      <c r="G13" t="s">
        <v>259</v>
      </c>
      <c r="H13" s="75">
        <v>0.94736799999999999</v>
      </c>
      <c r="I13" s="75"/>
      <c r="J13" s="75"/>
      <c r="K13" s="76">
        <v>1655</v>
      </c>
      <c r="L13" s="76"/>
      <c r="M13" s="76"/>
      <c r="N13" s="76"/>
      <c r="O13" t="s">
        <v>260</v>
      </c>
    </row>
    <row r="14" spans="1:16" x14ac:dyDescent="0.35">
      <c r="A14" t="s">
        <v>38</v>
      </c>
      <c r="B14" t="s">
        <v>275</v>
      </c>
      <c r="C14">
        <v>91</v>
      </c>
      <c r="D14">
        <v>2022</v>
      </c>
      <c r="E14" t="s">
        <v>39</v>
      </c>
      <c r="F14" t="s">
        <v>258</v>
      </c>
      <c r="G14" t="s">
        <v>259</v>
      </c>
      <c r="H14" s="75">
        <v>0.98901099999999997</v>
      </c>
      <c r="I14" s="75"/>
      <c r="J14" s="75"/>
      <c r="K14" s="76">
        <v>1189</v>
      </c>
      <c r="L14" s="76"/>
      <c r="M14" s="76">
        <v>1165.5555555555561</v>
      </c>
      <c r="N14" s="76">
        <v>1156.3265993265991</v>
      </c>
      <c r="O14" t="s">
        <v>260</v>
      </c>
    </row>
    <row r="15" spans="1:16" x14ac:dyDescent="0.35">
      <c r="A15" t="s">
        <v>41</v>
      </c>
      <c r="B15" t="s">
        <v>276</v>
      </c>
      <c r="C15">
        <v>12</v>
      </c>
      <c r="D15">
        <v>2022</v>
      </c>
      <c r="E15" t="s">
        <v>39</v>
      </c>
      <c r="F15" t="s">
        <v>258</v>
      </c>
      <c r="G15" t="s">
        <v>259</v>
      </c>
      <c r="H15" s="75"/>
      <c r="I15" s="75"/>
      <c r="J15" s="75"/>
      <c r="K15" s="76"/>
      <c r="L15" s="76"/>
      <c r="M15" s="76"/>
      <c r="N15" s="76"/>
      <c r="O15" t="s">
        <v>260</v>
      </c>
    </row>
    <row r="16" spans="1:16" x14ac:dyDescent="0.35">
      <c r="A16" t="s">
        <v>33</v>
      </c>
      <c r="B16" t="s">
        <v>277</v>
      </c>
      <c r="C16">
        <v>102</v>
      </c>
      <c r="D16">
        <v>2022</v>
      </c>
      <c r="E16" t="s">
        <v>34</v>
      </c>
      <c r="F16" t="s">
        <v>258</v>
      </c>
      <c r="G16" t="s">
        <v>259</v>
      </c>
      <c r="H16" s="75">
        <v>0.99019599999999997</v>
      </c>
      <c r="I16" s="75">
        <v>0.99</v>
      </c>
      <c r="J16" s="75"/>
      <c r="K16" s="76">
        <v>1683</v>
      </c>
      <c r="L16" s="76">
        <v>1661</v>
      </c>
      <c r="M16" s="76">
        <v>1665.5116279069771</v>
      </c>
      <c r="N16" s="76">
        <v>1665.5116279069771</v>
      </c>
      <c r="O16" t="s">
        <v>263</v>
      </c>
      <c r="P16" t="s">
        <v>35</v>
      </c>
    </row>
    <row r="17" spans="1:16" x14ac:dyDescent="0.35">
      <c r="A17" t="s">
        <v>36</v>
      </c>
      <c r="B17" t="s">
        <v>278</v>
      </c>
      <c r="C17">
        <v>6</v>
      </c>
      <c r="D17">
        <v>2022</v>
      </c>
      <c r="E17" t="s">
        <v>34</v>
      </c>
      <c r="F17" t="s">
        <v>258</v>
      </c>
      <c r="G17" t="s">
        <v>259</v>
      </c>
      <c r="H17" s="75"/>
      <c r="I17" s="75"/>
      <c r="J17" s="75"/>
      <c r="K17" s="76">
        <v>2110</v>
      </c>
      <c r="L17" s="76"/>
      <c r="M17" s="76">
        <v>1747.5136612021861</v>
      </c>
      <c r="N17" s="76">
        <v>1747.5136612021861</v>
      </c>
      <c r="O17" t="s">
        <v>260</v>
      </c>
      <c r="P17" t="s">
        <v>37</v>
      </c>
    </row>
    <row r="18" spans="1:16" x14ac:dyDescent="0.35">
      <c r="A18" t="s">
        <v>23</v>
      </c>
      <c r="B18" t="s">
        <v>279</v>
      </c>
      <c r="C18">
        <v>83</v>
      </c>
      <c r="D18">
        <v>2022</v>
      </c>
      <c r="E18" t="s">
        <v>19</v>
      </c>
      <c r="F18" t="s">
        <v>258</v>
      </c>
      <c r="G18" t="s">
        <v>259</v>
      </c>
      <c r="H18" s="75">
        <v>0.98795200000000005</v>
      </c>
      <c r="I18" s="75">
        <v>0.97599999999999998</v>
      </c>
      <c r="J18" s="75"/>
      <c r="K18" s="76">
        <v>1664</v>
      </c>
      <c r="L18" s="76">
        <v>1641</v>
      </c>
      <c r="M18" s="76">
        <v>1651.435028248588</v>
      </c>
      <c r="N18" s="76">
        <v>1651.435028248588</v>
      </c>
      <c r="O18" t="s">
        <v>263</v>
      </c>
    </row>
    <row r="19" spans="1:16" x14ac:dyDescent="0.35">
      <c r="A19" t="s">
        <v>28</v>
      </c>
      <c r="B19" t="s">
        <v>280</v>
      </c>
      <c r="C19">
        <v>28</v>
      </c>
      <c r="D19">
        <v>2022</v>
      </c>
      <c r="E19" t="s">
        <v>19</v>
      </c>
      <c r="F19" t="s">
        <v>258</v>
      </c>
      <c r="G19" t="s">
        <v>259</v>
      </c>
      <c r="H19" s="75">
        <v>0.96428599999999998</v>
      </c>
      <c r="I19" s="75"/>
      <c r="J19" s="75"/>
      <c r="K19" s="76"/>
      <c r="L19" s="76"/>
      <c r="M19" s="76"/>
      <c r="N19" s="76"/>
      <c r="O19" t="s">
        <v>260</v>
      </c>
    </row>
    <row r="20" spans="1:16" x14ac:dyDescent="0.35">
      <c r="A20" t="s">
        <v>26</v>
      </c>
      <c r="B20" t="s">
        <v>281</v>
      </c>
      <c r="C20">
        <v>67</v>
      </c>
      <c r="D20">
        <v>2022</v>
      </c>
      <c r="E20" t="s">
        <v>19</v>
      </c>
      <c r="F20" t="s">
        <v>258</v>
      </c>
      <c r="G20" t="s">
        <v>259</v>
      </c>
      <c r="H20" s="75">
        <v>0.97014900000000004</v>
      </c>
      <c r="I20" s="75"/>
      <c r="J20" s="75"/>
      <c r="K20" s="76">
        <v>2130</v>
      </c>
      <c r="L20" s="76"/>
      <c r="M20" s="76"/>
      <c r="N20" s="76"/>
      <c r="O20" t="s">
        <v>260</v>
      </c>
    </row>
    <row r="21" spans="1:16" x14ac:dyDescent="0.35">
      <c r="A21" t="s">
        <v>31</v>
      </c>
      <c r="B21" t="s">
        <v>282</v>
      </c>
      <c r="C21">
        <v>25</v>
      </c>
      <c r="D21">
        <v>2022</v>
      </c>
      <c r="E21" t="s">
        <v>19</v>
      </c>
      <c r="F21" t="s">
        <v>258</v>
      </c>
      <c r="G21" t="s">
        <v>259</v>
      </c>
      <c r="H21" s="75"/>
      <c r="I21" s="75"/>
      <c r="J21" s="75"/>
      <c r="K21" s="76">
        <v>2236</v>
      </c>
      <c r="L21" s="76"/>
      <c r="M21" s="76"/>
      <c r="N21" s="76"/>
      <c r="O21" t="s">
        <v>260</v>
      </c>
    </row>
    <row r="22" spans="1:16" x14ac:dyDescent="0.35">
      <c r="A22" t="s">
        <v>18</v>
      </c>
      <c r="B22" t="s">
        <v>283</v>
      </c>
      <c r="C22">
        <v>476</v>
      </c>
      <c r="D22">
        <v>2022</v>
      </c>
      <c r="E22" t="s">
        <v>19</v>
      </c>
      <c r="G22" t="s">
        <v>259</v>
      </c>
      <c r="H22" s="75"/>
      <c r="I22" s="75">
        <v>0.99399999999999999</v>
      </c>
      <c r="J22" s="75"/>
      <c r="K22" s="76"/>
      <c r="L22" s="76">
        <v>1672</v>
      </c>
      <c r="M22" s="76"/>
      <c r="N22" s="76"/>
      <c r="O22" t="s">
        <v>284</v>
      </c>
      <c r="P22" t="s">
        <v>22</v>
      </c>
    </row>
    <row r="23" spans="1:16" x14ac:dyDescent="0.35">
      <c r="A23" t="s">
        <v>13</v>
      </c>
      <c r="B23" t="s">
        <v>285</v>
      </c>
      <c r="C23">
        <v>72</v>
      </c>
      <c r="D23">
        <v>2022</v>
      </c>
      <c r="E23" t="s">
        <v>14</v>
      </c>
      <c r="F23" t="s">
        <v>258</v>
      </c>
      <c r="G23" t="s">
        <v>259</v>
      </c>
      <c r="H23" s="75">
        <v>0.94444399999999995</v>
      </c>
      <c r="I23" s="75"/>
      <c r="J23" s="75"/>
      <c r="K23" s="76"/>
      <c r="L23" s="76"/>
      <c r="M23" s="76"/>
      <c r="N23" s="76"/>
      <c r="O23" t="s">
        <v>260</v>
      </c>
    </row>
    <row r="24" spans="1:16" x14ac:dyDescent="0.35">
      <c r="A24" t="s">
        <v>89</v>
      </c>
      <c r="B24" t="s">
        <v>286</v>
      </c>
      <c r="C24">
        <v>156</v>
      </c>
      <c r="D24">
        <v>2026</v>
      </c>
      <c r="E24" t="s">
        <v>90</v>
      </c>
      <c r="F24" t="s">
        <v>258</v>
      </c>
      <c r="G24" t="s">
        <v>287</v>
      </c>
      <c r="H24" s="75">
        <v>0.25</v>
      </c>
      <c r="I24" s="75">
        <v>0.18</v>
      </c>
      <c r="J24" s="75">
        <v>1</v>
      </c>
      <c r="K24" s="76">
        <v>1862</v>
      </c>
      <c r="L24" s="76">
        <v>1684</v>
      </c>
      <c r="M24" s="76">
        <v>1833.726076373041</v>
      </c>
      <c r="N24" s="76">
        <v>1813.154621177544</v>
      </c>
      <c r="O24" t="s">
        <v>263</v>
      </c>
      <c r="P24" t="s">
        <v>91</v>
      </c>
    </row>
    <row r="25" spans="1:16" x14ac:dyDescent="0.35">
      <c r="A25" t="s">
        <v>92</v>
      </c>
      <c r="B25" t="s">
        <v>288</v>
      </c>
      <c r="C25">
        <v>84</v>
      </c>
      <c r="D25">
        <v>2026</v>
      </c>
      <c r="E25" t="s">
        <v>90</v>
      </c>
      <c r="G25" t="s">
        <v>287</v>
      </c>
      <c r="H25" s="75"/>
      <c r="I25" s="75">
        <v>0.45200000000000001</v>
      </c>
      <c r="J25" s="75"/>
      <c r="K25" s="76"/>
      <c r="L25" s="76">
        <v>1491</v>
      </c>
      <c r="M25" s="76"/>
      <c r="N25" s="76"/>
      <c r="O25" t="s">
        <v>284</v>
      </c>
      <c r="P25" t="s">
        <v>93</v>
      </c>
    </row>
    <row r="26" spans="1:16" x14ac:dyDescent="0.35">
      <c r="A26" t="s">
        <v>85</v>
      </c>
      <c r="B26" t="s">
        <v>289</v>
      </c>
      <c r="C26">
        <v>48</v>
      </c>
      <c r="D26">
        <v>2025</v>
      </c>
      <c r="E26" t="s">
        <v>86</v>
      </c>
      <c r="F26" t="s">
        <v>258</v>
      </c>
      <c r="G26" t="s">
        <v>287</v>
      </c>
      <c r="H26" s="75">
        <v>0.83333299999999999</v>
      </c>
      <c r="I26" s="75"/>
      <c r="J26" s="75"/>
      <c r="K26" s="76"/>
      <c r="L26" s="76"/>
      <c r="M26" s="76"/>
      <c r="N26" s="76"/>
      <c r="O26" t="s">
        <v>260</v>
      </c>
      <c r="P26" t="s">
        <v>88</v>
      </c>
    </row>
    <row r="27" spans="1:16" x14ac:dyDescent="0.35">
      <c r="A27" t="s">
        <v>79</v>
      </c>
      <c r="B27" t="s">
        <v>290</v>
      </c>
      <c r="C27">
        <v>336</v>
      </c>
      <c r="D27">
        <v>2024</v>
      </c>
      <c r="E27" t="s">
        <v>69</v>
      </c>
      <c r="F27" t="s">
        <v>258</v>
      </c>
      <c r="G27" t="s">
        <v>287</v>
      </c>
      <c r="H27" s="75">
        <v>0.80357100000000004</v>
      </c>
      <c r="I27" s="75">
        <v>0.113</v>
      </c>
      <c r="J27" s="75">
        <v>0.119047619047619</v>
      </c>
      <c r="K27" s="76">
        <v>1742</v>
      </c>
      <c r="L27" s="76">
        <v>1677</v>
      </c>
      <c r="M27" s="76">
        <v>1747.5136612021861</v>
      </c>
      <c r="N27" s="76">
        <v>1747.5136612021861</v>
      </c>
      <c r="O27" t="s">
        <v>263</v>
      </c>
      <c r="P27" t="s">
        <v>81</v>
      </c>
    </row>
    <row r="28" spans="1:16" x14ac:dyDescent="0.35">
      <c r="A28" t="s">
        <v>82</v>
      </c>
      <c r="B28" t="s">
        <v>291</v>
      </c>
      <c r="C28">
        <v>191</v>
      </c>
      <c r="D28">
        <v>2024</v>
      </c>
      <c r="E28" t="s">
        <v>69</v>
      </c>
      <c r="F28" t="s">
        <v>258</v>
      </c>
      <c r="G28" t="s">
        <v>287</v>
      </c>
      <c r="H28" s="75">
        <v>0.27748699999999998</v>
      </c>
      <c r="I28" s="75">
        <v>0.83799999999999997</v>
      </c>
      <c r="J28" s="75">
        <v>0.47643979057591618</v>
      </c>
      <c r="K28" s="76">
        <v>1716</v>
      </c>
      <c r="L28" s="76">
        <v>2004</v>
      </c>
      <c r="M28" s="76">
        <v>1994.484728234728</v>
      </c>
      <c r="N28" s="76">
        <v>1994.484728234728</v>
      </c>
      <c r="O28" t="s">
        <v>263</v>
      </c>
      <c r="P28" t="s">
        <v>84</v>
      </c>
    </row>
    <row r="29" spans="1:16" x14ac:dyDescent="0.35">
      <c r="A29" t="s">
        <v>151</v>
      </c>
      <c r="B29" t="s">
        <v>292</v>
      </c>
      <c r="C29">
        <v>552</v>
      </c>
      <c r="D29">
        <v>2027</v>
      </c>
      <c r="E29" t="s">
        <v>106</v>
      </c>
      <c r="G29" t="s">
        <v>293</v>
      </c>
      <c r="H29" s="75"/>
      <c r="I29" s="75"/>
      <c r="J29" s="75"/>
      <c r="K29" s="76"/>
      <c r="L29" s="76"/>
      <c r="M29" s="76">
        <v>1747.5136612021861</v>
      </c>
      <c r="N29" s="76">
        <v>1747.5136612021861</v>
      </c>
      <c r="O29" t="s">
        <v>260</v>
      </c>
      <c r="P29" t="s">
        <v>294</v>
      </c>
    </row>
    <row r="30" spans="1:16" x14ac:dyDescent="0.35">
      <c r="A30" t="s">
        <v>105</v>
      </c>
      <c r="B30" t="s">
        <v>295</v>
      </c>
      <c r="C30">
        <v>213</v>
      </c>
      <c r="E30" t="s">
        <v>106</v>
      </c>
      <c r="G30" t="s">
        <v>296</v>
      </c>
      <c r="H30" s="75"/>
      <c r="I30" s="75"/>
      <c r="J30" s="75"/>
      <c r="K30" s="76"/>
      <c r="L30" s="76"/>
      <c r="M30" s="76"/>
      <c r="N30" s="76"/>
      <c r="O30" t="s">
        <v>284</v>
      </c>
      <c r="P30" t="s">
        <v>297</v>
      </c>
    </row>
    <row r="31" spans="1:16" x14ac:dyDescent="0.35">
      <c r="A31" t="s">
        <v>98</v>
      </c>
      <c r="B31" t="s">
        <v>298</v>
      </c>
      <c r="C31">
        <v>212</v>
      </c>
      <c r="E31" t="s">
        <v>99</v>
      </c>
      <c r="G31" t="s">
        <v>296</v>
      </c>
      <c r="H31" s="75"/>
      <c r="I31" s="75"/>
      <c r="J31" s="75"/>
      <c r="K31" s="76"/>
      <c r="L31" s="76"/>
      <c r="M31" s="76"/>
      <c r="N31" s="76"/>
      <c r="O31" t="s">
        <v>299</v>
      </c>
      <c r="P31" t="s">
        <v>300</v>
      </c>
    </row>
    <row r="32" spans="1:16" x14ac:dyDescent="0.35">
      <c r="A32" t="s">
        <v>102</v>
      </c>
      <c r="B32" t="s">
        <v>301</v>
      </c>
      <c r="C32">
        <v>72</v>
      </c>
      <c r="E32" t="s">
        <v>99</v>
      </c>
      <c r="G32" t="s">
        <v>296</v>
      </c>
      <c r="H32" s="75"/>
      <c r="I32" s="75"/>
      <c r="J32" s="75"/>
      <c r="K32" s="76"/>
      <c r="L32" s="76"/>
      <c r="M32" s="76"/>
      <c r="N32" s="76"/>
      <c r="O32" t="s">
        <v>299</v>
      </c>
      <c r="P32" t="s">
        <v>300</v>
      </c>
    </row>
    <row r="33" spans="1:16" x14ac:dyDescent="0.35">
      <c r="A33" t="s">
        <v>95</v>
      </c>
      <c r="B33" t="s">
        <v>283</v>
      </c>
      <c r="C33">
        <v>164</v>
      </c>
      <c r="D33">
        <v>2027</v>
      </c>
      <c r="E33" t="s">
        <v>96</v>
      </c>
      <c r="G33" t="s">
        <v>296</v>
      </c>
      <c r="H33" s="75"/>
      <c r="I33" s="75"/>
      <c r="J33" s="75"/>
      <c r="K33" s="76"/>
      <c r="L33" s="76"/>
      <c r="M33" s="76"/>
      <c r="N33" s="76"/>
      <c r="O33" t="s">
        <v>284</v>
      </c>
    </row>
    <row r="34" spans="1:16" x14ac:dyDescent="0.35">
      <c r="A34" t="s">
        <v>148</v>
      </c>
      <c r="B34" t="s">
        <v>302</v>
      </c>
      <c r="C34">
        <v>224</v>
      </c>
      <c r="E34" t="s">
        <v>114</v>
      </c>
      <c r="G34" t="s">
        <v>293</v>
      </c>
      <c r="H34" s="75"/>
      <c r="I34" s="75"/>
      <c r="J34" s="75"/>
      <c r="K34" s="76"/>
      <c r="L34" s="76"/>
      <c r="M34" s="76"/>
      <c r="N34" s="76"/>
      <c r="O34" t="s">
        <v>284</v>
      </c>
      <c r="P34" t="s">
        <v>303</v>
      </c>
    </row>
    <row r="35" spans="1:16" x14ac:dyDescent="0.35">
      <c r="A35" t="s">
        <v>117</v>
      </c>
      <c r="B35" t="s">
        <v>304</v>
      </c>
      <c r="C35">
        <v>200</v>
      </c>
      <c r="E35" t="s">
        <v>114</v>
      </c>
      <c r="G35" t="s">
        <v>293</v>
      </c>
      <c r="H35" s="75"/>
      <c r="I35" s="75"/>
      <c r="J35" s="75"/>
      <c r="K35" s="76"/>
      <c r="L35" s="76"/>
      <c r="M35" s="76"/>
      <c r="N35" s="76"/>
      <c r="O35" t="s">
        <v>299</v>
      </c>
      <c r="P35" t="s">
        <v>305</v>
      </c>
    </row>
    <row r="36" spans="1:16" x14ac:dyDescent="0.35">
      <c r="A36" t="s">
        <v>113</v>
      </c>
      <c r="B36" t="s">
        <v>306</v>
      </c>
      <c r="C36">
        <v>250</v>
      </c>
      <c r="E36" t="s">
        <v>114</v>
      </c>
      <c r="G36" t="s">
        <v>293</v>
      </c>
      <c r="H36" s="75"/>
      <c r="I36" s="75"/>
      <c r="J36" s="75"/>
      <c r="K36" s="76"/>
      <c r="L36" s="76"/>
      <c r="M36" s="76"/>
      <c r="N36" s="76"/>
      <c r="O36" t="s">
        <v>299</v>
      </c>
      <c r="P36" t="s">
        <v>307</v>
      </c>
    </row>
    <row r="37" spans="1:16" x14ac:dyDescent="0.35">
      <c r="A37" t="s">
        <v>130</v>
      </c>
      <c r="B37" t="s">
        <v>308</v>
      </c>
      <c r="C37">
        <v>162</v>
      </c>
      <c r="E37" t="s">
        <v>106</v>
      </c>
      <c r="G37" t="s">
        <v>293</v>
      </c>
      <c r="H37" s="75"/>
      <c r="I37" s="75"/>
      <c r="J37" s="75"/>
      <c r="K37" s="76"/>
      <c r="L37" s="76"/>
      <c r="M37" s="76"/>
      <c r="N37" s="76"/>
      <c r="O37" t="s">
        <v>299</v>
      </c>
      <c r="P37" t="s">
        <v>309</v>
      </c>
    </row>
    <row r="38" spans="1:16" x14ac:dyDescent="0.35">
      <c r="A38" t="s">
        <v>124</v>
      </c>
      <c r="B38" t="s">
        <v>310</v>
      </c>
      <c r="C38">
        <v>36</v>
      </c>
      <c r="G38" t="s">
        <v>293</v>
      </c>
      <c r="H38" s="75"/>
      <c r="I38" s="75"/>
      <c r="J38" s="75"/>
      <c r="K38" s="76"/>
      <c r="L38" s="76"/>
      <c r="M38" s="76"/>
      <c r="N38" s="76"/>
      <c r="O38" t="s">
        <v>263</v>
      </c>
      <c r="P38" t="s">
        <v>311</v>
      </c>
    </row>
    <row r="39" spans="1:16" x14ac:dyDescent="0.35">
      <c r="A39" t="s">
        <v>145</v>
      </c>
      <c r="B39" t="s">
        <v>312</v>
      </c>
      <c r="C39">
        <v>390</v>
      </c>
      <c r="D39">
        <v>2027</v>
      </c>
      <c r="G39" t="s">
        <v>293</v>
      </c>
      <c r="H39" s="75"/>
      <c r="I39" s="75"/>
      <c r="J39" s="75"/>
      <c r="K39" s="76"/>
      <c r="L39" s="76"/>
      <c r="M39" s="76"/>
      <c r="N39" s="76"/>
      <c r="O39" t="s">
        <v>260</v>
      </c>
      <c r="P39" t="s">
        <v>313</v>
      </c>
    </row>
    <row r="40" spans="1:16" x14ac:dyDescent="0.35">
      <c r="A40" t="s">
        <v>133</v>
      </c>
      <c r="B40" t="s">
        <v>314</v>
      </c>
      <c r="C40">
        <v>138</v>
      </c>
      <c r="D40">
        <v>2028</v>
      </c>
      <c r="G40" t="s">
        <v>293</v>
      </c>
      <c r="H40" s="75"/>
      <c r="I40" s="75"/>
      <c r="J40" s="75"/>
      <c r="K40" s="76"/>
      <c r="L40" s="76"/>
      <c r="M40" s="76"/>
      <c r="N40" s="76"/>
      <c r="O40" t="s">
        <v>260</v>
      </c>
      <c r="P40" t="s">
        <v>315</v>
      </c>
    </row>
    <row r="41" spans="1:16" x14ac:dyDescent="0.35">
      <c r="A41" t="s">
        <v>139</v>
      </c>
      <c r="B41" t="s">
        <v>316</v>
      </c>
      <c r="C41">
        <v>301</v>
      </c>
      <c r="D41">
        <v>2027</v>
      </c>
      <c r="G41" t="s">
        <v>293</v>
      </c>
      <c r="H41" s="75"/>
      <c r="I41" s="75"/>
      <c r="J41" s="75"/>
      <c r="K41" s="76"/>
      <c r="L41" s="76"/>
      <c r="M41" s="76"/>
      <c r="N41" s="76"/>
      <c r="O41" t="s">
        <v>263</v>
      </c>
      <c r="P41" t="s">
        <v>317</v>
      </c>
    </row>
    <row r="42" spans="1:16" x14ac:dyDescent="0.35">
      <c r="A42" t="s">
        <v>136</v>
      </c>
      <c r="B42" t="s">
        <v>318</v>
      </c>
      <c r="C42">
        <v>472</v>
      </c>
      <c r="G42" t="s">
        <v>293</v>
      </c>
      <c r="H42" s="75"/>
      <c r="I42" s="75"/>
      <c r="J42" s="75"/>
      <c r="K42" s="76"/>
      <c r="L42" s="76"/>
      <c r="M42" s="76"/>
      <c r="N42" s="76"/>
      <c r="O42" t="s">
        <v>284</v>
      </c>
      <c r="P42" t="s">
        <v>319</v>
      </c>
    </row>
    <row r="43" spans="1:16" x14ac:dyDescent="0.35">
      <c r="A43" t="s">
        <v>156</v>
      </c>
      <c r="B43" t="s">
        <v>320</v>
      </c>
      <c r="C43">
        <v>156</v>
      </c>
      <c r="G43" t="s">
        <v>293</v>
      </c>
      <c r="H43" s="75"/>
      <c r="I43" s="75"/>
      <c r="J43" s="75"/>
      <c r="K43" s="76"/>
      <c r="L43" s="76"/>
      <c r="M43" s="76"/>
      <c r="N43" s="76"/>
      <c r="O43" t="s">
        <v>284</v>
      </c>
      <c r="P43" t="s">
        <v>321</v>
      </c>
    </row>
    <row r="44" spans="1:16" x14ac:dyDescent="0.35">
      <c r="A44" t="s">
        <v>127</v>
      </c>
      <c r="B44" t="s">
        <v>322</v>
      </c>
      <c r="C44">
        <v>275</v>
      </c>
      <c r="G44" t="s">
        <v>293</v>
      </c>
      <c r="H44" s="75"/>
      <c r="I44" s="75"/>
      <c r="J44" s="75"/>
      <c r="K44" s="76"/>
      <c r="L44" s="76"/>
      <c r="M44" s="76"/>
      <c r="N44" s="76"/>
      <c r="O44" t="s">
        <v>284</v>
      </c>
      <c r="P44" t="s">
        <v>323</v>
      </c>
    </row>
    <row r="45" spans="1:16" x14ac:dyDescent="0.35">
      <c r="A45" t="s">
        <v>154</v>
      </c>
      <c r="B45" t="s">
        <v>324</v>
      </c>
      <c r="C45">
        <v>302</v>
      </c>
      <c r="G45" t="s">
        <v>293</v>
      </c>
      <c r="H45" s="75"/>
      <c r="I45" s="75"/>
      <c r="J45" s="75"/>
      <c r="K45" s="76"/>
      <c r="L45" s="76"/>
      <c r="M45" s="76"/>
      <c r="N45" s="76"/>
      <c r="O45" t="s">
        <v>284</v>
      </c>
      <c r="P45" t="s">
        <v>325</v>
      </c>
    </row>
    <row r="46" spans="1:16" x14ac:dyDescent="0.35">
      <c r="A46" t="s">
        <v>120</v>
      </c>
      <c r="B46" t="s">
        <v>326</v>
      </c>
      <c r="C46">
        <v>270</v>
      </c>
      <c r="G46" t="s">
        <v>293</v>
      </c>
      <c r="H46" s="75"/>
      <c r="I46" s="75"/>
      <c r="J46" s="75"/>
      <c r="K46" s="76"/>
      <c r="L46" s="76"/>
      <c r="M46" s="76"/>
      <c r="N46" s="76"/>
      <c r="O46" t="s">
        <v>299</v>
      </c>
      <c r="P46" t="s">
        <v>305</v>
      </c>
    </row>
    <row r="47" spans="1:16" x14ac:dyDescent="0.35">
      <c r="A47" t="s">
        <v>109</v>
      </c>
      <c r="B47" t="s">
        <v>327</v>
      </c>
      <c r="C47">
        <v>516</v>
      </c>
      <c r="E47" t="s">
        <v>328</v>
      </c>
      <c r="G47" t="s">
        <v>293</v>
      </c>
      <c r="H47" s="75"/>
      <c r="I47" s="75"/>
      <c r="J47" s="75"/>
      <c r="K47" s="76"/>
      <c r="L47" s="76"/>
      <c r="M47" s="76"/>
      <c r="N47" s="76"/>
      <c r="O47" t="s">
        <v>299</v>
      </c>
      <c r="P47" t="s">
        <v>329</v>
      </c>
    </row>
    <row r="48" spans="1:16" x14ac:dyDescent="0.35">
      <c r="A48" t="s">
        <v>142</v>
      </c>
      <c r="B48" t="s">
        <v>330</v>
      </c>
      <c r="C48">
        <v>250</v>
      </c>
      <c r="G48" t="s">
        <v>293</v>
      </c>
      <c r="H48" s="75"/>
      <c r="I48" s="75"/>
      <c r="J48" s="75"/>
      <c r="K48" s="76"/>
      <c r="L48" s="76"/>
      <c r="M48" s="76"/>
      <c r="N48" s="76"/>
      <c r="O48" t="s">
        <v>299</v>
      </c>
      <c r="P48" t="s">
        <v>331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78"/>
  <sheetViews>
    <sheetView showGridLines="0" workbookViewId="0"/>
  </sheetViews>
  <sheetFormatPr defaultRowHeight="14.5" x14ac:dyDescent="0.35"/>
  <cols>
    <col min="1" max="1" width="2.453125" customWidth="1"/>
    <col min="2" max="2" width="30" customWidth="1"/>
    <col min="3" max="3" width="8" customWidth="1"/>
    <col min="4" max="4" width="12" customWidth="1"/>
    <col min="5" max="5" width="16" customWidth="1"/>
    <col min="6" max="6" width="14" customWidth="1"/>
    <col min="7" max="7" width="110" customWidth="1"/>
    <col min="8" max="8" width="36" customWidth="1"/>
  </cols>
  <sheetData>
    <row r="2" spans="2:8" x14ac:dyDescent="0.35">
      <c r="B2" s="96" t="s">
        <v>332</v>
      </c>
      <c r="C2" s="91"/>
      <c r="D2" s="91"/>
      <c r="E2" s="91"/>
      <c r="F2" s="91"/>
      <c r="G2" s="91"/>
      <c r="H2" s="91"/>
    </row>
    <row r="3" spans="2:8" x14ac:dyDescent="0.35">
      <c r="B3" s="44" t="s">
        <v>333</v>
      </c>
      <c r="C3" s="44" t="s">
        <v>3</v>
      </c>
      <c r="D3" s="44" t="s">
        <v>4</v>
      </c>
      <c r="E3" s="44" t="s">
        <v>334</v>
      </c>
      <c r="F3" s="44" t="s">
        <v>335</v>
      </c>
      <c r="G3" s="44" t="s">
        <v>10</v>
      </c>
      <c r="H3" s="44" t="s">
        <v>336</v>
      </c>
    </row>
    <row r="4" spans="2:8" x14ac:dyDescent="0.35">
      <c r="B4" s="37" t="s">
        <v>337</v>
      </c>
      <c r="C4" s="77"/>
      <c r="D4" s="77"/>
      <c r="E4" s="37" t="s">
        <v>338</v>
      </c>
      <c r="F4" s="37"/>
      <c r="G4" s="37" t="s">
        <v>339</v>
      </c>
      <c r="H4" s="37" t="s">
        <v>340</v>
      </c>
    </row>
    <row r="5" spans="2:8" ht="60" x14ac:dyDescent="0.35">
      <c r="B5" s="37" t="s">
        <v>136</v>
      </c>
      <c r="C5" s="77" t="s">
        <v>341</v>
      </c>
      <c r="D5" s="77" t="s">
        <v>121</v>
      </c>
      <c r="E5" s="37" t="s">
        <v>342</v>
      </c>
      <c r="F5" s="37"/>
      <c r="G5" s="84" t="s">
        <v>343</v>
      </c>
      <c r="H5" s="37" t="s">
        <v>344</v>
      </c>
    </row>
    <row r="6" spans="2:8" x14ac:dyDescent="0.35">
      <c r="B6" s="37" t="s">
        <v>105</v>
      </c>
      <c r="C6" s="77" t="s">
        <v>345</v>
      </c>
      <c r="D6" s="77" t="s">
        <v>106</v>
      </c>
      <c r="E6" s="37" t="s">
        <v>346</v>
      </c>
      <c r="F6" s="37"/>
      <c r="G6" s="37" t="s">
        <v>347</v>
      </c>
      <c r="H6" s="37" t="s">
        <v>348</v>
      </c>
    </row>
    <row r="7" spans="2:8" x14ac:dyDescent="0.35">
      <c r="B7" s="37" t="s">
        <v>349</v>
      </c>
      <c r="C7" s="77" t="s">
        <v>350</v>
      </c>
      <c r="D7" s="77"/>
      <c r="E7" s="37" t="s">
        <v>351</v>
      </c>
      <c r="F7" s="37"/>
      <c r="G7" s="37" t="s">
        <v>352</v>
      </c>
      <c r="H7" s="37" t="s">
        <v>353</v>
      </c>
    </row>
    <row r="8" spans="2:8" x14ac:dyDescent="0.35">
      <c r="B8" s="37" t="s">
        <v>354</v>
      </c>
      <c r="C8" s="77"/>
      <c r="D8" s="77"/>
      <c r="E8" s="37" t="s">
        <v>355</v>
      </c>
      <c r="F8" s="37"/>
      <c r="G8" s="37" t="s">
        <v>356</v>
      </c>
      <c r="H8" s="37" t="s">
        <v>357</v>
      </c>
    </row>
    <row r="9" spans="2:8" ht="60" x14ac:dyDescent="0.35">
      <c r="B9" s="37" t="s">
        <v>154</v>
      </c>
      <c r="C9" s="77">
        <v>302</v>
      </c>
      <c r="D9" s="77"/>
      <c r="E9" s="37" t="s">
        <v>358</v>
      </c>
      <c r="F9" s="37"/>
      <c r="G9" s="84" t="s">
        <v>359</v>
      </c>
      <c r="H9" s="37" t="s">
        <v>360</v>
      </c>
    </row>
    <row r="10" spans="2:8" ht="60" x14ac:dyDescent="0.35">
      <c r="B10" s="37" t="s">
        <v>148</v>
      </c>
      <c r="C10" s="77">
        <v>224</v>
      </c>
      <c r="D10" s="77" t="s">
        <v>114</v>
      </c>
      <c r="E10" s="37" t="s">
        <v>361</v>
      </c>
      <c r="F10" s="37"/>
      <c r="G10" s="84" t="s">
        <v>362</v>
      </c>
      <c r="H10" s="37" t="s">
        <v>363</v>
      </c>
    </row>
    <row r="11" spans="2:8" ht="48" x14ac:dyDescent="0.35">
      <c r="B11" s="37" t="s">
        <v>127</v>
      </c>
      <c r="C11" s="77" t="s">
        <v>364</v>
      </c>
      <c r="D11" s="77" t="s">
        <v>121</v>
      </c>
      <c r="E11" s="37" t="s">
        <v>365</v>
      </c>
      <c r="F11" s="37"/>
      <c r="G11" s="84" t="s">
        <v>366</v>
      </c>
      <c r="H11" s="37" t="s">
        <v>367</v>
      </c>
    </row>
    <row r="12" spans="2:8" ht="48" x14ac:dyDescent="0.35">
      <c r="B12" s="37" t="s">
        <v>156</v>
      </c>
      <c r="C12" s="77" t="s">
        <v>368</v>
      </c>
      <c r="D12" s="77" t="s">
        <v>121</v>
      </c>
      <c r="E12" s="37" t="s">
        <v>369</v>
      </c>
      <c r="F12" s="37"/>
      <c r="G12" s="84" t="s">
        <v>370</v>
      </c>
      <c r="H12" s="37" t="s">
        <v>371</v>
      </c>
    </row>
    <row r="13" spans="2:8" x14ac:dyDescent="0.35">
      <c r="B13" s="37" t="s">
        <v>372</v>
      </c>
      <c r="C13" s="77"/>
      <c r="D13" s="77"/>
      <c r="E13" s="37" t="s">
        <v>373</v>
      </c>
      <c r="F13" s="37"/>
      <c r="G13" s="37" t="s">
        <v>374</v>
      </c>
      <c r="H13" s="37" t="s">
        <v>375</v>
      </c>
    </row>
    <row r="14" spans="2:8" x14ac:dyDescent="0.35">
      <c r="B14" s="37" t="s">
        <v>376</v>
      </c>
      <c r="C14" s="77"/>
      <c r="D14" s="77"/>
      <c r="E14" s="37" t="s">
        <v>377</v>
      </c>
      <c r="F14" s="37"/>
      <c r="G14" s="37" t="s">
        <v>378</v>
      </c>
      <c r="H14" s="37" t="s">
        <v>379</v>
      </c>
    </row>
    <row r="15" spans="2:8" x14ac:dyDescent="0.35">
      <c r="B15" s="37" t="s">
        <v>380</v>
      </c>
      <c r="C15" s="77"/>
      <c r="D15" s="77"/>
      <c r="E15" s="37" t="s">
        <v>381</v>
      </c>
      <c r="F15" s="37"/>
      <c r="G15" s="37" t="s">
        <v>382</v>
      </c>
      <c r="H15" s="37" t="s">
        <v>383</v>
      </c>
    </row>
    <row r="16" spans="2:8" x14ac:dyDescent="0.35">
      <c r="B16" s="37" t="s">
        <v>384</v>
      </c>
      <c r="C16" s="77"/>
      <c r="D16" s="77"/>
      <c r="E16" s="37" t="s">
        <v>385</v>
      </c>
      <c r="F16" s="37"/>
      <c r="G16" s="37" t="s">
        <v>386</v>
      </c>
      <c r="H16" s="37" t="s">
        <v>387</v>
      </c>
    </row>
    <row r="17" spans="2:8" ht="72" x14ac:dyDescent="0.35">
      <c r="B17" s="37" t="s">
        <v>124</v>
      </c>
      <c r="C17" s="77" t="s">
        <v>388</v>
      </c>
      <c r="D17" s="77" t="s">
        <v>121</v>
      </c>
      <c r="E17" s="37" t="s">
        <v>389</v>
      </c>
      <c r="F17" s="37"/>
      <c r="G17" s="84" t="s">
        <v>390</v>
      </c>
      <c r="H17" s="37" t="s">
        <v>391</v>
      </c>
    </row>
    <row r="18" spans="2:8" x14ac:dyDescent="0.35">
      <c r="B18" s="37" t="s">
        <v>392</v>
      </c>
      <c r="C18" s="77"/>
      <c r="D18" s="77"/>
      <c r="E18" s="37" t="s">
        <v>393</v>
      </c>
      <c r="F18" s="37"/>
      <c r="G18" s="37" t="s">
        <v>394</v>
      </c>
      <c r="H18" s="37" t="s">
        <v>395</v>
      </c>
    </row>
    <row r="19" spans="2:8" ht="48" x14ac:dyDescent="0.35">
      <c r="B19" s="37" t="s">
        <v>139</v>
      </c>
      <c r="C19" s="77" t="s">
        <v>396</v>
      </c>
      <c r="D19" s="77" t="s">
        <v>121</v>
      </c>
      <c r="E19" s="37" t="s">
        <v>397</v>
      </c>
      <c r="F19" s="37"/>
      <c r="G19" s="84" t="s">
        <v>398</v>
      </c>
      <c r="H19" s="37" t="s">
        <v>399</v>
      </c>
    </row>
    <row r="20" spans="2:8" x14ac:dyDescent="0.35">
      <c r="B20" s="37" t="s">
        <v>400</v>
      </c>
      <c r="C20" s="77"/>
      <c r="D20" s="77"/>
      <c r="E20" s="37" t="s">
        <v>401</v>
      </c>
      <c r="F20" s="37"/>
      <c r="G20" s="37" t="s">
        <v>402</v>
      </c>
      <c r="H20" s="37" t="s">
        <v>403</v>
      </c>
    </row>
    <row r="21" spans="2:8" ht="72" x14ac:dyDescent="0.35">
      <c r="B21" s="37" t="s">
        <v>145</v>
      </c>
      <c r="C21" s="77" t="s">
        <v>404</v>
      </c>
      <c r="D21" s="77" t="s">
        <v>121</v>
      </c>
      <c r="E21" s="37" t="s">
        <v>405</v>
      </c>
      <c r="F21" s="37"/>
      <c r="G21" s="84" t="s">
        <v>406</v>
      </c>
      <c r="H21" s="37" t="s">
        <v>340</v>
      </c>
    </row>
    <row r="22" spans="2:8" ht="48" x14ac:dyDescent="0.35">
      <c r="B22" s="37" t="s">
        <v>133</v>
      </c>
      <c r="C22" s="77" t="s">
        <v>407</v>
      </c>
      <c r="D22" s="77" t="s">
        <v>121</v>
      </c>
      <c r="E22" s="37" t="s">
        <v>408</v>
      </c>
      <c r="F22" s="37"/>
      <c r="G22" s="84" t="s">
        <v>409</v>
      </c>
      <c r="H22" s="37" t="s">
        <v>410</v>
      </c>
    </row>
    <row r="23" spans="2:8" x14ac:dyDescent="0.35">
      <c r="B23" s="37" t="s">
        <v>411</v>
      </c>
      <c r="C23" s="77" t="s">
        <v>412</v>
      </c>
      <c r="D23" s="77"/>
      <c r="E23" s="37" t="s">
        <v>413</v>
      </c>
      <c r="F23" s="37"/>
      <c r="G23" s="37" t="s">
        <v>414</v>
      </c>
      <c r="H23" s="37" t="s">
        <v>415</v>
      </c>
    </row>
    <row r="24" spans="2:8" x14ac:dyDescent="0.35">
      <c r="B24" s="37" t="s">
        <v>416</v>
      </c>
      <c r="C24" s="77"/>
      <c r="D24" s="77"/>
      <c r="E24" s="37" t="s">
        <v>417</v>
      </c>
      <c r="F24" s="37"/>
      <c r="G24" s="37" t="s">
        <v>418</v>
      </c>
      <c r="H24" s="37" t="s">
        <v>387</v>
      </c>
    </row>
    <row r="25" spans="2:8" ht="48" x14ac:dyDescent="0.35">
      <c r="B25" s="37" t="s">
        <v>130</v>
      </c>
      <c r="C25" s="77" t="s">
        <v>419</v>
      </c>
      <c r="D25" s="77" t="s">
        <v>106</v>
      </c>
      <c r="E25" s="37" t="s">
        <v>420</v>
      </c>
      <c r="F25" s="37"/>
      <c r="G25" s="84" t="s">
        <v>421</v>
      </c>
      <c r="H25" s="37" t="s">
        <v>422</v>
      </c>
    </row>
    <row r="26" spans="2:8" ht="72" x14ac:dyDescent="0.35">
      <c r="B26" s="37" t="s">
        <v>117</v>
      </c>
      <c r="C26" s="77" t="s">
        <v>423</v>
      </c>
      <c r="D26" s="77" t="s">
        <v>114</v>
      </c>
      <c r="E26" s="37" t="s">
        <v>424</v>
      </c>
      <c r="F26" s="37"/>
      <c r="G26" s="84" t="s">
        <v>425</v>
      </c>
      <c r="H26" s="37" t="s">
        <v>426</v>
      </c>
    </row>
    <row r="27" spans="2:8" ht="72" x14ac:dyDescent="0.35">
      <c r="B27" s="37" t="s">
        <v>120</v>
      </c>
      <c r="C27" s="77" t="s">
        <v>427</v>
      </c>
      <c r="D27" s="77"/>
      <c r="E27" s="37" t="s">
        <v>424</v>
      </c>
      <c r="F27" s="37"/>
      <c r="G27" s="84" t="s">
        <v>428</v>
      </c>
      <c r="H27" s="37" t="s">
        <v>429</v>
      </c>
    </row>
    <row r="28" spans="2:8" x14ac:dyDescent="0.35">
      <c r="B28" s="37" t="s">
        <v>98</v>
      </c>
      <c r="C28" s="77" t="s">
        <v>430</v>
      </c>
      <c r="D28" s="77" t="s">
        <v>99</v>
      </c>
      <c r="E28" s="37" t="s">
        <v>431</v>
      </c>
      <c r="F28" s="37"/>
      <c r="G28" s="37" t="s">
        <v>432</v>
      </c>
      <c r="H28" s="37" t="s">
        <v>433</v>
      </c>
    </row>
    <row r="29" spans="2:8" x14ac:dyDescent="0.35">
      <c r="B29" s="37" t="s">
        <v>102</v>
      </c>
      <c r="C29" s="77" t="s">
        <v>434</v>
      </c>
      <c r="D29" s="77" t="s">
        <v>99</v>
      </c>
      <c r="E29" s="37" t="s">
        <v>431</v>
      </c>
      <c r="F29" s="37"/>
      <c r="G29" s="37" t="s">
        <v>435</v>
      </c>
      <c r="H29" s="37" t="s">
        <v>348</v>
      </c>
    </row>
    <row r="30" spans="2:8" ht="60" x14ac:dyDescent="0.35">
      <c r="B30" s="37" t="s">
        <v>113</v>
      </c>
      <c r="C30" s="77" t="s">
        <v>436</v>
      </c>
      <c r="D30" s="77" t="s">
        <v>114</v>
      </c>
      <c r="E30" s="37" t="s">
        <v>437</v>
      </c>
      <c r="F30" s="37"/>
      <c r="G30" s="84" t="s">
        <v>438</v>
      </c>
      <c r="H30" s="37" t="s">
        <v>439</v>
      </c>
    </row>
    <row r="32" spans="2:8" ht="87" x14ac:dyDescent="0.35">
      <c r="B32" s="37" t="s">
        <v>109</v>
      </c>
      <c r="G32" s="85" t="s">
        <v>440</v>
      </c>
    </row>
    <row r="33" spans="2:8" x14ac:dyDescent="0.35">
      <c r="B33" s="37" t="s">
        <v>441</v>
      </c>
      <c r="C33" s="77">
        <v>345</v>
      </c>
      <c r="D33" s="77"/>
      <c r="E33" s="37" t="s">
        <v>442</v>
      </c>
      <c r="F33" s="37"/>
      <c r="G33" s="37" t="s">
        <v>443</v>
      </c>
      <c r="H33" s="37" t="s">
        <v>444</v>
      </c>
    </row>
    <row r="34" spans="2:8" ht="84" x14ac:dyDescent="0.35">
      <c r="B34" s="37" t="s">
        <v>142</v>
      </c>
      <c r="C34" s="77">
        <v>250</v>
      </c>
      <c r="D34" s="77" t="s">
        <v>121</v>
      </c>
      <c r="E34" s="37" t="s">
        <v>445</v>
      </c>
      <c r="F34" s="37"/>
      <c r="G34" s="84" t="s">
        <v>446</v>
      </c>
      <c r="H34" s="37" t="s">
        <v>447</v>
      </c>
    </row>
    <row r="35" spans="2:8" ht="72" x14ac:dyDescent="0.35">
      <c r="B35" s="37" t="s">
        <v>151</v>
      </c>
      <c r="C35" s="77">
        <v>552</v>
      </c>
      <c r="D35" s="77" t="s">
        <v>106</v>
      </c>
      <c r="E35" s="37" t="s">
        <v>448</v>
      </c>
      <c r="F35" s="37"/>
      <c r="G35" s="84" t="s">
        <v>449</v>
      </c>
      <c r="H35" s="37" t="s">
        <v>450</v>
      </c>
    </row>
    <row r="36" spans="2:8" x14ac:dyDescent="0.35">
      <c r="B36" s="96" t="s">
        <v>451</v>
      </c>
      <c r="C36" s="91"/>
      <c r="D36" s="91"/>
      <c r="E36" s="91"/>
      <c r="F36" s="91"/>
      <c r="G36" s="91"/>
      <c r="H36" s="91"/>
    </row>
    <row r="37" spans="2:8" x14ac:dyDescent="0.35">
      <c r="B37" s="44" t="s">
        <v>333</v>
      </c>
      <c r="C37" s="44" t="s">
        <v>3</v>
      </c>
      <c r="D37" s="44" t="s">
        <v>4</v>
      </c>
      <c r="E37" s="44" t="s">
        <v>334</v>
      </c>
      <c r="F37" s="44" t="s">
        <v>335</v>
      </c>
      <c r="G37" s="44" t="s">
        <v>10</v>
      </c>
      <c r="H37" s="44" t="s">
        <v>336</v>
      </c>
    </row>
    <row r="38" spans="2:8" x14ac:dyDescent="0.35">
      <c r="B38" s="37" t="s">
        <v>452</v>
      </c>
      <c r="C38" s="77" t="s">
        <v>436</v>
      </c>
      <c r="D38" s="77"/>
      <c r="E38" s="37"/>
      <c r="F38" s="37"/>
      <c r="G38" s="37" t="s">
        <v>453</v>
      </c>
      <c r="H38" s="37" t="s">
        <v>447</v>
      </c>
    </row>
    <row r="39" spans="2:8" x14ac:dyDescent="0.35">
      <c r="B39" s="37" t="s">
        <v>454</v>
      </c>
      <c r="C39" s="77" t="s">
        <v>455</v>
      </c>
      <c r="D39" s="77"/>
      <c r="E39" s="37"/>
      <c r="F39" s="37"/>
      <c r="G39" s="37" t="s">
        <v>456</v>
      </c>
      <c r="H39" s="37" t="s">
        <v>457</v>
      </c>
    </row>
    <row r="40" spans="2:8" x14ac:dyDescent="0.35">
      <c r="B40" s="37" t="s">
        <v>458</v>
      </c>
      <c r="C40" s="77" t="s">
        <v>459</v>
      </c>
      <c r="D40" s="77"/>
      <c r="E40" s="37"/>
      <c r="F40" s="37"/>
      <c r="G40" s="37" t="s">
        <v>460</v>
      </c>
      <c r="H40" s="37" t="s">
        <v>461</v>
      </c>
    </row>
    <row r="41" spans="2:8" x14ac:dyDescent="0.35">
      <c r="B41" s="37" t="s">
        <v>462</v>
      </c>
      <c r="C41" s="77"/>
      <c r="D41" s="77"/>
      <c r="E41" s="37"/>
      <c r="F41" s="37"/>
      <c r="G41" s="37" t="s">
        <v>463</v>
      </c>
      <c r="H41" s="37" t="s">
        <v>464</v>
      </c>
    </row>
    <row r="42" spans="2:8" x14ac:dyDescent="0.35">
      <c r="B42" s="37" t="s">
        <v>465</v>
      </c>
      <c r="C42" s="77"/>
      <c r="D42" s="77"/>
      <c r="E42" s="37"/>
      <c r="F42" s="37"/>
      <c r="G42" s="37" t="s">
        <v>466</v>
      </c>
      <c r="H42" s="37" t="s">
        <v>467</v>
      </c>
    </row>
    <row r="43" spans="2:8" x14ac:dyDescent="0.35">
      <c r="B43" s="37" t="s">
        <v>468</v>
      </c>
      <c r="C43" s="77"/>
      <c r="D43" s="77"/>
      <c r="E43" s="37"/>
      <c r="F43" s="37"/>
      <c r="G43" s="37" t="s">
        <v>469</v>
      </c>
      <c r="H43" s="37" t="s">
        <v>470</v>
      </c>
    </row>
    <row r="44" spans="2:8" x14ac:dyDescent="0.35">
      <c r="B44" s="37" t="s">
        <v>471</v>
      </c>
      <c r="C44" s="77"/>
      <c r="D44" s="77"/>
      <c r="E44" s="37"/>
      <c r="F44" s="37"/>
      <c r="G44" s="37" t="s">
        <v>472</v>
      </c>
      <c r="H44" s="37" t="s">
        <v>473</v>
      </c>
    </row>
    <row r="45" spans="2:8" x14ac:dyDescent="0.35">
      <c r="B45" s="37" t="s">
        <v>474</v>
      </c>
      <c r="C45" s="77" t="s">
        <v>475</v>
      </c>
      <c r="D45" s="77"/>
      <c r="E45" s="37"/>
      <c r="F45" s="37"/>
      <c r="G45" s="37" t="s">
        <v>476</v>
      </c>
      <c r="H45" s="37" t="s">
        <v>477</v>
      </c>
    </row>
    <row r="46" spans="2:8" x14ac:dyDescent="0.35">
      <c r="B46" s="37" t="s">
        <v>478</v>
      </c>
      <c r="C46" s="77" t="s">
        <v>423</v>
      </c>
      <c r="D46" s="77"/>
      <c r="E46" s="37"/>
      <c r="F46" s="37"/>
      <c r="G46" s="37" t="s">
        <v>479</v>
      </c>
      <c r="H46" s="37" t="s">
        <v>480</v>
      </c>
    </row>
    <row r="47" spans="2:8" x14ac:dyDescent="0.35">
      <c r="B47" s="37" t="s">
        <v>481</v>
      </c>
      <c r="C47" s="77"/>
      <c r="D47" s="77"/>
      <c r="E47" s="37"/>
      <c r="F47" s="37"/>
      <c r="G47" s="37" t="s">
        <v>482</v>
      </c>
      <c r="H47" s="37" t="s">
        <v>483</v>
      </c>
    </row>
    <row r="48" spans="2:8" x14ac:dyDescent="0.35">
      <c r="B48" s="37" t="s">
        <v>484</v>
      </c>
      <c r="C48" s="77"/>
      <c r="D48" s="77"/>
      <c r="E48" s="37"/>
      <c r="F48" s="37"/>
      <c r="G48" s="37" t="s">
        <v>485</v>
      </c>
      <c r="H48" s="37" t="s">
        <v>486</v>
      </c>
    </row>
    <row r="49" spans="2:8" x14ac:dyDescent="0.35">
      <c r="B49" s="37" t="s">
        <v>487</v>
      </c>
      <c r="C49" s="77"/>
      <c r="D49" s="77"/>
      <c r="E49" s="37"/>
      <c r="F49" s="37"/>
      <c r="G49" s="37" t="s">
        <v>488</v>
      </c>
      <c r="H49" s="37" t="s">
        <v>489</v>
      </c>
    </row>
    <row r="50" spans="2:8" x14ac:dyDescent="0.35">
      <c r="B50" s="37" t="s">
        <v>490</v>
      </c>
      <c r="C50" s="77">
        <v>604</v>
      </c>
      <c r="D50" s="77"/>
      <c r="E50" s="37"/>
      <c r="F50" s="37"/>
      <c r="G50" s="37" t="s">
        <v>491</v>
      </c>
      <c r="H50" s="37" t="s">
        <v>429</v>
      </c>
    </row>
    <row r="51" spans="2:8" x14ac:dyDescent="0.35">
      <c r="B51" s="37" t="s">
        <v>492</v>
      </c>
      <c r="C51" s="77">
        <v>1800</v>
      </c>
      <c r="D51" s="77"/>
      <c r="E51" s="37"/>
      <c r="F51" s="37"/>
      <c r="G51" s="37" t="s">
        <v>493</v>
      </c>
      <c r="H51" s="37" t="s">
        <v>494</v>
      </c>
    </row>
    <row r="52" spans="2:8" x14ac:dyDescent="0.35">
      <c r="B52" s="37" t="s">
        <v>495</v>
      </c>
      <c r="C52" s="77">
        <v>122</v>
      </c>
      <c r="D52" s="77"/>
      <c r="E52" s="37"/>
      <c r="F52" s="37"/>
      <c r="G52" s="37" t="s">
        <v>496</v>
      </c>
      <c r="H52" s="37" t="s">
        <v>497</v>
      </c>
    </row>
    <row r="53" spans="2:8" x14ac:dyDescent="0.35">
      <c r="B53" s="37" t="s">
        <v>498</v>
      </c>
      <c r="C53" s="77"/>
      <c r="D53" s="77"/>
      <c r="E53" s="37"/>
      <c r="F53" s="37"/>
      <c r="G53" s="37" t="s">
        <v>499</v>
      </c>
      <c r="H53" s="37" t="s">
        <v>500</v>
      </c>
    </row>
    <row r="54" spans="2:8" x14ac:dyDescent="0.35">
      <c r="B54" s="37" t="s">
        <v>501</v>
      </c>
      <c r="C54" s="77"/>
      <c r="D54" s="77"/>
      <c r="E54" s="37"/>
      <c r="F54" s="37"/>
      <c r="G54" s="37" t="s">
        <v>502</v>
      </c>
      <c r="H54" s="37"/>
    </row>
    <row r="55" spans="2:8" x14ac:dyDescent="0.35">
      <c r="B55" s="37" t="s">
        <v>503</v>
      </c>
      <c r="C55" s="77"/>
      <c r="D55" s="77"/>
      <c r="E55" s="37"/>
      <c r="F55" s="37"/>
      <c r="G55" s="37" t="s">
        <v>504</v>
      </c>
      <c r="H55" s="37"/>
    </row>
    <row r="56" spans="2:8" x14ac:dyDescent="0.35">
      <c r="B56" s="37" t="s">
        <v>505</v>
      </c>
      <c r="C56" s="77"/>
      <c r="D56" s="77"/>
      <c r="E56" s="37"/>
      <c r="F56" s="37"/>
      <c r="G56" s="37" t="s">
        <v>506</v>
      </c>
      <c r="H56" s="37"/>
    </row>
    <row r="58" spans="2:8" x14ac:dyDescent="0.35">
      <c r="B58" s="79" t="s">
        <v>507</v>
      </c>
    </row>
    <row r="59" spans="2:8" x14ac:dyDescent="0.35">
      <c r="B59" s="44" t="s">
        <v>508</v>
      </c>
      <c r="C59" s="44" t="s">
        <v>3</v>
      </c>
      <c r="D59" s="44"/>
      <c r="E59" s="44" t="s">
        <v>509</v>
      </c>
      <c r="F59" s="44"/>
      <c r="G59" s="44" t="s">
        <v>10</v>
      </c>
      <c r="H59" s="44" t="s">
        <v>336</v>
      </c>
    </row>
    <row r="60" spans="2:8" x14ac:dyDescent="0.35">
      <c r="B60" s="37" t="s">
        <v>510</v>
      </c>
      <c r="C60" s="77">
        <v>345</v>
      </c>
      <c r="D60" s="77"/>
      <c r="E60" s="37" t="s">
        <v>511</v>
      </c>
      <c r="F60" s="37"/>
      <c r="G60" s="37" t="s">
        <v>512</v>
      </c>
      <c r="H60" s="37" t="s">
        <v>513</v>
      </c>
    </row>
    <row r="61" spans="2:8" x14ac:dyDescent="0.35">
      <c r="B61" s="37" t="s">
        <v>514</v>
      </c>
      <c r="C61" s="77">
        <v>164</v>
      </c>
      <c r="D61" s="77"/>
      <c r="E61" s="37" t="s">
        <v>515</v>
      </c>
      <c r="F61" s="37"/>
      <c r="G61" s="37" t="s">
        <v>516</v>
      </c>
      <c r="H61" s="37" t="s">
        <v>517</v>
      </c>
    </row>
    <row r="62" spans="2:8" x14ac:dyDescent="0.35">
      <c r="B62" s="37" t="s">
        <v>518</v>
      </c>
      <c r="C62" s="77">
        <v>264</v>
      </c>
      <c r="D62" s="77"/>
      <c r="E62" s="37" t="s">
        <v>519</v>
      </c>
      <c r="F62" s="37"/>
      <c r="G62" s="37" t="s">
        <v>520</v>
      </c>
      <c r="H62" s="37" t="s">
        <v>517</v>
      </c>
    </row>
    <row r="63" spans="2:8" x14ac:dyDescent="0.35">
      <c r="B63" s="37" t="s">
        <v>521</v>
      </c>
      <c r="C63" s="77">
        <v>150</v>
      </c>
      <c r="D63" s="77"/>
      <c r="E63" s="37" t="s">
        <v>522</v>
      </c>
      <c r="F63" s="37"/>
      <c r="G63" s="37" t="s">
        <v>523</v>
      </c>
      <c r="H63" s="37" t="s">
        <v>517</v>
      </c>
    </row>
    <row r="64" spans="2:8" x14ac:dyDescent="0.35">
      <c r="B64" s="37" t="s">
        <v>524</v>
      </c>
      <c r="C64" s="77">
        <v>559</v>
      </c>
      <c r="D64" s="77"/>
      <c r="E64" s="37" t="s">
        <v>525</v>
      </c>
      <c r="F64" s="37"/>
      <c r="G64" s="37" t="s">
        <v>526</v>
      </c>
      <c r="H64" s="37" t="s">
        <v>527</v>
      </c>
    </row>
    <row r="65" spans="2:8" x14ac:dyDescent="0.35">
      <c r="B65" s="37" t="s">
        <v>528</v>
      </c>
      <c r="C65" s="77">
        <v>154</v>
      </c>
      <c r="D65" s="77"/>
      <c r="E65" s="37" t="s">
        <v>529</v>
      </c>
      <c r="F65" s="37"/>
      <c r="G65" s="37" t="s">
        <v>530</v>
      </c>
      <c r="H65" s="37" t="s">
        <v>531</v>
      </c>
    </row>
    <row r="66" spans="2:8" x14ac:dyDescent="0.35">
      <c r="B66" s="37" t="s">
        <v>354</v>
      </c>
      <c r="C66" s="77">
        <v>251</v>
      </c>
      <c r="D66" s="77"/>
      <c r="E66" s="37" t="s">
        <v>532</v>
      </c>
      <c r="F66" s="37"/>
      <c r="G66" s="37" t="s">
        <v>533</v>
      </c>
      <c r="H66" s="37" t="s">
        <v>527</v>
      </c>
    </row>
    <row r="67" spans="2:8" x14ac:dyDescent="0.35">
      <c r="B67" s="37" t="s">
        <v>534</v>
      </c>
      <c r="C67" s="77">
        <v>549</v>
      </c>
      <c r="D67" s="77"/>
      <c r="E67" s="37" t="s">
        <v>535</v>
      </c>
      <c r="F67" s="37"/>
      <c r="G67" s="37" t="s">
        <v>536</v>
      </c>
      <c r="H67" s="37" t="s">
        <v>537</v>
      </c>
    </row>
    <row r="68" spans="2:8" x14ac:dyDescent="0.35">
      <c r="B68" s="37" t="s">
        <v>538</v>
      </c>
      <c r="C68" s="77">
        <v>128</v>
      </c>
      <c r="D68" s="77"/>
      <c r="E68" s="37" t="s">
        <v>539</v>
      </c>
      <c r="F68" s="37"/>
      <c r="G68" s="37" t="s">
        <v>540</v>
      </c>
      <c r="H68" s="37" t="s">
        <v>541</v>
      </c>
    </row>
    <row r="69" spans="2:8" x14ac:dyDescent="0.35">
      <c r="B69" s="37" t="s">
        <v>542</v>
      </c>
      <c r="C69" s="77">
        <v>239</v>
      </c>
      <c r="D69" s="77"/>
      <c r="E69" s="37" t="s">
        <v>543</v>
      </c>
      <c r="F69" s="37"/>
      <c r="G69" s="37" t="s">
        <v>544</v>
      </c>
      <c r="H69" s="37" t="s">
        <v>517</v>
      </c>
    </row>
    <row r="70" spans="2:8" x14ac:dyDescent="0.35">
      <c r="B70" s="37" t="s">
        <v>545</v>
      </c>
      <c r="C70" s="77">
        <v>216</v>
      </c>
      <c r="D70" s="77"/>
      <c r="E70" s="37" t="s">
        <v>546</v>
      </c>
      <c r="F70" s="37"/>
      <c r="G70" s="37" t="s">
        <v>547</v>
      </c>
      <c r="H70" s="37" t="s">
        <v>548</v>
      </c>
    </row>
    <row r="71" spans="2:8" x14ac:dyDescent="0.35">
      <c r="B71" s="37" t="s">
        <v>400</v>
      </c>
      <c r="C71" s="77">
        <v>170</v>
      </c>
      <c r="D71" s="77"/>
      <c r="E71" s="37" t="s">
        <v>549</v>
      </c>
      <c r="F71" s="37"/>
      <c r="G71" s="37" t="s">
        <v>550</v>
      </c>
      <c r="H71" s="37" t="s">
        <v>551</v>
      </c>
    </row>
    <row r="72" spans="2:8" x14ac:dyDescent="0.35">
      <c r="B72" s="37" t="s">
        <v>392</v>
      </c>
      <c r="C72" s="77">
        <v>93</v>
      </c>
      <c r="D72" s="77"/>
      <c r="E72" s="37" t="s">
        <v>552</v>
      </c>
      <c r="F72" s="37"/>
      <c r="G72" s="37" t="s">
        <v>553</v>
      </c>
      <c r="H72" s="37" t="s">
        <v>527</v>
      </c>
    </row>
    <row r="73" spans="2:8" x14ac:dyDescent="0.35">
      <c r="B73" s="37" t="s">
        <v>554</v>
      </c>
      <c r="C73" s="77">
        <v>272</v>
      </c>
      <c r="D73" s="77"/>
      <c r="E73" s="37" t="s">
        <v>555</v>
      </c>
      <c r="F73" s="37"/>
      <c r="G73" s="37" t="s">
        <v>556</v>
      </c>
      <c r="H73" s="37" t="s">
        <v>517</v>
      </c>
    </row>
    <row r="74" spans="2:8" x14ac:dyDescent="0.35">
      <c r="B74" t="s">
        <v>557</v>
      </c>
      <c r="G74" t="s">
        <v>558</v>
      </c>
    </row>
    <row r="76" spans="2:8" x14ac:dyDescent="0.35">
      <c r="B76" s="79" t="s">
        <v>559</v>
      </c>
    </row>
    <row r="77" spans="2:8" x14ac:dyDescent="0.35">
      <c r="B77" s="37" t="s">
        <v>560</v>
      </c>
      <c r="C77" s="77"/>
      <c r="D77" s="77"/>
      <c r="E77" s="37"/>
      <c r="F77" s="37"/>
      <c r="G77" s="37" t="s">
        <v>561</v>
      </c>
      <c r="H77" s="37" t="s">
        <v>562</v>
      </c>
    </row>
    <row r="78" spans="2:8" x14ac:dyDescent="0.35">
      <c r="B78" s="37" t="s">
        <v>563</v>
      </c>
      <c r="C78" s="77"/>
      <c r="D78" s="77"/>
      <c r="E78" s="37"/>
      <c r="F78" s="37"/>
      <c r="G78" s="37" t="s">
        <v>564</v>
      </c>
      <c r="H78" s="37" t="s">
        <v>565</v>
      </c>
    </row>
  </sheetData>
  <mergeCells count="2">
    <mergeCell ref="B36:H36"/>
    <mergeCell ref="B2:H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4fc072-d52f-4752-b8cb-46d6b725e756">
      <Terms xmlns="http://schemas.microsoft.com/office/infopath/2007/PartnerControls"/>
    </lcf76f155ced4ddcb4097134ff3c332f>
    <TaxCatchAll xmlns="844a25e3-3ac4-400b-ae54-819e2dded81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5894668395F49B017619C734C79A0" ma:contentTypeVersion="16" ma:contentTypeDescription="Create a new document." ma:contentTypeScope="" ma:versionID="786148374debf0a8f13e49fcd8898808">
  <xsd:schema xmlns:xsd="http://www.w3.org/2001/XMLSchema" xmlns:xs="http://www.w3.org/2001/XMLSchema" xmlns:p="http://schemas.microsoft.com/office/2006/metadata/properties" xmlns:ns2="f94fc072-d52f-4752-b8cb-46d6b725e756" xmlns:ns3="844a25e3-3ac4-400b-ae54-819e2dded817" targetNamespace="http://schemas.microsoft.com/office/2006/metadata/properties" ma:root="true" ma:fieldsID="d69243a24b53a05e76939d113e925e6d" ns2:_="" ns3:_="">
    <xsd:import namespace="f94fc072-d52f-4752-b8cb-46d6b725e756"/>
    <xsd:import namespace="844a25e3-3ac4-400b-ae54-819e2dded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fc072-d52f-4752-b8cb-46d6b725e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031e4d-5fe5-43ec-8906-83298cd5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a25e3-3ac4-400b-ae54-819e2dded8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34b0b9-125a-4443-8924-0cc991ab9349}" ma:internalName="TaxCatchAll" ma:showField="CatchAllData" ma:web="844a25e3-3ac4-400b-ae54-819e2dded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84BC48-58C2-40CF-88F4-8AB8CA329E7C}">
  <ds:schemaRefs>
    <ds:schemaRef ds:uri="http://schemas.microsoft.com/office/2006/metadata/properties"/>
    <ds:schemaRef ds:uri="http://schemas.microsoft.com/office/infopath/2007/PartnerControls"/>
    <ds:schemaRef ds:uri="f94fc072-d52f-4752-b8cb-46d6b725e756"/>
    <ds:schemaRef ds:uri="844a25e3-3ac4-400b-ae54-819e2dded817"/>
  </ds:schemaRefs>
</ds:datastoreItem>
</file>

<file path=customXml/itemProps2.xml><?xml version="1.0" encoding="utf-8"?>
<ds:datastoreItem xmlns:ds="http://schemas.openxmlformats.org/officeDocument/2006/customXml" ds:itemID="{3F55F243-8897-4ED5-8920-81D7D1C677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749556-43C0-479A-A443-A9C8DC7CA5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4fc072-d52f-4752-b8cb-46d6b725e756"/>
    <ds:schemaRef ds:uri="844a25e3-3ac4-400b-ae54-819e2dded8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Competitive Analysis</vt:lpstr>
      <vt:lpstr>Supply &amp; Absorption</vt:lpstr>
      <vt:lpstr>Reconciliation Log</vt:lpstr>
      <vt:lpstr>Diligence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Ritter</cp:lastModifiedBy>
  <dcterms:created xsi:type="dcterms:W3CDTF">2026-07-16T11:58:48Z</dcterms:created>
  <dcterms:modified xsi:type="dcterms:W3CDTF">2026-08-16T23:36:56Z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0x01010055F5894668395F49B017619C734C79A0</vt:lpwstr>
  </property>
</Properties>
</file>