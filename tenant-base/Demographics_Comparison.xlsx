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ilestonegp.sharepoint.com/sites/TMG-Internal-T/Milestone/Investments-Unrealized/00. Acquisitions/03. West/01. Mountain West/Boise/Seasons at Meridian/Seasons vs Canyon Exec Summ/"/>
    </mc:Choice>
  </mc:AlternateContent>
  <xr:revisionPtr revIDLastSave="40" documentId="11_870C3E1F018CB2C4C9D8C3A704B52900C2B3ED02" xr6:coauthVersionLast="47" xr6:coauthVersionMax="47" xr10:uidLastSave="{47EBB46F-7FEA-4CCB-A93A-C50B760E782D}"/>
  <bookViews>
    <workbookView xWindow="14760" yWindow="-16320" windowWidth="29040" windowHeight="15720" tabRatio="500" activeTab="2" xr2:uid="{00000000-000D-0000-FFFF-FFFF00000000}"/>
  </bookViews>
  <sheets>
    <sheet name="READ ME" sheetId="1" r:id="rId1"/>
    <sheet name="Overview" sheetId="2" r:id="rId2"/>
    <sheet name="Tier Summary" sheetId="3" r:id="rId3"/>
    <sheet name="Income &amp; Coverage" sheetId="4" r:id="rId4"/>
    <sheet name="Industry Mix" sheetId="5" r:id="rId5"/>
    <sheet name="Lease-Up &amp; Churn" sheetId="6" r:id="rId6"/>
    <sheet name="Micron Detail - Seasons" sheetId="7" r:id="rId7"/>
    <sheet name="Employers - Seasons" sheetId="8" r:id="rId8"/>
    <sheet name="Employers - Canyon Ridge" sheetId="9" r:id="rId9"/>
    <sheet name="Unit Coverage Detail" sheetId="10" r:id="rId10"/>
    <sheet name="Seasons Data" sheetId="11" r:id="rId11"/>
    <sheet name="Name Map - Seasons" sheetId="12" r:id="rId12"/>
    <sheet name="CR Data" sheetId="13" r:id="rId13"/>
  </sheets>
  <definedNames>
    <definedName name="_xlnm._FilterDatabase" localSheetId="8" hidden="1">'Employers - Canyon Ridge'!$A$4:$I$155</definedName>
    <definedName name="_xlnm._FilterDatabase" localSheetId="7" hidden="1">'Employers - Seasons'!$A$4:$I$312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95" i="10" l="1"/>
  <c r="F595" i="10" s="1"/>
  <c r="E594" i="10"/>
  <c r="F594" i="10" s="1"/>
  <c r="E593" i="10"/>
  <c r="F593" i="10" s="1"/>
  <c r="E592" i="10"/>
  <c r="F592" i="10" s="1"/>
  <c r="E591" i="10"/>
  <c r="F591" i="10" s="1"/>
  <c r="E590" i="10"/>
  <c r="F590" i="10" s="1"/>
  <c r="E589" i="10"/>
  <c r="F589" i="10" s="1"/>
  <c r="E588" i="10"/>
  <c r="F588" i="10" s="1"/>
  <c r="E587" i="10"/>
  <c r="F587" i="10" s="1"/>
  <c r="E586" i="10"/>
  <c r="F586" i="10" s="1"/>
  <c r="E585" i="10"/>
  <c r="F585" i="10" s="1"/>
  <c r="E584" i="10"/>
  <c r="F584" i="10" s="1"/>
  <c r="E583" i="10"/>
  <c r="F583" i="10" s="1"/>
  <c r="E582" i="10"/>
  <c r="F582" i="10" s="1"/>
  <c r="E581" i="10"/>
  <c r="F581" i="10" s="1"/>
  <c r="E580" i="10"/>
  <c r="F580" i="10" s="1"/>
  <c r="E579" i="10"/>
  <c r="F579" i="10" s="1"/>
  <c r="E578" i="10"/>
  <c r="F578" i="10" s="1"/>
  <c r="E577" i="10"/>
  <c r="F577" i="10" s="1"/>
  <c r="E576" i="10"/>
  <c r="F576" i="10" s="1"/>
  <c r="E575" i="10"/>
  <c r="F575" i="10" s="1"/>
  <c r="E574" i="10"/>
  <c r="F574" i="10" s="1"/>
  <c r="E573" i="10"/>
  <c r="F573" i="10" s="1"/>
  <c r="E572" i="10"/>
  <c r="F572" i="10" s="1"/>
  <c r="E571" i="10"/>
  <c r="F571" i="10" s="1"/>
  <c r="E570" i="10"/>
  <c r="F570" i="10" s="1"/>
  <c r="E569" i="10"/>
  <c r="F569" i="10" s="1"/>
  <c r="E568" i="10"/>
  <c r="F568" i="10" s="1"/>
  <c r="E567" i="10"/>
  <c r="F567" i="10" s="1"/>
  <c r="E566" i="10"/>
  <c r="F566" i="10" s="1"/>
  <c r="E565" i="10"/>
  <c r="F565" i="10" s="1"/>
  <c r="E564" i="10"/>
  <c r="F564" i="10" s="1"/>
  <c r="E563" i="10"/>
  <c r="F563" i="10" s="1"/>
  <c r="E562" i="10"/>
  <c r="F562" i="10" s="1"/>
  <c r="E561" i="10"/>
  <c r="F561" i="10" s="1"/>
  <c r="E560" i="10"/>
  <c r="F560" i="10" s="1"/>
  <c r="E559" i="10"/>
  <c r="F559" i="10" s="1"/>
  <c r="E558" i="10"/>
  <c r="F558" i="10" s="1"/>
  <c r="E557" i="10"/>
  <c r="F557" i="10" s="1"/>
  <c r="E556" i="10"/>
  <c r="F556" i="10" s="1"/>
  <c r="E555" i="10"/>
  <c r="F555" i="10" s="1"/>
  <c r="E554" i="10"/>
  <c r="F554" i="10" s="1"/>
  <c r="E553" i="10"/>
  <c r="F553" i="10" s="1"/>
  <c r="E552" i="10"/>
  <c r="F552" i="10" s="1"/>
  <c r="E551" i="10"/>
  <c r="F551" i="10" s="1"/>
  <c r="E550" i="10"/>
  <c r="F550" i="10" s="1"/>
  <c r="E549" i="10"/>
  <c r="F549" i="10" s="1"/>
  <c r="E548" i="10"/>
  <c r="F548" i="10" s="1"/>
  <c r="E547" i="10"/>
  <c r="F547" i="10" s="1"/>
  <c r="E546" i="10"/>
  <c r="F546" i="10" s="1"/>
  <c r="E545" i="10"/>
  <c r="F545" i="10" s="1"/>
  <c r="E544" i="10"/>
  <c r="F544" i="10" s="1"/>
  <c r="E543" i="10"/>
  <c r="F543" i="10" s="1"/>
  <c r="E542" i="10"/>
  <c r="F542" i="10" s="1"/>
  <c r="E541" i="10"/>
  <c r="F541" i="10" s="1"/>
  <c r="E540" i="10"/>
  <c r="F540" i="10" s="1"/>
  <c r="E539" i="10"/>
  <c r="F539" i="10" s="1"/>
  <c r="E538" i="10"/>
  <c r="F538" i="10" s="1"/>
  <c r="E537" i="10"/>
  <c r="F537" i="10" s="1"/>
  <c r="E536" i="10"/>
  <c r="F536" i="10" s="1"/>
  <c r="E535" i="10"/>
  <c r="F535" i="10" s="1"/>
  <c r="E534" i="10"/>
  <c r="F534" i="10" s="1"/>
  <c r="E533" i="10"/>
  <c r="F533" i="10" s="1"/>
  <c r="E532" i="10"/>
  <c r="F532" i="10" s="1"/>
  <c r="E531" i="10"/>
  <c r="F531" i="10" s="1"/>
  <c r="E530" i="10"/>
  <c r="F530" i="10" s="1"/>
  <c r="E529" i="10"/>
  <c r="F529" i="10" s="1"/>
  <c r="E528" i="10"/>
  <c r="F528" i="10" s="1"/>
  <c r="E527" i="10"/>
  <c r="F527" i="10" s="1"/>
  <c r="E526" i="10"/>
  <c r="F526" i="10" s="1"/>
  <c r="E525" i="10"/>
  <c r="F525" i="10" s="1"/>
  <c r="E524" i="10"/>
  <c r="F524" i="10" s="1"/>
  <c r="E523" i="10"/>
  <c r="F523" i="10" s="1"/>
  <c r="E522" i="10"/>
  <c r="F522" i="10" s="1"/>
  <c r="E521" i="10"/>
  <c r="F521" i="10" s="1"/>
  <c r="E520" i="10"/>
  <c r="F520" i="10" s="1"/>
  <c r="E519" i="10"/>
  <c r="F519" i="10" s="1"/>
  <c r="E518" i="10"/>
  <c r="F518" i="10" s="1"/>
  <c r="E517" i="10"/>
  <c r="F517" i="10" s="1"/>
  <c r="E516" i="10"/>
  <c r="F516" i="10" s="1"/>
  <c r="E515" i="10"/>
  <c r="F515" i="10" s="1"/>
  <c r="F514" i="10"/>
  <c r="E514" i="10"/>
  <c r="E513" i="10"/>
  <c r="F513" i="10" s="1"/>
  <c r="E512" i="10"/>
  <c r="F512" i="10" s="1"/>
  <c r="E511" i="10"/>
  <c r="F511" i="10" s="1"/>
  <c r="E510" i="10"/>
  <c r="F510" i="10" s="1"/>
  <c r="E509" i="10"/>
  <c r="F509" i="10" s="1"/>
  <c r="E508" i="10"/>
  <c r="F508" i="10" s="1"/>
  <c r="E507" i="10"/>
  <c r="F507" i="10" s="1"/>
  <c r="E506" i="10"/>
  <c r="F506" i="10" s="1"/>
  <c r="E505" i="10"/>
  <c r="F505" i="10" s="1"/>
  <c r="E504" i="10"/>
  <c r="F504" i="10" s="1"/>
  <c r="E503" i="10"/>
  <c r="F503" i="10" s="1"/>
  <c r="E502" i="10"/>
  <c r="F502" i="10" s="1"/>
  <c r="E501" i="10"/>
  <c r="F501" i="10" s="1"/>
  <c r="F500" i="10"/>
  <c r="E500" i="10"/>
  <c r="E499" i="10"/>
  <c r="F499" i="10" s="1"/>
  <c r="E498" i="10"/>
  <c r="F498" i="10" s="1"/>
  <c r="E497" i="10"/>
  <c r="F497" i="10" s="1"/>
  <c r="E496" i="10"/>
  <c r="F496" i="10" s="1"/>
  <c r="E495" i="10"/>
  <c r="F495" i="10" s="1"/>
  <c r="E494" i="10"/>
  <c r="F494" i="10" s="1"/>
  <c r="E493" i="10"/>
  <c r="F493" i="10" s="1"/>
  <c r="E492" i="10"/>
  <c r="F492" i="10" s="1"/>
  <c r="E491" i="10"/>
  <c r="F491" i="10" s="1"/>
  <c r="E490" i="10"/>
  <c r="F490" i="10" s="1"/>
  <c r="E489" i="10"/>
  <c r="F489" i="10" s="1"/>
  <c r="E488" i="10"/>
  <c r="F488" i="10" s="1"/>
  <c r="E487" i="10"/>
  <c r="F487" i="10" s="1"/>
  <c r="E486" i="10"/>
  <c r="F486" i="10" s="1"/>
  <c r="E485" i="10"/>
  <c r="F485" i="10" s="1"/>
  <c r="E484" i="10"/>
  <c r="F484" i="10" s="1"/>
  <c r="E483" i="10"/>
  <c r="F483" i="10" s="1"/>
  <c r="E482" i="10"/>
  <c r="F482" i="10" s="1"/>
  <c r="E481" i="10"/>
  <c r="F481" i="10" s="1"/>
  <c r="F480" i="10"/>
  <c r="E480" i="10"/>
  <c r="E479" i="10"/>
  <c r="F479" i="10" s="1"/>
  <c r="E478" i="10"/>
  <c r="F478" i="10" s="1"/>
  <c r="E477" i="10"/>
  <c r="F477" i="10" s="1"/>
  <c r="F476" i="10"/>
  <c r="E476" i="10"/>
  <c r="E475" i="10"/>
  <c r="F475" i="10" s="1"/>
  <c r="E474" i="10"/>
  <c r="F474" i="10" s="1"/>
  <c r="E473" i="10"/>
  <c r="F473" i="10" s="1"/>
  <c r="F472" i="10"/>
  <c r="E472" i="10"/>
  <c r="E471" i="10"/>
  <c r="F471" i="10" s="1"/>
  <c r="E470" i="10"/>
  <c r="F470" i="10" s="1"/>
  <c r="E469" i="10"/>
  <c r="F469" i="10" s="1"/>
  <c r="E468" i="10"/>
  <c r="F468" i="10" s="1"/>
  <c r="E467" i="10"/>
  <c r="F467" i="10" s="1"/>
  <c r="E466" i="10"/>
  <c r="F466" i="10" s="1"/>
  <c r="E465" i="10"/>
  <c r="F465" i="10" s="1"/>
  <c r="E464" i="10"/>
  <c r="F464" i="10" s="1"/>
  <c r="E463" i="10"/>
  <c r="F463" i="10" s="1"/>
  <c r="E462" i="10"/>
  <c r="F462" i="10" s="1"/>
  <c r="E461" i="10"/>
  <c r="F461" i="10" s="1"/>
  <c r="E460" i="10"/>
  <c r="F460" i="10" s="1"/>
  <c r="E459" i="10"/>
  <c r="F459" i="10" s="1"/>
  <c r="E458" i="10"/>
  <c r="F458" i="10" s="1"/>
  <c r="E457" i="10"/>
  <c r="F457" i="10" s="1"/>
  <c r="E456" i="10"/>
  <c r="F456" i="10" s="1"/>
  <c r="E455" i="10"/>
  <c r="F455" i="10" s="1"/>
  <c r="E454" i="10"/>
  <c r="F454" i="10" s="1"/>
  <c r="E453" i="10"/>
  <c r="F453" i="10" s="1"/>
  <c r="E452" i="10"/>
  <c r="F452" i="10" s="1"/>
  <c r="E451" i="10"/>
  <c r="F451" i="10" s="1"/>
  <c r="E450" i="10"/>
  <c r="F450" i="10" s="1"/>
  <c r="E449" i="10"/>
  <c r="F449" i="10" s="1"/>
  <c r="E448" i="10"/>
  <c r="F448" i="10" s="1"/>
  <c r="E447" i="10"/>
  <c r="F447" i="10" s="1"/>
  <c r="E446" i="10"/>
  <c r="F446" i="10" s="1"/>
  <c r="E445" i="10"/>
  <c r="F445" i="10" s="1"/>
  <c r="F444" i="10"/>
  <c r="E444" i="10"/>
  <c r="E443" i="10"/>
  <c r="F443" i="10" s="1"/>
  <c r="F442" i="10"/>
  <c r="E442" i="10"/>
  <c r="E441" i="10"/>
  <c r="F441" i="10" s="1"/>
  <c r="E440" i="10"/>
  <c r="F440" i="10" s="1"/>
  <c r="E439" i="10"/>
  <c r="F439" i="10" s="1"/>
  <c r="E438" i="10"/>
  <c r="F438" i="10" s="1"/>
  <c r="E437" i="10"/>
  <c r="F437" i="10" s="1"/>
  <c r="E436" i="10"/>
  <c r="F436" i="10" s="1"/>
  <c r="E435" i="10"/>
  <c r="F435" i="10" s="1"/>
  <c r="E434" i="10"/>
  <c r="F434" i="10" s="1"/>
  <c r="E433" i="10"/>
  <c r="F433" i="10" s="1"/>
  <c r="E432" i="10"/>
  <c r="F432" i="10" s="1"/>
  <c r="E431" i="10"/>
  <c r="F431" i="10" s="1"/>
  <c r="E430" i="10"/>
  <c r="F430" i="10" s="1"/>
  <c r="E429" i="10"/>
  <c r="F429" i="10" s="1"/>
  <c r="E428" i="10"/>
  <c r="F428" i="10" s="1"/>
  <c r="E427" i="10"/>
  <c r="F427" i="10" s="1"/>
  <c r="E426" i="10"/>
  <c r="F426" i="10" s="1"/>
  <c r="E425" i="10"/>
  <c r="F425" i="10" s="1"/>
  <c r="E424" i="10"/>
  <c r="F424" i="10" s="1"/>
  <c r="E423" i="10"/>
  <c r="F423" i="10" s="1"/>
  <c r="E422" i="10"/>
  <c r="F422" i="10" s="1"/>
  <c r="E421" i="10"/>
  <c r="F421" i="10" s="1"/>
  <c r="E420" i="10"/>
  <c r="F420" i="10" s="1"/>
  <c r="E419" i="10"/>
  <c r="F419" i="10" s="1"/>
  <c r="E418" i="10"/>
  <c r="F418" i="10" s="1"/>
  <c r="E417" i="10"/>
  <c r="F417" i="10" s="1"/>
  <c r="E416" i="10"/>
  <c r="F416" i="10" s="1"/>
  <c r="E415" i="10"/>
  <c r="F415" i="10" s="1"/>
  <c r="E414" i="10"/>
  <c r="F414" i="10" s="1"/>
  <c r="E413" i="10"/>
  <c r="F413" i="10" s="1"/>
  <c r="E412" i="10"/>
  <c r="F412" i="10" s="1"/>
  <c r="E411" i="10"/>
  <c r="F411" i="10" s="1"/>
  <c r="E410" i="10"/>
  <c r="F410" i="10" s="1"/>
  <c r="E409" i="10"/>
  <c r="F409" i="10" s="1"/>
  <c r="E408" i="10"/>
  <c r="F408" i="10" s="1"/>
  <c r="E407" i="10"/>
  <c r="F407" i="10" s="1"/>
  <c r="E406" i="10"/>
  <c r="F406" i="10" s="1"/>
  <c r="E405" i="10"/>
  <c r="F405" i="10" s="1"/>
  <c r="E404" i="10"/>
  <c r="F404" i="10" s="1"/>
  <c r="E403" i="10"/>
  <c r="F403" i="10" s="1"/>
  <c r="E402" i="10"/>
  <c r="F402" i="10" s="1"/>
  <c r="E401" i="10"/>
  <c r="F401" i="10" s="1"/>
  <c r="E400" i="10"/>
  <c r="F400" i="10" s="1"/>
  <c r="E399" i="10"/>
  <c r="F399" i="10" s="1"/>
  <c r="E398" i="10"/>
  <c r="F398" i="10" s="1"/>
  <c r="E397" i="10"/>
  <c r="F397" i="10" s="1"/>
  <c r="E396" i="10"/>
  <c r="F396" i="10" s="1"/>
  <c r="E395" i="10"/>
  <c r="F395" i="10" s="1"/>
  <c r="E394" i="10"/>
  <c r="F394" i="10" s="1"/>
  <c r="F393" i="10"/>
  <c r="E393" i="10"/>
  <c r="E392" i="10"/>
  <c r="F392" i="10" s="1"/>
  <c r="E391" i="10"/>
  <c r="F391" i="10" s="1"/>
  <c r="E390" i="10"/>
  <c r="F390" i="10" s="1"/>
  <c r="E389" i="10"/>
  <c r="F389" i="10" s="1"/>
  <c r="E388" i="10"/>
  <c r="F388" i="10" s="1"/>
  <c r="E387" i="10"/>
  <c r="F387" i="10" s="1"/>
  <c r="E386" i="10"/>
  <c r="F386" i="10" s="1"/>
  <c r="E385" i="10"/>
  <c r="F385" i="10" s="1"/>
  <c r="E384" i="10"/>
  <c r="F384" i="10" s="1"/>
  <c r="E383" i="10"/>
  <c r="F383" i="10" s="1"/>
  <c r="E382" i="10"/>
  <c r="F382" i="10" s="1"/>
  <c r="E381" i="10"/>
  <c r="F381" i="10" s="1"/>
  <c r="E380" i="10"/>
  <c r="F380" i="10" s="1"/>
  <c r="E379" i="10"/>
  <c r="F379" i="10" s="1"/>
  <c r="E378" i="10"/>
  <c r="F378" i="10" s="1"/>
  <c r="E377" i="10"/>
  <c r="F377" i="10" s="1"/>
  <c r="E376" i="10"/>
  <c r="F376" i="10" s="1"/>
  <c r="F375" i="10"/>
  <c r="E375" i="10"/>
  <c r="E374" i="10"/>
  <c r="F374" i="10" s="1"/>
  <c r="E373" i="10"/>
  <c r="F373" i="10" s="1"/>
  <c r="E372" i="10"/>
  <c r="F372" i="10" s="1"/>
  <c r="E371" i="10"/>
  <c r="F371" i="10" s="1"/>
  <c r="E370" i="10"/>
  <c r="F370" i="10" s="1"/>
  <c r="E369" i="10"/>
  <c r="F369" i="10" s="1"/>
  <c r="E368" i="10"/>
  <c r="F368" i="10" s="1"/>
  <c r="E367" i="10"/>
  <c r="F367" i="10" s="1"/>
  <c r="F366" i="10"/>
  <c r="E366" i="10"/>
  <c r="E365" i="10"/>
  <c r="F365" i="10" s="1"/>
  <c r="E364" i="10"/>
  <c r="F364" i="10" s="1"/>
  <c r="E363" i="10"/>
  <c r="F363" i="10" s="1"/>
  <c r="E362" i="10"/>
  <c r="F362" i="10" s="1"/>
  <c r="E361" i="10"/>
  <c r="F361" i="10" s="1"/>
  <c r="E360" i="10"/>
  <c r="F360" i="10" s="1"/>
  <c r="E359" i="10"/>
  <c r="F359" i="10" s="1"/>
  <c r="F358" i="10"/>
  <c r="E358" i="10"/>
  <c r="E357" i="10"/>
  <c r="F357" i="10" s="1"/>
  <c r="E356" i="10"/>
  <c r="F356" i="10" s="1"/>
  <c r="E355" i="10"/>
  <c r="F355" i="10" s="1"/>
  <c r="E354" i="10"/>
  <c r="F354" i="10" s="1"/>
  <c r="E353" i="10"/>
  <c r="F353" i="10" s="1"/>
  <c r="E352" i="10"/>
  <c r="F352" i="10" s="1"/>
  <c r="E351" i="10"/>
  <c r="F351" i="10" s="1"/>
  <c r="E350" i="10"/>
  <c r="F350" i="10" s="1"/>
  <c r="E349" i="10"/>
  <c r="F349" i="10" s="1"/>
  <c r="E348" i="10"/>
  <c r="F348" i="10" s="1"/>
  <c r="E347" i="10"/>
  <c r="F347" i="10" s="1"/>
  <c r="E346" i="10"/>
  <c r="F346" i="10" s="1"/>
  <c r="E345" i="10"/>
  <c r="F345" i="10" s="1"/>
  <c r="E344" i="10"/>
  <c r="F344" i="10" s="1"/>
  <c r="E343" i="10"/>
  <c r="F343" i="10" s="1"/>
  <c r="E342" i="10"/>
  <c r="F342" i="10" s="1"/>
  <c r="E341" i="10"/>
  <c r="F341" i="10" s="1"/>
  <c r="E340" i="10"/>
  <c r="F340" i="10" s="1"/>
  <c r="E339" i="10"/>
  <c r="F339" i="10" s="1"/>
  <c r="E338" i="10"/>
  <c r="F338" i="10" s="1"/>
  <c r="E337" i="10"/>
  <c r="F337" i="10" s="1"/>
  <c r="E336" i="10"/>
  <c r="F336" i="10" s="1"/>
  <c r="E335" i="10"/>
  <c r="F335" i="10" s="1"/>
  <c r="E334" i="10"/>
  <c r="F334" i="10" s="1"/>
  <c r="E333" i="10"/>
  <c r="F333" i="10" s="1"/>
  <c r="E332" i="10"/>
  <c r="F332" i="10" s="1"/>
  <c r="E331" i="10"/>
  <c r="F331" i="10" s="1"/>
  <c r="F330" i="10"/>
  <c r="E330" i="10"/>
  <c r="E329" i="10"/>
  <c r="F329" i="10" s="1"/>
  <c r="E328" i="10"/>
  <c r="F328" i="10" s="1"/>
  <c r="E327" i="10"/>
  <c r="F327" i="10" s="1"/>
  <c r="E326" i="10"/>
  <c r="F326" i="10" s="1"/>
  <c r="E325" i="10"/>
  <c r="F325" i="10" s="1"/>
  <c r="E324" i="10"/>
  <c r="F324" i="10" s="1"/>
  <c r="E323" i="10"/>
  <c r="F323" i="10" s="1"/>
  <c r="E322" i="10"/>
  <c r="F322" i="10" s="1"/>
  <c r="E321" i="10"/>
  <c r="F321" i="10" s="1"/>
  <c r="E320" i="10"/>
  <c r="F320" i="10" s="1"/>
  <c r="E319" i="10"/>
  <c r="F319" i="10" s="1"/>
  <c r="E318" i="10"/>
  <c r="F318" i="10" s="1"/>
  <c r="E317" i="10"/>
  <c r="F317" i="10" s="1"/>
  <c r="E316" i="10"/>
  <c r="F316" i="10" s="1"/>
  <c r="E315" i="10"/>
  <c r="F315" i="10" s="1"/>
  <c r="F314" i="10"/>
  <c r="E314" i="10"/>
  <c r="E313" i="10"/>
  <c r="F313" i="10" s="1"/>
  <c r="E312" i="10"/>
  <c r="F312" i="10" s="1"/>
  <c r="E311" i="10"/>
  <c r="F311" i="10" s="1"/>
  <c r="E310" i="10"/>
  <c r="F310" i="10" s="1"/>
  <c r="E309" i="10"/>
  <c r="F309" i="10" s="1"/>
  <c r="E308" i="10"/>
  <c r="F308" i="10" s="1"/>
  <c r="E307" i="10"/>
  <c r="F307" i="10" s="1"/>
  <c r="E306" i="10"/>
  <c r="F306" i="10" s="1"/>
  <c r="E305" i="10"/>
  <c r="F305" i="10" s="1"/>
  <c r="E304" i="10"/>
  <c r="F304" i="10" s="1"/>
  <c r="E303" i="10"/>
  <c r="F303" i="10" s="1"/>
  <c r="E302" i="10"/>
  <c r="F302" i="10" s="1"/>
  <c r="E301" i="10"/>
  <c r="F301" i="10" s="1"/>
  <c r="E300" i="10"/>
  <c r="F300" i="10" s="1"/>
  <c r="E299" i="10"/>
  <c r="F299" i="10" s="1"/>
  <c r="E298" i="10"/>
  <c r="F298" i="10" s="1"/>
  <c r="E297" i="10"/>
  <c r="F297" i="10" s="1"/>
  <c r="E296" i="10"/>
  <c r="F296" i="10" s="1"/>
  <c r="E295" i="10"/>
  <c r="F295" i="10" s="1"/>
  <c r="E294" i="10"/>
  <c r="F294" i="10" s="1"/>
  <c r="F293" i="10"/>
  <c r="E293" i="10"/>
  <c r="F292" i="10"/>
  <c r="E292" i="10"/>
  <c r="E291" i="10"/>
  <c r="F291" i="10" s="1"/>
  <c r="D39" i="4" s="1"/>
  <c r="E290" i="10"/>
  <c r="F290" i="10" s="1"/>
  <c r="E289" i="10"/>
  <c r="F289" i="10" s="1"/>
  <c r="E288" i="10"/>
  <c r="F288" i="10" s="1"/>
  <c r="E287" i="10"/>
  <c r="F287" i="10" s="1"/>
  <c r="E286" i="10"/>
  <c r="F286" i="10" s="1"/>
  <c r="E285" i="10"/>
  <c r="F285" i="10" s="1"/>
  <c r="F284" i="10"/>
  <c r="E284" i="10"/>
  <c r="E283" i="10"/>
  <c r="F283" i="10" s="1"/>
  <c r="E282" i="10"/>
  <c r="F282" i="10" s="1"/>
  <c r="E281" i="10"/>
  <c r="F281" i="10" s="1"/>
  <c r="E280" i="10"/>
  <c r="F280" i="10" s="1"/>
  <c r="E279" i="10"/>
  <c r="F279" i="10" s="1"/>
  <c r="E278" i="10"/>
  <c r="F278" i="10" s="1"/>
  <c r="E277" i="10"/>
  <c r="F277" i="10" s="1"/>
  <c r="E276" i="10"/>
  <c r="F276" i="10" s="1"/>
  <c r="E275" i="10"/>
  <c r="F275" i="10" s="1"/>
  <c r="F274" i="10"/>
  <c r="E274" i="10"/>
  <c r="E273" i="10"/>
  <c r="F273" i="10" s="1"/>
  <c r="E272" i="10"/>
  <c r="F272" i="10" s="1"/>
  <c r="E271" i="10"/>
  <c r="F271" i="10" s="1"/>
  <c r="E270" i="10"/>
  <c r="F270" i="10" s="1"/>
  <c r="E269" i="10"/>
  <c r="F269" i="10" s="1"/>
  <c r="E268" i="10"/>
  <c r="F268" i="10" s="1"/>
  <c r="E267" i="10"/>
  <c r="F267" i="10" s="1"/>
  <c r="E266" i="10"/>
  <c r="F266" i="10" s="1"/>
  <c r="E265" i="10"/>
  <c r="F265" i="10" s="1"/>
  <c r="E264" i="10"/>
  <c r="F264" i="10" s="1"/>
  <c r="E263" i="10"/>
  <c r="F263" i="10" s="1"/>
  <c r="E262" i="10"/>
  <c r="F262" i="10" s="1"/>
  <c r="E261" i="10"/>
  <c r="F261" i="10" s="1"/>
  <c r="E260" i="10"/>
  <c r="F260" i="10" s="1"/>
  <c r="E259" i="10"/>
  <c r="F259" i="10" s="1"/>
  <c r="E258" i="10"/>
  <c r="F258" i="10" s="1"/>
  <c r="E257" i="10"/>
  <c r="F257" i="10" s="1"/>
  <c r="F256" i="10"/>
  <c r="E256" i="10"/>
  <c r="E255" i="10"/>
  <c r="F255" i="10" s="1"/>
  <c r="E254" i="10"/>
  <c r="F254" i="10" s="1"/>
  <c r="E253" i="10"/>
  <c r="F253" i="10" s="1"/>
  <c r="F252" i="10"/>
  <c r="E252" i="10"/>
  <c r="E251" i="10"/>
  <c r="F251" i="10" s="1"/>
  <c r="E250" i="10"/>
  <c r="F250" i="10" s="1"/>
  <c r="E249" i="10"/>
  <c r="F249" i="10" s="1"/>
  <c r="E248" i="10"/>
  <c r="F248" i="10" s="1"/>
  <c r="E247" i="10"/>
  <c r="F247" i="10" s="1"/>
  <c r="F246" i="10"/>
  <c r="E246" i="10"/>
  <c r="E245" i="10"/>
  <c r="F245" i="10" s="1"/>
  <c r="E244" i="10"/>
  <c r="F244" i="10" s="1"/>
  <c r="E243" i="10"/>
  <c r="F243" i="10" s="1"/>
  <c r="F242" i="10"/>
  <c r="E242" i="10"/>
  <c r="E241" i="10"/>
  <c r="F241" i="10" s="1"/>
  <c r="E240" i="10"/>
  <c r="F240" i="10" s="1"/>
  <c r="E239" i="10"/>
  <c r="F239" i="10" s="1"/>
  <c r="E238" i="10"/>
  <c r="F238" i="10" s="1"/>
  <c r="E237" i="10"/>
  <c r="F237" i="10" s="1"/>
  <c r="E236" i="10"/>
  <c r="F236" i="10" s="1"/>
  <c r="E235" i="10"/>
  <c r="F235" i="10" s="1"/>
  <c r="E234" i="10"/>
  <c r="F234" i="10" s="1"/>
  <c r="E233" i="10"/>
  <c r="F233" i="10" s="1"/>
  <c r="E232" i="10"/>
  <c r="F232" i="10" s="1"/>
  <c r="E231" i="10"/>
  <c r="F231" i="10" s="1"/>
  <c r="E230" i="10"/>
  <c r="F230" i="10" s="1"/>
  <c r="E229" i="10"/>
  <c r="F229" i="10" s="1"/>
  <c r="E228" i="10"/>
  <c r="F228" i="10" s="1"/>
  <c r="E227" i="10"/>
  <c r="F227" i="10" s="1"/>
  <c r="E226" i="10"/>
  <c r="F226" i="10" s="1"/>
  <c r="E225" i="10"/>
  <c r="F225" i="10" s="1"/>
  <c r="F224" i="10"/>
  <c r="E224" i="10"/>
  <c r="E223" i="10"/>
  <c r="F223" i="10" s="1"/>
  <c r="E222" i="10"/>
  <c r="F222" i="10" s="1"/>
  <c r="E221" i="10"/>
  <c r="F221" i="10" s="1"/>
  <c r="F220" i="10"/>
  <c r="E220" i="10"/>
  <c r="E219" i="10"/>
  <c r="F219" i="10" s="1"/>
  <c r="E218" i="10"/>
  <c r="F218" i="10" s="1"/>
  <c r="E217" i="10"/>
  <c r="F217" i="10" s="1"/>
  <c r="F216" i="10"/>
  <c r="E216" i="10"/>
  <c r="E215" i="10"/>
  <c r="F215" i="10" s="1"/>
  <c r="E214" i="10"/>
  <c r="F214" i="10" s="1"/>
  <c r="E213" i="10"/>
  <c r="F213" i="10" s="1"/>
  <c r="E212" i="10"/>
  <c r="F212" i="10" s="1"/>
  <c r="E211" i="10"/>
  <c r="F211" i="10" s="1"/>
  <c r="E210" i="10"/>
  <c r="F210" i="10" s="1"/>
  <c r="E209" i="10"/>
  <c r="F209" i="10" s="1"/>
  <c r="E208" i="10"/>
  <c r="F208" i="10" s="1"/>
  <c r="E207" i="10"/>
  <c r="F207" i="10" s="1"/>
  <c r="E206" i="10"/>
  <c r="F206" i="10" s="1"/>
  <c r="E205" i="10"/>
  <c r="F205" i="10" s="1"/>
  <c r="E204" i="10"/>
  <c r="F204" i="10" s="1"/>
  <c r="E203" i="10"/>
  <c r="F203" i="10" s="1"/>
  <c r="E202" i="10"/>
  <c r="F202" i="10" s="1"/>
  <c r="E201" i="10"/>
  <c r="F201" i="10" s="1"/>
  <c r="E200" i="10"/>
  <c r="F200" i="10" s="1"/>
  <c r="E199" i="10"/>
  <c r="F199" i="10" s="1"/>
  <c r="E198" i="10"/>
  <c r="F198" i="10" s="1"/>
  <c r="E197" i="10"/>
  <c r="F197" i="10" s="1"/>
  <c r="E196" i="10"/>
  <c r="F196" i="10" s="1"/>
  <c r="E195" i="10"/>
  <c r="F195" i="10" s="1"/>
  <c r="E194" i="10"/>
  <c r="F194" i="10" s="1"/>
  <c r="F193" i="10"/>
  <c r="E193" i="10"/>
  <c r="E192" i="10"/>
  <c r="F192" i="10" s="1"/>
  <c r="F191" i="10"/>
  <c r="E191" i="10"/>
  <c r="E190" i="10"/>
  <c r="F190" i="10" s="1"/>
  <c r="E189" i="10"/>
  <c r="F189" i="10" s="1"/>
  <c r="F188" i="10"/>
  <c r="E188" i="10"/>
  <c r="E187" i="10"/>
  <c r="F187" i="10" s="1"/>
  <c r="E186" i="10"/>
  <c r="F186" i="10" s="1"/>
  <c r="E185" i="10"/>
  <c r="F185" i="10" s="1"/>
  <c r="E184" i="10"/>
  <c r="F184" i="10" s="1"/>
  <c r="E183" i="10"/>
  <c r="F183" i="10" s="1"/>
  <c r="E182" i="10"/>
  <c r="F182" i="10" s="1"/>
  <c r="E181" i="10"/>
  <c r="F181" i="10" s="1"/>
  <c r="E180" i="10"/>
  <c r="F180" i="10" s="1"/>
  <c r="E179" i="10"/>
  <c r="F179" i="10" s="1"/>
  <c r="E178" i="10"/>
  <c r="F178" i="10" s="1"/>
  <c r="E177" i="10"/>
  <c r="F177" i="10" s="1"/>
  <c r="E176" i="10"/>
  <c r="F176" i="10" s="1"/>
  <c r="E175" i="10"/>
  <c r="F175" i="10" s="1"/>
  <c r="E174" i="10"/>
  <c r="F174" i="10" s="1"/>
  <c r="E173" i="10"/>
  <c r="F173" i="10" s="1"/>
  <c r="E172" i="10"/>
  <c r="F172" i="10" s="1"/>
  <c r="E171" i="10"/>
  <c r="F171" i="10" s="1"/>
  <c r="E170" i="10"/>
  <c r="F170" i="10" s="1"/>
  <c r="E169" i="10"/>
  <c r="F169" i="10" s="1"/>
  <c r="E168" i="10"/>
  <c r="F168" i="10" s="1"/>
  <c r="E167" i="10"/>
  <c r="F167" i="10" s="1"/>
  <c r="E166" i="10"/>
  <c r="F166" i="10" s="1"/>
  <c r="E165" i="10"/>
  <c r="F165" i="10" s="1"/>
  <c r="E164" i="10"/>
  <c r="F164" i="10" s="1"/>
  <c r="E163" i="10"/>
  <c r="F163" i="10" s="1"/>
  <c r="E162" i="10"/>
  <c r="F162" i="10" s="1"/>
  <c r="E161" i="10"/>
  <c r="F161" i="10" s="1"/>
  <c r="E160" i="10"/>
  <c r="F160" i="10" s="1"/>
  <c r="E159" i="10"/>
  <c r="F159" i="10" s="1"/>
  <c r="E158" i="10"/>
  <c r="F158" i="10" s="1"/>
  <c r="E157" i="10"/>
  <c r="F157" i="10" s="1"/>
  <c r="E156" i="10"/>
  <c r="F156" i="10" s="1"/>
  <c r="E155" i="10"/>
  <c r="F155" i="10" s="1"/>
  <c r="F154" i="10"/>
  <c r="E154" i="10"/>
  <c r="E153" i="10"/>
  <c r="F153" i="10" s="1"/>
  <c r="F152" i="10"/>
  <c r="E152" i="10"/>
  <c r="E151" i="10"/>
  <c r="F151" i="10" s="1"/>
  <c r="E150" i="10"/>
  <c r="F150" i="10" s="1"/>
  <c r="E149" i="10"/>
  <c r="F149" i="10" s="1"/>
  <c r="E148" i="10"/>
  <c r="F148" i="10" s="1"/>
  <c r="E147" i="10"/>
  <c r="F147" i="10" s="1"/>
  <c r="F146" i="10"/>
  <c r="E146" i="10"/>
  <c r="E145" i="10"/>
  <c r="F145" i="10" s="1"/>
  <c r="E144" i="10"/>
  <c r="F144" i="10" s="1"/>
  <c r="E143" i="10"/>
  <c r="F143" i="10" s="1"/>
  <c r="F142" i="10"/>
  <c r="E142" i="10"/>
  <c r="E141" i="10"/>
  <c r="F141" i="10" s="1"/>
  <c r="E140" i="10"/>
  <c r="F140" i="10" s="1"/>
  <c r="E139" i="10"/>
  <c r="F139" i="10" s="1"/>
  <c r="E138" i="10"/>
  <c r="F138" i="10" s="1"/>
  <c r="E137" i="10"/>
  <c r="F137" i="10" s="1"/>
  <c r="E136" i="10"/>
  <c r="F136" i="10" s="1"/>
  <c r="E135" i="10"/>
  <c r="F135" i="10" s="1"/>
  <c r="E134" i="10"/>
  <c r="F134" i="10" s="1"/>
  <c r="E133" i="10"/>
  <c r="F133" i="10" s="1"/>
  <c r="E132" i="10"/>
  <c r="F132" i="10" s="1"/>
  <c r="E131" i="10"/>
  <c r="F131" i="10" s="1"/>
  <c r="F130" i="10"/>
  <c r="E130" i="10"/>
  <c r="E129" i="10"/>
  <c r="F129" i="10" s="1"/>
  <c r="E128" i="10"/>
  <c r="F128" i="10" s="1"/>
  <c r="E127" i="10"/>
  <c r="F127" i="10" s="1"/>
  <c r="E126" i="10"/>
  <c r="F126" i="10" s="1"/>
  <c r="E125" i="10"/>
  <c r="F125" i="10" s="1"/>
  <c r="E124" i="10"/>
  <c r="F124" i="10" s="1"/>
  <c r="E123" i="10"/>
  <c r="F123" i="10" s="1"/>
  <c r="E122" i="10"/>
  <c r="F122" i="10" s="1"/>
  <c r="E121" i="10"/>
  <c r="F121" i="10" s="1"/>
  <c r="E120" i="10"/>
  <c r="F120" i="10" s="1"/>
  <c r="E119" i="10"/>
  <c r="F119" i="10" s="1"/>
  <c r="E118" i="10"/>
  <c r="F118" i="10" s="1"/>
  <c r="E117" i="10"/>
  <c r="F117" i="10" s="1"/>
  <c r="F116" i="10"/>
  <c r="E116" i="10"/>
  <c r="E115" i="10"/>
  <c r="F115" i="10" s="1"/>
  <c r="E114" i="10"/>
  <c r="F114" i="10" s="1"/>
  <c r="E113" i="10"/>
  <c r="F113" i="10" s="1"/>
  <c r="E112" i="10"/>
  <c r="F112" i="10" s="1"/>
  <c r="E111" i="10"/>
  <c r="F111" i="10" s="1"/>
  <c r="E110" i="10"/>
  <c r="F110" i="10" s="1"/>
  <c r="E109" i="10"/>
  <c r="F109" i="10" s="1"/>
  <c r="E108" i="10"/>
  <c r="F108" i="10" s="1"/>
  <c r="E107" i="10"/>
  <c r="F107" i="10" s="1"/>
  <c r="F106" i="10"/>
  <c r="E106" i="10"/>
  <c r="E105" i="10"/>
  <c r="F105" i="10" s="1"/>
  <c r="E104" i="10"/>
  <c r="F104" i="10" s="1"/>
  <c r="E103" i="10"/>
  <c r="F103" i="10" s="1"/>
  <c r="E102" i="10"/>
  <c r="F102" i="10" s="1"/>
  <c r="E101" i="10"/>
  <c r="F101" i="10" s="1"/>
  <c r="E100" i="10"/>
  <c r="F100" i="10" s="1"/>
  <c r="E99" i="10"/>
  <c r="F99" i="10" s="1"/>
  <c r="F98" i="10"/>
  <c r="E98" i="10"/>
  <c r="E97" i="10"/>
  <c r="F97" i="10" s="1"/>
  <c r="E96" i="10"/>
  <c r="F96" i="10" s="1"/>
  <c r="E95" i="10"/>
  <c r="F95" i="10" s="1"/>
  <c r="E94" i="10"/>
  <c r="F94" i="10" s="1"/>
  <c r="E93" i="10"/>
  <c r="F93" i="10" s="1"/>
  <c r="E92" i="10"/>
  <c r="F92" i="10" s="1"/>
  <c r="E91" i="10"/>
  <c r="F91" i="10" s="1"/>
  <c r="E90" i="10"/>
  <c r="F90" i="10" s="1"/>
  <c r="E89" i="10"/>
  <c r="F89" i="10" s="1"/>
  <c r="E88" i="10"/>
  <c r="F88" i="10" s="1"/>
  <c r="E87" i="10"/>
  <c r="F87" i="10" s="1"/>
  <c r="E86" i="10"/>
  <c r="F86" i="10" s="1"/>
  <c r="E85" i="10"/>
  <c r="F85" i="10" s="1"/>
  <c r="F84" i="10"/>
  <c r="E84" i="10"/>
  <c r="E83" i="10"/>
  <c r="F83" i="10" s="1"/>
  <c r="E82" i="10"/>
  <c r="F82" i="10" s="1"/>
  <c r="E81" i="10"/>
  <c r="F81" i="10" s="1"/>
  <c r="E80" i="10"/>
  <c r="F80" i="10" s="1"/>
  <c r="E79" i="10"/>
  <c r="F79" i="10" s="1"/>
  <c r="E78" i="10"/>
  <c r="F78" i="10" s="1"/>
  <c r="E77" i="10"/>
  <c r="F77" i="10" s="1"/>
  <c r="E76" i="10"/>
  <c r="F76" i="10" s="1"/>
  <c r="E75" i="10"/>
  <c r="F75" i="10" s="1"/>
  <c r="E74" i="10"/>
  <c r="F74" i="10" s="1"/>
  <c r="E73" i="10"/>
  <c r="F73" i="10" s="1"/>
  <c r="E72" i="10"/>
  <c r="F72" i="10" s="1"/>
  <c r="E71" i="10"/>
  <c r="F71" i="10" s="1"/>
  <c r="E70" i="10"/>
  <c r="F70" i="10" s="1"/>
  <c r="E69" i="10"/>
  <c r="F69" i="10" s="1"/>
  <c r="E68" i="10"/>
  <c r="F68" i="10" s="1"/>
  <c r="E67" i="10"/>
  <c r="F67" i="10" s="1"/>
  <c r="E66" i="10"/>
  <c r="F66" i="10" s="1"/>
  <c r="E65" i="10"/>
  <c r="F65" i="10" s="1"/>
  <c r="E64" i="10"/>
  <c r="F64" i="10" s="1"/>
  <c r="E63" i="10"/>
  <c r="F63" i="10" s="1"/>
  <c r="E62" i="10"/>
  <c r="F62" i="10" s="1"/>
  <c r="E61" i="10"/>
  <c r="F61" i="10" s="1"/>
  <c r="F60" i="10"/>
  <c r="E60" i="10"/>
  <c r="E59" i="10"/>
  <c r="F59" i="10" s="1"/>
  <c r="F58" i="10"/>
  <c r="E58" i="10"/>
  <c r="E57" i="10"/>
  <c r="F57" i="10" s="1"/>
  <c r="E56" i="10"/>
  <c r="F56" i="10" s="1"/>
  <c r="E55" i="10"/>
  <c r="F55" i="10" s="1"/>
  <c r="E54" i="10"/>
  <c r="F54" i="10" s="1"/>
  <c r="E53" i="10"/>
  <c r="F53" i="10" s="1"/>
  <c r="E52" i="10"/>
  <c r="F52" i="10" s="1"/>
  <c r="E51" i="10"/>
  <c r="F51" i="10" s="1"/>
  <c r="E50" i="10"/>
  <c r="F50" i="10" s="1"/>
  <c r="E49" i="10"/>
  <c r="F49" i="10" s="1"/>
  <c r="E48" i="10"/>
  <c r="F48" i="10" s="1"/>
  <c r="E47" i="10"/>
  <c r="F47" i="10" s="1"/>
  <c r="E46" i="10"/>
  <c r="F46" i="10" s="1"/>
  <c r="E45" i="10"/>
  <c r="F45" i="10" s="1"/>
  <c r="E44" i="10"/>
  <c r="F44" i="10" s="1"/>
  <c r="E43" i="10"/>
  <c r="F43" i="10" s="1"/>
  <c r="E42" i="10"/>
  <c r="F42" i="10" s="1"/>
  <c r="E41" i="10"/>
  <c r="F41" i="10" s="1"/>
  <c r="E40" i="10"/>
  <c r="F40" i="10" s="1"/>
  <c r="E39" i="10"/>
  <c r="F39" i="10" s="1"/>
  <c r="F38" i="10"/>
  <c r="E38" i="10"/>
  <c r="E37" i="10"/>
  <c r="F37" i="10" s="1"/>
  <c r="E36" i="10"/>
  <c r="F36" i="10" s="1"/>
  <c r="E35" i="10"/>
  <c r="F35" i="10" s="1"/>
  <c r="E34" i="10"/>
  <c r="F34" i="10" s="1"/>
  <c r="E33" i="10"/>
  <c r="F33" i="10" s="1"/>
  <c r="E32" i="10"/>
  <c r="F32" i="10" s="1"/>
  <c r="E31" i="10"/>
  <c r="F31" i="10" s="1"/>
  <c r="E30" i="10"/>
  <c r="F30" i="10" s="1"/>
  <c r="E29" i="10"/>
  <c r="F29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16" i="10"/>
  <c r="F16" i="10" s="1"/>
  <c r="E15" i="10"/>
  <c r="F15" i="10" s="1"/>
  <c r="F14" i="10"/>
  <c r="E14" i="10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F5" i="10" s="1"/>
  <c r="B39" i="4" s="1"/>
  <c r="B312" i="8"/>
  <c r="B311" i="8"/>
  <c r="B310" i="8"/>
  <c r="B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9" i="8"/>
  <c r="B8" i="8"/>
  <c r="B6" i="8"/>
  <c r="B5" i="8"/>
  <c r="B78" i="8"/>
  <c r="B77" i="8"/>
  <c r="B76" i="8"/>
  <c r="B75" i="8"/>
  <c r="B34" i="8"/>
  <c r="B74" i="8"/>
  <c r="B73" i="8"/>
  <c r="B72" i="8"/>
  <c r="B71" i="8"/>
  <c r="B70" i="8"/>
  <c r="B69" i="8"/>
  <c r="B68" i="8"/>
  <c r="B67" i="8"/>
  <c r="B66" i="8"/>
  <c r="B65" i="8"/>
  <c r="B64" i="8"/>
  <c r="B33" i="8"/>
  <c r="B32" i="8"/>
  <c r="B7" i="8"/>
  <c r="C21" i="6"/>
  <c r="B21" i="6"/>
  <c r="C19" i="6"/>
  <c r="B19" i="6"/>
  <c r="D14" i="6"/>
  <c r="B14" i="6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36" i="4"/>
  <c r="B36" i="4"/>
  <c r="D35" i="4"/>
  <c r="B35" i="4"/>
  <c r="D34" i="4"/>
  <c r="B34" i="4"/>
  <c r="D33" i="4"/>
  <c r="B33" i="4"/>
  <c r="D32" i="4"/>
  <c r="B32" i="4"/>
  <c r="D31" i="4"/>
  <c r="B31" i="4"/>
  <c r="D24" i="4"/>
  <c r="B24" i="4"/>
  <c r="D23" i="4"/>
  <c r="B23" i="4"/>
  <c r="D22" i="4"/>
  <c r="B22" i="4"/>
  <c r="D21" i="4"/>
  <c r="B21" i="4"/>
  <c r="D20" i="4"/>
  <c r="B20" i="4"/>
  <c r="D19" i="4"/>
  <c r="B19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B6" i="4"/>
  <c r="E25" i="3"/>
  <c r="F25" i="3" s="1"/>
  <c r="C24" i="2" s="1"/>
  <c r="C25" i="3"/>
  <c r="D25" i="3" s="1"/>
  <c r="B24" i="2" s="1"/>
  <c r="E24" i="3"/>
  <c r="F24" i="3" s="1"/>
  <c r="C23" i="2" s="1"/>
  <c r="C24" i="3"/>
  <c r="D24" i="3" s="1"/>
  <c r="B23" i="2" s="1"/>
  <c r="E23" i="3"/>
  <c r="C23" i="3"/>
  <c r="E13" i="3"/>
  <c r="C13" i="3"/>
  <c r="E12" i="3"/>
  <c r="E10" i="3"/>
  <c r="C10" i="3"/>
  <c r="E9" i="3"/>
  <c r="C9" i="3"/>
  <c r="E8" i="3"/>
  <c r="C8" i="3"/>
  <c r="E7" i="3"/>
  <c r="C7" i="3"/>
  <c r="E6" i="3"/>
  <c r="C6" i="3"/>
  <c r="E5" i="3"/>
  <c r="C5" i="3"/>
  <c r="C29" i="2"/>
  <c r="B29" i="2"/>
  <c r="C28" i="2"/>
  <c r="B28" i="2"/>
  <c r="C27" i="2"/>
  <c r="B27" i="2"/>
  <c r="C12" i="2"/>
  <c r="B12" i="2"/>
  <c r="C11" i="2"/>
  <c r="B11" i="2"/>
  <c r="C10" i="2"/>
  <c r="B10" i="2"/>
  <c r="C9" i="2"/>
  <c r="B9" i="2"/>
  <c r="D29" i="5" l="1"/>
  <c r="B29" i="5"/>
  <c r="D37" i="4"/>
  <c r="B37" i="4"/>
  <c r="D25" i="4"/>
  <c r="E19" i="4"/>
  <c r="B25" i="4"/>
  <c r="C19" i="4"/>
  <c r="D13" i="4"/>
  <c r="E6" i="4" s="1"/>
  <c r="B13" i="4"/>
  <c r="C6" i="4" s="1"/>
  <c r="E17" i="3"/>
  <c r="E11" i="3"/>
  <c r="E18" i="3"/>
  <c r="F18" i="3" s="1"/>
  <c r="C18" i="2" s="1"/>
  <c r="E19" i="3"/>
  <c r="F19" i="3" s="1"/>
  <c r="C19" i="2" s="1"/>
  <c r="E20" i="3"/>
  <c r="F20" i="3" s="1"/>
  <c r="C20" i="2" s="1"/>
  <c r="C18" i="3"/>
  <c r="C11" i="3"/>
  <c r="C5" i="5" s="1"/>
  <c r="D5" i="3"/>
  <c r="C20" i="3"/>
  <c r="D20" i="3" s="1"/>
  <c r="B20" i="2" s="1"/>
  <c r="C19" i="3"/>
  <c r="D19" i="3" s="1"/>
  <c r="B19" i="2" s="1"/>
  <c r="C17" i="3"/>
  <c r="D17" i="3" s="1"/>
  <c r="B17" i="2" s="1"/>
  <c r="E33" i="4" l="1"/>
  <c r="E36" i="4"/>
  <c r="E34" i="4"/>
  <c r="E32" i="4"/>
  <c r="E35" i="4"/>
  <c r="C31" i="2"/>
  <c r="C33" i="4"/>
  <c r="C36" i="4"/>
  <c r="C34" i="4"/>
  <c r="C35" i="4"/>
  <c r="C32" i="4"/>
  <c r="B31" i="2"/>
  <c r="E20" i="4"/>
  <c r="E21" i="4"/>
  <c r="E24" i="4"/>
  <c r="E23" i="4"/>
  <c r="E22" i="4"/>
  <c r="C22" i="4"/>
  <c r="C23" i="4"/>
  <c r="C21" i="4"/>
  <c r="C20" i="4"/>
  <c r="C24" i="4"/>
  <c r="E7" i="4"/>
  <c r="E12" i="4"/>
  <c r="E8" i="4"/>
  <c r="E9" i="4"/>
  <c r="E10" i="4"/>
  <c r="E11" i="4"/>
  <c r="C9" i="4"/>
  <c r="C11" i="4"/>
  <c r="C12" i="4"/>
  <c r="C7" i="4"/>
  <c r="C8" i="4"/>
  <c r="C10" i="4"/>
  <c r="E8" i="5"/>
  <c r="E12" i="5"/>
  <c r="C38" i="2" s="1"/>
  <c r="E16" i="5"/>
  <c r="E19" i="5"/>
  <c r="E27" i="5"/>
  <c r="E6" i="5"/>
  <c r="E14" i="5"/>
  <c r="E15" i="5"/>
  <c r="E22" i="5"/>
  <c r="E26" i="5"/>
  <c r="F8" i="3"/>
  <c r="F10" i="3"/>
  <c r="E10" i="5"/>
  <c r="E13" i="5"/>
  <c r="F7" i="3"/>
  <c r="F9" i="3"/>
  <c r="E7" i="5"/>
  <c r="E11" i="5"/>
  <c r="E17" i="5"/>
  <c r="E18" i="5"/>
  <c r="E20" i="5"/>
  <c r="E21" i="5"/>
  <c r="E23" i="5"/>
  <c r="E24" i="5"/>
  <c r="E25" i="5"/>
  <c r="E28" i="5"/>
  <c r="F6" i="3"/>
  <c r="E9" i="5"/>
  <c r="E14" i="3"/>
  <c r="C16" i="2"/>
  <c r="D7" i="3"/>
  <c r="C15" i="5"/>
  <c r="D6" i="3"/>
  <c r="D8" i="3"/>
  <c r="C7" i="5"/>
  <c r="C8" i="5"/>
  <c r="C10" i="5"/>
  <c r="C11" i="5"/>
  <c r="C18" i="5"/>
  <c r="C19" i="5"/>
  <c r="C20" i="5"/>
  <c r="C21" i="5"/>
  <c r="C17" i="5"/>
  <c r="C26" i="5"/>
  <c r="D9" i="3"/>
  <c r="D10" i="3"/>
  <c r="C6" i="5"/>
  <c r="B38" i="2" s="1"/>
  <c r="C9" i="5"/>
  <c r="C14" i="5"/>
  <c r="C22" i="5"/>
  <c r="C23" i="5"/>
  <c r="C24" i="5"/>
  <c r="C25" i="5"/>
  <c r="C12" i="5"/>
  <c r="C13" i="5"/>
  <c r="C16" i="5"/>
  <c r="C27" i="5"/>
  <c r="C28" i="5"/>
  <c r="C14" i="3"/>
  <c r="B16" i="2"/>
  <c r="F17" i="3"/>
  <c r="C17" i="2" s="1"/>
  <c r="D18" i="3"/>
  <c r="B18" i="2" s="1"/>
  <c r="E39" i="4"/>
  <c r="C30" i="2"/>
  <c r="E31" i="4"/>
  <c r="C39" i="4"/>
  <c r="B30" i="2"/>
  <c r="C31" i="4"/>
  <c r="E5" i="5"/>
  <c r="F5" i="3"/>
</calcChain>
</file>

<file path=xl/sharedStrings.xml><?xml version="1.0" encoding="utf-8"?>
<sst xmlns="http://schemas.openxmlformats.org/spreadsheetml/2006/main" count="18810" uniqueCount="4912">
  <si>
    <t>Canyon Ridge vs Seasons at Meridian — Demographics, Employer &amp; Micron-Exposure Comparison</t>
  </si>
  <si>
    <t>Prepared</t>
  </si>
  <si>
    <t>July 20, 2026</t>
  </si>
  <si>
    <t>Purpose</t>
  </si>
  <si>
    <t>Apples-to-apples comparison of the two live deals across tenant quality, employer diversification, and Micron exposure, using the same T1–T6 framework as the Canyon Ridge Employer / Micron Analysis (2026.06.24).</t>
  </si>
  <si>
    <t>SOURCES</t>
  </si>
  <si>
    <t>Canyon Ridge</t>
  </si>
  <si>
    <t>Entrata "Resident Data 3.0" as of 06/24/2026 (Primary + Co-Applicant; statuses Future/Current/Notice) · standardized employers/tiers from Canyon Ridge Employer &amp; Micron Analysis (2026.06.24) · move-in timeline from Canyon Ridge Rent Roll Cross-Analysis (2026.06.24). 287 units; 2552 E Gowen Rd, Boise — adjacent to Micron HQ/Triton fab campus.</t>
  </si>
  <si>
    <t>Seasons at Meridian</t>
  </si>
  <si>
    <t>Seller "Demographics Report w/Roommates" 07/10/2026 (Yardi; Status=Current) + "Rent Roll with Lease Charges" as of 07/09/2026. 360 units; Meridian, ID (~20 mi from Micron campus).</t>
  </si>
  <si>
    <t>New work in this book</t>
  </si>
  <si>
    <t>All 375 raw Seasons employer spellings standardized to 304 canonical employers and classified T1–T6; ~45 ambiguous / Micron-plausible names individually web-researched (July 2026) — see Employers - Seasons &amp; Name Map tabs. Industry coding added to both properties.</t>
  </si>
  <si>
    <t>TIER FRAMEWORK</t>
  </si>
  <si>
    <t>T1 = Micron direct · T2 = Micron construction subcontractor (fab build) · T3 = Micron engineering/design/consulting/IT-staffing · T4 = semiconductor equipment/tool/materials vendor serving Micron · T5 = other semiconductor/tech, NOT Micron-related · T6 = unrelated/local. "Micron-related broad" = T1+T2+T3+T4. Confidence scale follows the CR workbook (Confirmed / Strong-inferred / Inferred / Weak-inferred / Weak-unverified / Confirmed-NotMicron).</t>
  </si>
  <si>
    <t>Alignment notes</t>
  </si>
  <si>
    <t>Prime Controls and POWER Engineers appear at both properties; Seasons classifications were aligned to the CR workbook (both T3). ESI = Engineered Structures Inc. (Meridian HQ; ENR documents ESI building structures at Micron's Boise HQ campus) — classified T2 Confirmed.</t>
  </si>
  <si>
    <t>COUNTING RULES</t>
  </si>
  <si>
    <t>Occupant counting</t>
  </si>
  <si>
    <t>Occupant level, matching the CR workbook: CR = Primary + Co-Applicant (457 records). Seasons = Primary/Spouse/Roommate/Other, EXCLUDING the 29 Guarantors (604 unique people → 575 resident occupants). Seasons raw export duplicates a person once per pet — collapsed to one row per person.</t>
  </si>
  <si>
    <t>"Employed"</t>
  </si>
  <si>
    <t>Occupants with a classified employer. Retired / student / homemaker / alimony (Seasons: 10) and blanks (CR: 119 · Seasons: 122) are excluded from the employed denominator. Self-employed and gig workers count as employed.</t>
  </si>
  <si>
    <t>Income screens</t>
  </si>
  <si>
    <t>Seasons per-person incomes exclude: guarantors; $0/blank; 51 rows that are byte-for-byte copies of another occupant in the same unit (same DOB + same salary — children/roommates keyed in from the primary's record); 3 entries ≥$1M (corporate lease entered as a person at $2.49M; two probable monthly-as-annual entry errors). CR incomes used as stated (&gt;0).</t>
  </si>
  <si>
    <t>Household income</t>
  </si>
  <si>
    <t>Sum of qualifying occupant incomes per unit. Rent coverage = household income ÷ (12 × contract rent). CR rent = Entrata scheduled rent; Seasons rent = "rentres" contract rent from the rent roll (excludes utility/parking/pet charges).</t>
  </si>
  <si>
    <t>Coverage gap</t>
  </si>
  <si>
    <t>Seasons demographics cover 305 of 342 occupied units — the 38 units on notice are absent from the seller export (Status=Current filter). CR data includes notice + future leases. Keep in mind when comparing churn.</t>
  </si>
  <si>
    <t>Coworker units</t>
  </si>
  <si>
    <t>Units with 2+ occupants sharing an employer, no spouse relationship, different surnames AND different DOBs (the DOB screen removes copied-record artifacts). CR figure (33) is from the CR cross-analysis workbook.</t>
  </si>
  <si>
    <t>CONVENTIONS</t>
  </si>
  <si>
    <t>Blue = value computed from source data in this analysis (medians, sourced counts). Green = linked from another tab. Black = formula on the same tab. Yellow highlight = Micron-related (T1–T4) rows.</t>
  </si>
  <si>
    <t>Caveats</t>
  </si>
  <si>
    <t>Employer text is self-reported at application; ~21-26% of occupants at both properties have no employer stated. Web-researched tier calls below "Confirmed" are trade-fit inferences, not documented contracts — see per-employer evidence and confidence columns before leaning on any single name. Income figures are unverified applicant statements.</t>
  </si>
  <si>
    <t>Canyon Ridge vs Seasons at Meridian — Tenant Demographics, Employer &amp; Micron-Exposure Comparison</t>
  </si>
  <si>
    <t>Data as of: Canyon Ridge 06/24/2026 (Entrata) · Seasons 07/09–07/10/2026 (Yardi rent roll + seller demographics). Green = linked to detail tabs · Blue = computed from source data (see READ ME).</t>
  </si>
  <si>
    <t>Comment</t>
  </si>
  <si>
    <t>PROPERTY SNAPSHOT</t>
  </si>
  <si>
    <t>Location</t>
  </si>
  <si>
    <t>2552 E Gowen Rd, Boise (adjacent to Micron HQ / Triton fab campus)</t>
  </si>
  <si>
    <t>Meridian, ID (~20 mi W of Micron campus)</t>
  </si>
  <si>
    <t>Physical proximity to the fab is the root of the exposure difference</t>
  </si>
  <si>
    <t>Total units</t>
  </si>
  <si>
    <t>Opened / first move-ins</t>
  </si>
  <si>
    <t>Sep-2024</t>
  </si>
  <si>
    <t>Aug-2024</t>
  </si>
  <si>
    <t>Both are 2024-opened lease-ups — same vintage cohort</t>
  </si>
  <si>
    <t>Occupied units</t>
  </si>
  <si>
    <t>Physical occupancy</t>
  </si>
  <si>
    <t>Units on notice</t>
  </si>
  <si>
    <t>CR 6/24/26; Seasons 7/9/26</t>
  </si>
  <si>
    <t>Notice % of occupied</t>
  </si>
  <si>
    <t>Median contract rent</t>
  </si>
  <si>
    <t>Seasons contract ~11% below own asking/market (lease-up LTL)</t>
  </si>
  <si>
    <t>Employed occupants (classified T1–T6)</t>
  </si>
  <si>
    <t>Excl. guarantors, retirees, blanks</t>
  </si>
  <si>
    <t>Micron DIRECT (T1)</t>
  </si>
  <si>
    <t>CR: 89 residents · Seasons: 9</t>
  </si>
  <si>
    <t>Micron-related narrow (T1+T2)</t>
  </si>
  <si>
    <t>Micron-related mid (T1+T2+T3)</t>
  </si>
  <si>
    <t>Micron-related BROAD (T1–T4)</t>
  </si>
  <si>
    <t>The headline exposure gap: ~72% vs ~6%</t>
  </si>
  <si>
    <t>MICRON EXPOSURE — unit level (revenue at risk)</t>
  </si>
  <si>
    <t>Units with ≥1 Micron-related earner (T1–T4)</t>
  </si>
  <si>
    <t>CR ~70% of units vs Seasons ~8%</t>
  </si>
  <si>
    <t>Units with ≥1 Micron DIRECT earner (T1)</t>
  </si>
  <si>
    <t>INCOME &amp; RENT COVERAGE</t>
  </si>
  <si>
    <t>Median personal income (stated earners)</t>
  </si>
  <si>
    <t>CR ≈ 1.8× Seasons</t>
  </si>
  <si>
    <t>Median household income</t>
  </si>
  <si>
    <t>Median rent-coverage multiple</t>
  </si>
  <si>
    <t>HH income ÷ (12 × rent)</t>
  </si>
  <si>
    <t>Units ≥ 3x rent</t>
  </si>
  <si>
    <t>Units &lt; 2x rent (thin coverage)</t>
  </si>
  <si>
    <t>Seasons carries a real thin-coverage tail; CR nearly none</t>
  </si>
  <si>
    <t>EMPLOYER DIVERSIFICATION</t>
  </si>
  <si>
    <t>Distinct employers</t>
  </si>
  <si>
    <t>Seasons has 2× the employer count on a similar base</t>
  </si>
  <si>
    <t>Top employer share of employed</t>
  </si>
  <si>
    <t>CR: Micron 26.4% · Seasons: Amazon 3.6%</t>
  </si>
  <si>
    <t>Top-5 employer share</t>
  </si>
  <si>
    <t>Top-10 employer share</t>
  </si>
  <si>
    <t>Largest industry cluster</t>
  </si>
  <si>
    <t>CR: Micron+fab supply chain · Seasons: healthcare (largest at ~22%)</t>
  </si>
  <si>
    <t>HOUSEHOLD COMPOSITION &amp; STABILITY</t>
  </si>
  <si>
    <t>Avg occupants per unit (excl. guarantors)</t>
  </si>
  <si>
    <t>Seasons skews larger households (roommates, spouses, kids)</t>
  </si>
  <si>
    <t>Single-occupant units</t>
  </si>
  <si>
    <t>Roommate households</t>
  </si>
  <si>
    <t>CR export doesn't distinguish roommate vs partner co-applicants</t>
  </si>
  <si>
    <t>Couple / family households</t>
  </si>
  <si>
    <t>Seasons: spouse on lease</t>
  </si>
  <si>
    <t>Guarantor-backed units</t>
  </si>
  <si>
    <t>Seasons 29 units (9.5%); CR export shows none</t>
  </si>
  <si>
    <t>Coworker-roommate units (same employer)</t>
  </si>
  <si>
    <t>CR: 33 units, 15 Micron (per CR cross-analysis). Seasons: 14 genuine, largely non-Micron</t>
  </si>
  <si>
    <t>Named-employer (W-2 style) share of occupants</t>
  </si>
  <si>
    <t>Self-employed / gig / private-party</t>
  </si>
  <si>
    <t>Retired / non-employment income</t>
  </si>
  <si>
    <t>No employer stated</t>
  </si>
  <si>
    <t>Similar blank rates — data quality comparable</t>
  </si>
  <si>
    <t>KEY TAKEAWAYS</t>
  </si>
  <si>
    <t>1. MICRON EXPOSURE IS THE DEFINING DIFFERENCE. Canyon Ridge is functionally Micron worker housing: ~72% of employed residents (and ~70% of units) are Micron or Micron-fab-related, incl. 26% Micron direct. Seasons at Meridian is a diversified suburban rent roll: ~6% Micron-related broad, ~2% Micron direct, spread across 304 distinct employers (healthcare, retail, government, education, construction).</t>
  </si>
  <si>
    <t>2. TENANT INCOMES: Canyon Ridge median personal income ($107K) is ~1.8× Seasons ($58K); household $145K vs $80K; median rent coverage 6.1x vs 3.8x. But CR's premium income is largely fab-build construction wages (often per-diem-inflated, project-tenured), while Seasons income is structurally local. Seasons carries a thin-coverage tail (~8% of units &lt;2x) that CR doesn't have.</t>
  </si>
  <si>
    <t>3. SAME VINTAGE, DIFFERENT DEMAND ENGINE. Both opened Aug/Sep-2024 and leased up through 2025-26. CR's lease-up tracked the fab construction ramp (move-in cohorts 67-81% Micron-related since Q3-25); Seasons leased up on general Meridian demand and is at 95.0% with contract rents still ~11% below its own asking rents (lease-up loss-to-lease), with 38 units (11.1%) on notice as first-generation leases roll.</t>
  </si>
  <si>
    <t>4. RISK PROFILE: CR = event/concentration risk — one employer decision moves occupancy (the Sept-2025 Exyte termination emptied a handful of CR units within a quarter; construction workforce winds down into first wafers 2H-2027, to be backfilled by fab operations hiring). Seasons = market risk only (Boise-metro supply/demand), plus ordinary churn. CR's upside is the same concentration: it sits adjacent to ~17,000 projected Micron jobs.</t>
  </si>
  <si>
    <t>5. HOUSEHOLD STRUCTURE: Seasons looks like a normal suburban asset — 34% roommate households, 22% couples/families, kids, retirees, 9.5% guarantor-backed leases. CR is applicant-pairs and coworker roommates (33 units of same-employer roommates, 15 of them Micron) — corporate-style demand with double-income units but shallower local roots.</t>
  </si>
  <si>
    <t>Micron-Exposure Tier Summary — Canyon Ridge vs Seasons at Meridian</t>
  </si>
  <si>
    <t>Occupant counts exclude guarantors (Seasons) and use Primary + Co-Applicant (Canyon Ridge). "% of employed" = share of occupants with a classified employer (retired/student/homemaker excluded). All counts are live formulas on the data tabs.</t>
  </si>
  <si>
    <t>Tier</t>
  </si>
  <si>
    <t>Description</t>
  </si>
  <si>
    <t>CR % of employed</t>
  </si>
  <si>
    <t>Seasons</t>
  </si>
  <si>
    <t>Seasons % of employed</t>
  </si>
  <si>
    <t>T1</t>
  </si>
  <si>
    <t>Micron (direct employer)</t>
  </si>
  <si>
    <t>T2</t>
  </si>
  <si>
    <t>Micron construction subcontractor (building the fabs)</t>
  </si>
  <si>
    <t>T3</t>
  </si>
  <si>
    <t>Micron engineering / design / consulting / IT-staffing contractor</t>
  </si>
  <si>
    <t>T4</t>
  </si>
  <si>
    <t>Semiconductor equipment / tool / materials vendor serving Micron</t>
  </si>
  <si>
    <t>T5</t>
  </si>
  <si>
    <t>Other semiconductor / tech company — NOT Micron-related</t>
  </si>
  <si>
    <t>T6</t>
  </si>
  <si>
    <t>Unrelated / local</t>
  </si>
  <si>
    <t>Employed occupants (T1–T6)</t>
  </si>
  <si>
    <t>Not employed (retired / student / homemaker / other income)</t>
  </si>
  <si>
    <t>No employer stated (blank)</t>
  </si>
  <si>
    <t>Total occupant records (excl. guarantors)</t>
  </si>
  <si>
    <t>MICRON-EXPOSURE ROLL-UPS — occupant level</t>
  </si>
  <si>
    <t>MICRON DIRECT (T1)</t>
  </si>
  <si>
    <t>MICRON-RELATED narrow (T1+T2)</t>
  </si>
  <si>
    <t>MICRON-RELATED mid (T1+T2+T3)</t>
  </si>
  <si>
    <t>MICRON-RELATED broad (T1+T2+T3+T4)</t>
  </si>
  <si>
    <t>MICRON-EXPOSURE — unit level (revenue-at-risk lens)</t>
  </si>
  <si>
    <t>Units with demographic data</t>
  </si>
  <si>
    <t>Note: Seasons demographics cover 305 of 342 occupied units (the 38 units on notice are excluded from the seller export). Canyon Ridge covers 286 units incl. notice &amp; future leases. Guarantor employers (e.g., a Micron guarantor at Seasons unit B208) are excluded.</t>
  </si>
  <si>
    <t>Income Distributions &amp; Rent Coverage</t>
  </si>
  <si>
    <t>Personal income: occupants with a qualifying stated income (excl. guarantors, $0, copied records, ≥$1M outliers). Household income: sum of qualifying occupant incomes per unit. Coverage = HH income ÷ (12 × contract rent). Band counts are live COUNTIFS; medians/means are computed from the same data (values shown in blue).</t>
  </si>
  <si>
    <t>PERSONAL (occupant-level) ANNUAL INCOME</t>
  </si>
  <si>
    <t>Band</t>
  </si>
  <si>
    <t>CR %</t>
  </si>
  <si>
    <t>Seasons %</t>
  </si>
  <si>
    <t>&lt; $40K</t>
  </si>
  <si>
    <t>$40K – $60K</t>
  </si>
  <si>
    <t>$60K – $80K</t>
  </si>
  <si>
    <t>$80K – $100K</t>
  </si>
  <si>
    <t>$100K – $150K</t>
  </si>
  <si>
    <t>$150K – $200K</t>
  </si>
  <si>
    <t>$200K+</t>
  </si>
  <si>
    <t>Occupants with qualifying income</t>
  </si>
  <si>
    <t>MEDIAN personal income</t>
  </si>
  <si>
    <t>Average personal income</t>
  </si>
  <si>
    <t>CR average inflated by high construction/per-diem earners</t>
  </si>
  <si>
    <t>HOUSEHOLD (unit-level) ANNUAL INCOME</t>
  </si>
  <si>
    <t>&lt; $50K</t>
  </si>
  <si>
    <t>$50K – $75K</t>
  </si>
  <si>
    <t>$75K – $100K</t>
  </si>
  <si>
    <t>$150K – $250K</t>
  </si>
  <si>
    <t>$250K+</t>
  </si>
  <si>
    <t>Households with income data</t>
  </si>
  <si>
    <t>MEDIAN household income</t>
  </si>
  <si>
    <t>Average household income</t>
  </si>
  <si>
    <t>RENT COVERAGE (HH income ÷ 12 × contract rent)</t>
  </si>
  <si>
    <t>Bucket</t>
  </si>
  <si>
    <t>&lt; 2.0x (thin)</t>
  </si>
  <si>
    <t>2.0x – 2.5x</t>
  </si>
  <si>
    <t>2.5x – 3.0x</t>
  </si>
  <si>
    <t>3.0x – 4.0x</t>
  </si>
  <si>
    <t>4.0x – 6.0x</t>
  </si>
  <si>
    <t>6.0x+</t>
  </si>
  <si>
    <t>Units with rent + income</t>
  </si>
  <si>
    <t>MEDIAN coverage multiple</t>
  </si>
  <si>
    <t>Units ≥ 3.0x rent</t>
  </si>
  <si>
    <t>RENT LEVELS (contract)</t>
  </si>
  <si>
    <t>Median contract rent / occupied unit</t>
  </si>
  <si>
    <t>Average contract rent / occupied unit</t>
  </si>
  <si>
    <t>Median MARKET rent (Seasons rent roll)</t>
  </si>
  <si>
    <t>—</t>
  </si>
  <si>
    <t>Contract ÷ market (Seasons, occupied units)</t>
  </si>
  <si>
    <t>Seasons contract rents sit ~11% below its own market/asking rents (lease-up loss-to-lease &amp; embedded concessions). Canyon Ridge demographics report has scheduled rent only (no market-rent column).</t>
  </si>
  <si>
    <t>Employer Industry Mix — employed occupants</t>
  </si>
  <si>
    <t>Live COUNTIFS on the data tabs. Denominator = employed occupants (Tier Summary row 11). Micron-related industries highlighted.</t>
  </si>
  <si>
    <t>Industry</t>
  </si>
  <si>
    <t>Micron (direct)</t>
  </si>
  <si>
    <t>Micron fab construction</t>
  </si>
  <si>
    <t>Micron eng/consulting/IT</t>
  </si>
  <si>
    <t>Semi equipment &amp; materials</t>
  </si>
  <si>
    <t>Semiconductor (non-Micron)</t>
  </si>
  <si>
    <t>Government, Military &amp; Public Safety</t>
  </si>
  <si>
    <t>Retail &amp; Food Service</t>
  </si>
  <si>
    <t>Healthcare &amp; Social Services</t>
  </si>
  <si>
    <t>Education &amp; Childcare</t>
  </si>
  <si>
    <t>Tech &amp; Software (non-semi)</t>
  </si>
  <si>
    <t>Financial, Legal &amp; Professional</t>
  </si>
  <si>
    <t>Wholesale, Transport &amp; Logistics</t>
  </si>
  <si>
    <t>Self-employed / private</t>
  </si>
  <si>
    <t>Construction &amp; Trades (non-Micron)</t>
  </si>
  <si>
    <t>Hospitality</t>
  </si>
  <si>
    <t>Personal Services &amp; Other Local</t>
  </si>
  <si>
    <t>Engineering &amp; Technical Services</t>
  </si>
  <si>
    <t>Manufacturing &amp; Consumer Products</t>
  </si>
  <si>
    <t>Energy &amp; Utilities</t>
  </si>
  <si>
    <t>Aerospace &amp; Airlines</t>
  </si>
  <si>
    <t>Unknown / unresolved</t>
  </si>
  <si>
    <t>Nonprofit &amp; Religious</t>
  </si>
  <si>
    <t>Gig economy</t>
  </si>
  <si>
    <t>Corporate housing entity</t>
  </si>
  <si>
    <t>Total employed</t>
  </si>
  <si>
    <t>Lease-Up Timeline &amp; Current Churn — both are 2024-opened lease-ups</t>
  </si>
  <si>
    <t>Canyon Ridge opened Sep-2024 (first move-ins); Seasons at Meridian opened Aug-2024. Move-in counts: CR = occupant move-ins by quarter (from CR Rent Roll Cross-Analysis 2026.06.24); Seasons = occupied-unit move-ins by quarter (07/09/2026 rent roll). Values in blue are sourced counts.</t>
  </si>
  <si>
    <t>Quarter</t>
  </si>
  <si>
    <t>CR move-ins (occupants)</t>
  </si>
  <si>
    <t>CR % Micron-related</t>
  </si>
  <si>
    <t>Seasons move-ins (units)</t>
  </si>
  <si>
    <t>Milestone / context</t>
  </si>
  <si>
    <t>2024-Q3</t>
  </si>
  <si>
    <t>Canyon Ridge opens (Sep); Seasons opens (Aug)</t>
  </si>
  <si>
    <t>2024-Q4</t>
  </si>
  <si>
    <t>2025-Q1</t>
  </si>
  <si>
    <t>2025-Q2</t>
  </si>
  <si>
    <t>Micron construction ramp; steel topping out mid-2025</t>
  </si>
  <si>
    <t>2025-Q3</t>
  </si>
  <si>
    <t>CR peak (69 move-ins); Exyte discontinued Sep 2, 2025</t>
  </si>
  <si>
    <t>2025-Q4</t>
  </si>
  <si>
    <t>CR sub population peaks; broker-noted Exyte-linked terminations</t>
  </si>
  <si>
    <t>2026-Q1</t>
  </si>
  <si>
    <t>CR sub fit-out wave continues</t>
  </si>
  <si>
    <t>2026-Q2</t>
  </si>
  <si>
    <t>12-mo leases from mid-2025 maturing at both properties</t>
  </si>
  <si>
    <t>2026-Q3</t>
  </si>
  <si>
    <t>Total</t>
  </si>
  <si>
    <t>CURRENT OCCUPANCY &amp; CHURN SNAPSHOT</t>
  </si>
  <si>
    <t>Seasons: 07/09/2026 rent roll; CR: 06/24/2026 roster</t>
  </si>
  <si>
    <t>CR notice incl. both Intel units &amp; last Exyte resident; Seasons notice units are excluded from the seller demographics export</t>
  </si>
  <si>
    <t>Vacant units</t>
  </si>
  <si>
    <t>Seasons at Meridian — Micron &amp; Micron-related occupants (T1–T4), person level</t>
  </si>
  <si>
    <t>Every occupant whose standardized employer is Micron or Micron-related. Guarantors shown for reference but excluded from headline counts. Note only ~6% of employed residents are Micron-related vs 72% at Canyon Ridge.</t>
  </si>
  <si>
    <t>Standardized Employer</t>
  </si>
  <si>
    <t>Unit</t>
  </si>
  <si>
    <t>Relationship</t>
  </si>
  <si>
    <t>Counts in headline</t>
  </si>
  <si>
    <t>Annual Salary</t>
  </si>
  <si>
    <t>Confidence</t>
  </si>
  <si>
    <t>Micron relationship &amp; evidence</t>
  </si>
  <si>
    <t>Micron Technology</t>
  </si>
  <si>
    <t>A106</t>
  </si>
  <si>
    <t>Primary</t>
  </si>
  <si>
    <t>Yes</t>
  </si>
  <si>
    <t>Confirmed</t>
  </si>
  <si>
    <t>B208</t>
  </si>
  <si>
    <t>Guarantor</t>
  </si>
  <si>
    <t>No (guarantor)</t>
  </si>
  <si>
    <t>E211</t>
  </si>
  <si>
    <t>G306</t>
  </si>
  <si>
    <t>I108</t>
  </si>
  <si>
    <t>I208</t>
  </si>
  <si>
    <t>I304</t>
  </si>
  <si>
    <t>I312</t>
  </si>
  <si>
    <t>Roommate</t>
  </si>
  <si>
    <t>J102</t>
  </si>
  <si>
    <t>J313</t>
  </si>
  <si>
    <t>Engineered Structures, Inc. (ESI)</t>
  </si>
  <si>
    <t>C305</t>
  </si>
  <si>
    <t>Spouse</t>
  </si>
  <si>
    <t>ENR documents ESI building office and parking structures at Micron's Boise global HQ as part of the campus expansion; $133.6K salary fits a PM/superintendent.</t>
  </si>
  <si>
    <t>Hensel Phelps</t>
  </si>
  <si>
    <t>G106</t>
  </si>
  <si>
    <t>Listed among GCs/EPC contractors performing work on Micron's Boise fab project.</t>
  </si>
  <si>
    <t>Hoffman Construction Company</t>
  </si>
  <si>
    <t>A207</t>
  </si>
  <si>
    <t>IBEW (electricians union)</t>
  </si>
  <si>
    <t>D101</t>
  </si>
  <si>
    <t>Strong-inferred</t>
  </si>
  <si>
    <t>JH Kelly</t>
  </si>
  <si>
    <t>D109</t>
  </si>
  <si>
    <t>Oregon Electric Group (OEG)</t>
  </si>
  <si>
    <t>B108</t>
  </si>
  <si>
    <t>Phoenix Industrial</t>
  </si>
  <si>
    <t>Southland Industries</t>
  </si>
  <si>
    <t>C306</t>
  </si>
  <si>
    <t>A national MEP giant staffing up in Boise for a mission-critical industrial project during the fab build is a strong fit for Micron ID1 mechanical scope.</t>
  </si>
  <si>
    <t>W&amp;W Steel Erectors (W&amp;W|AFCO Steel)</t>
  </si>
  <si>
    <t>D313</t>
  </si>
  <si>
    <t>ID1 involves ~70,000 tons of steel and W&amp;W is the dominant US fab steel erector; an erector resident 20 miles from site during peak erection is a strong trade fit.</t>
  </si>
  <si>
    <t>Western Partitions, Inc. (WPI)</t>
  </si>
  <si>
    <t>D312</t>
  </si>
  <si>
    <t>Weak-inferred</t>
  </si>
  <si>
    <t>No public Micron contract, but a top-tier NW mission-critical interiors sub with a Boise-area office and a $103K resident wage is consistent with fab support-building/interiors scope.</t>
  </si>
  <si>
    <t>Atlas Technical Consultants (OneAtlas)</t>
  </si>
  <si>
    <t>E205</t>
  </si>
  <si>
    <t>Boise-area Atlas job postings explicitly reference staffing for the 'Micron Triton project', indicating active testing/inspection work on the Triton site.</t>
  </si>
  <si>
    <t>POWER Engineers (a WSP company)</t>
  </si>
  <si>
    <t>J208</t>
  </si>
  <si>
    <t>Inferred</t>
  </si>
  <si>
    <t>Aligned to Canyon Ridge workbook: POWER Engineers classified T3 there; Idaho power-delivery engineering consultant plausibly supporting fab power infrastructure.</t>
  </si>
  <si>
    <t>Prime Controls, LP</t>
  </si>
  <si>
    <t>E309</t>
  </si>
  <si>
    <t>Aligned to Canyon Ridge workbook: Prime Controls classified T3 there (3 residents); fab FMCS/I&amp;C specialty.</t>
  </si>
  <si>
    <t>Critical Systems, Inc. (CSI)</t>
  </si>
  <si>
    <t>F313</t>
  </si>
  <si>
    <t>Not publicly named by Micron, but a Boise-HQ'd UHP gas-systems house next to Micron's campus is squarely in the fab tool-hookup/gas supply chain; two modest-wage residents fit techs/fabricators.</t>
  </si>
  <si>
    <t>Kurita America (Kurita Water Industries)</t>
  </si>
  <si>
    <t>D103</t>
  </si>
  <si>
    <t>Kurita's CEO publicly stated the company would bid to supply ultrapure water for Micron's Boise fab and hire several hundred Boise-area workers; Boise postings indicate staffing that scope.</t>
  </si>
  <si>
    <t>Photronics, Inc.</t>
  </si>
  <si>
    <t>C201</t>
  </si>
  <si>
    <t>Facility originated as a JV with Micron with a technology license and long-term supply arrangement; Boise site supplies Micron.</t>
  </si>
  <si>
    <t>Seasons at Meridian — Standardized Employer Summary (all employers)</t>
  </si>
  <si>
    <t>375 raw spellings standardized to canonical employers; each classified by relationship to Micron (T1–T6). Resident counts are live COUNTIFS on the Seasons Data tab (occupants excl. guarantors). Ambiguous / Micron-plausible names were individually web-researched (July 2026).</t>
  </si>
  <si>
    <t>Residents</t>
  </si>
  <si>
    <t>What they do</t>
  </si>
  <si>
    <t>HQ / Boise presence</t>
  </si>
  <si>
    <t>Source</t>
  </si>
  <si>
    <t>Idaho's largest privately owned GC/CM/design-build firm (founded 1973, licensed in 42 states).</t>
  </si>
  <si>
    <t>Headquartered in Meridian, ID — same city as the property.</t>
  </si>
  <si>
    <t>enr.com</t>
  </si>
  <si>
    <t>Large employee-owned national GC active in semiconductor fab construction.</t>
  </si>
  <si>
    <t>Greeley, CO HQ; active Boise presence.</t>
  </si>
  <si>
    <t>getfods.com</t>
  </si>
  <si>
    <t>One of the largest national MEP design-build contractors (mechanical, piping, plumbing, controls, modular fabrication).</t>
  </si>
  <si>
    <t>No permanent Boise division, but actively recruiting MEP PMs/engineers/safety staff in Boise/Kuna ID for a 'high-impact, mission-critical project'.</t>
  </si>
  <si>
    <t>southlandind.com</t>
  </si>
  <si>
    <t>Erection arm of W&amp;W|AFCO Steel, the largest structural steel fabricator/erector in the US; erects mega-fab steel packages (e.g., 80,000 tons at TSMC Phoenix).</t>
  </si>
  <si>
    <t>HQ Oklahoma City; traveling erection crews, no permanent Idaho office.</t>
  </si>
  <si>
    <t>wwafcosteel.com</t>
  </si>
  <si>
    <t>One of the largest US interior/exterior subs: drywall, metal studs, prefab, acoustical, fireproofing; serves mission-critical/technology markets.</t>
  </si>
  <si>
    <t>HQ Lake Oswego, OR; Treasure Valley office in Caldwell, ID.</t>
  </si>
  <si>
    <t>wpibuilds.com</t>
  </si>
  <si>
    <t>National environmental and infrastructure consulting, testing and inspection firm (~3,500 employees).</t>
  </si>
  <si>
    <t>Austin, TX HQ; Boise office at 2791 S Victory View Way plus Idaho Falls/Pocatello offices.</t>
  </si>
  <si>
    <t>ziprecruiter.com / oneatlas.com</t>
  </si>
  <si>
    <t>Idaho-founded power delivery/substation/transmission engineering consultancy, acquired by WSP in 2024; longtime Idaho Power engineering consultant.</t>
  </si>
  <si>
    <t>HQ Hailey, ID with Meridian/Boise offices; now part of WSP.</t>
  </si>
  <si>
    <t>wsp.com</t>
  </si>
  <si>
    <t>Systems integration / I&amp;C (FMCS, BMS/SCADA) for mega-fabs</t>
  </si>
  <si>
    <t>HQ Lewisville TX; traveling fab site staff</t>
  </si>
  <si>
    <t>prime-controls.com</t>
  </si>
  <si>
    <t>Designs, builds, refurbishes and services ultra-high-purity gas cabinets, valve manifold boxes, gas abatement and orbital welding for semiconductor fabs (since 1998).</t>
  </si>
  <si>
    <t>HQ at 7000 W Victory Rd, Boise ID — ~2 miles from Micron's Federal Way campus; also MN, PA, TX, UT.</t>
  </si>
  <si>
    <t>criticalsystemsinc.com</t>
  </si>
  <si>
    <t>Global leader in ultrapure water production, treatment chemicals, and turnkey UPW operations/maintenance for semiconductor fabs.</t>
  </si>
  <si>
    <t>US HQ Minneapolis; Kurita job postings active in Boise, ID.</t>
  </si>
  <si>
    <t>idahonews.com</t>
  </si>
  <si>
    <t>World's largest merchant photomask maker; operates an advanced photomask NanoFab in Boise.</t>
  </si>
  <si>
    <t>HQ Brookfield CT; Boise ID photomask facility adjacent to Micron's campus, originally the Micron-Photronics 'MP Mask' JV.</t>
  </si>
  <si>
    <t>photronics.com</t>
  </si>
  <si>
    <t>Apple</t>
  </si>
  <si>
    <t>Confirmed-NotMicron</t>
  </si>
  <si>
    <t>Schweitzer Engineering Laboratories (SEL)</t>
  </si>
  <si>
    <t>Employee-owned maker of protective relays and power-system protection/automation equipment; operates its own chip fab in Moscow, ID.</t>
  </si>
  <si>
    <t>HQ Pullman WA; Boise office with a $25M, 170K sf Boise expansion underway.</t>
  </si>
  <si>
    <t>No Micron relationship — independent tech manufacturer with its own semiconductor operations.</t>
  </si>
  <si>
    <t>selinc.com</t>
  </si>
  <si>
    <t>St. Luke's Health System</t>
  </si>
  <si>
    <t>Saint Alphonsus (Trinity Health)</t>
  </si>
  <si>
    <t>Self-employed</t>
  </si>
  <si>
    <t>Amazon</t>
  </si>
  <si>
    <t>Albertsons</t>
  </si>
  <si>
    <t>Chick-fil-A</t>
  </si>
  <si>
    <t>Idaho College of Osteopathic Medicine (ICOM)</t>
  </si>
  <si>
    <t>Aimbridge Hospitality</t>
  </si>
  <si>
    <t>Coleman Environmental Engineering, Inc.</t>
  </si>
  <si>
    <t>Anaheim, CA remediation and disaster-recovery GC: utility vegetation management, wildfire debris removal, soil remediation, demolition; clients include PG&amp;E, SCE, USFS.</t>
  </si>
  <si>
    <t>No Idaho office found; 4-person corporate-leased Meridian unit indicates a traveling field-crew deployment.</t>
  </si>
  <si>
    <t>No mention of Idaho, Boise, Micron, or semiconductor work; deployment client unidentified.</t>
  </si>
  <si>
    <t>Weak-unverified</t>
  </si>
  <si>
    <t>colemanenvironmental.com</t>
  </si>
  <si>
    <t>Goodwill</t>
  </si>
  <si>
    <t>Idaho Central Credit Union</t>
  </si>
  <si>
    <t>The AZEK Company</t>
  </si>
  <si>
    <t>'Si' (data-entry artifact)</t>
  </si>
  <si>
    <t>No Boise-area company named 'Si'; likely 'Sí'/yes on a Spanish-language application.</t>
  </si>
  <si>
    <t>None; not plausibly a silicon/semiconductor reference.</t>
  </si>
  <si>
    <t>84 Lumber</t>
  </si>
  <si>
    <t>Arbor Valley of Cascadia</t>
  </si>
  <si>
    <t>Dr. Yvonne Rochon Pediatric Dentistry</t>
  </si>
  <si>
    <t>Eye Care Center of Northern Colorado</t>
  </si>
  <si>
    <t>Idaho Department of Corrections</t>
  </si>
  <si>
    <t>Idaho Survey Group LLC</t>
  </si>
  <si>
    <t>Boise-based land surveying and construction staking firm serving ID/NV/OR.</t>
  </si>
  <si>
    <t>HQ Boise, ID.</t>
  </si>
  <si>
    <t>No Micron connection found; Micron's documented site surveyor since 2017 is a different firm (Eagle Land Surveying).</t>
  </si>
  <si>
    <t>idahosurvey.com</t>
  </si>
  <si>
    <t>Modern Wealth Management</t>
  </si>
  <si>
    <t>Royal Coffee Co.</t>
  </si>
  <si>
    <t>Shea Homes</t>
  </si>
  <si>
    <t>Uber</t>
  </si>
  <si>
    <t>WESCO Microscopes (Western Scientific)</t>
  </si>
  <si>
    <t>Family-scale sales, repair, and maintenance of optical microscopes for educational, clinical, industrial users (since 1962).</t>
  </si>
  <si>
    <t>Relocated from California to Idaho; small Treasure Valley operation.</t>
  </si>
  <si>
    <t>No semiconductor or Micron connection — optical/lab microscope service shop, not fab metrology.</t>
  </si>
  <si>
    <t>wescomicroscopes.com</t>
  </si>
  <si>
    <t>West Ada School District</t>
  </si>
  <si>
    <t>Access Behavioral Health</t>
  </si>
  <si>
    <t>Ada County</t>
  </si>
  <si>
    <t>Aqua-Tots Swim School</t>
  </si>
  <si>
    <t>Boise State University</t>
  </si>
  <si>
    <t>Columbia Electric Supply (Sonepar)</t>
  </si>
  <si>
    <t>Industrial electrical products, automation, and smart-manufacturing distribution.</t>
  </si>
  <si>
    <t>Branch at 8645 Westpark St, Boise; NW distributor in the Sonepar family.</t>
  </si>
  <si>
    <t>No supplier-of-record evidence; incidental sales to fab subs plausible but classed as ordinary local distribution.</t>
  </si>
  <si>
    <t>cesboise.com</t>
  </si>
  <si>
    <t>Crumbl</t>
  </si>
  <si>
    <t>DHS / TSA</t>
  </si>
  <si>
    <t>DaBella</t>
  </si>
  <si>
    <t>DoorDash</t>
  </si>
  <si>
    <t>Eagle Vision One</t>
  </si>
  <si>
    <t>Horizon Air</t>
  </si>
  <si>
    <t>IHOP</t>
  </si>
  <si>
    <t>Intelligent Design Mechanical Solutions (IDS HVAC)</t>
  </si>
  <si>
    <t>Residential and commercial HVAC install/service in the Treasure Valley.</t>
  </si>
  <si>
    <t>Garden City, ID.</t>
  </si>
  <si>
    <t>None; light resi/commercial focus, no industrial/cleanroom work found.</t>
  </si>
  <si>
    <t>idshvac.com</t>
  </si>
  <si>
    <t>KHP (unresolved)</t>
  </si>
  <si>
    <t>No Boise/Meridian company 'KHP' identifiable.</t>
  </si>
  <si>
    <t>No Idaho entity located.</t>
  </si>
  <si>
    <t>None found.</t>
  </si>
  <si>
    <t>Kirton McConkie (law)</t>
  </si>
  <si>
    <t>Mia Studio</t>
  </si>
  <si>
    <t>Norco, Inc.</t>
  </si>
  <si>
    <t>Largest privately owned US welding, safety, medical and industrial gas supplier; 80+ branches across 7 western states.</t>
  </si>
  <si>
    <t>Headquartered in Boise.</t>
  </si>
  <si>
    <t>No Micron contract found; bulk fab gases come from majors — plausible jobsite welding-gas role only.</t>
  </si>
  <si>
    <t>norco-inc.com</t>
  </si>
  <si>
    <t>Overland Court Senior Living</t>
  </si>
  <si>
    <t>Paragon Corporate Housing</t>
  </si>
  <si>
    <t>Peak Living (property mgmt)</t>
  </si>
  <si>
    <t>Rain Networks</t>
  </si>
  <si>
    <t>SkyWest Airlines</t>
  </si>
  <si>
    <t>Starbucks</t>
  </si>
  <si>
    <t>State of Idaho</t>
  </si>
  <si>
    <t>T-Mobile</t>
  </si>
  <si>
    <t>The Eye Associates</t>
  </si>
  <si>
    <t>U.S. Air Force</t>
  </si>
  <si>
    <t>U.S. Postal Service</t>
  </si>
  <si>
    <t>University of Alaska</t>
  </si>
  <si>
    <t>208 Home Care</t>
  </si>
  <si>
    <t>208 Roofing</t>
  </si>
  <si>
    <t>A Child's Heart Learning Center</t>
  </si>
  <si>
    <t>A-1 Heating &amp; Air</t>
  </si>
  <si>
    <t>ALLWEST Testing &amp; Engineering, Inc.</t>
  </si>
  <si>
    <t>Employee-owned geotechnical, construction materials testing, and special inspections firm serving the Inland Northwest.</t>
  </si>
  <si>
    <t>Offices in Meridian, Hayden, and Lewiston ID; Spokane/Tri-Cities WA; Missoula MT.</t>
  </si>
  <si>
    <t>No public evidence of Micron/Triton QA-QC work; plausible as a leading local CMT/special-inspection firm but unverified.</t>
  </si>
  <si>
    <t>allwesttesting.com</t>
  </si>
  <si>
    <t>Ace Hardware</t>
  </si>
  <si>
    <t>Ada County Sheriff's Office</t>
  </si>
  <si>
    <t>Advanced Heating &amp; Cooling</t>
  </si>
  <si>
    <t>Air Methods</t>
  </si>
  <si>
    <t>Allegheny General Hospital</t>
  </si>
  <si>
    <t>Amazon Flex / Lyft</t>
  </si>
  <si>
    <t>Americor</t>
  </si>
  <si>
    <t>Apace Labor &amp; Construction (Apace Demolition)</t>
  </si>
  <si>
    <t>Meridian, ID contractor doing residential remodel demolition, roofing tear-off, concrete, and general remodel work.</t>
  </si>
  <si>
    <t>HQ Meridian, ID.</t>
  </si>
  <si>
    <t>None; small residential-focused local contractor.</t>
  </si>
  <si>
    <t>apaceidaho.com</t>
  </si>
  <si>
    <t>Arizona Mohs Surgery</t>
  </si>
  <si>
    <t>Asbury (church/nonprofit)</t>
  </si>
  <si>
    <t>Avery's House</t>
  </si>
  <si>
    <t>Axiota Animal Health</t>
  </si>
  <si>
    <t>Axis Innovations</t>
  </si>
  <si>
    <t>Axtell Painting</t>
  </si>
  <si>
    <t>Aztec Welding Services</t>
  </si>
  <si>
    <t>Industrial piping, structural welding, sanitary (food &amp; beverage) welds, tank/pipe fabrication.</t>
  </si>
  <si>
    <t>Caldwell/Homedale, ID.</t>
  </si>
  <si>
    <t>Client base is food/bev/ag; no Micron or mechanical-sub connection found.</t>
  </si>
  <si>
    <t>aztecwelding.com</t>
  </si>
  <si>
    <t>BB Bridal</t>
  </si>
  <si>
    <t>BHI, Inc.</t>
  </si>
  <si>
    <t>Vernal, UT-based national EPC and heavy-civil GC in energy, infrastructure, building and mining markets.</t>
  </si>
  <si>
    <t>No Boise office identified; national footprint reaches the Intermountain West (identity ambiguous).</t>
  </si>
  <si>
    <t>No evidence of Micron Boise/Triton involvement found.</t>
  </si>
  <si>
    <t>bhico.com</t>
  </si>
  <si>
    <t>Bad Boy Burgers</t>
  </si>
  <si>
    <t>Banc of California</t>
  </si>
  <si>
    <t>Barbara Morgan STEM Academy (West Ada)</t>
  </si>
  <si>
    <t>Bardenay</t>
  </si>
  <si>
    <t>Beacon Health Care System</t>
  </si>
  <si>
    <t>Beauty Block</t>
  </si>
  <si>
    <t>Blue Cross of Idaho</t>
  </si>
  <si>
    <t>Boise Centre</t>
  </si>
  <si>
    <t>Boise Fire Department</t>
  </si>
  <si>
    <t>Boise Police Department</t>
  </si>
  <si>
    <t>Boise VA Medical Center</t>
  </si>
  <si>
    <t>Bookworx Business Solutions</t>
  </si>
  <si>
    <t>Brick 29 Bistro</t>
  </si>
  <si>
    <t>BrightStar Memory Care</t>
  </si>
  <si>
    <t>Bronco Motors</t>
  </si>
  <si>
    <t>Builder Services Group</t>
  </si>
  <si>
    <t>C &amp; S (unidentified)</t>
  </si>
  <si>
    <t>CO-Energy (Connell Oil)</t>
  </si>
  <si>
    <t>Petroleum products/lubricants distributor and cardlock fueling for ag, forestry, commercial customers.</t>
  </si>
  <si>
    <t>WA-based; Boise location serving ID/OR/WA.</t>
  </si>
  <si>
    <t>None; could incidentally fuel construction fleets.</t>
  </si>
  <si>
    <t>connelloil.com</t>
  </si>
  <si>
    <t>COMPASS (Community Planning Assoc. of SW Idaho)</t>
  </si>
  <si>
    <t>Cabela's</t>
  </si>
  <si>
    <t>Calvary Chapel Treasure Valley</t>
  </si>
  <si>
    <t>Canyon County Prosecutor</t>
  </si>
  <si>
    <t>Capistrano USD, CA</t>
  </si>
  <si>
    <t>Capital City Carpentry</t>
  </si>
  <si>
    <t>Capstone Logistics</t>
  </si>
  <si>
    <t>Caravel Autism Health</t>
  </si>
  <si>
    <t>CenterPointe</t>
  </si>
  <si>
    <t>Central District Health</t>
  </si>
  <si>
    <t>Central Stone &amp; Tile</t>
  </si>
  <si>
    <t>Charlotte County, FL</t>
  </si>
  <si>
    <t>Chipotle</t>
  </si>
  <si>
    <t>City Hope Schools</t>
  </si>
  <si>
    <t>City of Boise</t>
  </si>
  <si>
    <t>City of Star</t>
  </si>
  <si>
    <t>Coast Electric (entity unresolved)</t>
  </si>
  <si>
    <t>Multiple candidates; no Idaho-registered Coast Electric found.</t>
  </si>
  <si>
    <t>No Boise/Idaho entity located.</t>
  </si>
  <si>
    <t>Not on IBEW 291 PLA dispatch list; $11.6K/age 23 suggests apprentice/part-time at a small shop.</t>
  </si>
  <si>
    <t>Community Connection</t>
  </si>
  <si>
    <t>Construction (unspecified)</t>
  </si>
  <si>
    <t>Corporate housing (unspecified)</t>
  </si>
  <si>
    <t>County of San Mateo, CA</t>
  </si>
  <si>
    <t>Coyne Powersports</t>
  </si>
  <si>
    <t>Crave Restaurant &amp; Bar</t>
  </si>
  <si>
    <t>Custom home builder (unspecified)</t>
  </si>
  <si>
    <t>D&amp;A Glass</t>
  </si>
  <si>
    <t>DLM Counseling</t>
  </si>
  <si>
    <t>DWT (unresolved)</t>
  </si>
  <si>
    <t>Candidates include Davis Wright Tremaine (law), Deutsche Windtechnik, DWT Investments LLC (Boise); none confirmable.</t>
  </si>
  <si>
    <t>Only DWT Investments LLC registered in Boise.</t>
  </si>
  <si>
    <t>Dania Furniture / Scandinavian Designs</t>
  </si>
  <si>
    <t>Darmody Enterprises</t>
  </si>
  <si>
    <t>PENDING</t>
  </si>
  <si>
    <t>Dassault Systèmes</t>
  </si>
  <si>
    <t>Digestive Health Clinic</t>
  </si>
  <si>
    <t>Drybar</t>
  </si>
  <si>
    <t>E.B. Woodwork &amp; Design</t>
  </si>
  <si>
    <t>Eagle Ridge Apparel</t>
  </si>
  <si>
    <t>Earth Energy, Inc.</t>
  </si>
  <si>
    <t>Horizontal directional drilling, hydro excavation, and trenching for underground utilities since 1989.</t>
  </si>
  <si>
    <t>Boise, ID (6418 W Gowen Rd).</t>
  </si>
  <si>
    <t>Utility boring near the fab site conceivable but unevidenced.</t>
  </si>
  <si>
    <t>earthenergyinc.com</t>
  </si>
  <si>
    <t>Epionce (Episciences)</t>
  </si>
  <si>
    <t>Falck Ambulance</t>
  </si>
  <si>
    <t>Foundations First</t>
  </si>
  <si>
    <t>Franklin Building Supply</t>
  </si>
  <si>
    <t>Full Circle (likely Full Circle Health)</t>
  </si>
  <si>
    <t>Several Boise 'Full Circle' entities; Full Circle Health (FQHC clinic network) most likely; $38.4K fits clinic support staff.</t>
  </si>
  <si>
    <t>All candidates Boise-based.</t>
  </si>
  <si>
    <t>None for any candidate.</t>
  </si>
  <si>
    <t>bbb.org</t>
  </si>
  <si>
    <t>G&amp;L Plumbing</t>
  </si>
  <si>
    <t>GardaWorld</t>
  </si>
  <si>
    <t>Gaston's Bakery</t>
  </si>
  <si>
    <t>Giggy D's</t>
  </si>
  <si>
    <t>Goodwood Barbecue</t>
  </si>
  <si>
    <t>Grand Canyon University</t>
  </si>
  <si>
    <t>Great Harvest Bread Co.</t>
  </si>
  <si>
    <t>Guho Corp / Mark Guho Construction</t>
  </si>
  <si>
    <t>Fourth-generation family general contracting firm doing CM/GC and design-build commercial work.</t>
  </si>
  <si>
    <t>HQ Boise/Eagle, ID.</t>
  </si>
  <si>
    <t>No Micron connection found; portfolio is local public/private commercial work.</t>
  </si>
  <si>
    <t>guhocorp.com</t>
  </si>
  <si>
    <t>HLC (Hawley Lambert Cycles)</t>
  </si>
  <si>
    <t>HWA GeoSciences Inc.</t>
  </si>
  <si>
    <t>Bothell, WA geotechnical/pavement engineering, materials testing, and geoenvironmental consultancy.</t>
  </si>
  <si>
    <t>No Idaho office; Pacific Northwest (Puget Sound) focus.</t>
  </si>
  <si>
    <t>No discoverable Idaho or Micron project work.</t>
  </si>
  <si>
    <t>hwageo.com</t>
  </si>
  <si>
    <t>Hancock Whitney</t>
  </si>
  <si>
    <t>Harvester Coffee Co.</t>
  </si>
  <si>
    <t>Haven Behavioral Health</t>
  </si>
  <si>
    <t>Home Depot</t>
  </si>
  <si>
    <t>Hotel Renegade</t>
  </si>
  <si>
    <t>Hummingbird Healthcare</t>
  </si>
  <si>
    <t>Idaho Army National Guard</t>
  </si>
  <si>
    <t>Idaho Health Neighborhood Center</t>
  </si>
  <si>
    <t>Idaho Materials &amp; Construction (Staker Parson / CRH)</t>
  </si>
  <si>
    <t>Aggregate, asphalt production, paving, road construction, site work and trucking; asphalt plants in Nampa, Boise, and Twin Falls.</t>
  </si>
  <si>
    <t>Treasure Valley operations (Nampa/Boise); part of Utah-based Staker Parson, a CRH company.</t>
  </si>
  <si>
    <t>No documented Micron/Triton contract found; plausible aggregate/paving supplier to site contractors but unverified.</t>
  </si>
  <si>
    <t>stakerparson.com</t>
  </si>
  <si>
    <t>Idaho State Police Forensics</t>
  </si>
  <si>
    <t>In-N-Out Burger</t>
  </si>
  <si>
    <t>Intermountain Wood Products</t>
  </si>
  <si>
    <t>Interstate Batteries</t>
  </si>
  <si>
    <t>JL Snyder PC (law)</t>
  </si>
  <si>
    <t>Jani-King (Barak Group)</t>
  </si>
  <si>
    <t>Jason Champagne Law</t>
  </si>
  <si>
    <t>Jose Herrera (private employer)</t>
  </si>
  <si>
    <t>Jostens</t>
  </si>
  <si>
    <t>KOI Medical Staffing</t>
  </si>
  <si>
    <t>Keller CPAs</t>
  </si>
  <si>
    <t>LDS Church</t>
  </si>
  <si>
    <t>Laser Land Leveling</t>
  </si>
  <si>
    <t>Lennar</t>
  </si>
  <si>
    <t>Liberty Energy</t>
  </si>
  <si>
    <t>Life Care Center of Boise</t>
  </si>
  <si>
    <t>Lighthouse Hospice</t>
  </si>
  <si>
    <t>Lucky Perk Coffee</t>
  </si>
  <si>
    <t>Lumen Technologies</t>
  </si>
  <si>
    <t>Lush Cosmetics</t>
  </si>
  <si>
    <t>MV Transportation</t>
  </si>
  <si>
    <t>Magic Valley Electric / HRC Fire</t>
  </si>
  <si>
    <t>MVE: ag/commercial/industrial electrical in Twin Falls-Jerome; HRC Fire: retardant loading/air-tanker base staffing for wildland firefighting.</t>
  </si>
  <si>
    <t>Jerome/Twin Falls ID; regional tanker bases.</t>
  </si>
  <si>
    <t>None for either.</t>
  </si>
  <si>
    <t>electricteam.com</t>
  </si>
  <si>
    <t>Mercedes-Benz (dealership)</t>
  </si>
  <si>
    <t>Money Metals Exchange</t>
  </si>
  <si>
    <t>Mountain Care Pharmacy</t>
  </si>
  <si>
    <t>Mountain Companies</t>
  </si>
  <si>
    <t>Nampa School District</t>
  </si>
  <si>
    <t>Natural Health Improvement Center</t>
  </si>
  <si>
    <t>Nestlé</t>
  </si>
  <si>
    <t>Neurobehavioral Center for Growth</t>
  </si>
  <si>
    <t>New Pacific Airlines</t>
  </si>
  <si>
    <t>Northern Illinois Methodist Conference</t>
  </si>
  <si>
    <t>Northpoint Recovery</t>
  </si>
  <si>
    <t>Northwest Interiors</t>
  </si>
  <si>
    <t>Novonesis</t>
  </si>
  <si>
    <t>Old Navy</t>
  </si>
  <si>
    <t>Opal Autism Centers</t>
  </si>
  <si>
    <t>Owyhee Environmental (pest control)</t>
  </si>
  <si>
    <t>PMH Tech, Inc.</t>
  </si>
  <si>
    <t>Small Goodyear, AZ firm; line of business unverified (principal has medical/marketing background).</t>
  </si>
  <si>
    <t>Goodyear, AZ; no Boise presence.</t>
  </si>
  <si>
    <t>None found despite 'Tech' name.</t>
  </si>
  <si>
    <t>Passive Homes</t>
  </si>
  <si>
    <t>Pate Electric (McCall, ID)</t>
  </si>
  <si>
    <t>Small residential/commercial electrical services firm.</t>
  </si>
  <si>
    <t>McCall, ID.</t>
  </si>
  <si>
    <t>None; small non-union-scale shop.</t>
  </si>
  <si>
    <t>Paul Mitchell The School</t>
  </si>
  <si>
    <t>Phillips 66</t>
  </si>
  <si>
    <t>Plumbing Solutions of Idaho</t>
  </si>
  <si>
    <t>Popeyes</t>
  </si>
  <si>
    <t>Portneuf Medical Center</t>
  </si>
  <si>
    <t>Primary Behavioral Health Services</t>
  </si>
  <si>
    <t>Primerica</t>
  </si>
  <si>
    <t>Priority Plumbing</t>
  </si>
  <si>
    <t>Private employer (Kevin)</t>
  </si>
  <si>
    <t>Quick Smiles Dental</t>
  </si>
  <si>
    <t>Raisin Angels</t>
  </si>
  <si>
    <t>Real estate (unspecified)</t>
  </si>
  <si>
    <t>RecorGroup</t>
  </si>
  <si>
    <t>Boise-based sales &amp; marketing brokerage for consumer packaged goods brands into Albertsons, WinCo, Kroger.</t>
  </si>
  <si>
    <t>Headquartered in Boise, ID.</t>
  </si>
  <si>
    <t>None; grocery/CPG sector.</t>
  </si>
  <si>
    <t>recorgroup.com</t>
  </si>
  <si>
    <t>Republic Services</t>
  </si>
  <si>
    <t>Rhuman &amp; Assoc. CPA</t>
  </si>
  <si>
    <t>Riverside Hotel</t>
  </si>
  <si>
    <t>Roger &amp; Rae Distributing</t>
  </si>
  <si>
    <t>Rosa Aranda (private employer)</t>
  </si>
  <si>
    <t>Roundhouse</t>
  </si>
  <si>
    <t>Salina Country Club</t>
  </si>
  <si>
    <t>SanMar</t>
  </si>
  <si>
    <t>ScaleHouse Talent</t>
  </si>
  <si>
    <t>AI-first staffing firm for home-services operators (HVAC/plumbing/solar): sales, installers, call center roles.</t>
  </si>
  <si>
    <t>No Boise office; remote-friendly.</t>
  </si>
  <si>
    <t>None; explicitly home-services vertical, not tech/semiconductor staffing.</t>
  </si>
  <si>
    <t>scalehousetalent.com</t>
  </si>
  <si>
    <t>Scentsy</t>
  </si>
  <si>
    <t>Scheels</t>
  </si>
  <si>
    <t>ScribeAmerica</t>
  </si>
  <si>
    <t>Self-employed (Angelina)</t>
  </si>
  <si>
    <t>Sherwin-Williams</t>
  </si>
  <si>
    <t>Shyne Mobile Auto Detailing</t>
  </si>
  <si>
    <t>Sid's Garage</t>
  </si>
  <si>
    <t>Skyline Transitional Care Center</t>
  </si>
  <si>
    <t>Snake River Correctional Institution (OR)</t>
  </si>
  <si>
    <t>Southwest Airlines</t>
  </si>
  <si>
    <t>Spavia Day Spa</t>
  </si>
  <si>
    <t>St. Andrew Lutheran Church</t>
  </si>
  <si>
    <t>St. David's HealthCare</t>
  </si>
  <si>
    <t>St. Joseph's Medical Center</t>
  </si>
  <si>
    <t>Stability Networks</t>
  </si>
  <si>
    <t>Stantec Inc.</t>
  </si>
  <si>
    <t>Global engineering/design consultancy (water, environmental, infrastructure) with a semiconductor sector practice.</t>
  </si>
  <si>
    <t>Edmonton, Canada HQ; established Boise, ID office.</t>
  </si>
  <si>
    <t>No documented Stantec role on Micron Boise/Triton; Boise office does mostly municipal/land-development work.</t>
  </si>
  <si>
    <t>Starbucks / Hotel Renegade</t>
  </si>
  <si>
    <t>State Farm</t>
  </si>
  <si>
    <t>Sudmeier Family Trust</t>
  </si>
  <si>
    <t>SuperKids Daycare</t>
  </si>
  <si>
    <t>Supercuts</t>
  </si>
  <si>
    <t>TDS Telecom</t>
  </si>
  <si>
    <t>Table Rock Senior Living</t>
  </si>
  <si>
    <t>Taphouse</t>
  </si>
  <si>
    <t>Technology Credit Union</t>
  </si>
  <si>
    <t>The Odom Corporation</t>
  </si>
  <si>
    <t>Family-owned NW distributor of beer, wine, spirits and non-alcoholic beverages since 1934.</t>
  </si>
  <si>
    <t>Boise warehouse at 4719 Market St.</t>
  </si>
  <si>
    <t>None.</t>
  </si>
  <si>
    <t>odomcorp.com</t>
  </si>
  <si>
    <t>The Partners Group</t>
  </si>
  <si>
    <t>The Payroll Factory</t>
  </si>
  <si>
    <t>The Village at Gainesville</t>
  </si>
  <si>
    <t>Thrivent Financial</t>
  </si>
  <si>
    <t>Timber Springs Transitional Care</t>
  </si>
  <si>
    <t>Tin Roof Tacos</t>
  </si>
  <si>
    <t>Top Tier Painting</t>
  </si>
  <si>
    <t>Torro Restaurant Group</t>
  </si>
  <si>
    <t>Transportation (unspecified)</t>
  </si>
  <si>
    <t>Treasure Valley Chipseal</t>
  </si>
  <si>
    <t>Marsing/Boise-area chip seal, asphalt and concrete paving for driveways and parking lots.</t>
  </si>
  <si>
    <t>HQ Marsing, ID (Treasure Valley).</t>
  </si>
  <si>
    <t>None; residential/commercial paving.</t>
  </si>
  <si>
    <t>treasurevalleychipseal.com</t>
  </si>
  <si>
    <t>Treasure Valley Intervention</t>
  </si>
  <si>
    <t>Tri-County Behavioral Healthcare</t>
  </si>
  <si>
    <t>Trinity Assisted Living</t>
  </si>
  <si>
    <t>Trinity Trailer Mfg</t>
  </si>
  <si>
    <t>Turner Construction</t>
  </si>
  <si>
    <t>Largest US general builder across healthcare, education, data centers, advanced manufacturing.</t>
  </si>
  <si>
    <t>No Boise office; prior Idaho work and occasional Idaho postings.</t>
  </si>
  <si>
    <t>No source ties Turner to the Micron Boise fab; most likely on a non-Micron Treasure Valley project.</t>
  </si>
  <si>
    <t>turnerconstruction.com</t>
  </si>
  <si>
    <t>Twin Peaks</t>
  </si>
  <si>
    <t>Twinkle Toes Nanny Agency</t>
  </si>
  <si>
    <t>Ty Trucking</t>
  </si>
  <si>
    <t>U.S. Army</t>
  </si>
  <si>
    <t>U.S. Department of Defense</t>
  </si>
  <si>
    <t>U.S. Department of the Interior</t>
  </si>
  <si>
    <t>U.S. Marine Corps</t>
  </si>
  <si>
    <t>U.S. Military (unspecified)</t>
  </si>
  <si>
    <t>USI Insurance Services</t>
  </si>
  <si>
    <t>Udelhoven Oilfield System Services</t>
  </si>
  <si>
    <t>Anchorage-based oilfield construction/maintenance (electrical, HVAC, plumbing) for Cook Inlet and Prudhoe Bay since 1970.</t>
  </si>
  <si>
    <t>HQ Anchorage AK; no Idaho operations found.</t>
  </si>
  <si>
    <t>None; Alaska oil &amp; gas focused — guarantor likely earns Alaska wages.</t>
  </si>
  <si>
    <t>udelhoven.com</t>
  </si>
  <si>
    <t>Ulta Beauty</t>
  </si>
  <si>
    <t>UniFirst</t>
  </si>
  <si>
    <t>United Rentals (Trench Safety)</t>
  </si>
  <si>
    <t>Universal Fasteners &amp; Supply</t>
  </si>
  <si>
    <t>Urban Soccer Park</t>
  </si>
  <si>
    <t>V's Barbershop</t>
  </si>
  <si>
    <t>V2V Management Solutions</t>
  </si>
  <si>
    <t>Healthcare consulting firm (practice transformation, financial/operational management for medical groups).</t>
  </si>
  <si>
    <t>Office at 5598 N Eagle Rd, Boise ID — minutes from the property.</t>
  </si>
  <si>
    <t>No semiconductor or Micron tie; local identity fits and $240K fits a principal.</t>
  </si>
  <si>
    <t>v2vms.com</t>
  </si>
  <si>
    <t>VES, LLC (probable)</t>
  </si>
  <si>
    <t>Most probable match is VES LLC, a DoD software-systems-integration firm; $181K fits a senior remote software engineer.</t>
  </si>
  <si>
    <t>Aberdeen Proving Ground, MD HQ; no Idaho presence found.</t>
  </si>
  <si>
    <t>No semiconductor or Micron connection found for any candidate; identity unresolved.</t>
  </si>
  <si>
    <t>ves.solutions</t>
  </si>
  <si>
    <t>Veterans Benefits Administration</t>
  </si>
  <si>
    <t>Visioneering Space Corp</t>
  </si>
  <si>
    <t>Vista Health Care</t>
  </si>
  <si>
    <t>Vituity</t>
  </si>
  <si>
    <t>Walmart</t>
  </si>
  <si>
    <t>Wells Fargo</t>
  </si>
  <si>
    <t>White Pine Electric</t>
  </si>
  <si>
    <t>Local general electrical specialty contractor, Boise area, since ~1999.</t>
  </si>
  <si>
    <t>Boise, ID.</t>
  </si>
  <si>
    <t>None; small local shop, not among the union PLA electrical subs on Triton.</t>
  </si>
  <si>
    <t>procore.com</t>
  </si>
  <si>
    <t>WinCo Foods Distribution</t>
  </si>
  <si>
    <t>Wolff Corporate Housing</t>
  </si>
  <si>
    <t>rPlus Energies</t>
  </si>
  <si>
    <t>Salt Lake City-based utility-scale solar/storage developer with major Ada County, ID projects under PPA with Idaho Power.</t>
  </si>
  <si>
    <t>Utah HQ; large active construction projects in Ada County, ID.</t>
  </si>
  <si>
    <t>No Micron tie — its Idaho Power solar PPAs are tied to Meta's Kuna data center, not Micron.</t>
  </si>
  <si>
    <t>rplusenergies.com</t>
  </si>
  <si>
    <t>Retired</t>
  </si>
  <si>
    <t>Not employed / other income</t>
  </si>
  <si>
    <t>Alimony income</t>
  </si>
  <si>
    <t>Homemaker</t>
  </si>
  <si>
    <t>Student</t>
  </si>
  <si>
    <t>Canyon Ridge — Standardized Employer Summary (all 151 employers)</t>
  </si>
  <si>
    <t>Carried over verbatim from Canyon Ridge Employer / Micron Analysis (2026.06.24). Counts are occupant-level (Primary + Co-Applicant).</t>
  </si>
  <si>
    <t>Category</t>
  </si>
  <si>
    <t>DRAM &amp; NAND memory/storage chip designer &amp; manufacturer</t>
  </si>
  <si>
    <t>Boise, ID (HQ, 8000 S Federal Way)</t>
  </si>
  <si>
    <t>THE employer/anchor. ~$50B "Triton" Boise expansion: two new DRAM fabs, first wafers ~2H2027, ~17,000 projected ID jobs. Property is adjacent worker housing.</t>
  </si>
  <si>
    <t>micron.com/us-expansion/id</t>
  </si>
  <si>
    <t>Electrical contractor (mission-critical/high-tech/industrial)</t>
  </si>
  <si>
    <t>Portland, OR (MDU Construction Services); IBEW 291 signatory</t>
  </si>
  <si>
    <t>Variants incl. "Oregon Electric"/"Oregon electric group"; IBEW 291 dispatch on Micron PLA; fab electrical fit.</t>
  </si>
  <si>
    <t>oeg.us.com; ibew291.org</t>
  </si>
  <si>
    <t>Hoffman Structures, Inc.</t>
  </si>
  <si>
    <t>Structural/concrete self-perform affiliate of Hoffman Construction</t>
  </si>
  <si>
    <t>Portland, OR</t>
  </si>
  <si>
    <t>In-house concrete arm of Hoffman; concrete scope on Triton via parent GC role (inferred).</t>
  </si>
  <si>
    <t>wikipedia/Hoffman Construction</t>
  </si>
  <si>
    <t>Performance Contracting, Inc. (PCI)</t>
  </si>
  <si>
    <t>Specialty contractor: cleanroom build-out &amp; insulation for microelectronics</t>
  </si>
  <si>
    <t>Lenexa, KS; Boise location</t>
  </si>
  <si>
    <t>Cleanroom/microelectronics specialty + Boise presence; classic fab cleanroom sub.</t>
  </si>
  <si>
    <t>performancecontracting.com</t>
  </si>
  <si>
    <t>Heavy-industrial GC (civil, steel, process piping, electrical); a MasTec company</t>
  </si>
  <si>
    <t>Vancouver, WA (MasTec subsidiary); Boise job postings</t>
  </si>
  <si>
    <t>MasTec-owned ("Mas tec - phoenix industrial" per a resident); Boise hiring + industrial scope fit the fab build.</t>
  </si>
  <si>
    <t>phxind.com/about</t>
  </si>
  <si>
    <t>General contractor (largest in Pacific NW)</t>
  </si>
  <si>
    <t>Portland, OR (Boise offices)</t>
  </si>
  <si>
    <t>CONFIRMED: became GC of the Micron Triton build ~Sept 2025 after Exyte was discontinued.</t>
  </si>
  <si>
    <t>boisedev.com 2025/11/24</t>
  </si>
  <si>
    <t>Trew Contracting Solutions</t>
  </si>
  <si>
    <t>Site/civil &amp; general contracting (TCS) labor</t>
  </si>
  <si>
    <t>Idaho</t>
  </si>
  <si>
    <t>Idaho site contractor (variants "Tcs construction"/"TCS, LLC"); resident laborers/yard foreman/project engineer on the build.</t>
  </si>
  <si>
    <t>Industrial mechanical contractor / self-perform GC</t>
  </si>
  <si>
    <t>Longview, WA; Boise jobsites</t>
  </si>
  <si>
    <t>CONFIRMED: dedicated project page "Micron Project Triton F08B"; ~97,000 lf process piping installed.</t>
  </si>
  <si>
    <t>jhkelly.com/projects/micron-project-triton-f08b</t>
  </si>
  <si>
    <t>SME Steel Contractors</t>
  </si>
  <si>
    <t>Structural steel fabricator/erector (SME Industries)</t>
  </si>
  <si>
    <t>West Jordan, UT (Western US)</t>
  </si>
  <si>
    <t>Steel erection trade; major Western steel contractor on large fab/industrial builds. Resident ironworkers/journeymen.</t>
  </si>
  <si>
    <t>smesteel.com</t>
  </si>
  <si>
    <t>Suntec Concrete</t>
  </si>
  <si>
    <t>Large structural/cast-in-place concrete contractor</t>
  </si>
  <si>
    <t>Phoenix, AZ</t>
  </si>
  <si>
    <t>Major Southwest concrete contractor active on semiconductor megaprojects; resident cement masons/finishers/laborers.</t>
  </si>
  <si>
    <t>suntecconcrete.com</t>
  </si>
  <si>
    <t>Harder Mechanical Contractors</t>
  </si>
  <si>
    <t>Industrial mechanical / process-piping contractor</t>
  </si>
  <si>
    <t>Portland, OR (fab shop Vancouver WA); Boise jobs</t>
  </si>
  <si>
    <t>CONFIRMED on Micron Triton ID1 (subcontractor trailer city); Boise QA/QC roles posted.</t>
  </si>
  <si>
    <t>harder.com</t>
  </si>
  <si>
    <t>Murray Company</t>
  </si>
  <si>
    <t>Large mechanical / process-piping contractor</t>
  </si>
  <si>
    <t>Rancho Dominguez, CA</t>
  </si>
  <si>
    <t>Mechanical contractor with semiconductor experience; resident apprentices/foremen (mechanical).</t>
  </si>
  <si>
    <t>murrayco.com</t>
  </si>
  <si>
    <t>ACCO Engineered Systems</t>
  </si>
  <si>
    <t>Employee-owned mechanical contractor (HVAC/plumbing/process piping)</t>
  </si>
  <si>
    <t>Glendale, CA; Boise-area office (Garden City, ID)</t>
  </si>
  <si>
    <t>Has a real Idaho mechanical office + semiconductor experience; plausible Micron mechanical sub (not individually documented).</t>
  </si>
  <si>
    <t>accoes.com/location/boise-id</t>
  </si>
  <si>
    <t>BrandSafway</t>
  </si>
  <si>
    <t>Scaffolding &amp; work-access / industrial services</t>
  </si>
  <si>
    <t>Atlanta, GA</t>
  </si>
  <si>
    <t>Scaffolding/access provider standard on large fab/industrial builds; resident carpenter. Strong-inferred on the Micron build.</t>
  </si>
  <si>
    <t>brandsafway.com</t>
  </si>
  <si>
    <t>Challenger Companies</t>
  </si>
  <si>
    <t>Electrical contractor</t>
  </si>
  <si>
    <t>(regional)</t>
  </si>
  <si>
    <t>Resident occupation explicitly "Journeyman electrician, micron" — direct on-site Micron electrical work.</t>
  </si>
  <si>
    <t>Charter Mechanical</t>
  </si>
  <si>
    <t>Mechanical contractor (HVAC/piping)</t>
  </si>
  <si>
    <t>(Western US)</t>
  </si>
  <si>
    <t>Mechanical/pipefitting trade; resident journeyman pipefitter on the fab build.</t>
  </si>
  <si>
    <t>EC Company</t>
  </si>
  <si>
    <t>Electrical contractor (EC Company / EC Electric, "ECC")</t>
  </si>
  <si>
    <t>Named among Micron electrical contractors (per IBEW 291/Micron reporting: "EC"). Resident quality manager / general foreman.</t>
  </si>
  <si>
    <t>ec-co.com</t>
  </si>
  <si>
    <t>GSCS</t>
  </si>
  <si>
    <t>Global Specialty Construction Services — union industrial painting/coatings &amp; multi-craft</t>
  </si>
  <si>
    <t>Dallas, TX (traveling crews)</t>
  </si>
  <si>
    <t>Industrial painting/coatings self-perform contractor; fits resident painters. Micron link inferred (portfolio is petrochem/power).</t>
  </si>
  <si>
    <t>gscsservices.com</t>
  </si>
  <si>
    <t>IBEW Local 291</t>
  </si>
  <si>
    <t>Electricians' union local (dispatch hall)</t>
  </si>
  <si>
    <t>Boise, ID</t>
  </si>
  <si>
    <t>The Boise IBEW local dispatching electricians to the Micron Triton build under the Project Labor Agreement.</t>
  </si>
  <si>
    <t>ibew291.org</t>
  </si>
  <si>
    <t>Rosendin Electric</t>
  </si>
  <si>
    <t>Largest employee-owned electrical contractor in the US</t>
  </si>
  <si>
    <t>San Jose, CA; Boise office</t>
  </si>
  <si>
    <t>CONFIRMED: IBEW Local 291 signatory dispatching Micron PLA calls; named Micron MEP sub; built early Intel fabs.</t>
  </si>
  <si>
    <t>rosendin.com/offices/boise-id</t>
  </si>
  <si>
    <t>Sprint Mechanical</t>
  </si>
  <si>
    <t>Industrial mechanical: high-purity process gas/UPW piping, fab tool install</t>
  </si>
  <si>
    <t>Houston, TX (+Phoenix)</t>
  </si>
  <si>
    <t>Self-describes fab/cleanroom high-purity piping work; no Boise office on file — Boise-Micron role inferred via trade.</t>
  </si>
  <si>
    <t>sprint-mechanical.com</t>
  </si>
  <si>
    <t>15002044 Canada Inc</t>
  </si>
  <si>
    <t>Numbered Canadian operating/payroll entity (construction)</t>
  </si>
  <si>
    <t>Canada (federally incorporated 2023)</t>
  </si>
  <si>
    <t>Resident is a Construction Manager; numbered entities often front a named contractor on a project. Likely a fab sub/GC, brand unidentifiable.</t>
  </si>
  <si>
    <t>ised-isde.canada.ca</t>
  </si>
  <si>
    <t>Apollo Mechanical Contractors</t>
  </si>
  <si>
    <t>Native American-owned mechanical/HVAC/process-piping contractor</t>
  </si>
  <si>
    <t>Kennewick, WA (Tri-Cities); multi-state</t>
  </si>
  <si>
    <t>Actively hiring a Boise, ID construction Safety Professional → implies an active Idaho jobsite (Micron is the dominant build).</t>
  </si>
  <si>
    <t>apollomech.com</t>
  </si>
  <si>
    <t>Bledsoe Construction</t>
  </si>
  <si>
    <t>General/industrial construction</t>
  </si>
  <si>
    <t>Construction trade (resident material handler) on the build.</t>
  </si>
  <si>
    <t>Cochran Electric</t>
  </si>
  <si>
    <t>(Pacific NW)</t>
  </si>
  <si>
    <t>Electrical trade on the fab build; resident general foreman.</t>
  </si>
  <si>
    <t>Coffman Excavating</t>
  </si>
  <si>
    <t>Site prep / mass excavation / utilities (Coffman Excavation)</t>
  </si>
  <si>
    <t>Oregon City, OR; Idaho AGC member</t>
  </si>
  <si>
    <t>Earthwork/site-civil; Idaho AGC member doing mass excavation/utilities — early-phase fab work. Resident superintendent.</t>
  </si>
  <si>
    <t>idahoagc.org</t>
  </si>
  <si>
    <t>Double E</t>
  </si>
  <si>
    <t>Civil/site contractor (Double E Construction)</t>
  </si>
  <si>
    <t>Green River, UT (in Idaho bids directory)</t>
  </si>
  <si>
    <t>Union laborer; Utah firm sending laborers to Idaho jobs (the Micron megaproject is the draw).</t>
  </si>
  <si>
    <t>idahobids.com</t>
  </si>
  <si>
    <t>ECCO</t>
  </si>
  <si>
    <t>Ambiguous construction contractor</t>
  </si>
  <si>
    <t>Unknown</t>
  </si>
  <si>
    <t>Generic name; resident construction. Likely a fab-build trade, but firm unconfirmed.</t>
  </si>
  <si>
    <t>Exyte</t>
  </si>
  <si>
    <t>Semiconductor cleanroom engineering/construction (controlled environments)</t>
  </si>
  <si>
    <t>Stuttgart, Germany; US ops on Boise</t>
  </si>
  <si>
    <t>Was the cleanroom GC on Triton; Micron discontinued the contract eff. Sept 2 2025 (200+ WARN layoffs); replaced by Hoffman.</t>
  </si>
  <si>
    <t>Flynn Group (Flynn BEC)</t>
  </si>
  <si>
    <t>Building envelope contractor (roofing/glazing/cladding)</t>
  </si>
  <si>
    <t>Calgary, AB (Flynn Group; US ops)</t>
  </si>
  <si>
    <t>Building-envelope trade ("Flynn BEC"); resident foreman. Envelope sub on the fab build (inferred).</t>
  </si>
  <si>
    <t>flynncompanies.com</t>
  </si>
  <si>
    <t>HSI</t>
  </si>
  <si>
    <t>Ambiguous finish/patch contractor (drywall/finishes)</t>
  </si>
  <si>
    <t>Generic name; resident "patch crew". Construction trade in Boise → likely on the build, but firm unconfirmed.</t>
  </si>
  <si>
    <t>Large national general contractor</t>
  </si>
  <si>
    <t>Greeley, CO; Boise presence</t>
  </si>
  <si>
    <t>Documented as a GC/builder on the Micron Boise project (w/ Engineered Structures, Kiewit, Exyte).</t>
  </si>
  <si>
    <t>getfods.com case study</t>
  </si>
  <si>
    <t>Hodess Cleanroom Construction</t>
  </si>
  <si>
    <t>Pure-play cleanroom general contractor</t>
  </si>
  <si>
    <t>Attleboro, MA</t>
  </si>
  <si>
    <t>Cleanroom-construction specialist — directly tied to semiconductor fab interiors; resident construction. Strong fit for Micron fab.</t>
  </si>
  <si>
    <t>hodessconstruction.com</t>
  </si>
  <si>
    <t>MC Company</t>
  </si>
  <si>
    <t>Mechanical/electrical/industrial contractor (ambiguous: MC Industrial / MC Construction Boise)</t>
  </si>
  <si>
    <t>Boise, ID / national</t>
  </si>
  <si>
    <t>Mech/elec trade; local "MC Construction" Boise candidate, or national MC Industrial. Likely fab sub, unconfirmed.</t>
  </si>
  <si>
    <t>Maxim Crane Works</t>
  </si>
  <si>
    <t>Largest US crane rental &amp; lifting services</t>
  </si>
  <si>
    <t>Bridgeville, PA</t>
  </si>
  <si>
    <t>Crane/lifting services standard on fab megaprojects; resident crane operator. Inferred on the Micron build.</t>
  </si>
  <si>
    <t>maximcrane.com</t>
  </si>
  <si>
    <t>Murray Plumbing and Heating Corporation</t>
  </si>
  <si>
    <t>Mechanical/plumbing contractor</t>
  </si>
  <si>
    <t>Mechanical/plumbing trade on the fab build (project manager resident). Possibly related to/confused with Murray Company.</t>
  </si>
  <si>
    <t>Pence Kelly Construction</t>
  </si>
  <si>
    <t>Structural concrete contractor (Pence/Kelly Concrete)</t>
  </si>
  <si>
    <t>Salem/Lake Oswego, OR; ID-licensed</t>
  </si>
  <si>
    <t>Structural concrete; signatory to Southern Idaho Laborers &amp; licensed in ID; resident carpenter foreman. Fab concrete plausible.</t>
  </si>
  <si>
    <t>pencekelly.com</t>
  </si>
  <si>
    <t>Pipefitters UA Local 296</t>
  </si>
  <si>
    <t>Pipefitters/plumbers' union local</t>
  </si>
  <si>
    <t>The Boise UA local supplying pipefitters/plumbers to the Micron build (PLA).</t>
  </si>
  <si>
    <t>ua296.org</t>
  </si>
  <si>
    <t>Plumbers &amp; Pipefitters Union</t>
  </si>
  <si>
    <t>Plumbers/pipefitters union (UA)</t>
  </si>
  <si>
    <t>Union plumber/pipefitter on the fab build (generic UA reference).</t>
  </si>
  <si>
    <t>Quality Electric</t>
  </si>
  <si>
    <t>Idaho's largest electrical contractor (commercial/industrial/semiconductor)</t>
  </si>
  <si>
    <t>CONFIRMED Micron fab electrical sub: IBEW 291 PLA "Micron In House" calls; Mission Critical Semiconductor group; named with Rosendin/EC/VECA.</t>
  </si>
  <si>
    <t>qeidaho.com</t>
  </si>
  <si>
    <t>RM Mechanical</t>
  </si>
  <si>
    <t>Mechanical contractor</t>
  </si>
  <si>
    <t>Mechanical trade on the fab build.</t>
  </si>
  <si>
    <t>Refrigeration Unlimited</t>
  </si>
  <si>
    <t>Commercial/industrial refrigeration contractor</t>
  </si>
  <si>
    <t>Refrigeration trade; resident refrigeration journeyman (fab process cooling plausible).</t>
  </si>
  <si>
    <t>Robert Gibb &amp; Sons</t>
  </si>
  <si>
    <t>Structural steel / construction</t>
  </si>
  <si>
    <t>Fargo, ND</t>
  </si>
  <si>
    <t>Steel/construction; resident journeyman. Steel trade on the build (inferred).</t>
  </si>
  <si>
    <t>robertgibb.com</t>
  </si>
  <si>
    <t>Rolling Plains Construction</t>
  </si>
  <si>
    <t>Industrial construction / QC</t>
  </si>
  <si>
    <t>Construction trade (resident quality control) on the build.</t>
  </si>
  <si>
    <t>Shambaugh &amp; Son</t>
  </si>
  <si>
    <t>Large MEP design-build &amp; fire-protection contractor (EMCOR)</t>
  </si>
  <si>
    <t>Fort Wayne, IN</t>
  </si>
  <si>
    <t>National fab-capable MEP/fire-protection contractor, but Midwest footprint &amp; no Boise office — Micron-Boise tie unconfirmed (possible relocated worker).</t>
  </si>
  <si>
    <t>Weak/unconfirmed</t>
  </si>
  <si>
    <t>shambaugh.com</t>
  </si>
  <si>
    <t>Tews Construction</t>
  </si>
  <si>
    <t>General construction</t>
  </si>
  <si>
    <t>Construction trade on the build.</t>
  </si>
  <si>
    <t>Volt Up</t>
  </si>
  <si>
    <t>Electrical/EV contractor (ambiguous)</t>
  </si>
  <si>
    <t>Resident crew lead; electrical work on the build plausible, firm unconfirmed.</t>
  </si>
  <si>
    <t>WW Steel Erectors</t>
  </si>
  <si>
    <t>Structural steel erection</t>
  </si>
  <si>
    <t>Steel erection; resident ironworker on the fab build.</t>
  </si>
  <si>
    <t>Warner Construction</t>
  </si>
  <si>
    <t>Site/heavy construction</t>
  </si>
  <si>
    <t>Construction trade (resident equipment operator) on the build.</t>
  </si>
  <si>
    <t>YMC Mechanical</t>
  </si>
  <si>
    <t>Mechanical / sheet-metal contractor</t>
  </si>
  <si>
    <t>Sheet-metal/mechanical trade; resident sheet-metal journeyman.</t>
  </si>
  <si>
    <t>Prime Controls</t>
  </si>
  <si>
    <t>Lewisville, TX</t>
  </si>
  <si>
    <t>Fab facility-controls integrator; resident electrical journeymen. Boise-Micron link inferred (cites AZ/TX/NY fabs).</t>
  </si>
  <si>
    <t>Tata Consultancy Services (TCS)</t>
  </si>
  <si>
    <t>Global IT services / consulting / outsourcing</t>
  </si>
  <si>
    <t>Mumbai, India; Boise office</t>
  </si>
  <si>
    <t>CONFIRMED Micron contractor: Boise field-services role supports "wafer fab operations at Micron" (8000 S Federal Way). Residents self-reported "TCS (Micron Contract)" / "Micron/TCS".</t>
  </si>
  <si>
    <t>tcs.com; indeed TCS Boise</t>
  </si>
  <si>
    <t>Actalent</t>
  </si>
  <si>
    <t>Engineering &amp; sciences staffing (Allegis Group); semiconductor practice</t>
  </si>
  <si>
    <t>Hanover, MD; serves Boise</t>
  </si>
  <si>
    <t>Major contract-engineering staffing supplier with a semiconductor practice; resident engineer placed (likely at Micron).</t>
  </si>
  <si>
    <t>actalentservices.com</t>
  </si>
  <si>
    <t>Arcadis</t>
  </si>
  <si>
    <t>Global engineering, design &amp; program management (semiconductor practice)</t>
  </si>
  <si>
    <t>Amsterdam, NL; US ops</t>
  </si>
  <si>
    <t>Dedicated semiconductor/advanced-tech practice; resident BIM Manager. Plausible Micron fab design/VDC.</t>
  </si>
  <si>
    <t>arcadis.com</t>
  </si>
  <si>
    <t>Barry-Wehmiller Design Group</t>
  </si>
  <si>
    <t>Controls engineering / systems integration / automation</t>
  </si>
  <si>
    <t>St. Louis, MO</t>
  </si>
  <si>
    <t>Serves semiconductor; controls/automation relevant to fab tool install &amp; facility controls; resident controls engineer.</t>
  </si>
  <si>
    <t>bwdesigngroup.com</t>
  </si>
  <si>
    <t>Capgemini</t>
  </si>
  <si>
    <t>Global IT/digital consulting &amp; engineering (semiconductor practice)</t>
  </si>
  <si>
    <t>Paris, France; global</t>
  </si>
  <si>
    <t>Large IT consultancy with semiconductor practice; resident "Associate consultant" — plausible Micron client delivery.</t>
  </si>
  <si>
    <t>capgemini.com</t>
  </si>
  <si>
    <t>Currie &amp; Brown</t>
  </si>
  <si>
    <t>Cost consultancy / project &amp; cost management</t>
  </si>
  <si>
    <t>London, UK; US offices</t>
  </si>
  <si>
    <t>Semiconductor cost-consulting case studies (anon Midwest client); resident project coordinator. Plausible Micron PM/cost role.</t>
  </si>
  <si>
    <t>curriebrown.com</t>
  </si>
  <si>
    <t>Dykman Electrical</t>
  </si>
  <si>
    <t>Industrial electrical distributor/service (motors, VFDs, drives, controls)</t>
  </si>
  <si>
    <t>Boise, ID (2323 S Federal Way, on the Micron corridor)</t>
  </si>
  <si>
    <t>Possible equipment/electrical supplier near campus; resident is back-office (bookkeeper). Micron tie unconfirmed.</t>
  </si>
  <si>
    <t>dykman.com</t>
  </si>
  <si>
    <t>Longfinch Technologies</t>
  </si>
  <si>
    <t>Managed IT services &amp; IT staffing</t>
  </si>
  <si>
    <t>Edison, NJ</t>
  </si>
  <si>
    <t>IT staffing/consulting; resident Senior Business Analyst — could be placed on a Micron/IT engagement.</t>
  </si>
  <si>
    <t>longfinch.com</t>
  </si>
  <si>
    <t>POWER Engineers</t>
  </si>
  <si>
    <t>Consulting engineering (power/energy/facilities); now part of WSP</t>
  </si>
  <si>
    <t>Hailey, IDAHO (HQ); 40+ offices</t>
  </si>
  <si>
    <t>Idaho-HQ power/facility engineering; power is the critical fab utility. Strong local + service fit (no named Micron contract found).</t>
  </si>
  <si>
    <t>powereng.com</t>
  </si>
  <si>
    <t>STSI</t>
  </si>
  <si>
    <t>Engineering/technical staffing (Staffing Technical Services Inc.)</t>
  </si>
  <si>
    <t>Dallas–Ft. Worth, TX</t>
  </si>
  <si>
    <t>Places electrical designers/engineers on contract; resident "electrical design". Plausible placement on a fab/utility project.</t>
  </si>
  <si>
    <t>stsigroup.com</t>
  </si>
  <si>
    <t>Trivent Safety Consulting</t>
  </si>
  <si>
    <t>Construction safety consulting / site-safety staffing</t>
  </si>
  <si>
    <t>Denver, CO</t>
  </si>
  <si>
    <t>Provides site-safety staffing of the kind mega-fab builds require; resident safety consultant.</t>
  </si>
  <si>
    <t>triventsc.com</t>
  </si>
  <si>
    <t>VIATechnik</t>
  </si>
  <si>
    <t>Virtual Design &amp; Construction (VDC) / BIM consultancy</t>
  </si>
  <si>
    <t>Chicago, IL</t>
  </si>
  <si>
    <t>BIM/VDC is core to fab delivery; resident VDC Engineer. Micron tie inferred from service line.</t>
  </si>
  <si>
    <t>viatechnik.com</t>
  </si>
  <si>
    <t>ASML</t>
  </si>
  <si>
    <t>Semiconductor equipment / tool vendor (installs &amp; services Micron fab tools)</t>
  </si>
  <si>
    <t>EUV/DUV lithography systems (critical patterning)</t>
  </si>
  <si>
    <t>Veldhoven, NL; Boise office (3130 S Owyhee St)</t>
  </si>
  <si>
    <t>CONFIRMED: ~60 engineers in Boise on the "Micron customer team"; won Micron 2024 Supplier Excellence award.</t>
  </si>
  <si>
    <t>micron.com/supplier-day; ASML Boise FSE</t>
  </si>
  <si>
    <t>KLA Corporation</t>
  </si>
  <si>
    <t>Process control: wafer/reticle inspection, metrology, yield</t>
  </si>
  <si>
    <t>Milpitas, CA; Boise FAE roles</t>
  </si>
  <si>
    <t>Major memory-segment supplier ("led by SK Hynix and Micron"); Boise field applications engineers serve the dominant local fab (Micron).</t>
  </si>
  <si>
    <t>dice/KLA Boise FAE</t>
  </si>
  <si>
    <t>Tokyo Electron (TEL)</t>
  </si>
  <si>
    <t>Coater/developer litho tracks, etch, deposition, cleaning</t>
  </si>
  <si>
    <t>Tokyo (US: Austin); Boise office 9095 S Federal Way (adjacent Micron HQ)</t>
  </si>
  <si>
    <t>CONFIRMED: won Micron 2025 Supplier Excellence award; dedicated Boise office co-located with Micron.</t>
  </si>
  <si>
    <t>tel.com/locations/tea; micron supplier-day</t>
  </si>
  <si>
    <t>3D Glass Solutions</t>
  </si>
  <si>
    <t>Glass-based advanced-packaging substrates/interposers</t>
  </si>
  <si>
    <t>Albuquerque, NM</t>
  </si>
  <si>
    <t>Semiconductor packaging startup; no evidence of a Micron relationship, no Idaho presence. Resident likely remote/relocated.</t>
  </si>
  <si>
    <t>3dgsinc.com</t>
  </si>
  <si>
    <t>ASM America</t>
  </si>
  <si>
    <t>Deposition equipment (ALD/PEALD/epi) — ASM International</t>
  </si>
  <si>
    <t>Almere, NL (US: Phoenix); Boise onsite roles</t>
  </si>
  <si>
    <t>Onsite Boise Sr Field Process Engineer &amp; FSE roles tied to "customer R&amp;D" → Micron (ALD critical to DRAM).</t>
  </si>
  <si>
    <t>asm.com Boise roles</t>
  </si>
  <si>
    <t>Applied Materials</t>
  </si>
  <si>
    <t>Largest semiconductor equipment maker (deposition/etch/CMP/inspection)</t>
  </si>
  <si>
    <t>Santa Clara, CA; Boise office (6675 S Eisenman Rd)</t>
  </si>
  <si>
    <t>CONFIRMED: won Micron 2025 Supplier Excellence award; EPIC Center co-development partnership with Micron's Boise innovation center.</t>
  </si>
  <si>
    <t>appliedmaterials–Micron PR</t>
  </si>
  <si>
    <t>BE Semiconductor Industries (Besi)</t>
  </si>
  <si>
    <t>Advanced-packaging assembly equipment (die attach, hybrid bonding)</t>
  </si>
  <si>
    <t>Duiven, NL</t>
  </si>
  <si>
    <t>Semiconductor equipment category; no documented Micron supply, no Idaho presence (Micron stayed on microbumps for HBM4). Tie unconfirmed.</t>
  </si>
  <si>
    <t>besi.com</t>
  </si>
  <si>
    <t>Ebara Technologies</t>
  </si>
  <si>
    <t>CMP, dry vacuum pumps, abatement</t>
  </si>
  <si>
    <t>Tokyo (US: Sacramento); Boise jobs</t>
  </si>
  <si>
    <t>Standard CMP/pump/abatement vendor to DRAM fabs; Boise field presence points to Micron (no Micron-named doc).</t>
  </si>
  <si>
    <t>ebaratech.com</t>
  </si>
  <si>
    <t>Kokusai Semiconductor Equipment</t>
  </si>
  <si>
    <t>Batch thermal-processing &amp; ALD/CVD furnaces (Kokusai Electric/KSEC)</t>
  </si>
  <si>
    <t>Tokyo; KSEC Idaho office 9095 S Federal Way (adjacent Micron)</t>
  </si>
  <si>
    <t>CONFIRMED: KSEC Idaho service office co-located with Micron; Micron a major ALD/furnace customer.</t>
  </si>
  <si>
    <t>ksec.com/contacts</t>
  </si>
  <si>
    <t>Rigaku Americas</t>
  </si>
  <si>
    <t>X-ray metrology/diffraction tools (XRD/XRR/XRF) for HVM</t>
  </si>
  <si>
    <t>Tokyo (US: The Woodlands, TX)</t>
  </si>
  <si>
    <t>Markets to DRAM/3D-DRAM/HBM makers broadly; no Idaho presence — Micron-Boise tie unconfirmed (possible field/remote role).</t>
  </si>
  <si>
    <t>rigaku.com</t>
  </si>
  <si>
    <t>Intel Corporation</t>
  </si>
  <si>
    <t>CPU/logic chips &amp; foundry</t>
  </si>
  <si>
    <t>Santa Clara, CA</t>
  </si>
  <si>
    <t>Primarily a Micron COMPETITOR (past IM Flash JV unwound 2018-19). The "8000 S Federal Way Boise" listing is bad data (Micron's address). Residents likely remote/relocated.</t>
  </si>
  <si>
    <t>intel.com; IM Flash (wiki)</t>
  </si>
  <si>
    <t>Microchip Technology</t>
  </si>
  <si>
    <t>Microcontrollers/analog/specialty memory</t>
  </si>
  <si>
    <t>Chandler, AZ</t>
  </si>
  <si>
    <t>Documented Micron PARTNER (uses Micron DRAM/NAND) but not a Boise/fab employer; resident likely remote/relocated. Other-semiconductor, not a Micron job.</t>
  </si>
  <si>
    <t>micron.com/partners/Microchip</t>
  </si>
  <si>
    <t>Samsung Austin Semiconductor</t>
  </si>
  <si>
    <t>Samsung US wafer fab (memory/logic)</t>
  </si>
  <si>
    <t>Austin, TX (parent Suwon, S. Korea)</t>
  </si>
  <si>
    <t>Direct memory COMPETITOR of Micron; no partnership/supplier tie. Resident relocated/remote.</t>
  </si>
  <si>
    <t>semiconductor.samsung.com</t>
  </si>
  <si>
    <t>United States Air Force</t>
  </si>
  <si>
    <t>U.S. military service branch</t>
  </si>
  <si>
    <t>Mountain Home AFB (~40mi SE) &amp; Idaho ANG, Gowen Field</t>
  </si>
  <si>
    <t>Military. No Micron tie.</t>
  </si>
  <si>
    <t>af.mil</t>
  </si>
  <si>
    <t>Idaho's largest health system (hospitals)</t>
  </si>
  <si>
    <t>Local healthcare. No Micron tie.</t>
  </si>
  <si>
    <t>stlukesonline.org</t>
  </si>
  <si>
    <t>Public research university</t>
  </si>
  <si>
    <t>Education (general STEM pipeline only). No direct Micron tie.</t>
  </si>
  <si>
    <t>boisestate.edu</t>
  </si>
  <si>
    <t>BÖHME</t>
  </si>
  <si>
    <t>Women's clothing retailer</t>
  </si>
  <si>
    <t>Boise, ID (store)</t>
  </si>
  <si>
    <t>Retail. No Micron tie.</t>
  </si>
  <si>
    <t>bohme.com</t>
  </si>
  <si>
    <t>Clearwater Analytics</t>
  </si>
  <si>
    <t>Investment-accounting SaaS (fintech)</t>
  </si>
  <si>
    <t>Boise tech, but NOT semiconductor and no Micron tie.</t>
  </si>
  <si>
    <t>clearwateranalytics.com</t>
  </si>
  <si>
    <t>Costco Wholesale</t>
  </si>
  <si>
    <t>Membership warehouse retailer</t>
  </si>
  <si>
    <t>Boise warehouse</t>
  </si>
  <si>
    <t>costco.com</t>
  </si>
  <si>
    <t>Department of Defense</t>
  </si>
  <si>
    <t>U.S. military department</t>
  </si>
  <si>
    <t>National (Pentagon)</t>
  </si>
  <si>
    <t>defense.gov</t>
  </si>
  <si>
    <t>Idaho National Guard</t>
  </si>
  <si>
    <t>Army &amp; Air National Guard</t>
  </si>
  <si>
    <t>Gowen Field, Boise</t>
  </si>
  <si>
    <t>imd.idaho.gov</t>
  </si>
  <si>
    <t>LC Logistics LLC</t>
  </si>
  <si>
    <t>Owner-operator trucking (self-employed)</t>
  </si>
  <si>
    <t>Boise area</t>
  </si>
  <si>
    <t>Self-employed trucking. No Micron tie.</t>
  </si>
  <si>
    <t>2 Towns Ciderhouse</t>
  </si>
  <si>
    <t>Craft cider producer</t>
  </si>
  <si>
    <t>Corvallis, OR</t>
  </si>
  <si>
    <t>Beverage producer. No Micron tie.</t>
  </si>
  <si>
    <t>2townsciderhouse.com</t>
  </si>
  <si>
    <t>Ada County Prosecuting Attorney's Office</t>
  </si>
  <si>
    <t>County prosecutor</t>
  </si>
  <si>
    <t>Local government (resident legal intern). No Micron tie.</t>
  </si>
  <si>
    <t>adacounty.id.gov</t>
  </si>
  <si>
    <t>Albertsons (Safeway Albertsons)</t>
  </si>
  <si>
    <t>Grocery chain</t>
  </si>
  <si>
    <t>HQ Boise, ID</t>
  </si>
  <si>
    <t>Retail (HQ in Boise). No Micron tie.</t>
  </si>
  <si>
    <t>albertsons.com</t>
  </si>
  <si>
    <t>Alex Marks (self-employed)</t>
  </si>
  <si>
    <t>Self-employed individual (sales)</t>
  </si>
  <si>
    <t>Self-employed; unverifiable. No Micron tie established.</t>
  </si>
  <si>
    <t>Baron Properties</t>
  </si>
  <si>
    <t>Multifamily/commercial RE developer &amp; manager</t>
  </si>
  <si>
    <t>Denver, CO (Boise office)</t>
  </si>
  <si>
    <t>Real estate. No Micron tie.</t>
  </si>
  <si>
    <t>baronproperties.com</t>
  </si>
  <si>
    <t>Barrier Building</t>
  </si>
  <si>
    <t>Small commercial/industrial GC</t>
  </si>
  <si>
    <t>Small local GC; no documented Micron involvement (resident superintendent on local jobs).</t>
  </si>
  <si>
    <t>barrierbuilding.com</t>
  </si>
  <si>
    <t>Bazan Consulting</t>
  </si>
  <si>
    <t>Petroleum / hydraulic-fracture reservoir engineering</t>
  </si>
  <si>
    <t>Katy/Houston, TX</t>
  </si>
  <si>
    <t>Oil &amp; gas frac-analysis consultancy — no semiconductor/Boise nexus.</t>
  </si>
  <si>
    <t>bazanconsulting.com</t>
  </si>
  <si>
    <t>Bernalillo County</t>
  </si>
  <si>
    <t>County government</t>
  </si>
  <si>
    <t>Albuquerque, NEW MEXICO (out-of-area)</t>
  </si>
  <si>
    <t>Government in NM. No Micron tie.</t>
  </si>
  <si>
    <t>bernco.gov</t>
  </si>
  <si>
    <t>Bogus Basin Mountain Recreation Association</t>
  </si>
  <si>
    <t>Nonprofit ski/recreation area</t>
  </si>
  <si>
    <t>Boise County, ID</t>
  </si>
  <si>
    <t>Recreation. No Micron tie.</t>
  </si>
  <si>
    <t>bogusbasin.org</t>
  </si>
  <si>
    <t>Boise School District</t>
  </si>
  <si>
    <t>K-12 school district</t>
  </si>
  <si>
    <t>Education. No Micron tie.</t>
  </si>
  <si>
    <t>boiseschools.org</t>
  </si>
  <si>
    <t>Buckle</t>
  </si>
  <si>
    <t>Apparel/footwear retailer</t>
  </si>
  <si>
    <t>Kearney, NE (Boise mall store)</t>
  </si>
  <si>
    <t>buckle.com</t>
  </si>
  <si>
    <t>Carrot Fertility</t>
  </si>
  <si>
    <t>Fertility benefits platform</t>
  </si>
  <si>
    <t>San Francisco, CA (remote)</t>
  </si>
  <si>
    <t>Software/benefits. No Micron tie.</t>
  </si>
  <si>
    <t>get-carrot.com</t>
  </si>
  <si>
    <t>Center for Lifetime Health</t>
  </si>
  <si>
    <t>Family-practice / primary care</t>
  </si>
  <si>
    <t>centerforlifetimehealth.com</t>
  </si>
  <si>
    <t>Clarkson University</t>
  </si>
  <si>
    <t>Private research university (engineering)</t>
  </si>
  <si>
    <t>Potsdam, NEW YORK (out-of-area)</t>
  </si>
  <si>
    <t>Education (resident research assistant). No Micron tie.</t>
  </si>
  <si>
    <t>clarkson.edu</t>
  </si>
  <si>
    <t>Clemens Sales</t>
  </si>
  <si>
    <t>Freshwater/irrigation filtration-equipment mfr (Clemons Sales Corp)</t>
  </si>
  <si>
    <t>Boise, ID 83716</t>
  </si>
  <si>
    <t>Local ag-equipment manufacturer (resident welder = fabrication). No fab tie.</t>
  </si>
  <si>
    <t>clemonssales.net</t>
  </si>
  <si>
    <t>Commercial Northwest Property Management</t>
  </si>
  <si>
    <t>Property management</t>
  </si>
  <si>
    <t>commercialnw.com</t>
  </si>
  <si>
    <t>Dayforce</t>
  </si>
  <si>
    <t>HR/payroll software</t>
  </si>
  <si>
    <t>Minneapolis, MN</t>
  </si>
  <si>
    <t>Software. No Micron tie.</t>
  </si>
  <si>
    <t>dayforce.com</t>
  </si>
  <si>
    <t>Dennis Dillon Kia</t>
  </si>
  <si>
    <t>Auto dealership</t>
  </si>
  <si>
    <t>Retail/auto. No Micron tie.</t>
  </si>
  <si>
    <t>dennisdillonkia.com</t>
  </si>
  <si>
    <t>Echelon</t>
  </si>
  <si>
    <t>Likely Boise insurance/financial advisory</t>
  </si>
  <si>
    <t>Financial advisory (ambiguous). No Micron tie.</t>
  </si>
  <si>
    <t>Weak/unverified</t>
  </si>
  <si>
    <t>Elmer's Restaurant</t>
  </si>
  <si>
    <t>Breakfast/diner</t>
  </si>
  <si>
    <t>Food service. No Micron tie.</t>
  </si>
  <si>
    <t>Evergreen School District</t>
  </si>
  <si>
    <t>likely Vancouver, WASHINGTON (out-of-area)</t>
  </si>
  <si>
    <t>FedEx</t>
  </si>
  <si>
    <t>Package shipping/logistics</t>
  </si>
  <si>
    <t>Boise hub</t>
  </si>
  <si>
    <t>Logistics. No Micron tie.</t>
  </si>
  <si>
    <t>fedex.com</t>
  </si>
  <si>
    <t>Gunfighter Fitness Center (Mountain Home AFB)</t>
  </si>
  <si>
    <t>Base fitness center (366th Fighter Wing)</t>
  </si>
  <si>
    <t>Mountain Home AFB, ID</t>
  </si>
  <si>
    <t>Military rec facility. No Micron tie.</t>
  </si>
  <si>
    <t>mountainhomefss.com</t>
  </si>
  <si>
    <t>Gym Stars Gymnastics</t>
  </si>
  <si>
    <t>Gymnastics/cheer center</t>
  </si>
  <si>
    <t>Local rec business. No Micron tie.</t>
  </si>
  <si>
    <t>gymstarsidaho.com</t>
  </si>
  <si>
    <t>HP Inc.</t>
  </si>
  <si>
    <t>PCs &amp; printers (LaserJet)</t>
  </si>
  <si>
    <t>Palo Alto, CA; major Boise site (~1,100 staff, exiting by end-2027)</t>
  </si>
  <si>
    <t>Real on-site Boise employer (LaserJet), NOT a Micron worker; at most a downstream memory consumer.</t>
  </si>
  <si>
    <t>boisedev 2026/03/05</t>
  </si>
  <si>
    <t>Hess (Convenience/Retail)</t>
  </si>
  <si>
    <t>Oil/gas corp (retail brand defunct)</t>
  </si>
  <si>
    <t>NYC</t>
  </si>
  <si>
    <t>Resident intent ambiguous; no Micron tie.</t>
  </si>
  <si>
    <t>Hotel 43</t>
  </si>
  <si>
    <t>Boutique hotel</t>
  </si>
  <si>
    <t>Hospitality. No Micron tie.</t>
  </si>
  <si>
    <t>hotel43.com</t>
  </si>
  <si>
    <t>Hurliman CPA</t>
  </si>
  <si>
    <t>Tax/accounting CPA firm</t>
  </si>
  <si>
    <t>Scappoose, OREGON</t>
  </si>
  <si>
    <t>Accounting. No Micron tie.</t>
  </si>
  <si>
    <t>hurlimancpa.com</t>
  </si>
  <si>
    <t>J.P. Morgan Chase</t>
  </si>
  <si>
    <t>National bank</t>
  </si>
  <si>
    <t>NYC (Boise branches)</t>
  </si>
  <si>
    <t>Finance. No Micron tie.</t>
  </si>
  <si>
    <t>chase.com</t>
  </si>
  <si>
    <t>Jake True (self-employed)</t>
  </si>
  <si>
    <t>Self-employed individual (name as employer)</t>
  </si>
  <si>
    <t>Jesse Bair (self-employed)</t>
  </si>
  <si>
    <t>Self-employed individual ("Shift Process Engineer")</t>
  </si>
  <si>
    <t>FLAG: "Shift Process Engineer" is a fab role — possibly a Micron contractor working under own name (unverifiable).</t>
  </si>
  <si>
    <t>Possible-Micron(unverified)</t>
  </si>
  <si>
    <t>Kaiser Permanente</t>
  </si>
  <si>
    <t>Integrated managed-care system / insurer</t>
  </si>
  <si>
    <t>Oakland, CA (Boise office)</t>
  </si>
  <si>
    <t>Healthcare. No Micron tie.</t>
  </si>
  <si>
    <t>kp.org</t>
  </si>
  <si>
    <t>Kimberly-Clark</t>
  </si>
  <si>
    <t>Consumer products (Kleenex/Huggies); Kimtech cleanroom wipes</t>
  </si>
  <si>
    <t>Irving, TX</t>
  </si>
  <si>
    <t>Kimtech wipes are used in fab cleanrooms (indirect consumable at most); no Micron partnership/Idaho site. Resident likely remote R&amp;D.</t>
  </si>
  <si>
    <t>kcprofessional.com</t>
  </si>
  <si>
    <t>Kirey's Mobile Grooming</t>
  </si>
  <si>
    <t>Mobile pet grooming</t>
  </si>
  <si>
    <t>Local services. No Micron tie.</t>
  </si>
  <si>
    <t>Meridian Dermatology</t>
  </si>
  <si>
    <t>Dermatology clinic</t>
  </si>
  <si>
    <t>Meridian, ID</t>
  </si>
  <si>
    <t>mymeridianderm.com</t>
  </si>
  <si>
    <t>Nashua Homes</t>
  </si>
  <si>
    <t>Modular / off-site builder</t>
  </si>
  <si>
    <t>Boise, ID (5200 S Federal Way)</t>
  </si>
  <si>
    <t>Modular factory builder; no evidence of a Micron fab contract.</t>
  </si>
  <si>
    <t>nashuabuilders.com</t>
  </si>
  <si>
    <t>Orepac Building Products</t>
  </si>
  <si>
    <t>Building-materials distributor (doors/millwork)</t>
  </si>
  <si>
    <t>Boise branch (5500 S Federal Way); HQ Wilsonville, OR</t>
  </si>
  <si>
    <t>Building-materials distributor; not a fab sub/supplier.</t>
  </si>
  <si>
    <t>orepac.com</t>
  </si>
  <si>
    <t>Out to Lunch Restaurant Group</t>
  </si>
  <si>
    <t>Multi-concept restaurant group</t>
  </si>
  <si>
    <t>Boise/Meridian, ID</t>
  </si>
  <si>
    <t>otlrg.com</t>
  </si>
  <si>
    <t>Paylocity</t>
  </si>
  <si>
    <t>Schaumburg, IL</t>
  </si>
  <si>
    <t>paylocity.com</t>
  </si>
  <si>
    <t>Pennant Services (Barber Station Assisted Living)</t>
  </si>
  <si>
    <t>Senior living operator</t>
  </si>
  <si>
    <t>Local senior care. No Micron tie.</t>
  </si>
  <si>
    <t>pennantgroup.com</t>
  </si>
  <si>
    <t>ProFrac</t>
  </si>
  <si>
    <t>Oil &amp; gas hydraulic fracturing services</t>
  </si>
  <si>
    <t>Willow Park/Midland, TX</t>
  </si>
  <si>
    <t>Oilfield frac company — unrelated to the fab; resident "electronic technician" almost certainly a prior/out-of-state role.</t>
  </si>
  <si>
    <t>profrac.com</t>
  </si>
  <si>
    <t>Propel</t>
  </si>
  <si>
    <t>Benefits fintech or local IT (ambiguous)</t>
  </si>
  <si>
    <t>Brooklyn, NY / Meridian, ID</t>
  </si>
  <si>
    <t>Providence Medical Group</t>
  </si>
  <si>
    <t>Urgent/immediate care clinic</t>
  </si>
  <si>
    <t>Sherwood, OREGON (out-of-area)</t>
  </si>
  <si>
    <t>Healthcare in Oregon. No Micron tie.</t>
  </si>
  <si>
    <t>providence.org</t>
  </si>
  <si>
    <t>Quality Arts</t>
  </si>
  <si>
    <t>Art/school supplies &amp; framing</t>
  </si>
  <si>
    <t>Garden City/Boise, ID</t>
  </si>
  <si>
    <t>qualityart.biz</t>
  </si>
  <si>
    <t>Red Lobster</t>
  </si>
  <si>
    <t>Seafood restaurant chain</t>
  </si>
  <si>
    <t>Boise location</t>
  </si>
  <si>
    <t>redlobster.com</t>
  </si>
  <si>
    <t>Rensselaer Polytechnic Institute</t>
  </si>
  <si>
    <t>Private technological university</t>
  </si>
  <si>
    <t>Troy, NEW YORK (out-of-area)</t>
  </si>
  <si>
    <t>rpi.edu</t>
  </si>
  <si>
    <t>Rodger, Harvey &amp; Kretcher</t>
  </si>
  <si>
    <t>Presumed CPA/accounting firm (unverified)</t>
  </si>
  <si>
    <t>Could not verify; presumed accounting. No Micron tie.</t>
  </si>
  <si>
    <t>Ruan Transportation</t>
  </si>
  <si>
    <t>Dedicated contract trucking/logistics</t>
  </si>
  <si>
    <t>Des Moines, IA</t>
  </si>
  <si>
    <t>ruan.com</t>
  </si>
  <si>
    <t>SAIC</t>
  </si>
  <si>
    <t>Defense/government IT &amp; services contractor</t>
  </si>
  <si>
    <t>Reston, VA</t>
  </si>
  <si>
    <t>Resident is an FAA air-traffic-control instructor — defense/aviation, not Micron.</t>
  </si>
  <si>
    <t>saic.com</t>
  </si>
  <si>
    <t>Saint Alphonsus Health System</t>
  </si>
  <si>
    <t>Catholic (Trinity Health) regional medical center</t>
  </si>
  <si>
    <t>saintalphonsus.org</t>
  </si>
  <si>
    <t>Schnabel Engineering</t>
  </si>
  <si>
    <t>Geotechnical / dam / tunnel engineering</t>
  </si>
  <si>
    <t>West Chester, PA; Boise office (water/dam focus)</t>
  </si>
  <si>
    <t>Boise office work is dams/water/fish passage, not fab foundations; no Micron link.</t>
  </si>
  <si>
    <t>schnabel-eng.com</t>
  </si>
  <si>
    <t>Sean Snipe (self-employed)</t>
  </si>
  <si>
    <t>Self-employed individual (construction foreman)</t>
  </si>
  <si>
    <t>Self-employed; construction foreman — could be a fab-build trade but unverifiable.</t>
  </si>
  <si>
    <t>Regional airline</t>
  </si>
  <si>
    <t>St. George, UT (serves Boise)</t>
  </si>
  <si>
    <t>Aviation. No Micron tie.</t>
  </si>
  <si>
    <t>skywest.com</t>
  </si>
  <si>
    <t>Synlico Inc.</t>
  </si>
  <si>
    <t>AI/ML drug-discovery biotechnology</t>
  </si>
  <si>
    <t>South San Francisco, CA</t>
  </si>
  <si>
    <t>Biotech/pharma ML — not semiconductors; resident ML Scientist is biotech.</t>
  </si>
  <si>
    <t>synlico.com</t>
  </si>
  <si>
    <t>The Barnyard Daycare and Learning Center</t>
  </si>
  <si>
    <t>Daycare/preschool</t>
  </si>
  <si>
    <t>Local childcare. No Micron tie.</t>
  </si>
  <si>
    <t>thebarnyarddaycare.com</t>
  </si>
  <si>
    <t>The Smile Lodge Pediatric Dentistry</t>
  </si>
  <si>
    <t>Pediatric dental practice</t>
  </si>
  <si>
    <t>Clifton Park, NEW YORK (out-of-area)</t>
  </si>
  <si>
    <t>Healthcare in NY. No Micron tie.</t>
  </si>
  <si>
    <t>smilelodge.com</t>
  </si>
  <si>
    <t>The Sparrow</t>
  </si>
  <si>
    <t>Hospitality (resident night auditor). No Micron tie.</t>
  </si>
  <si>
    <t>sparrowboise.com</t>
  </si>
  <si>
    <t>Transportation Security Administration</t>
  </si>
  <si>
    <t>DHS airport security</t>
  </si>
  <si>
    <t>Boise Airport (BOI)</t>
  </si>
  <si>
    <t>Federal agency. No Micron tie.</t>
  </si>
  <si>
    <t>tsa.gov</t>
  </si>
  <si>
    <t>U.S. Bank</t>
  </si>
  <si>
    <t>Minneapolis, MN (Boise branches)</t>
  </si>
  <si>
    <t>usbank.com</t>
  </si>
  <si>
    <t>U.S. Military (branch unspecified)</t>
  </si>
  <si>
    <t>U.S. military (unspecified)</t>
  </si>
  <si>
    <t>UCLA</t>
  </si>
  <si>
    <t>Los Angeles, CA (out-of-area)</t>
  </si>
  <si>
    <t>Education (resident TA). No Micron tie.</t>
  </si>
  <si>
    <t>ucla.edu</t>
  </si>
  <si>
    <t>Vertex Pest Control</t>
  </si>
  <si>
    <t>Pest control</t>
  </si>
  <si>
    <t>vertexpestcontrol.com</t>
  </si>
  <si>
    <t>Webb Global Transfer</t>
  </si>
  <si>
    <t>Freight/moving &amp; logistics</t>
  </si>
  <si>
    <t>Fort Scott, KS</t>
  </si>
  <si>
    <t>webbgt.com</t>
  </si>
  <si>
    <t>Idaho's largest K-12 district</t>
  </si>
  <si>
    <t>westada.org</t>
  </si>
  <si>
    <t>Wiley</t>
  </si>
  <si>
    <t>Academic/STM publisher</t>
  </si>
  <si>
    <t>Hoboken, NJ</t>
  </si>
  <si>
    <t>Publishing. No Micron tie.</t>
  </si>
  <si>
    <t>wiley.com</t>
  </si>
  <si>
    <t>Yardi Systems</t>
  </si>
  <si>
    <t>Property-management software</t>
  </si>
  <si>
    <t>Santa Barbara, CA</t>
  </si>
  <si>
    <t>yardi.com</t>
  </si>
  <si>
    <t>Unit-level household income, rent &amp; coverage — both properties</t>
  </si>
  <si>
    <t>One row per unit with demographic data. HH Income = sum of qualifying occupant incomes (excl. guarantors, copied records, ≥$1M outliers). Rent: Canyon Ridge = scheduled rent (Entrata); Seasons = contract rent (rentres) from 07/09/2026 rent roll. Multiple = HH income ÷ (12 × rent).</t>
  </si>
  <si>
    <t>Property</t>
  </si>
  <si>
    <t>HH Income</t>
  </si>
  <si>
    <t>Contract Rent</t>
  </si>
  <si>
    <t>Income Multiple</t>
  </si>
  <si>
    <t>≥3x Rent</t>
  </si>
  <si>
    <t>Micron-related unit (T1–T4)</t>
  </si>
  <si>
    <t>Micron direct unit (T1)</t>
  </si>
  <si>
    <t>A-101</t>
  </si>
  <si>
    <t>Y</t>
  </si>
  <si>
    <t>A-102</t>
  </si>
  <si>
    <t>N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</si>
  <si>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</si>
  <si>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</si>
  <si>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</si>
  <si>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</si>
  <si>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</si>
  <si>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</si>
  <si>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</si>
  <si>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</si>
  <si>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A-112</t>
  </si>
  <si>
    <t>A-113</t>
  </si>
  <si>
    <t>A-114</t>
  </si>
  <si>
    <t>A-115</t>
  </si>
  <si>
    <t>A-116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</si>
  <si>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</si>
  <si>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</si>
  <si>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</si>
  <si>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</si>
  <si>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</si>
  <si>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</si>
  <si>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</si>
  <si>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</si>
  <si>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</si>
  <si>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</si>
  <si>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</si>
  <si>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</si>
  <si>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</si>
  <si>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</si>
  <si>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</si>
  <si>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</si>
  <si>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A-301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</si>
  <si>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</si>
  <si>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</si>
  <si>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</si>
  <si>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</si>
  <si>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</si>
  <si>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</si>
  <si>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</si>
  <si>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</si>
  <si>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</si>
  <si>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</si>
  <si>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</si>
  <si>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</si>
  <si>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</si>
  <si>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</si>
  <si>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</si>
  <si>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</si>
  <si>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</si>
  <si>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</si>
  <si>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</si>
  <si>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</si>
  <si>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</si>
  <si>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</si>
  <si>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</si>
  <si>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A-410</t>
  </si>
  <si>
    <t>A-411</t>
  </si>
  <si>
    <t>A-412</t>
  </si>
  <si>
    <t>A-413</t>
  </si>
  <si>
    <t>A-414</t>
  </si>
  <si>
    <t>A-415</t>
  </si>
  <si>
    <t>A-416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</si>
  <si>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</si>
  <si>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</si>
  <si>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</si>
  <si>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</si>
  <si>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</si>
  <si>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</si>
  <si>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</si>
  <si>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</si>
  <si>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</si>
  <si>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</si>
  <si>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</si>
  <si>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</si>
  <si>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</si>
  <si>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</si>
  <si>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</si>
  <si>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</si>
  <si>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</si>
  <si>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</si>
  <si>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</si>
  <si>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</si>
  <si>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B-121</t>
  </si>
  <si>
    <t>B-122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</si>
  <si>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</si>
  <si>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</si>
  <si>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</si>
  <si>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</si>
  <si>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</si>
  <si>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</si>
  <si>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</si>
  <si>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</si>
  <si>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</si>
  <si>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</si>
  <si>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</si>
  <si>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</si>
  <si>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</si>
  <si>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</si>
  <si>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</si>
  <si>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</si>
  <si>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</si>
  <si>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</si>
  <si>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</si>
  <si>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</si>
  <si>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</si>
  <si>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</si>
  <si>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</si>
  <si>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</si>
  <si>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</si>
  <si>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</si>
  <si>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</si>
  <si>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</si>
  <si>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</si>
  <si>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</si>
  <si>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</si>
  <si>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</si>
  <si>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</si>
  <si>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</si>
  <si>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</si>
  <si>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</si>
  <si>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</si>
  <si>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</si>
  <si>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</si>
  <si>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B-318</t>
  </si>
  <si>
    <t>B-319</t>
  </si>
  <si>
    <t>B-320</t>
  </si>
  <si>
    <t>B-321</t>
  </si>
  <si>
    <t>B-322</t>
  </si>
  <si>
    <t>B-401</t>
  </si>
  <si>
    <t>B-402</t>
  </si>
  <si>
    <t>B-403</t>
  </si>
  <si>
    <t>B-404</t>
  </si>
  <si>
    <t>B-405</t>
  </si>
  <si>
    <t>B-406</t>
  </si>
  <si>
    <t>B-407</t>
  </si>
  <si>
    <t>B-408</t>
  </si>
  <si>
    <t>B-409</t>
  </si>
  <si>
    <t>B-410</t>
  </si>
  <si>
    <t>B-411</t>
  </si>
  <si>
    <t>B-412</t>
  </si>
  <si>
    <t>B-413</t>
  </si>
  <si>
    <t>B-414</t>
  </si>
  <si>
    <t>B-415</t>
  </si>
  <si>
    <t>B-416</t>
  </si>
  <si>
    <t>B-417</t>
  </si>
  <si>
    <t>B-418</t>
  </si>
  <si>
    <t>B-419</t>
  </si>
  <si>
    <t>B-420</t>
  </si>
  <si>
    <t>B-421</t>
  </si>
  <si>
    <t>B-422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</si>
  <si>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</si>
  <si>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</si>
  <si>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</si>
  <si>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</si>
  <si>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</si>
  <si>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</si>
  <si>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</si>
  <si>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</si>
  <si>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</si>
  <si>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</si>
  <si>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</si>
  <si>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</si>
  <si>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</si>
  <si>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</si>
  <si>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</si>
  <si>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</si>
  <si>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</si>
  <si>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</si>
  <si>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</si>
  <si>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</si>
  <si>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</si>
  <si>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</si>
  <si>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</si>
  <si>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</si>
  <si>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</si>
  <si>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</si>
  <si>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</si>
  <si>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</si>
  <si>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</si>
  <si>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</si>
  <si>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</si>
  <si>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</si>
  <si>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D-101</t>
  </si>
  <si>
    <t>D-103</t>
  </si>
  <si>
    <t>D-105</t>
  </si>
  <si>
    <t>D-107</t>
  </si>
  <si>
    <t>D-109</t>
  </si>
  <si>
    <t>D-111</t>
  </si>
  <si>
    <t>D-113</t>
  </si>
  <si>
    <t>D-115</t>
  </si>
  <si>
    <t>D-201</t>
  </si>
  <si>
    <t>D-202</t>
  </si>
  <si>
    <t>D-203</t>
  </si>
  <si>
    <t>D-204</t>
  </si>
  <si>
    <t>D-205</t>
  </si>
  <si>
    <t>D-206</t>
  </si>
  <si>
    <t>D-207</t>
  </si>
  <si>
    <t>D-208</t>
  </si>
  <si>
    <t>D-209</t>
  </si>
  <si>
    <t>D-210</t>
  </si>
  <si>
    <t>D-211</t>
  </si>
  <si>
    <t>D-212</t>
  </si>
  <si>
    <t>D-213</t>
  </si>
  <si>
    <t>D-214</t>
  </si>
  <si>
    <t>D-215</t>
  </si>
  <si>
    <t>D-216</t>
  </si>
  <si>
    <t>D-301</t>
  </si>
  <si>
    <t>D-302</t>
  </si>
  <si>
    <t>D-303</t>
  </si>
  <si>
    <t>D-304</t>
  </si>
  <si>
    <t>D-305</t>
  </si>
  <si>
    <t>D-306</t>
  </si>
  <si>
    <t>D-307</t>
  </si>
  <si>
    <t>D-308</t>
  </si>
  <si>
    <t>D-309</t>
  </si>
  <si>
    <t>D-310</t>
  </si>
  <si>
    <t>D-311</t>
  </si>
  <si>
    <t>D-312</t>
  </si>
  <si>
    <t>D-313</t>
  </si>
  <si>
    <t>D-314</t>
  </si>
  <si>
    <t>D-315</t>
  </si>
  <si>
    <t>D-316</t>
  </si>
  <si>
    <t>D-401</t>
  </si>
  <si>
    <t>D-402</t>
  </si>
  <si>
    <t>D-403</t>
  </si>
  <si>
    <t>D-404</t>
  </si>
  <si>
    <t>D-405</t>
  </si>
  <si>
    <t>D-406</t>
  </si>
  <si>
    <t>D-407</t>
  </si>
  <si>
    <t>D-408</t>
  </si>
  <si>
    <t>D-409</t>
  </si>
  <si>
    <t>D-410</t>
  </si>
  <si>
    <t>D-411</t>
  </si>
  <si>
    <t>D-412</t>
  </si>
  <si>
    <t>D-413</t>
  </si>
  <si>
    <t>D-414</t>
  </si>
  <si>
    <t>D-415</t>
  </si>
  <si>
    <t>D-416</t>
  </si>
  <si>
    <t>D-501</t>
  </si>
  <si>
    <t>D-502</t>
  </si>
  <si>
    <t>D-503</t>
  </si>
  <si>
    <t>D-504</t>
  </si>
  <si>
    <t>D-505</t>
  </si>
  <si>
    <t>D-506</t>
  </si>
  <si>
    <t>D-507</t>
  </si>
  <si>
    <t>D-508</t>
  </si>
  <si>
    <t>D-509</t>
  </si>
  <si>
    <t>D-510</t>
  </si>
  <si>
    <t>D-511</t>
  </si>
  <si>
    <t>D-512</t>
  </si>
  <si>
    <t>D-513</t>
  </si>
  <si>
    <t>D-514</t>
  </si>
  <si>
    <t>D-515</t>
  </si>
  <si>
    <t>D-516</t>
  </si>
  <si>
    <t>E-101</t>
  </si>
  <si>
    <t>E-102</t>
  </si>
  <si>
    <t>E-103</t>
  </si>
  <si>
    <t>E-104</t>
  </si>
  <si>
    <t>E-105</t>
  </si>
  <si>
    <t>E-106</t>
  </si>
  <si>
    <t>E-107</t>
  </si>
  <si>
    <t>E-108</t>
  </si>
  <si>
    <t>E-201</t>
  </si>
  <si>
    <t>E-202</t>
  </si>
  <si>
    <t>E-203</t>
  </si>
  <si>
    <t>E-204</t>
  </si>
  <si>
    <t>E-205</t>
  </si>
  <si>
    <t>E-206</t>
  </si>
  <si>
    <t>E-207</t>
  </si>
  <si>
    <t>E-208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</si>
  <si>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</si>
  <si>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</si>
  <si>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</si>
  <si>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</si>
  <si>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</si>
  <si>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</si>
  <si>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</si>
  <si>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</si>
  <si>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E-401</t>
  </si>
  <si>
    <t>E-402</t>
  </si>
  <si>
    <t>E-403</t>
  </si>
  <si>
    <t>E-404</t>
  </si>
  <si>
    <t>E-405</t>
  </si>
  <si>
    <t>E-406</t>
  </si>
  <si>
    <t>E-407</t>
  </si>
  <si>
    <t>E-408</t>
  </si>
  <si>
    <t>A101</t>
  </si>
  <si>
    <t>A102</t>
  </si>
  <si>
    <t>A104</t>
  </si>
  <si>
    <t>A107</t>
  </si>
  <si>
    <t>A108</t>
  </si>
  <si>
    <t>A109</t>
  </si>
  <si>
    <t>A110</t>
  </si>
  <si>
    <t>A111</t>
  </si>
  <si>
    <t>A112</t>
  </si>
  <si>
    <t>A202</t>
  </si>
  <si>
    <t>A203</t>
  </si>
  <si>
    <t>A204</t>
  </si>
  <si>
    <t>A205</t>
  </si>
  <si>
    <t>A206</t>
  </si>
  <si>
    <t>A208</t>
  </si>
  <si>
    <t>A209</t>
  </si>
  <si>
    <t>A210</t>
  </si>
  <si>
    <t>A211</t>
  </si>
  <si>
    <t>A212</t>
  </si>
  <si>
    <t>A213</t>
  </si>
  <si>
    <t>A301</t>
  </si>
  <si>
    <t>A302</t>
  </si>
  <si>
    <t>A305</t>
  </si>
  <si>
    <t>A306</t>
  </si>
  <si>
    <t>A307</t>
  </si>
  <si>
    <t>A310</t>
  </si>
  <si>
    <t>A312</t>
  </si>
  <si>
    <t>A313</t>
  </si>
  <si>
    <t>B101</t>
  </si>
  <si>
    <t>B102</t>
  </si>
  <si>
    <t>B103</t>
  </si>
  <si>
    <t>B104</t>
  </si>
  <si>
    <t>B107</t>
  </si>
  <si>
    <t>B109</t>
  </si>
  <si>
    <t>B110</t>
  </si>
  <si>
    <t>B111</t>
  </si>
  <si>
    <t>B112</t>
  </si>
  <si>
    <t>B113</t>
  </si>
  <si>
    <t>B201</t>
  </si>
  <si>
    <t>B203</t>
  </si>
  <si>
    <t>B204</t>
  </si>
  <si>
    <t>B205</t>
  </si>
  <si>
    <t>B209</t>
  </si>
  <si>
    <t>B210</t>
  </si>
  <si>
    <t>B301</t>
  </si>
  <si>
    <t>B302</t>
  </si>
  <si>
    <t>B304</t>
  </si>
  <si>
    <t>B307</t>
  </si>
  <si>
    <t>B308</t>
  </si>
  <si>
    <t>B309</t>
  </si>
  <si>
    <t>B310</t>
  </si>
  <si>
    <t>B311</t>
  </si>
  <si>
    <t>B312</t>
  </si>
  <si>
    <t>B313</t>
  </si>
  <si>
    <t>C101</t>
  </si>
  <si>
    <t>C102</t>
  </si>
  <si>
    <t>C103</t>
  </si>
  <si>
    <t>C104</t>
  </si>
  <si>
    <t>C105</t>
  </si>
  <si>
    <t>C107</t>
  </si>
  <si>
    <t>C108</t>
  </si>
  <si>
    <t>C109</t>
  </si>
  <si>
    <t>C110</t>
  </si>
  <si>
    <t>C111</t>
  </si>
  <si>
    <t>C113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</si>
  <si>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</si>
  <si>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</si>
  <si>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</si>
  <si>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</si>
  <si>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</si>
  <si>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</si>
  <si>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</si>
  <si>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</si>
  <si>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</si>
  <si>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</si>
  <si>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</si>
  <si>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C301</t>
  </si>
  <si>
    <t>C302</t>
  </si>
  <si>
    <t>C303</t>
  </si>
  <si>
    <t>C304</t>
  </si>
  <si>
    <t>C307</t>
  </si>
  <si>
    <t>C310</t>
  </si>
  <si>
    <t>C312</t>
  </si>
  <si>
    <t>C313</t>
  </si>
  <si>
    <t>D102</t>
  </si>
  <si>
    <t>D105</t>
  </si>
  <si>
    <t>D106</t>
  </si>
  <si>
    <t>D108</t>
  </si>
  <si>
    <t>D110</t>
  </si>
  <si>
    <t>D111</t>
  </si>
  <si>
    <t>D112</t>
  </si>
  <si>
    <t>D201</t>
  </si>
  <si>
    <t>D203</t>
  </si>
  <si>
    <t>D204</t>
  </si>
  <si>
    <t>D205</t>
  </si>
  <si>
    <t>D206</t>
  </si>
  <si>
    <t>D208</t>
  </si>
  <si>
    <t>D209</t>
  </si>
  <si>
    <t>D211</t>
  </si>
  <si>
    <t>D212</t>
  </si>
  <si>
    <t>D213</t>
  </si>
  <si>
    <t>D301</t>
  </si>
  <si>
    <t>D302</t>
  </si>
  <si>
    <t>D304</t>
  </si>
  <si>
    <t>D307</t>
  </si>
  <si>
    <t>D308</t>
  </si>
  <si>
    <t>D309</t>
  </si>
  <si>
    <t>D311</t>
  </si>
  <si>
    <t>E101</t>
  </si>
  <si>
    <t>E102</t>
  </si>
  <si>
    <t>E103</t>
  </si>
  <si>
    <t>E104</t>
  </si>
  <si>
    <t>E105</t>
  </si>
  <si>
    <t>E107</t>
  </si>
  <si>
    <t>E108</t>
  </si>
  <si>
    <t>E109</t>
  </si>
  <si>
    <t>E110</t>
  </si>
  <si>
    <t>E112</t>
  </si>
  <si>
    <t>E113</t>
  </si>
  <si>
    <t>E201</t>
  </si>
  <si>
    <t>E202</t>
  </si>
  <si>
    <t>E203</t>
  </si>
  <si>
    <t>E204</t>
  </si>
  <si>
    <t>E206</t>
  </si>
  <si>
    <t>E207</t>
  </si>
  <si>
    <t>E208</t>
  </si>
  <si>
    <t>E209</t>
  </si>
  <si>
    <t>E212</t>
  </si>
  <si>
    <t>E213</t>
  </si>
  <si>
    <t>E301</t>
  </si>
  <si>
    <t>E302</t>
  </si>
  <si>
    <t>E307</t>
  </si>
  <si>
    <t>E308</t>
  </si>
  <si>
    <t>E310</t>
  </si>
  <si>
    <t>E311</t>
  </si>
  <si>
    <t>E312</t>
  </si>
  <si>
    <t>F101</t>
  </si>
  <si>
    <t>F102</t>
  </si>
  <si>
    <t>F103</t>
  </si>
  <si>
    <t>F104</t>
  </si>
  <si>
    <t>F105</t>
  </si>
  <si>
    <t>F107</t>
  </si>
  <si>
    <t>F110</t>
  </si>
  <si>
    <t>F113</t>
  </si>
  <si>
    <t>F201</t>
  </si>
  <si>
    <t>F202</t>
  </si>
  <si>
    <t>F203</t>
  </si>
  <si>
    <t>F206</t>
  </si>
  <si>
    <t>F207</t>
  </si>
  <si>
    <t>F208</t>
  </si>
  <si>
    <t>F209</t>
  </si>
  <si>
    <t>F211</t>
  </si>
  <si>
    <t>F212</t>
  </si>
  <si>
    <t>F302</t>
  </si>
  <si>
    <t>F303</t>
  </si>
  <si>
    <t>F304</t>
  </si>
  <si>
    <t>F305</t>
  </si>
  <si>
    <t>F306</t>
  </si>
  <si>
    <t>F307</t>
  </si>
  <si>
    <t>F310</t>
  </si>
  <si>
    <t>F312</t>
  </si>
  <si>
    <t>G102</t>
  </si>
  <si>
    <t>G104</t>
  </si>
  <si>
    <t>G105</t>
  </si>
  <si>
    <t>G107</t>
  </si>
  <si>
    <t>G108</t>
  </si>
  <si>
    <t>G109</t>
  </si>
  <si>
    <t>G110</t>
  </si>
  <si>
    <t>G111</t>
  </si>
  <si>
    <t>G112</t>
  </si>
  <si>
    <t>G113</t>
  </si>
  <si>
    <t>G201</t>
  </si>
  <si>
    <t>G202</t>
  </si>
  <si>
    <t>G203</t>
  </si>
  <si>
    <t>G204</t>
  </si>
  <si>
    <t>G205</t>
  </si>
  <si>
    <t>G206</t>
  </si>
  <si>
    <t>G207</t>
  </si>
  <si>
    <t>G208</t>
  </si>
  <si>
    <t>G211</t>
  </si>
  <si>
    <t>G212</t>
  </si>
  <si>
    <t>G213</t>
  </si>
  <si>
    <t>G301</t>
  </si>
  <si>
    <t>G302</t>
  </si>
  <si>
    <t>G303</t>
  </si>
  <si>
    <t>G305</t>
  </si>
  <si>
    <t>G307</t>
  </si>
  <si>
    <t>G310</t>
  </si>
  <si>
    <t>G312</t>
  </si>
  <si>
    <t>G313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</si>
  <si>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</si>
  <si>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</si>
  <si>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</si>
  <si>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</si>
  <si>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</si>
  <si>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</si>
  <si>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</si>
  <si>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</si>
  <si>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</si>
  <si>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</si>
  <si>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</si>
  <si>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</si>
  <si>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</si>
  <si>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H201</t>
  </si>
  <si>
    <t>H202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</si>
  <si>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</si>
  <si>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</si>
  <si>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</si>
  <si>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</si>
  <si>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</si>
  <si>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</si>
  <si>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</si>
  <si>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</si>
  <si>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</si>
  <si>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H301</t>
  </si>
  <si>
    <t>H302</t>
  </si>
  <si>
    <t>H304</t>
  </si>
  <si>
    <t>H307</t>
  </si>
  <si>
    <t>H308</t>
  </si>
  <si>
    <t>H309</t>
  </si>
  <si>
    <t>H310</t>
  </si>
  <si>
    <t>H311</t>
  </si>
  <si>
    <t>H312</t>
  </si>
  <si>
    <t>H313</t>
  </si>
  <si>
    <t>I101</t>
  </si>
  <si>
    <t>I102</t>
  </si>
  <si>
    <t>I103</t>
  </si>
  <si>
    <t>I104</t>
  </si>
  <si>
    <t>I105</t>
  </si>
  <si>
    <t>I106</t>
  </si>
  <si>
    <t>I107</t>
  </si>
  <si>
    <t>I109</t>
  </si>
  <si>
    <t>I111</t>
  </si>
  <si>
    <t>I112</t>
  </si>
  <si>
    <t>I113</t>
  </si>
  <si>
    <t>I201</t>
  </si>
  <si>
    <t>I202</t>
  </si>
  <si>
    <t>I205</t>
  </si>
  <si>
    <t>I206</t>
  </si>
  <si>
    <t>I207</t>
  </si>
  <si>
    <t>I209</t>
  </si>
  <si>
    <t>I210</t>
  </si>
  <si>
    <t>I211</t>
  </si>
  <si>
    <t>I212</t>
  </si>
  <si>
    <t>I213</t>
  </si>
  <si>
    <t>I301</t>
  </si>
  <si>
    <t>I302</t>
  </si>
  <si>
    <t>I303</t>
  </si>
  <si>
    <t>I305</t>
  </si>
  <si>
    <t>I306</t>
  </si>
  <si>
    <t>I307</t>
  </si>
  <si>
    <t>I313</t>
  </si>
  <si>
    <t>J101</t>
  </si>
  <si>
    <t>J103</t>
  </si>
  <si>
    <t>J104</t>
  </si>
  <si>
    <t>J105</t>
  </si>
  <si>
    <t>J106</t>
  </si>
  <si>
    <t>J107</t>
  </si>
  <si>
    <t>J110</t>
  </si>
  <si>
    <t>J111</t>
  </si>
  <si>
    <t>J112</t>
  </si>
  <si>
    <t>J113</t>
  </si>
  <si>
    <t>J201</t>
  </si>
  <si>
    <t>J202</t>
  </si>
  <si>
    <t>J204</t>
  </si>
  <si>
    <t>J205</t>
  </si>
  <si>
    <t>J206</t>
  </si>
  <si>
    <t>J207</t>
  </si>
  <si>
    <t>J209</t>
  </si>
  <si>
    <t>J210</t>
  </si>
  <si>
    <t>J211</t>
  </si>
  <si>
    <t>J212</t>
  </si>
  <si>
    <t>J213</t>
  </si>
  <si>
    <t>J301</t>
  </si>
  <si>
    <t>J304</t>
  </si>
  <si>
    <t>J307</t>
  </si>
  <si>
    <t>J308</t>
  </si>
  <si>
    <t>J309</t>
  </si>
  <si>
    <t>J310</t>
  </si>
  <si>
    <t>J311</t>
  </si>
  <si>
    <t>Seasons at Meridian — Demographics (standardized &amp; classified)</t>
  </si>
  <si>
    <t>Source: seller "Demographics Report w/Roommates" 07/10/2026 (Status=Current — excludes the 38 units on notice), de-duplicated to one row per person (pet rows collapsed). Employer standardization &amp; T1–T6 tiers added by this analysis.</t>
  </si>
  <si>
    <t>Tenant Code</t>
  </si>
  <si>
    <t>Name</t>
  </si>
  <si>
    <t>Resident (excl. guarantor)</t>
  </si>
  <si>
    <t>Raw Company (as entered)</t>
  </si>
  <si>
    <t>Income OK</t>
  </si>
  <si>
    <t>Income Flag</t>
  </si>
  <si>
    <t>DOB</t>
  </si>
  <si>
    <t>Marital</t>
  </si>
  <si>
    <t>t0035267</t>
  </si>
  <si>
    <t>Ramirez, Emely</t>
  </si>
  <si>
    <t>drybar</t>
  </si>
  <si>
    <t>02/06/1994</t>
  </si>
  <si>
    <t>r0035291</t>
  </si>
  <si>
    <t>dilone, franxesca</t>
  </si>
  <si>
    <t>st Alphonso</t>
  </si>
  <si>
    <t>12/21/1974</t>
  </si>
  <si>
    <t>t0038493</t>
  </si>
  <si>
    <t>Fielder, Matthew</t>
  </si>
  <si>
    <t>02/19/1983</t>
  </si>
  <si>
    <t>Married</t>
  </si>
  <si>
    <t>r0038541</t>
  </si>
  <si>
    <t>Fielder, Shanae</t>
  </si>
  <si>
    <t>04/17/1990</t>
  </si>
  <si>
    <t>t0036159</t>
  </si>
  <si>
    <t>Bain, Nancy</t>
  </si>
  <si>
    <t>06/22/1951</t>
  </si>
  <si>
    <t>t0035645</t>
  </si>
  <si>
    <t>Hanna, Dominic</t>
  </si>
  <si>
    <t>05/22/2003</t>
  </si>
  <si>
    <t>r0035820</t>
  </si>
  <si>
    <t>Evans, Hannah</t>
  </si>
  <si>
    <t>Great Harvest Bakery Company</t>
  </si>
  <si>
    <t>01/22/2007</t>
  </si>
  <si>
    <t>t0030452</t>
  </si>
  <si>
    <t>Orchard, Heather</t>
  </si>
  <si>
    <t>Epionce</t>
  </si>
  <si>
    <t>08/12/1988</t>
  </si>
  <si>
    <t>t0035973</t>
  </si>
  <si>
    <t>Knox, Katrina</t>
  </si>
  <si>
    <t>St Luke's Medical Center</t>
  </si>
  <si>
    <t>11/13/1972</t>
  </si>
  <si>
    <t>t0034222</t>
  </si>
  <si>
    <t>Edens, Gavin</t>
  </si>
  <si>
    <t>US Army</t>
  </si>
  <si>
    <t>09/06/1999</t>
  </si>
  <si>
    <t>r0034315</t>
  </si>
  <si>
    <t>Edens, Amanda</t>
  </si>
  <si>
    <t>Barbara Morgan stem Academy</t>
  </si>
  <si>
    <t>12/03/1999</t>
  </si>
  <si>
    <t>t0036419</t>
  </si>
  <si>
    <t>Dent, Zackary</t>
  </si>
  <si>
    <t>04/01/2002</t>
  </si>
  <si>
    <t>Single</t>
  </si>
  <si>
    <t>t0035171</t>
  </si>
  <si>
    <t>Zuniga, Jonathan</t>
  </si>
  <si>
    <t>Barak Group Inc. DBA Jani-King</t>
  </si>
  <si>
    <t>03/28/1999</t>
  </si>
  <si>
    <t>t0040841</t>
  </si>
  <si>
    <t>Hart, Angela</t>
  </si>
  <si>
    <t>Life Care center of Boise</t>
  </si>
  <si>
    <t>06/21/1970</t>
  </si>
  <si>
    <t>r0040962</t>
  </si>
  <si>
    <t>Hart, Charity</t>
  </si>
  <si>
    <t>NA</t>
  </si>
  <si>
    <t>(blank)</t>
  </si>
  <si>
    <t>No income stated</t>
  </si>
  <si>
    <t>09/04/2001</t>
  </si>
  <si>
    <t>t0029908</t>
  </si>
  <si>
    <t>McKenzie, Alexandra</t>
  </si>
  <si>
    <t>02/22/2001</t>
  </si>
  <si>
    <t>r0030032</t>
  </si>
  <si>
    <t>McKenzie, Brandon</t>
  </si>
  <si>
    <t>10/19/2009</t>
  </si>
  <si>
    <t>r0030083</t>
  </si>
  <si>
    <t>McKenzie, Eli</t>
  </si>
  <si>
    <t>r0030033</t>
  </si>
  <si>
    <t>McKenzie, Laura</t>
  </si>
  <si>
    <t>r0030080</t>
  </si>
  <si>
    <t>McKenzie, Riley</t>
  </si>
  <si>
    <t>Other</t>
  </si>
  <si>
    <t>t0038410</t>
  </si>
  <si>
    <t>Brown, Dakotah</t>
  </si>
  <si>
    <t>11/21/1987</t>
  </si>
  <si>
    <t>t0028992</t>
  </si>
  <si>
    <t>Campagni, Kristine</t>
  </si>
  <si>
    <t>na</t>
  </si>
  <si>
    <t>08/07/1965</t>
  </si>
  <si>
    <t>t0031017</t>
  </si>
  <si>
    <t>Saffery Hoopii, Michael</t>
  </si>
  <si>
    <t>08/28/1986</t>
  </si>
  <si>
    <t>r0037696</t>
  </si>
  <si>
    <t>Kamaunu-Hoopii, Rylan</t>
  </si>
  <si>
    <t>Copy of another occupant (same unit+DOB+salary) — excluded</t>
  </si>
  <si>
    <t>03/06/2001</t>
  </si>
  <si>
    <t>r0039455</t>
  </si>
  <si>
    <t>Kepaa, Tristen</t>
  </si>
  <si>
    <t>r0039454</t>
  </si>
  <si>
    <t>Kepaa-Kamaunu-Hoopii, Azaesha-Lei</t>
  </si>
  <si>
    <t>r0031174</t>
  </si>
  <si>
    <t>Valentine-decoite, Michelle</t>
  </si>
  <si>
    <t>t0036235</t>
  </si>
  <si>
    <t>Holloman, Lukas</t>
  </si>
  <si>
    <t>04/11/2003</t>
  </si>
  <si>
    <t>t0034692</t>
  </si>
  <si>
    <t>Brading, Amy</t>
  </si>
  <si>
    <t>Hoffman Construction</t>
  </si>
  <si>
    <t>02/23/2000</t>
  </si>
  <si>
    <t>t0035813</t>
  </si>
  <si>
    <t>Croner, Dylan</t>
  </si>
  <si>
    <t>haven behavioral health</t>
  </si>
  <si>
    <t>01/04/2002</t>
  </si>
  <si>
    <t>t0035239</t>
  </si>
  <si>
    <t>Bonner, Emily</t>
  </si>
  <si>
    <t>05/11/2002</t>
  </si>
  <si>
    <t>r0035873</t>
  </si>
  <si>
    <t>Soofi, Saleem</t>
  </si>
  <si>
    <t>208 roofing</t>
  </si>
  <si>
    <t>10/30/1998</t>
  </si>
  <si>
    <t>t0037724</t>
  </si>
  <si>
    <t>Gorman, Edward</t>
  </si>
  <si>
    <t>Construction</t>
  </si>
  <si>
    <t>12/15/2000</t>
  </si>
  <si>
    <t>r0037690</t>
  </si>
  <si>
    <t>McDonald, Madelyne</t>
  </si>
  <si>
    <t>09/15/2006</t>
  </si>
  <si>
    <t>t0031285</t>
  </si>
  <si>
    <t>Valdez, Jaime</t>
  </si>
  <si>
    <t>07/25/1996</t>
  </si>
  <si>
    <t>t0034758</t>
  </si>
  <si>
    <t>WARNER, PAYDEN</t>
  </si>
  <si>
    <t>Asbury</t>
  </si>
  <si>
    <t>06/15/2001</t>
  </si>
  <si>
    <t>r0036610</t>
  </si>
  <si>
    <t>Hefner, Jayden</t>
  </si>
  <si>
    <t>Udelhoven</t>
  </si>
  <si>
    <t>01/03/1973</t>
  </si>
  <si>
    <t>r0034830</t>
  </si>
  <si>
    <t>Warner, Steven</t>
  </si>
  <si>
    <t>Guarantor — excluded from income/occupant stats</t>
  </si>
  <si>
    <t>t0035698</t>
  </si>
  <si>
    <t>Apostu, Silviu</t>
  </si>
  <si>
    <t>Transportation</t>
  </si>
  <si>
    <t>10/12/1987</t>
  </si>
  <si>
    <t>r0035872</t>
  </si>
  <si>
    <t>Apostu, Andrei</t>
  </si>
  <si>
    <t>02/04/1993</t>
  </si>
  <si>
    <t>r0035871</t>
  </si>
  <si>
    <t>Apostu, Elena</t>
  </si>
  <si>
    <t>r0035870</t>
  </si>
  <si>
    <t>Apostu, Gianina</t>
  </si>
  <si>
    <t>t0034549</t>
  </si>
  <si>
    <t>Magana, Roberto</t>
  </si>
  <si>
    <t>Apace Construction</t>
  </si>
  <si>
    <t>07/07/2003</t>
  </si>
  <si>
    <t>r0034636</t>
  </si>
  <si>
    <t>Perez Ceron, Fatima</t>
  </si>
  <si>
    <t>10/08/2005</t>
  </si>
  <si>
    <t>t0038089</t>
  </si>
  <si>
    <t>Dante, Christopher</t>
  </si>
  <si>
    <t>Ada County Sheriffs Office</t>
  </si>
  <si>
    <t>10/28/1989</t>
  </si>
  <si>
    <t>r0038019</t>
  </si>
  <si>
    <t>Dante, Devin</t>
  </si>
  <si>
    <t>09/30/1989</t>
  </si>
  <si>
    <t>r0038020</t>
  </si>
  <si>
    <t>Dante, Khyson</t>
  </si>
  <si>
    <t>r0038018</t>
  </si>
  <si>
    <t>Dante, Natalie</t>
  </si>
  <si>
    <t>t0032547</t>
  </si>
  <si>
    <t>Harris, Johnny</t>
  </si>
  <si>
    <t>retired</t>
  </si>
  <si>
    <t>01/08/1970</t>
  </si>
  <si>
    <t>r0032678</t>
  </si>
  <si>
    <t>HARRIS, ZACHARY</t>
  </si>
  <si>
    <t>07/29/1998</t>
  </si>
  <si>
    <t>t0035738</t>
  </si>
  <si>
    <t>Dunlap, Lillyan</t>
  </si>
  <si>
    <t>04/23/2005</t>
  </si>
  <si>
    <t>t0029257</t>
  </si>
  <si>
    <t>Sleyko, Nicholas</t>
  </si>
  <si>
    <t>BANC OF CALIFORNIA</t>
  </si>
  <si>
    <t>10/14/1981</t>
  </si>
  <si>
    <t>r0029997</t>
  </si>
  <si>
    <t>Sleyko, Astrid Marguerite</t>
  </si>
  <si>
    <t>Dr. Yvonne Rochon Pediatric Dentist</t>
  </si>
  <si>
    <t>03/05/1982</t>
  </si>
  <si>
    <t>r0029297</t>
  </si>
  <si>
    <t>Sleyko, Jennifer</t>
  </si>
  <si>
    <t>r0029996</t>
  </si>
  <si>
    <t>Sleyko, Penelope Jean</t>
  </si>
  <si>
    <t>t0029775</t>
  </si>
  <si>
    <t>Walborn, Leah</t>
  </si>
  <si>
    <t>02/01/2002</t>
  </si>
  <si>
    <t>t0037719</t>
  </si>
  <si>
    <t>Schmitt, Madeline</t>
  </si>
  <si>
    <t>09/04/2002</t>
  </si>
  <si>
    <t>r0037685</t>
  </si>
  <si>
    <t>Zombeck, Travis</t>
  </si>
  <si>
    <t>Money metal exchange</t>
  </si>
  <si>
    <t>03/16/2002</t>
  </si>
  <si>
    <t>t0031035</t>
  </si>
  <si>
    <t>Bockstedt III, Paul</t>
  </si>
  <si>
    <t>05/18/1993</t>
  </si>
  <si>
    <t>t0029806</t>
  </si>
  <si>
    <t>Dobson, Joseph</t>
  </si>
  <si>
    <t>10/10/1986</t>
  </si>
  <si>
    <t>r0030026</t>
  </si>
  <si>
    <t>Dobson, Carol</t>
  </si>
  <si>
    <t>03/08/2013</t>
  </si>
  <si>
    <t>r0030228</t>
  </si>
  <si>
    <t>Dobson, Kooper</t>
  </si>
  <si>
    <t>t0035749</t>
  </si>
  <si>
    <t>Pardew, Scott</t>
  </si>
  <si>
    <t>08/12/1992</t>
  </si>
  <si>
    <t>r0037823</t>
  </si>
  <si>
    <t>Degrange, Nichole</t>
  </si>
  <si>
    <t>St. Lukes Meridian Medical Center</t>
  </si>
  <si>
    <t>05/21/1994</t>
  </si>
  <si>
    <t>t0031260</t>
  </si>
  <si>
    <t>Dustin, Kevin</t>
  </si>
  <si>
    <t>V2V</t>
  </si>
  <si>
    <t>02/01/1975</t>
  </si>
  <si>
    <t>t0038091</t>
  </si>
  <si>
    <t>Kreider, Jeanette</t>
  </si>
  <si>
    <t>07/10/1944</t>
  </si>
  <si>
    <t>r0038479</t>
  </si>
  <si>
    <t>Wattles, Gary</t>
  </si>
  <si>
    <t>04/04/1935</t>
  </si>
  <si>
    <t>t0033236</t>
  </si>
  <si>
    <t>Bourgoin, Amy</t>
  </si>
  <si>
    <t>Department of the Interior</t>
  </si>
  <si>
    <t>01/18/1985</t>
  </si>
  <si>
    <t>r0033380</t>
  </si>
  <si>
    <t>Bourgoin, Nicole Allison</t>
  </si>
  <si>
    <t>12/13/2017</t>
  </si>
  <si>
    <t>t0039911</t>
  </si>
  <si>
    <t>Vanin, Aleksey</t>
  </si>
  <si>
    <t>OEG</t>
  </si>
  <si>
    <t>10/15/1974</t>
  </si>
  <si>
    <t>t0030390</t>
  </si>
  <si>
    <t>Leguizamon Ramirez, Diocelina</t>
  </si>
  <si>
    <t>Jose  Herrera</t>
  </si>
  <si>
    <t>02/06/1993</t>
  </si>
  <si>
    <t>r0030576</t>
  </si>
  <si>
    <t>Herrera Ramirez, Jose</t>
  </si>
  <si>
    <t>r0030663</t>
  </si>
  <si>
    <t>Herrera, Joseph</t>
  </si>
  <si>
    <t>t0030047</t>
  </si>
  <si>
    <t>Huntsman, Raymond</t>
  </si>
  <si>
    <t>St. Luke's</t>
  </si>
  <si>
    <t>12/07/1998</t>
  </si>
  <si>
    <t>t0035706</t>
  </si>
  <si>
    <t>Worley, Jeffrey</t>
  </si>
  <si>
    <t>albertsons</t>
  </si>
  <si>
    <t>01/05/1984</t>
  </si>
  <si>
    <t>t0041225</t>
  </si>
  <si>
    <t>Housing, Paragon Corporate</t>
  </si>
  <si>
    <t>Paragon Corporate Lease</t>
  </si>
  <si>
    <t>05/30/1996</t>
  </si>
  <si>
    <t>t0034397</t>
  </si>
  <si>
    <t>Warden, Brooke</t>
  </si>
  <si>
    <t>08/14/1999</t>
  </si>
  <si>
    <t>t0039802</t>
  </si>
  <si>
    <t>Mcgirr, Brent</t>
  </si>
  <si>
    <t>03/15/1990</t>
  </si>
  <si>
    <t>t0037754</t>
  </si>
  <si>
    <t>Dalpini, Anne</t>
  </si>
  <si>
    <t>06/30/1983</t>
  </si>
  <si>
    <t>t0033388</t>
  </si>
  <si>
    <t>McKellip, Sherry</t>
  </si>
  <si>
    <t>10/09/1959</t>
  </si>
  <si>
    <t>t0035120</t>
  </si>
  <si>
    <t>Boisselle, Harley</t>
  </si>
  <si>
    <t>11/18/2003</t>
  </si>
  <si>
    <t>r0035177</t>
  </si>
  <si>
    <t>Langton, Carson</t>
  </si>
  <si>
    <t>Advanced heating and cooling</t>
  </si>
  <si>
    <t>11/12/2004</t>
  </si>
  <si>
    <t>t0037959</t>
  </si>
  <si>
    <t>Fischer, Kennedi</t>
  </si>
  <si>
    <t>St. Lukes Hospital</t>
  </si>
  <si>
    <t>11/28/2003</t>
  </si>
  <si>
    <t>r0037902</t>
  </si>
  <si>
    <t>Fischer, Mark</t>
  </si>
  <si>
    <t>04/07/1967</t>
  </si>
  <si>
    <t>t0030710</t>
  </si>
  <si>
    <t>Cornejo, Jacqueline</t>
  </si>
  <si>
    <t>Jason Champagne 2 Idaho PLLC</t>
  </si>
  <si>
    <t>12/09/2002</t>
  </si>
  <si>
    <t>r0030875</t>
  </si>
  <si>
    <t>Andrade Castaneda, Adolfo</t>
  </si>
  <si>
    <t>Builder Services Group Inc.</t>
  </si>
  <si>
    <t>03/01/2003</t>
  </si>
  <si>
    <t>t0037517</t>
  </si>
  <si>
    <t>Kelley, Jessica</t>
  </si>
  <si>
    <t>07/03/1995</t>
  </si>
  <si>
    <t>t0037520</t>
  </si>
  <si>
    <t>Goodman, Rollin</t>
  </si>
  <si>
    <t>Mark Guho Construction</t>
  </si>
  <si>
    <t>08/31/1993</t>
  </si>
  <si>
    <t>r0037460</t>
  </si>
  <si>
    <t>Walters, Sydney</t>
  </si>
  <si>
    <t>10/30/2002</t>
  </si>
  <si>
    <t>t0040032</t>
  </si>
  <si>
    <t>Hoke, Karey</t>
  </si>
  <si>
    <t>Saint Alphonsus</t>
  </si>
  <si>
    <t>07/09/1990</t>
  </si>
  <si>
    <t>r0039990</t>
  </si>
  <si>
    <t>Martin, James</t>
  </si>
  <si>
    <t>01/25/1995</t>
  </si>
  <si>
    <t>t0037906</t>
  </si>
  <si>
    <t>Sullivan, Leah</t>
  </si>
  <si>
    <t>12/22/1998</t>
  </si>
  <si>
    <t>r0037855</t>
  </si>
  <si>
    <t>Sullivan, James</t>
  </si>
  <si>
    <t>08/18/2001</t>
  </si>
  <si>
    <t>t0028450</t>
  </si>
  <si>
    <t>Environmental Engineering, Coleman</t>
  </si>
  <si>
    <t>Coleman Environmental Engineering</t>
  </si>
  <si>
    <t>Corporate/entry outlier ≥$1M — excluded</t>
  </si>
  <si>
    <t>11/04/1979</t>
  </si>
  <si>
    <t>r0030179</t>
  </si>
  <si>
    <t>Morrow, Giovanna</t>
  </si>
  <si>
    <t>r0028532</t>
  </si>
  <si>
    <t>Morrow, Jacob</t>
  </si>
  <si>
    <t>r0028540</t>
  </si>
  <si>
    <t>Morrow, Kenna</t>
  </si>
  <si>
    <t>t0035844</t>
  </si>
  <si>
    <t>Burgett, Tim</t>
  </si>
  <si>
    <t>Centerpointe Inc.</t>
  </si>
  <si>
    <t>05/28/2002</t>
  </si>
  <si>
    <t>r0036001</t>
  </si>
  <si>
    <t>Cheredayko, Sophia</t>
  </si>
  <si>
    <t>Cabelas</t>
  </si>
  <si>
    <t>06/16/2004</t>
  </si>
  <si>
    <t>t0036272</t>
  </si>
  <si>
    <t>Babatunde, Habeeb</t>
  </si>
  <si>
    <t>11/11/1995</t>
  </si>
  <si>
    <t>r0036415</t>
  </si>
  <si>
    <t>Folahanmi, Zaynab</t>
  </si>
  <si>
    <t>10/05/2024</t>
  </si>
  <si>
    <t>r0036470</t>
  </si>
  <si>
    <t>Habeeb, Abdurrahman</t>
  </si>
  <si>
    <t>t0039805</t>
  </si>
  <si>
    <t>Flores, Rikkie</t>
  </si>
  <si>
    <t>Overland Court</t>
  </si>
  <si>
    <t>06/13/2007</t>
  </si>
  <si>
    <t>r0039773</t>
  </si>
  <si>
    <t>Rose, Jarence</t>
  </si>
  <si>
    <t>04/03/2006</t>
  </si>
  <si>
    <t>t0026782</t>
  </si>
  <si>
    <t>Marcarian, Hannah</t>
  </si>
  <si>
    <t>Trinity Health Systems</t>
  </si>
  <si>
    <t>11/10/1997</t>
  </si>
  <si>
    <t>r0027661</t>
  </si>
  <si>
    <t>Marcarian, Mark</t>
  </si>
  <si>
    <t>06/12/2001</t>
  </si>
  <si>
    <t>t0032713</t>
  </si>
  <si>
    <t>Khan, Omor</t>
  </si>
  <si>
    <t>04/26/1998</t>
  </si>
  <si>
    <t>r0032836</t>
  </si>
  <si>
    <t>Khan, Morena</t>
  </si>
  <si>
    <t>The Azek Company</t>
  </si>
  <si>
    <t>09/07/1970</t>
  </si>
  <si>
    <t>r0034196</t>
  </si>
  <si>
    <t>Khan, Morzina</t>
  </si>
  <si>
    <t>r0032835</t>
  </si>
  <si>
    <t>Laquian, Mary Joy</t>
  </si>
  <si>
    <t>r0032837</t>
  </si>
  <si>
    <t>Laquian, Rowena</t>
  </si>
  <si>
    <t>t0034276</t>
  </si>
  <si>
    <t>Godusevic, Almir</t>
  </si>
  <si>
    <t>White pine electric</t>
  </si>
  <si>
    <t>04/15/2001</t>
  </si>
  <si>
    <t>r0034369</t>
  </si>
  <si>
    <t>Schofield, Jadyn</t>
  </si>
  <si>
    <t>Brightstar memory care</t>
  </si>
  <si>
    <t>10/09/1999</t>
  </si>
  <si>
    <t>t0033679</t>
  </si>
  <si>
    <t>Bigler, Nephi</t>
  </si>
  <si>
    <t>BHI Construction</t>
  </si>
  <si>
    <t>05/23/2001</t>
  </si>
  <si>
    <t>r0033797</t>
  </si>
  <si>
    <t>Bigler, Cheyenne</t>
  </si>
  <si>
    <t>07/19/2001</t>
  </si>
  <si>
    <t>t0035184</t>
  </si>
  <si>
    <t>Benitez, Bacilia</t>
  </si>
  <si>
    <t>Aimbridge</t>
  </si>
  <si>
    <t>11/28/1980</t>
  </si>
  <si>
    <t>r0035223</t>
  </si>
  <si>
    <t>Amaya, Elmer</t>
  </si>
  <si>
    <t>KHP</t>
  </si>
  <si>
    <t>07/01/1994</t>
  </si>
  <si>
    <t>r0035222</t>
  </si>
  <si>
    <t>Cual, Lucas</t>
  </si>
  <si>
    <t>t0035663</t>
  </si>
  <si>
    <t>Gotchall, Haley</t>
  </si>
  <si>
    <t>St Luke's Health System</t>
  </si>
  <si>
    <t>03/31/2002</t>
  </si>
  <si>
    <t>t0037002</t>
  </si>
  <si>
    <t>Sorensen, Bella</t>
  </si>
  <si>
    <t>07/13/2005</t>
  </si>
  <si>
    <t>r0037111</t>
  </si>
  <si>
    <t>Hatch, Jacob</t>
  </si>
  <si>
    <t>Interstate batteries</t>
  </si>
  <si>
    <t>12/18/2003</t>
  </si>
  <si>
    <t>t0030693</t>
  </si>
  <si>
    <t>Ballew, David</t>
  </si>
  <si>
    <t>Axis Innovations, LLC</t>
  </si>
  <si>
    <t>09/08/1983</t>
  </si>
  <si>
    <t>r0032302</t>
  </si>
  <si>
    <t>Ballew, Nora</t>
  </si>
  <si>
    <t>03/24/2009</t>
  </si>
  <si>
    <t>t0033579</t>
  </si>
  <si>
    <t>Lopez, Alliya</t>
  </si>
  <si>
    <t>05/25/2003</t>
  </si>
  <si>
    <t>r0040951</t>
  </si>
  <si>
    <t>Evans, Jessie</t>
  </si>
  <si>
    <t>08/19/2001</t>
  </si>
  <si>
    <t>r0033699</t>
  </si>
  <si>
    <t>Lopez, Melcolm</t>
  </si>
  <si>
    <t>r0033700</t>
  </si>
  <si>
    <t>Reyes, Humberto</t>
  </si>
  <si>
    <t>t0031911</t>
  </si>
  <si>
    <t>Holmes, Renata</t>
  </si>
  <si>
    <t>10/28/2001</t>
  </si>
  <si>
    <t>r0032114</t>
  </si>
  <si>
    <t>Holmes, Colin</t>
  </si>
  <si>
    <t>GE HealthCare</t>
  </si>
  <si>
    <t>05/31/1965</t>
  </si>
  <si>
    <t>t0036085</t>
  </si>
  <si>
    <t>Delzer, Emily</t>
  </si>
  <si>
    <t>04/04/1982</t>
  </si>
  <si>
    <t>r0036235</t>
  </si>
  <si>
    <t>Crooks, Summer</t>
  </si>
  <si>
    <t>08/25/1982</t>
  </si>
  <si>
    <t>t0037572</t>
  </si>
  <si>
    <t>Vilay, Madison</t>
  </si>
  <si>
    <t>04/25/2005</t>
  </si>
  <si>
    <t>r0041347</t>
  </si>
  <si>
    <t>Cortez, Jaden</t>
  </si>
  <si>
    <t>07/16/1985</t>
  </si>
  <si>
    <t>r0037574</t>
  </si>
  <si>
    <t>Vilay, Vinaii</t>
  </si>
  <si>
    <t>t0031925</t>
  </si>
  <si>
    <t>Langford, Zachary</t>
  </si>
  <si>
    <t>St. Alphonsus</t>
  </si>
  <si>
    <t>03/24/1999</t>
  </si>
  <si>
    <t>r0032069</t>
  </si>
  <si>
    <t>Langford, Michael</t>
  </si>
  <si>
    <t>06/13/1968</t>
  </si>
  <si>
    <t>t0036010</t>
  </si>
  <si>
    <t>Ayala Teran, Simon</t>
  </si>
  <si>
    <t>chick fil a</t>
  </si>
  <si>
    <t>10/28/1981</t>
  </si>
  <si>
    <t>r0036166</t>
  </si>
  <si>
    <t>Enriquez calvete, Bibiana</t>
  </si>
  <si>
    <t>Chick Fil a</t>
  </si>
  <si>
    <t>10/02/1982</t>
  </si>
  <si>
    <t>t0033287</t>
  </si>
  <si>
    <t>Luna, Matthew</t>
  </si>
  <si>
    <t>Photronics</t>
  </si>
  <si>
    <t>r0033422</t>
  </si>
  <si>
    <t>Fuerte, Aileen</t>
  </si>
  <si>
    <t>In n Out</t>
  </si>
  <si>
    <t>01/12/2005</t>
  </si>
  <si>
    <t>t0031333</t>
  </si>
  <si>
    <t>Berry, David</t>
  </si>
  <si>
    <t>09/06/2000</t>
  </si>
  <si>
    <t>r0031490</t>
  </si>
  <si>
    <t>Berry, Catherine</t>
  </si>
  <si>
    <t>01/11/1959</t>
  </si>
  <si>
    <t>t0036783</t>
  </si>
  <si>
    <t>Chandler Rivera, Isaac</t>
  </si>
  <si>
    <t>09/12/1995</t>
  </si>
  <si>
    <t>r0036935</t>
  </si>
  <si>
    <t>Marino, Brandelynn</t>
  </si>
  <si>
    <t>Self Employed</t>
  </si>
  <si>
    <t>03/05/1999</t>
  </si>
  <si>
    <t>t0030451</t>
  </si>
  <si>
    <t>Smith, Taylor</t>
  </si>
  <si>
    <t>St. Luke's Cancer Institute</t>
  </si>
  <si>
    <t>12/01/1991</t>
  </si>
  <si>
    <t>r0030634</t>
  </si>
  <si>
    <t>Smith, Jackson</t>
  </si>
  <si>
    <t>t0031027</t>
  </si>
  <si>
    <t>Peterson, Steven</t>
  </si>
  <si>
    <t>St Alphonsus Trinity health</t>
  </si>
  <si>
    <t>10/26/1956</t>
  </si>
  <si>
    <t>t0033760</t>
  </si>
  <si>
    <t>Juhl, Logan</t>
  </si>
  <si>
    <t>University Of Alaska</t>
  </si>
  <si>
    <t>10/20/1997</t>
  </si>
  <si>
    <t>r0033871</t>
  </si>
  <si>
    <t>Olsen, Cassie</t>
  </si>
  <si>
    <t>03/23/1999</t>
  </si>
  <si>
    <t>t0032011</t>
  </si>
  <si>
    <t>moaddeli, Julie</t>
  </si>
  <si>
    <t>self</t>
  </si>
  <si>
    <t>12/05/1963</t>
  </si>
  <si>
    <t>r0032210</t>
  </si>
  <si>
    <t>Moaddeli, Sara</t>
  </si>
  <si>
    <t>08/21/2002</t>
  </si>
  <si>
    <t>t0031949</t>
  </si>
  <si>
    <t>Ashwood, Connor</t>
  </si>
  <si>
    <t>Scribe America</t>
  </si>
  <si>
    <t>05/31/1998</t>
  </si>
  <si>
    <t>r0032109</t>
  </si>
  <si>
    <t>Ashwood, Scott</t>
  </si>
  <si>
    <t>05/04/1962</t>
  </si>
  <si>
    <t>t0033480</t>
  </si>
  <si>
    <t>Gloria, Kylee</t>
  </si>
  <si>
    <t>01/29/2002</t>
  </si>
  <si>
    <t>r0033599</t>
  </si>
  <si>
    <t>Gloria, Jesus</t>
  </si>
  <si>
    <t>Snake River Correctional Institution</t>
  </si>
  <si>
    <t>08/24/1972</t>
  </si>
  <si>
    <t>r0040450</t>
  </si>
  <si>
    <t>Valdivia, Bryan</t>
  </si>
  <si>
    <t>t0037883</t>
  </si>
  <si>
    <t>Babaiyan, Hami</t>
  </si>
  <si>
    <t>United rentals trench safety</t>
  </si>
  <si>
    <t>12/29/1996</t>
  </si>
  <si>
    <t>t0030621</t>
  </si>
  <si>
    <t>House, Holly</t>
  </si>
  <si>
    <t>02/16/1997</t>
  </si>
  <si>
    <t>r0030771</t>
  </si>
  <si>
    <t>Russell, Graham</t>
  </si>
  <si>
    <t>09/19/1995</t>
  </si>
  <si>
    <t>t0030186</t>
  </si>
  <si>
    <t>Winkler, Tyler</t>
  </si>
  <si>
    <t>03/13/1997</t>
  </si>
  <si>
    <t>r0030335</t>
  </si>
  <si>
    <t>Camacho, Marisa</t>
  </si>
  <si>
    <t>06/23/2002</t>
  </si>
  <si>
    <t>t0036939</t>
  </si>
  <si>
    <t>LaFleur, Brandalon</t>
  </si>
  <si>
    <t>Alimony</t>
  </si>
  <si>
    <t>10/20/1973</t>
  </si>
  <si>
    <t>t0033532</t>
  </si>
  <si>
    <t>von Seelen, Lauren</t>
  </si>
  <si>
    <t>02/07/1996</t>
  </si>
  <si>
    <t>r0033649</t>
  </si>
  <si>
    <t>Fretwell, Ryan</t>
  </si>
  <si>
    <t>Eye Care Center of Northern Co</t>
  </si>
  <si>
    <t>11/10/1995</t>
  </si>
  <si>
    <t>r0033650</t>
  </si>
  <si>
    <t>von Seelen, Lesli</t>
  </si>
  <si>
    <t>t0036172</t>
  </si>
  <si>
    <t>Mancini, Savannah</t>
  </si>
  <si>
    <t>The Partners Group Llc</t>
  </si>
  <si>
    <t>10/08/1997</t>
  </si>
  <si>
    <t>t0037627</t>
  </si>
  <si>
    <t>Cooper, Cole</t>
  </si>
  <si>
    <t>09/29/1997</t>
  </si>
  <si>
    <t>t0036864</t>
  </si>
  <si>
    <t>Fowble, Samantha</t>
  </si>
  <si>
    <t>08/02/2007</t>
  </si>
  <si>
    <t>r0036994</t>
  </si>
  <si>
    <t>Bigelow, Rex</t>
  </si>
  <si>
    <t>ESI</t>
  </si>
  <si>
    <t>07/12/2006</t>
  </si>
  <si>
    <t>r0036995</t>
  </si>
  <si>
    <t>White, Savannah</t>
  </si>
  <si>
    <t>t0036148</t>
  </si>
  <si>
    <t>Johnson, Elijah</t>
  </si>
  <si>
    <t>10/27/2000</t>
  </si>
  <si>
    <t>t0034039</t>
  </si>
  <si>
    <t>Mengeling, Philip</t>
  </si>
  <si>
    <t>Horizon Airlines</t>
  </si>
  <si>
    <t>07/01/1987</t>
  </si>
  <si>
    <t>t0037650</t>
  </si>
  <si>
    <t>Martinez, Amanda</t>
  </si>
  <si>
    <t>Paul Mitchell The School Nampa</t>
  </si>
  <si>
    <t>10/17/1977</t>
  </si>
  <si>
    <t>t0037238</t>
  </si>
  <si>
    <t>Hoobery, Caleb</t>
  </si>
  <si>
    <t>06/11/1984</t>
  </si>
  <si>
    <t>r0037466</t>
  </si>
  <si>
    <t>Rowley, Evan</t>
  </si>
  <si>
    <t>06/04/2013</t>
  </si>
  <si>
    <t>r0037317</t>
  </si>
  <si>
    <t>Rowley, Stacie</t>
  </si>
  <si>
    <t>t0030322</t>
  </si>
  <si>
    <t>Marangi, Erika</t>
  </si>
  <si>
    <t>03/01/1999</t>
  </si>
  <si>
    <t>r0030496</t>
  </si>
  <si>
    <t>Stashik, Lukas</t>
  </si>
  <si>
    <t>Capistrano Valley School District</t>
  </si>
  <si>
    <t>12/29/1998</t>
  </si>
  <si>
    <t>t0040447</t>
  </si>
  <si>
    <t>Mclaughlin, Tana</t>
  </si>
  <si>
    <t>IBEW</t>
  </si>
  <si>
    <t>04/03/1971</t>
  </si>
  <si>
    <t>r0040361</t>
  </si>
  <si>
    <t>Allen, Walter</t>
  </si>
  <si>
    <t>03/13/1971</t>
  </si>
  <si>
    <t>t0030197</t>
  </si>
  <si>
    <t>Ilchev, Stanimir</t>
  </si>
  <si>
    <t>04/06/1978</t>
  </si>
  <si>
    <t>r0030345</t>
  </si>
  <si>
    <t>Ilchev, Victor</t>
  </si>
  <si>
    <t>09/17/1982</t>
  </si>
  <si>
    <t>r0030380</t>
  </si>
  <si>
    <t>Zdravkova, Kamelia</t>
  </si>
  <si>
    <t>t0031960</t>
  </si>
  <si>
    <t>Cosentino, Caleb</t>
  </si>
  <si>
    <t>Kurita America INC</t>
  </si>
  <si>
    <t>12/04/1993</t>
  </si>
  <si>
    <t>t0037624</t>
  </si>
  <si>
    <t>Davis, Autumn</t>
  </si>
  <si>
    <t>Raisin Angels LLC</t>
  </si>
  <si>
    <t>10/14/2003</t>
  </si>
  <si>
    <t>r0037609</t>
  </si>
  <si>
    <t>07/22/2005</t>
  </si>
  <si>
    <t>t0036343</t>
  </si>
  <si>
    <t>Calderon Quintana, Laura</t>
  </si>
  <si>
    <t>amazon</t>
  </si>
  <si>
    <t>02/20/2004</t>
  </si>
  <si>
    <t>r0037371</t>
  </si>
  <si>
    <t>Garces, Sneider</t>
  </si>
  <si>
    <t>10/31/1999</t>
  </si>
  <si>
    <t>t0036485</t>
  </si>
  <si>
    <t>Cano, Logan</t>
  </si>
  <si>
    <t>Idaho college of osteopathic medicine</t>
  </si>
  <si>
    <t>04/05/1999</t>
  </si>
  <si>
    <t>t0036221</t>
  </si>
  <si>
    <t>Albor, Javier</t>
  </si>
  <si>
    <t>Phoenix industrial</t>
  </si>
  <si>
    <t>07/21/2001</t>
  </si>
  <si>
    <t>r0036359</t>
  </si>
  <si>
    <t>Albor, Antonio</t>
  </si>
  <si>
    <t>12/02/1993</t>
  </si>
  <si>
    <t>t0031815</t>
  </si>
  <si>
    <t>Chandler, Cindy</t>
  </si>
  <si>
    <t>St. Lukes</t>
  </si>
  <si>
    <t>01/10/1979</t>
  </si>
  <si>
    <t>r0032721</t>
  </si>
  <si>
    <t>Walston, Jeff</t>
  </si>
  <si>
    <t>t0036826</t>
  </si>
  <si>
    <t>Redman, Becca</t>
  </si>
  <si>
    <t>06/28/2001</t>
  </si>
  <si>
    <t>t0038633</t>
  </si>
  <si>
    <t>Cardenas, Case</t>
  </si>
  <si>
    <t>03/20/1985</t>
  </si>
  <si>
    <t>r0039117</t>
  </si>
  <si>
    <t>Cardenas, Esmae</t>
  </si>
  <si>
    <t>08/02/2017</t>
  </si>
  <si>
    <t>r0039113</t>
  </si>
  <si>
    <t>Cardenas, Julian</t>
  </si>
  <si>
    <t>r0039114</t>
  </si>
  <si>
    <t>Cardenas, Piper</t>
  </si>
  <si>
    <t>t0034989</t>
  </si>
  <si>
    <t>Chronister, Grace</t>
  </si>
  <si>
    <t>St. Joseph’s Medical Center</t>
  </si>
  <si>
    <t>05/21/2001</t>
  </si>
  <si>
    <t>t0037490</t>
  </si>
  <si>
    <t>Alihodzic, Asja</t>
  </si>
  <si>
    <t>Idaho department of corrections</t>
  </si>
  <si>
    <t>08/20/1999</t>
  </si>
  <si>
    <t>r0037454</t>
  </si>
  <si>
    <t>Alihodzic, Adnan</t>
  </si>
  <si>
    <t>Self employed</t>
  </si>
  <si>
    <t>06/17/1969</t>
  </si>
  <si>
    <t>t0037033</t>
  </si>
  <si>
    <t>Clark, Emily</t>
  </si>
  <si>
    <t>r0037132</t>
  </si>
  <si>
    <t>Baker, Bianca</t>
  </si>
  <si>
    <t>07/09/1995</t>
  </si>
  <si>
    <t>t0036634</t>
  </si>
  <si>
    <t>Frank, Morggan</t>
  </si>
  <si>
    <t>08/10/1999</t>
  </si>
  <si>
    <t>r0036784</t>
  </si>
  <si>
    <t>Schoonover, Maverick</t>
  </si>
  <si>
    <t>01/08/2023</t>
  </si>
  <si>
    <t>r0036783</t>
  </si>
  <si>
    <t>Schoonover, Zander</t>
  </si>
  <si>
    <t>t0036534</t>
  </si>
  <si>
    <t>Maxwell, Rachel</t>
  </si>
  <si>
    <t>Real Estate</t>
  </si>
  <si>
    <t>08/01/2000</t>
  </si>
  <si>
    <t>r0036676</t>
  </si>
  <si>
    <t>Watkins, Karen</t>
  </si>
  <si>
    <t>Qualcomm Technologies Inc.</t>
  </si>
  <si>
    <t>Qualcomm Technologies</t>
  </si>
  <si>
    <t>11/09/1971</t>
  </si>
  <si>
    <t>t0037721</t>
  </si>
  <si>
    <t>Blankenship, Alexandria</t>
  </si>
  <si>
    <t>05/27/2001</t>
  </si>
  <si>
    <t>r0037686</t>
  </si>
  <si>
    <t>Claus, Declan</t>
  </si>
  <si>
    <t>Central stone and tile llc</t>
  </si>
  <si>
    <t>02/27/2002</t>
  </si>
  <si>
    <t>t0037499</t>
  </si>
  <si>
    <t>Velazquez, Wilmer</t>
  </si>
  <si>
    <t>08/22/1999</t>
  </si>
  <si>
    <t>r0037446</t>
  </si>
  <si>
    <t>Perez, Roxana</t>
  </si>
  <si>
    <t>Kevin</t>
  </si>
  <si>
    <t>12/12/2003</t>
  </si>
  <si>
    <t>t0036917</t>
  </si>
  <si>
    <t>McKenna, Kelsey</t>
  </si>
  <si>
    <t>St Davids Healthcare</t>
  </si>
  <si>
    <t>04/05/1996</t>
  </si>
  <si>
    <t>t0037497</t>
  </si>
  <si>
    <t>Perez, David</t>
  </si>
  <si>
    <t>r0037472</t>
  </si>
  <si>
    <t>Osneiber Antonio, Olivares Arismendy</t>
  </si>
  <si>
    <t>Si</t>
  </si>
  <si>
    <t>09/27/2005</t>
  </si>
  <si>
    <t>r0037470</t>
  </si>
  <si>
    <t>Perez, Lucas</t>
  </si>
  <si>
    <t>r0037471</t>
  </si>
  <si>
    <t>Rodriguez Sanz, Maribel</t>
  </si>
  <si>
    <t>t0032561</t>
  </si>
  <si>
    <t>Hernandez, Juliana</t>
  </si>
  <si>
    <t>KOI MEDICAL STAFFING</t>
  </si>
  <si>
    <t>01/30/2004</t>
  </si>
  <si>
    <t>t0030324</t>
  </si>
  <si>
    <t>Massie, Cedar</t>
  </si>
  <si>
    <t>Passive Homes LLC</t>
  </si>
  <si>
    <t>r0037097</t>
  </si>
  <si>
    <t>Baumgartner, August</t>
  </si>
  <si>
    <t>08/28/2005</t>
  </si>
  <si>
    <t>t0037576</t>
  </si>
  <si>
    <t>Encinas, Michael</t>
  </si>
  <si>
    <t>bad boy burgers</t>
  </si>
  <si>
    <t>10/31/2000</t>
  </si>
  <si>
    <t>r0037577</t>
  </si>
  <si>
    <t>Hylton, Breygan</t>
  </si>
  <si>
    <t>03/24/2003</t>
  </si>
  <si>
    <t>t0035947</t>
  </si>
  <si>
    <t>Viitaniemi, Nikolas</t>
  </si>
  <si>
    <t>Skywest Airlines</t>
  </si>
  <si>
    <t>02/24/2002</t>
  </si>
  <si>
    <t>r0036104</t>
  </si>
  <si>
    <t>Buitrago Guavita, Melissa</t>
  </si>
  <si>
    <t>n/a</t>
  </si>
  <si>
    <t>10/19/2002</t>
  </si>
  <si>
    <t>t0028245</t>
  </si>
  <si>
    <t>Martin, Casey</t>
  </si>
  <si>
    <t>08/22/2000</t>
  </si>
  <si>
    <t>r0033784</t>
  </si>
  <si>
    <t>Martin, Nicole</t>
  </si>
  <si>
    <t>t0036345</t>
  </si>
  <si>
    <t>Ward, Cameron</t>
  </si>
  <si>
    <t>Stantec</t>
  </si>
  <si>
    <t>08/06/1999</t>
  </si>
  <si>
    <t>t0037501</t>
  </si>
  <si>
    <t>Maitland, Autumn</t>
  </si>
  <si>
    <t>Earth Energy Inc.</t>
  </si>
  <si>
    <t>09/25/2001</t>
  </si>
  <si>
    <t>t0041398</t>
  </si>
  <si>
    <t>t0034004</t>
  </si>
  <si>
    <t>Leuschen, Joseph</t>
  </si>
  <si>
    <t>WPI</t>
  </si>
  <si>
    <t>05/28/1967</t>
  </si>
  <si>
    <t>r0034131</t>
  </si>
  <si>
    <t>Leuschen, Christian</t>
  </si>
  <si>
    <t>12/10/2004</t>
  </si>
  <si>
    <t>t0041999</t>
  </si>
  <si>
    <t>Gray, Brian</t>
  </si>
  <si>
    <t>05/27/1963</t>
  </si>
  <si>
    <t>r0041829</t>
  </si>
  <si>
    <t>Gray, Conner</t>
  </si>
  <si>
    <t>W&amp;W Steel Erectors</t>
  </si>
  <si>
    <t>08/12/2000</t>
  </si>
  <si>
    <t>t0034400</t>
  </si>
  <si>
    <t>Chavez, Jonathan</t>
  </si>
  <si>
    <t>07/04/2004</t>
  </si>
  <si>
    <t>r0034486</t>
  </si>
  <si>
    <t>Sanchez, Micheal</t>
  </si>
  <si>
    <t>04/10/2005</t>
  </si>
  <si>
    <t>r0034487</t>
  </si>
  <si>
    <t>Trujillo, Annaliese</t>
  </si>
  <si>
    <t>t0034092</t>
  </si>
  <si>
    <t>Chauvin, Kayla</t>
  </si>
  <si>
    <t>Self employed- Salt hair and beauté</t>
  </si>
  <si>
    <t>05/05/1999</t>
  </si>
  <si>
    <t>r0034202</t>
  </si>
  <si>
    <t>Jackson, Reese</t>
  </si>
  <si>
    <t>04/28/2004</t>
  </si>
  <si>
    <t>t0036234</t>
  </si>
  <si>
    <t>Beaudette, Jeff</t>
  </si>
  <si>
    <t>Church of Jesus Christ of Latter-Day Saints</t>
  </si>
  <si>
    <t>03/25/1964</t>
  </si>
  <si>
    <t>t0035751</t>
  </si>
  <si>
    <t>Collins, Jessica</t>
  </si>
  <si>
    <t>ICCU</t>
  </si>
  <si>
    <t>05/22/1988</t>
  </si>
  <si>
    <t>r0035906</t>
  </si>
  <si>
    <t>Collins, Robert</t>
  </si>
  <si>
    <t>Blue Cross</t>
  </si>
  <si>
    <t>07/22/1963</t>
  </si>
  <si>
    <t>t0035265</t>
  </si>
  <si>
    <t>Singh, Janpreet</t>
  </si>
  <si>
    <t>ICOM</t>
  </si>
  <si>
    <t>07/27/1997</t>
  </si>
  <si>
    <t>t0033668</t>
  </si>
  <si>
    <t>Fellman, Haley</t>
  </si>
  <si>
    <t>01/09/2001</t>
  </si>
  <si>
    <t>r0033909</t>
  </si>
  <si>
    <t>Fellman, Grayson</t>
  </si>
  <si>
    <t>10/31/2020</t>
  </si>
  <si>
    <t>t0036918</t>
  </si>
  <si>
    <t>Anderson, Abraham</t>
  </si>
  <si>
    <t>08/29/2001</t>
  </si>
  <si>
    <t>r0037089</t>
  </si>
  <si>
    <t>Anderson, David</t>
  </si>
  <si>
    <t>Rosa Aranda</t>
  </si>
  <si>
    <t>04/24/2001</t>
  </si>
  <si>
    <t>r0037041</t>
  </si>
  <si>
    <t>Rodriguez Hernandez, Saitama</t>
  </si>
  <si>
    <t>t0036543</t>
  </si>
  <si>
    <t>Walker, Karen</t>
  </si>
  <si>
    <t>C &amp; S</t>
  </si>
  <si>
    <t>08/28/1951</t>
  </si>
  <si>
    <t>t0036249</t>
  </si>
  <si>
    <t>Scuffham, Jeremy</t>
  </si>
  <si>
    <t>11/08/1978</t>
  </si>
  <si>
    <t>t0031668</t>
  </si>
  <si>
    <t>Willis, Jonathan</t>
  </si>
  <si>
    <t>12/14/1986</t>
  </si>
  <si>
    <t>r0031845</t>
  </si>
  <si>
    <t>Beaulieu Willis, Halo</t>
  </si>
  <si>
    <t>12/16/2024</t>
  </si>
  <si>
    <t>r0031844</t>
  </si>
  <si>
    <t>Beaulieu, Hezikiah</t>
  </si>
  <si>
    <t>r0031667</t>
  </si>
  <si>
    <t>Mitchell, McKayli</t>
  </si>
  <si>
    <t>t0039790</t>
  </si>
  <si>
    <t>Gunn, Arrin</t>
  </si>
  <si>
    <t>01/04/1985</t>
  </si>
  <si>
    <t>r0039814</t>
  </si>
  <si>
    <t>Tune, Emmalee</t>
  </si>
  <si>
    <t>03/14/2011</t>
  </si>
  <si>
    <t>t0032972</t>
  </si>
  <si>
    <t>BAKLANOV, Ruslan</t>
  </si>
  <si>
    <t>LIghthouse Hospice</t>
  </si>
  <si>
    <t>03/05/1988</t>
  </si>
  <si>
    <t>r0033107</t>
  </si>
  <si>
    <t>Baklanov, Elishah</t>
  </si>
  <si>
    <t>03/18/2025</t>
  </si>
  <si>
    <t>r0033292</t>
  </si>
  <si>
    <t>Baklanov, Ezrah</t>
  </si>
  <si>
    <t>r0033291</t>
  </si>
  <si>
    <t>Baklanov, Solomon</t>
  </si>
  <si>
    <t>t0031050</t>
  </si>
  <si>
    <t>Summers, Kristen</t>
  </si>
  <si>
    <t>08/29/2002</t>
  </si>
  <si>
    <t>r0031217</t>
  </si>
  <si>
    <t>Hobson, Isaiah</t>
  </si>
  <si>
    <t>02/24/2000</t>
  </si>
  <si>
    <t>t0040207</t>
  </si>
  <si>
    <t>Mooney, Sebastian</t>
  </si>
  <si>
    <t>St. Luke's Hospital at Meridian</t>
  </si>
  <si>
    <t>01/01/2001</t>
  </si>
  <si>
    <t>t0031417</t>
  </si>
  <si>
    <t>Adams, Nick</t>
  </si>
  <si>
    <t>Co-Energy</t>
  </si>
  <si>
    <t>09/13/1994</t>
  </si>
  <si>
    <t>t0033020</t>
  </si>
  <si>
    <t>Bjorum, Dalton</t>
  </si>
  <si>
    <t>Atlas Technical Consultants</t>
  </si>
  <si>
    <t>04/23/2003</t>
  </si>
  <si>
    <t>t0029911</t>
  </si>
  <si>
    <t>Bell, Lyndsie</t>
  </si>
  <si>
    <t>r0030036</t>
  </si>
  <si>
    <t>Britton, Devon</t>
  </si>
  <si>
    <t>t0032407</t>
  </si>
  <si>
    <t>Hunter, Randy</t>
  </si>
  <si>
    <t>05/14/1959</t>
  </si>
  <si>
    <t>r0032546</t>
  </si>
  <si>
    <t>Hunter, Karen</t>
  </si>
  <si>
    <t>08/08/1961</t>
  </si>
  <si>
    <t>t0039810</t>
  </si>
  <si>
    <t>Correia, Angelina</t>
  </si>
  <si>
    <t>Angelina</t>
  </si>
  <si>
    <t>06/09/2001</t>
  </si>
  <si>
    <t>t0030110</t>
  </si>
  <si>
    <t>Sullivan, Malik</t>
  </si>
  <si>
    <t>04/06/2004</t>
  </si>
  <si>
    <t>r0037201</t>
  </si>
  <si>
    <t>Sanders, Christina</t>
  </si>
  <si>
    <t>Aqua Tots Swim School</t>
  </si>
  <si>
    <t>01/17/2003</t>
  </si>
  <si>
    <t>r0030258</t>
  </si>
  <si>
    <t>Sanders, Mia</t>
  </si>
  <si>
    <t>t0035711</t>
  </si>
  <si>
    <t>Gonzalez, Jacob</t>
  </si>
  <si>
    <t>Micron</t>
  </si>
  <si>
    <t>04/12/1995</t>
  </si>
  <si>
    <t>t0038047</t>
  </si>
  <si>
    <t>Muller, Danielle</t>
  </si>
  <si>
    <t>03/24/1986</t>
  </si>
  <si>
    <t>t0038417</t>
  </si>
  <si>
    <t>Cooper, Kelcey</t>
  </si>
  <si>
    <t>12/11/2001</t>
  </si>
  <si>
    <t>r0038476</t>
  </si>
  <si>
    <t>Winter, Emily</t>
  </si>
  <si>
    <t>10/08/1999</t>
  </si>
  <si>
    <t>t0037024</t>
  </si>
  <si>
    <t>Souder, James</t>
  </si>
  <si>
    <t>08/13/1987</t>
  </si>
  <si>
    <t>r0037221</t>
  </si>
  <si>
    <t>Souder, Miriam</t>
  </si>
  <si>
    <t>03/25/2016</t>
  </si>
  <si>
    <t>t0030916</t>
  </si>
  <si>
    <t>Winfield, Emma</t>
  </si>
  <si>
    <t>05/27/2000</t>
  </si>
  <si>
    <t>r0031182</t>
  </si>
  <si>
    <t>Winfield, Chad</t>
  </si>
  <si>
    <t>09/04/1996</t>
  </si>
  <si>
    <t>r0031094</t>
  </si>
  <si>
    <t>Young, Noah</t>
  </si>
  <si>
    <t>t0039449</t>
  </si>
  <si>
    <t>Ramirez, Ray</t>
  </si>
  <si>
    <t>Scale House Talent</t>
  </si>
  <si>
    <t>01/26/1992</t>
  </si>
  <si>
    <t>r0039288</t>
  </si>
  <si>
    <t>Ramirez, Ryan</t>
  </si>
  <si>
    <t>Universal Fasteners &amp; Supply, LLC.</t>
  </si>
  <si>
    <t>12/02/1998</t>
  </si>
  <si>
    <t>t0029918</t>
  </si>
  <si>
    <t>Batt, Emily</t>
  </si>
  <si>
    <t>07/04/2002</t>
  </si>
  <si>
    <t>r0030456</t>
  </si>
  <si>
    <t>Batt, Richard</t>
  </si>
  <si>
    <t>N/A</t>
  </si>
  <si>
    <t>12/27/1962</t>
  </si>
  <si>
    <t>t0040460</t>
  </si>
  <si>
    <t>Castro Torres, Enrique</t>
  </si>
  <si>
    <t>Prime controls</t>
  </si>
  <si>
    <t>09/07/1998</t>
  </si>
  <si>
    <t>r0040367</t>
  </si>
  <si>
    <t>Perez, Priscilla</t>
  </si>
  <si>
    <t>01/25/1999</t>
  </si>
  <si>
    <t>t0037823</t>
  </si>
  <si>
    <t>Gaustelum Logan, Maria</t>
  </si>
  <si>
    <t>Alberstons</t>
  </si>
  <si>
    <t>03/08/1974</t>
  </si>
  <si>
    <t>t0036641</t>
  </si>
  <si>
    <t>Greene, Shaun</t>
  </si>
  <si>
    <t>04/01/2006</t>
  </si>
  <si>
    <t>t0030883</t>
  </si>
  <si>
    <t>Facer, Kylund</t>
  </si>
  <si>
    <t>Recor Group</t>
  </si>
  <si>
    <t>12/15/1995</t>
  </si>
  <si>
    <t>r0031058</t>
  </si>
  <si>
    <t>Facer, Kaitlyn</t>
  </si>
  <si>
    <t>Quick Smiles</t>
  </si>
  <si>
    <t>12/30/1995</t>
  </si>
  <si>
    <t>t0034190</t>
  </si>
  <si>
    <t>Ormsby Alvarez, Amanda</t>
  </si>
  <si>
    <t>Veterans Benefit Administration</t>
  </si>
  <si>
    <t>10/01/1980</t>
  </si>
  <si>
    <t>r0034342</t>
  </si>
  <si>
    <t>Alvarez, Aubrey Rose</t>
  </si>
  <si>
    <t>02/10/2017</t>
  </si>
  <si>
    <t>t0032805</t>
  </si>
  <si>
    <t>Nielsen, Camille</t>
  </si>
  <si>
    <t>SuperKids Daycare and Preschool</t>
  </si>
  <si>
    <t>04/17/2000</t>
  </si>
  <si>
    <t>r0032952</t>
  </si>
  <si>
    <t>Garrett, Kaycee</t>
  </si>
  <si>
    <t>02/23/2022</t>
  </si>
  <si>
    <t>r0033126</t>
  </si>
  <si>
    <t>Nielsen, Garrett</t>
  </si>
  <si>
    <t>r0032951</t>
  </si>
  <si>
    <t>Nielsen, Steven</t>
  </si>
  <si>
    <t>r0033127</t>
  </si>
  <si>
    <t>Nielsen, Walker</t>
  </si>
  <si>
    <t>t0037755</t>
  </si>
  <si>
    <t>Gorman, Mike</t>
  </si>
  <si>
    <t>Self</t>
  </si>
  <si>
    <t>01/10/1968</t>
  </si>
  <si>
    <t>r0037707</t>
  </si>
  <si>
    <t>Gorman, Susan</t>
  </si>
  <si>
    <t>Home Maker</t>
  </si>
  <si>
    <t>06/14/1975</t>
  </si>
  <si>
    <t>t0033307</t>
  </si>
  <si>
    <t>Tauiliili, Kricia</t>
  </si>
  <si>
    <t>Kirton McConkie</t>
  </si>
  <si>
    <t>01/04/1999</t>
  </si>
  <si>
    <t>r0033438</t>
  </si>
  <si>
    <t>Pauga, Fetutasi</t>
  </si>
  <si>
    <t>06/29/1998</t>
  </si>
  <si>
    <t>t0035888</t>
  </si>
  <si>
    <t>Brake, Dawson</t>
  </si>
  <si>
    <t>05/17/2000</t>
  </si>
  <si>
    <t>r0036046</t>
  </si>
  <si>
    <t>Wilkinson, Alayna</t>
  </si>
  <si>
    <t>Portneuf medical center</t>
  </si>
  <si>
    <t>03/19/2000</t>
  </si>
  <si>
    <t>t0033983</t>
  </si>
  <si>
    <t>Davis, Karen</t>
  </si>
  <si>
    <t>Rhuman &amp; Assoc CPA</t>
  </si>
  <si>
    <t>01/19/1966</t>
  </si>
  <si>
    <t>t0038566</t>
  </si>
  <si>
    <t>Pate, Carmel</t>
  </si>
  <si>
    <t>04/19/2005</t>
  </si>
  <si>
    <t>r0038615</t>
  </si>
  <si>
    <t>Pate, Kaden</t>
  </si>
  <si>
    <t>Pate Electrical LLC</t>
  </si>
  <si>
    <t>t0033989</t>
  </si>
  <si>
    <t>Towles, Andrew</t>
  </si>
  <si>
    <t>DWT</t>
  </si>
  <si>
    <t>10/22/1995</t>
  </si>
  <si>
    <t>r0034092</t>
  </si>
  <si>
    <t>Valdovinos, Alexis</t>
  </si>
  <si>
    <t>10/14/1994</t>
  </si>
  <si>
    <t>t0033357</t>
  </si>
  <si>
    <t>Hom, Cameron</t>
  </si>
  <si>
    <t>Idaho College of Osteopathic Medicine</t>
  </si>
  <si>
    <t>08/27/1999</t>
  </si>
  <si>
    <t>r0033491</t>
  </si>
  <si>
    <t>Anliker, Kurtis</t>
  </si>
  <si>
    <t>Dassault Systemes</t>
  </si>
  <si>
    <t>04/10/1969</t>
  </si>
  <si>
    <t>r0033490</t>
  </si>
  <si>
    <t>Euan, Arielle Marie</t>
  </si>
  <si>
    <t>t0041224</t>
  </si>
  <si>
    <t>Corporate Housing Lease</t>
  </si>
  <si>
    <t>t0030721</t>
  </si>
  <si>
    <t>Doggett, Lauren</t>
  </si>
  <si>
    <t>St Luke's Boise Medical Center</t>
  </si>
  <si>
    <t>12/20/2002</t>
  </si>
  <si>
    <t>r0030889</t>
  </si>
  <si>
    <t>Doggett, Darik</t>
  </si>
  <si>
    <t>The City of Fountain Valley</t>
  </si>
  <si>
    <t>City of Fountain Valley, CA</t>
  </si>
  <si>
    <t>12/06/1960</t>
  </si>
  <si>
    <t>t0037108</t>
  </si>
  <si>
    <t>Caruso, Stacey</t>
  </si>
  <si>
    <t>St. Alphonsus health system</t>
  </si>
  <si>
    <t>05/10/1968</t>
  </si>
  <si>
    <t>t0033504</t>
  </si>
  <si>
    <t>Nassiri, Daniel</t>
  </si>
  <si>
    <t>08/22/1991</t>
  </si>
  <si>
    <t>r0033621</t>
  </si>
  <si>
    <t>Angel, Lior</t>
  </si>
  <si>
    <t>09/02/1997</t>
  </si>
  <si>
    <t>t0030993</t>
  </si>
  <si>
    <t>Wells, Lawrence</t>
  </si>
  <si>
    <t>06/25/1986</t>
  </si>
  <si>
    <t>t0030454</t>
  </si>
  <si>
    <t>Rice, Gabriella</t>
  </si>
  <si>
    <t>06/13/1996</t>
  </si>
  <si>
    <t>r0030644</t>
  </si>
  <si>
    <t>Pizzino, Nancy</t>
  </si>
  <si>
    <t>Charlotte County Florida</t>
  </si>
  <si>
    <t>09/25/1966</t>
  </si>
  <si>
    <t>t0030833</t>
  </si>
  <si>
    <t>Jorde, Brooke</t>
  </si>
  <si>
    <t>Starbucks and Hotel Renegade</t>
  </si>
  <si>
    <t>01/19/1999</t>
  </si>
  <si>
    <t>t0040203</t>
  </si>
  <si>
    <t>Helms, Jeannetta</t>
  </si>
  <si>
    <t>10/14/2001</t>
  </si>
  <si>
    <t>r0040167</t>
  </si>
  <si>
    <t>Helms, William</t>
  </si>
  <si>
    <t>SkyWest Airlines, Inc.</t>
  </si>
  <si>
    <t>10/26/2001</t>
  </si>
  <si>
    <t>t0030978</t>
  </si>
  <si>
    <t>Crawford, Joshua</t>
  </si>
  <si>
    <t>Idaho Survey Group</t>
  </si>
  <si>
    <t>02/18/1995</t>
  </si>
  <si>
    <t>r0037751</t>
  </si>
  <si>
    <t>Conway, Christopher</t>
  </si>
  <si>
    <t>11/07/1996</t>
  </si>
  <si>
    <t>r0036769</t>
  </si>
  <si>
    <t>Martin, Jeannette</t>
  </si>
  <si>
    <t>t0036292</t>
  </si>
  <si>
    <t>Feller, Olivia</t>
  </si>
  <si>
    <t>Saint Alphonsus Regional Medical Center</t>
  </si>
  <si>
    <t>02/01/1996</t>
  </si>
  <si>
    <t>t0037209</t>
  </si>
  <si>
    <t>Dudley, Tristen</t>
  </si>
  <si>
    <t>02/21/1998</t>
  </si>
  <si>
    <t>r0037830</t>
  </si>
  <si>
    <t>Mobley, Ashton</t>
  </si>
  <si>
    <t>02/20/1995</t>
  </si>
  <si>
    <t>t0030863</t>
  </si>
  <si>
    <t>Schafer, April</t>
  </si>
  <si>
    <t>12/27/1974</t>
  </si>
  <si>
    <t>r0036183</t>
  </si>
  <si>
    <t>Schafer, Sean</t>
  </si>
  <si>
    <t>r0036184</t>
  </si>
  <si>
    <t>Schafer, Shadow</t>
  </si>
  <si>
    <t>t0038004</t>
  </si>
  <si>
    <t>Chorlog, John</t>
  </si>
  <si>
    <t>Apple Inc.</t>
  </si>
  <si>
    <t>03/06/2006</t>
  </si>
  <si>
    <t>r0037952</t>
  </si>
  <si>
    <t>Willmorth, Sophia</t>
  </si>
  <si>
    <t>07/23/2005</t>
  </si>
  <si>
    <t>t0040363</t>
  </si>
  <si>
    <t>Brown, Isabel</t>
  </si>
  <si>
    <t>04/18/2002</t>
  </si>
  <si>
    <t>r0040297</t>
  </si>
  <si>
    <t>Brown, Jeff</t>
  </si>
  <si>
    <t>10/27/1964</t>
  </si>
  <si>
    <t>t0028211</t>
  </si>
  <si>
    <t>Routson, Logan</t>
  </si>
  <si>
    <t>06/09/1990</t>
  </si>
  <si>
    <t>t0029443</t>
  </si>
  <si>
    <t>Grimm, Isaac</t>
  </si>
  <si>
    <t>12/23/1997</t>
  </si>
  <si>
    <t>r0041408</t>
  </si>
  <si>
    <t>Favela, Nicole</t>
  </si>
  <si>
    <t>Saint Alphonsus  Neurology clinic Mulvaney</t>
  </si>
  <si>
    <t>05/12/1981</t>
  </si>
  <si>
    <t>r0041409</t>
  </si>
  <si>
    <t>Johnson, Kelvin</t>
  </si>
  <si>
    <t>r0040828</t>
  </si>
  <si>
    <t>Thompson, Brooklyn</t>
  </si>
  <si>
    <t>t0030480</t>
  </si>
  <si>
    <t>Nord, Rob</t>
  </si>
  <si>
    <t>Critical Systems Inc.</t>
  </si>
  <si>
    <t>10/10/1968</t>
  </si>
  <si>
    <t>r0031027</t>
  </si>
  <si>
    <t>Mccurdy, Aaron</t>
  </si>
  <si>
    <t>Critical Systems Inc</t>
  </si>
  <si>
    <t>08/27/1978</t>
  </si>
  <si>
    <t>t0039140</t>
  </si>
  <si>
    <t>Stice, Rachel</t>
  </si>
  <si>
    <t>02/26/1994</t>
  </si>
  <si>
    <t>r0039181</t>
  </si>
  <si>
    <t>Stice, Jerry</t>
  </si>
  <si>
    <t>Dabella Exteriors</t>
  </si>
  <si>
    <t>10/11/1987</t>
  </si>
  <si>
    <t>t0039678</t>
  </si>
  <si>
    <t>Hilber, Liam</t>
  </si>
  <si>
    <t>07/06/1982</t>
  </si>
  <si>
    <t>r0039664</t>
  </si>
  <si>
    <t>Hilber, Matthew</t>
  </si>
  <si>
    <t>04/23/1976</t>
  </si>
  <si>
    <t>t0032722</t>
  </si>
  <si>
    <t>Win, Cassandra</t>
  </si>
  <si>
    <t>11/04/2000</t>
  </si>
  <si>
    <t>r0032850</t>
  </si>
  <si>
    <t>Mengistu, Matthew</t>
  </si>
  <si>
    <t>03/19/1999</t>
  </si>
  <si>
    <t>r0032873</t>
  </si>
  <si>
    <t>Thuzau, Khin</t>
  </si>
  <si>
    <t>t0034347</t>
  </si>
  <si>
    <t>Carrizales Resendiz, Eliseo</t>
  </si>
  <si>
    <t>Hensel Phelps Construction</t>
  </si>
  <si>
    <t>03/31/1997</t>
  </si>
  <si>
    <t>t0027910</t>
  </si>
  <si>
    <t>Gourley, Janece</t>
  </si>
  <si>
    <t>Pensions</t>
  </si>
  <si>
    <t>04/11/1946</t>
  </si>
  <si>
    <t>t0037936</t>
  </si>
  <si>
    <t>Heller, Andrew</t>
  </si>
  <si>
    <t>08/15/1998</t>
  </si>
  <si>
    <t>t0031356</t>
  </si>
  <si>
    <t>Bradbury, Glen</t>
  </si>
  <si>
    <t>United States Marine Corps</t>
  </si>
  <si>
    <t>01/21/1980</t>
  </si>
  <si>
    <t>r0037431</t>
  </si>
  <si>
    <t>Bradbury, Grace</t>
  </si>
  <si>
    <t>09/15/2016</t>
  </si>
  <si>
    <t>r0037432</t>
  </si>
  <si>
    <t>Bradbury, Henery</t>
  </si>
  <si>
    <t>t0040027</t>
  </si>
  <si>
    <t>Snyder, Hayley</t>
  </si>
  <si>
    <t>JL Snyder PC</t>
  </si>
  <si>
    <t>06/30/2000</t>
  </si>
  <si>
    <t>r0039985</t>
  </si>
  <si>
    <t>Snyder, Jennifer</t>
  </si>
  <si>
    <t>Jennifer Lentz Snyder PC</t>
  </si>
  <si>
    <t>03/13/1958</t>
  </si>
  <si>
    <t>t0030940</t>
  </si>
  <si>
    <t>Trost, Scott</t>
  </si>
  <si>
    <t>09/19/2002</t>
  </si>
  <si>
    <t>t0034130</t>
  </si>
  <si>
    <t>Clough, Cheyenne</t>
  </si>
  <si>
    <t>07/09/1999</t>
  </si>
  <si>
    <t>r0034232</t>
  </si>
  <si>
    <t>Griswold, Paula</t>
  </si>
  <si>
    <t>04/23/1954</t>
  </si>
  <si>
    <t>r0034233</t>
  </si>
  <si>
    <t>Scott, Tyson</t>
  </si>
  <si>
    <t>t0031810</t>
  </si>
  <si>
    <t>Renz, Alyssa</t>
  </si>
  <si>
    <t>09/24/1999</t>
  </si>
  <si>
    <t>r0031959</t>
  </si>
  <si>
    <t>Wokorac, Malachi Malik</t>
  </si>
  <si>
    <t>intelligent design mechanical soultion</t>
  </si>
  <si>
    <t>11/15/1997</t>
  </si>
  <si>
    <t>r0031939</t>
  </si>
  <si>
    <t>wokorac, megosonic</t>
  </si>
  <si>
    <t>t0028411</t>
  </si>
  <si>
    <t>Miles, Johnnie</t>
  </si>
  <si>
    <t>Custom Home builders</t>
  </si>
  <si>
    <t>07/20/1976</t>
  </si>
  <si>
    <t>r0028487</t>
  </si>
  <si>
    <t>Madsen, Christine</t>
  </si>
  <si>
    <t>11/08/1981</t>
  </si>
  <si>
    <t>t0031425</t>
  </si>
  <si>
    <t>Barrera, Yurik</t>
  </si>
  <si>
    <t>07/15/1998</t>
  </si>
  <si>
    <t>r0031609</t>
  </si>
  <si>
    <t>Aguilar Perdomo, Lisbeth Marbella</t>
  </si>
  <si>
    <t>aimbridge</t>
  </si>
  <si>
    <t>09/07/2003</t>
  </si>
  <si>
    <t>r0031585</t>
  </si>
  <si>
    <t>Perdomo, kendi</t>
  </si>
  <si>
    <t>r0031586</t>
  </si>
  <si>
    <t>amaya, marcos Josue</t>
  </si>
  <si>
    <t>r0031584</t>
  </si>
  <si>
    <t>perdomo, Glendi</t>
  </si>
  <si>
    <t>t0035108</t>
  </si>
  <si>
    <t>Snyder, Ashley</t>
  </si>
  <si>
    <t>self employed</t>
  </si>
  <si>
    <t>09/26/2000</t>
  </si>
  <si>
    <t>t0036660</t>
  </si>
  <si>
    <t>Senajon, Seth</t>
  </si>
  <si>
    <t>St Alphonsus</t>
  </si>
  <si>
    <t>01/02/2002</t>
  </si>
  <si>
    <t>r0036802</t>
  </si>
  <si>
    <t>Senajon, Miriam</t>
  </si>
  <si>
    <t>03/03/2001</t>
  </si>
  <si>
    <t>r0036808</t>
  </si>
  <si>
    <t>Senajon, Theodore</t>
  </si>
  <si>
    <t>t0029898</t>
  </si>
  <si>
    <t>Jensen, Aubrey</t>
  </si>
  <si>
    <t>02/19/2003</t>
  </si>
  <si>
    <t>r0030025</t>
  </si>
  <si>
    <t>Dandridge, Ivy</t>
  </si>
  <si>
    <t>Wesco microscopes</t>
  </si>
  <si>
    <t>10/19/1999</t>
  </si>
  <si>
    <t>r0030017</t>
  </si>
  <si>
    <t>Dandridge, Keenan</t>
  </si>
  <si>
    <t>r0030016</t>
  </si>
  <si>
    <t>Jensen, Jeff</t>
  </si>
  <si>
    <t>t0036949</t>
  </si>
  <si>
    <t>Carleton, Kassidy</t>
  </si>
  <si>
    <t>07/30/2001</t>
  </si>
  <si>
    <t>t0037798</t>
  </si>
  <si>
    <t>Weeks, Joshua</t>
  </si>
  <si>
    <t>08/21/1996</t>
  </si>
  <si>
    <t>r0037742</t>
  </si>
  <si>
    <t>Weeks, Jessie</t>
  </si>
  <si>
    <t>01/25/1997</t>
  </si>
  <si>
    <t>t0035250</t>
  </si>
  <si>
    <t>Meyer, Michelle</t>
  </si>
  <si>
    <t>08/14/1977</t>
  </si>
  <si>
    <t>t0029704</t>
  </si>
  <si>
    <t>LeRoy, Summer</t>
  </si>
  <si>
    <t>08/23/1995</t>
  </si>
  <si>
    <t>t0031382</t>
  </si>
  <si>
    <t>Quesada, Juan</t>
  </si>
  <si>
    <t>Nortwesth interiors</t>
  </si>
  <si>
    <t>02/24/1994</t>
  </si>
  <si>
    <t>r0031603</t>
  </si>
  <si>
    <t>Rojas Prada, Laura</t>
  </si>
  <si>
    <t>07/05/2009</t>
  </si>
  <si>
    <t>r0031942</t>
  </si>
  <si>
    <t>Rojas, Maria</t>
  </si>
  <si>
    <t>t0036557</t>
  </si>
  <si>
    <t>Alger, Jasmine</t>
  </si>
  <si>
    <t>02/01/1997</t>
  </si>
  <si>
    <t>r0040289</t>
  </si>
  <si>
    <t>Leidig, Emma</t>
  </si>
  <si>
    <t>t0038412</t>
  </si>
  <si>
    <t>Nash, Alexander</t>
  </si>
  <si>
    <t>VES Solutions</t>
  </si>
  <si>
    <t>11/29/1996</t>
  </si>
  <si>
    <t>r0038472</t>
  </si>
  <si>
    <t>Malki, Georgina</t>
  </si>
  <si>
    <t>Idaho State Police Forensic Laboratory</t>
  </si>
  <si>
    <t>07/11/1997</t>
  </si>
  <si>
    <t>t0027828</t>
  </si>
  <si>
    <t>Turnblom, Kimberly</t>
  </si>
  <si>
    <t>07/08/1974</t>
  </si>
  <si>
    <t>r0027889</t>
  </si>
  <si>
    <t>Markowski, Christian</t>
  </si>
  <si>
    <t>Columbia Electric Supply</t>
  </si>
  <si>
    <t>02/29/1996</t>
  </si>
  <si>
    <t>r0027975</t>
  </si>
  <si>
    <t>Markowski, Sarah</t>
  </si>
  <si>
    <t>t0030660</t>
  </si>
  <si>
    <t>Hubacz, Peter</t>
  </si>
  <si>
    <t>09/22/1967</t>
  </si>
  <si>
    <t>t0039839</t>
  </si>
  <si>
    <t>Boysen, Elijah</t>
  </si>
  <si>
    <t>E.B Woodwork &amp; Design</t>
  </si>
  <si>
    <t>08/31/1996</t>
  </si>
  <si>
    <t>r0039805</t>
  </si>
  <si>
    <t>Woltjer, Zoe</t>
  </si>
  <si>
    <t>06/19/1993</t>
  </si>
  <si>
    <t>t0030845</t>
  </si>
  <si>
    <t>Wilcox, Allison</t>
  </si>
  <si>
    <t>05/19/1998</t>
  </si>
  <si>
    <t>t0034264</t>
  </si>
  <si>
    <t>West, Martha</t>
  </si>
  <si>
    <t>02/09/1957</t>
  </si>
  <si>
    <t>t0036647</t>
  </si>
  <si>
    <t>Malone, Emily</t>
  </si>
  <si>
    <t>12/09/2003</t>
  </si>
  <si>
    <t>r0036777</t>
  </si>
  <si>
    <t>Malone, Daniel</t>
  </si>
  <si>
    <t>Pacific Roots Studio, LLC</t>
  </si>
  <si>
    <t>Pacific Roots Studio</t>
  </si>
  <si>
    <t>11/24/1969</t>
  </si>
  <si>
    <t>t0031082</t>
  </si>
  <si>
    <t>Cuentas, Ruth</t>
  </si>
  <si>
    <t>DHS/Transportation Sec Admin</t>
  </si>
  <si>
    <t>07/18/1975</t>
  </si>
  <si>
    <t>r0031261</t>
  </si>
  <si>
    <t>Roth, Brittney</t>
  </si>
  <si>
    <t>DHS/TSA</t>
  </si>
  <si>
    <t>04/01/1987</t>
  </si>
  <si>
    <t>t0030466</t>
  </si>
  <si>
    <t>Pierotti, Annabella</t>
  </si>
  <si>
    <t>07/03/2000</t>
  </si>
  <si>
    <t>r0030638</t>
  </si>
  <si>
    <t>Mate, Donte</t>
  </si>
  <si>
    <t>Air Force</t>
  </si>
  <si>
    <t>05/18/2000</t>
  </si>
  <si>
    <t>t0033299</t>
  </si>
  <si>
    <t>Bowlin, Austin</t>
  </si>
  <si>
    <t>05/13/2001</t>
  </si>
  <si>
    <t>r0033427</t>
  </si>
  <si>
    <t>Newton, William</t>
  </si>
  <si>
    <t>07/03/2001</t>
  </si>
  <si>
    <t>t0031664</t>
  </si>
  <si>
    <t>arellano, antonio</t>
  </si>
  <si>
    <t>08/06/2001</t>
  </si>
  <si>
    <t>r0031664</t>
  </si>
  <si>
    <t>Cicero, Hollie</t>
  </si>
  <si>
    <t>chick-fil-a</t>
  </si>
  <si>
    <t>10/03/2004</t>
  </si>
  <si>
    <t>t0036014</t>
  </si>
  <si>
    <t>Hwang, Mathew</t>
  </si>
  <si>
    <t>05/21/2002</t>
  </si>
  <si>
    <t>r0036165</t>
  </si>
  <si>
    <t>Harris, Adara</t>
  </si>
  <si>
    <t>St Luke's</t>
  </si>
  <si>
    <t>02/10/2002</t>
  </si>
  <si>
    <t>t0034323</t>
  </si>
  <si>
    <t>Ward, Martin</t>
  </si>
  <si>
    <t>02/22/1961</t>
  </si>
  <si>
    <t>t0038359</t>
  </si>
  <si>
    <t>McFain, Hudson</t>
  </si>
  <si>
    <t>12/10/2005</t>
  </si>
  <si>
    <t>r0038417</t>
  </si>
  <si>
    <t>Faulk, Josh</t>
  </si>
  <si>
    <t>11/05/1980</t>
  </si>
  <si>
    <t>r0038416</t>
  </si>
  <si>
    <t>McCall, Laila</t>
  </si>
  <si>
    <t>t0034085</t>
  </si>
  <si>
    <t>Parke, Conner</t>
  </si>
  <si>
    <t>03/12/1995</t>
  </si>
  <si>
    <t>r0034283</t>
  </si>
  <si>
    <t>Parke, Tess</t>
  </si>
  <si>
    <t>West Ada</t>
  </si>
  <si>
    <t>09/14/1969</t>
  </si>
  <si>
    <t>r0034280</t>
  </si>
  <si>
    <t>Priggemeier, Jasmine</t>
  </si>
  <si>
    <t>t0027851</t>
  </si>
  <si>
    <t>Stebbins, Lindsay</t>
  </si>
  <si>
    <t>Bookworx Business Solutions, LLC</t>
  </si>
  <si>
    <t>04/07/1981</t>
  </si>
  <si>
    <t>r0027901</t>
  </si>
  <si>
    <t>Hampton, Owen</t>
  </si>
  <si>
    <t>r0040153</t>
  </si>
  <si>
    <t>Hampton, Tirza</t>
  </si>
  <si>
    <t>r0037581</t>
  </si>
  <si>
    <t>James, Lennon</t>
  </si>
  <si>
    <t>t0038034</t>
  </si>
  <si>
    <t>Warner, Gage</t>
  </si>
  <si>
    <t>Owyhee Environmental</t>
  </si>
  <si>
    <t>11/22/1996</t>
  </si>
  <si>
    <t>t0029432</t>
  </si>
  <si>
    <t>Barroso, Alma</t>
  </si>
  <si>
    <t>St Luke's Health Systems</t>
  </si>
  <si>
    <t>10/30/1990</t>
  </si>
  <si>
    <t>r0029466</t>
  </si>
  <si>
    <t>Salcines, Benjamin</t>
  </si>
  <si>
    <t>01/03/2021</t>
  </si>
  <si>
    <t>r0029473</t>
  </si>
  <si>
    <t>Stafford, Gabriel William</t>
  </si>
  <si>
    <t>t0037739</t>
  </si>
  <si>
    <t>Manning, Sofia</t>
  </si>
  <si>
    <t>t0038355</t>
  </si>
  <si>
    <t>Housing Inc, Wolff Corporate</t>
  </si>
  <si>
    <t>Wolff Corporate Housing Inc</t>
  </si>
  <si>
    <t>t0035056</t>
  </si>
  <si>
    <t>Cox, Benjamin</t>
  </si>
  <si>
    <t>06/17/1986</t>
  </si>
  <si>
    <t>r0035119</t>
  </si>
  <si>
    <t>Brechbiel, Levi</t>
  </si>
  <si>
    <t>08/19/1995</t>
  </si>
  <si>
    <t>r0035118</t>
  </si>
  <si>
    <t>Grubbs, Anson</t>
  </si>
  <si>
    <t>t0035155</t>
  </si>
  <si>
    <t>Mahoney, Connor</t>
  </si>
  <si>
    <t>Shyne Mobile Auto Detailing LLC</t>
  </si>
  <si>
    <t>08/03/1995</t>
  </si>
  <si>
    <t>r0035201</t>
  </si>
  <si>
    <t>Mahoney, Christopher</t>
  </si>
  <si>
    <t>Beacon Health Care System Inc</t>
  </si>
  <si>
    <t>07/14/1961</t>
  </si>
  <si>
    <t>t0035900</t>
  </si>
  <si>
    <t>Fink, Nathan</t>
  </si>
  <si>
    <t>Odom</t>
  </si>
  <si>
    <t>08/28/2003</t>
  </si>
  <si>
    <t>r0036067</t>
  </si>
  <si>
    <t>Bell, Rylie</t>
  </si>
  <si>
    <t>05/07/2003</t>
  </si>
  <si>
    <t>r0036068</t>
  </si>
  <si>
    <t>Hickey, Jackson</t>
  </si>
  <si>
    <t>t0031807</t>
  </si>
  <si>
    <t>James, Evan</t>
  </si>
  <si>
    <t>08/12/2003</t>
  </si>
  <si>
    <t>r0036394</t>
  </si>
  <si>
    <t>James-Vallard, Laika</t>
  </si>
  <si>
    <t>02/28/2001</t>
  </si>
  <si>
    <t>r0041274</t>
  </si>
  <si>
    <t>Wada, Jonathan</t>
  </si>
  <si>
    <t>r0041237</t>
  </si>
  <si>
    <t>Winston, Cherish</t>
  </si>
  <si>
    <t>t0036387</t>
  </si>
  <si>
    <t>Thomas, Madison</t>
  </si>
  <si>
    <t>Canyon County Prosecuting Attorney</t>
  </si>
  <si>
    <t>01/09/1998</t>
  </si>
  <si>
    <t>t0031399</t>
  </si>
  <si>
    <t>Topor, Jennifer</t>
  </si>
  <si>
    <t>07/02/2003</t>
  </si>
  <si>
    <t>r0031552</t>
  </si>
  <si>
    <t>Jansen, Zachary</t>
  </si>
  <si>
    <t>A-1 Heating and Air</t>
  </si>
  <si>
    <t>11/09/2002</t>
  </si>
  <si>
    <t>t0029041</t>
  </si>
  <si>
    <t>Marchant, Marcos</t>
  </si>
  <si>
    <t>08/07/1999</t>
  </si>
  <si>
    <t>r0029013</t>
  </si>
  <si>
    <t>Ortolaza, Paola</t>
  </si>
  <si>
    <t>Sherwin Williams</t>
  </si>
  <si>
    <t>10/03/1998</t>
  </si>
  <si>
    <t>t0038050</t>
  </si>
  <si>
    <t>Axtell, Trey</t>
  </si>
  <si>
    <t>12/22/2005</t>
  </si>
  <si>
    <t>r0038452</t>
  </si>
  <si>
    <t>Simon, Cory</t>
  </si>
  <si>
    <t>09/23/2006</t>
  </si>
  <si>
    <t>r0037988</t>
  </si>
  <si>
    <t>Simon, Emma</t>
  </si>
  <si>
    <t>t0028957</t>
  </si>
  <si>
    <t>Chan, Maria</t>
  </si>
  <si>
    <t>Dania Furniture Scandinavian Designs</t>
  </si>
  <si>
    <t>03/14/2001</t>
  </si>
  <si>
    <t>t0036224</t>
  </si>
  <si>
    <t>Villaluna, Joann Mae</t>
  </si>
  <si>
    <t>Digestive Health Clinic and Idaho Endoscopy</t>
  </si>
  <si>
    <t>05/07/1995</t>
  </si>
  <si>
    <t>r0036361</t>
  </si>
  <si>
    <t>Villaluna, Albrin Gione</t>
  </si>
  <si>
    <t>10/30/2022</t>
  </si>
  <si>
    <t>r0036362</t>
  </si>
  <si>
    <t>Villaluna, Alyssa Ashley</t>
  </si>
  <si>
    <t>r0036360</t>
  </si>
  <si>
    <t>Villaluna, Brian</t>
  </si>
  <si>
    <t>t0026888</t>
  </si>
  <si>
    <t>Sparks, Mike</t>
  </si>
  <si>
    <t>11/18/1988</t>
  </si>
  <si>
    <t>r0027085</t>
  </si>
  <si>
    <t>Sparks, Hazuki</t>
  </si>
  <si>
    <t>t0028976</t>
  </si>
  <si>
    <t>Stricharskiy, David</t>
  </si>
  <si>
    <t>Full Circle</t>
  </si>
  <si>
    <t>06/03/2004</t>
  </si>
  <si>
    <t>t0026584</t>
  </si>
  <si>
    <t>Maganda Brooks, Daisy</t>
  </si>
  <si>
    <t>r0030195</t>
  </si>
  <si>
    <t>Maganda, Lia</t>
  </si>
  <si>
    <t>07/01/2018</t>
  </si>
  <si>
    <t>r0030196</t>
  </si>
  <si>
    <t>Maganda, Marcos</t>
  </si>
  <si>
    <t>t0034873</t>
  </si>
  <si>
    <t>Fink, Laurell</t>
  </si>
  <si>
    <t>07/23/2001</t>
  </si>
  <si>
    <t>r0034941</t>
  </si>
  <si>
    <t>Diklic, Milosh</t>
  </si>
  <si>
    <t>ALLWEST Testing &amp; Engineering</t>
  </si>
  <si>
    <t>06/29/2001</t>
  </si>
  <si>
    <t>t0037759</t>
  </si>
  <si>
    <t>Horras, David</t>
  </si>
  <si>
    <t>02/27/1981</t>
  </si>
  <si>
    <t>r0037711</t>
  </si>
  <si>
    <t>Barragan, Gina</t>
  </si>
  <si>
    <t>Access Behavioral Halth Services</t>
  </si>
  <si>
    <t>10/01/1971</t>
  </si>
  <si>
    <t>t0037889</t>
  </si>
  <si>
    <t>Beam, Tyler</t>
  </si>
  <si>
    <t>Military</t>
  </si>
  <si>
    <t>10/02/1984</t>
  </si>
  <si>
    <t>t0028395</t>
  </si>
  <si>
    <t>LaFond, Anthony</t>
  </si>
  <si>
    <t>r0028473</t>
  </si>
  <si>
    <t>Harthun, Marie</t>
  </si>
  <si>
    <t>08/03/2003</t>
  </si>
  <si>
    <t>t0031159</t>
  </si>
  <si>
    <t>Eckert, Jonathan</t>
  </si>
  <si>
    <t>03/04/1996</t>
  </si>
  <si>
    <t>t0029771</t>
  </si>
  <si>
    <t>Epps, Kelsey</t>
  </si>
  <si>
    <t>United States Postal Service</t>
  </si>
  <si>
    <t>11/26/2005</t>
  </si>
  <si>
    <t>r0034395</t>
  </si>
  <si>
    <t>Thomas, Makiya</t>
  </si>
  <si>
    <t>supercuts</t>
  </si>
  <si>
    <t>03/17/2006</t>
  </si>
  <si>
    <t>t0039728</t>
  </si>
  <si>
    <t>Kuriki, Aoi</t>
  </si>
  <si>
    <t>Scentsy.inc</t>
  </si>
  <si>
    <t>07/27/2000</t>
  </si>
  <si>
    <t>t0035117</t>
  </si>
  <si>
    <t>Adams, Israel</t>
  </si>
  <si>
    <t>03/13/2006</t>
  </si>
  <si>
    <t>t0038546</t>
  </si>
  <si>
    <t>Estes, Arrianna</t>
  </si>
  <si>
    <t>Dabella</t>
  </si>
  <si>
    <t>07/15/2001</t>
  </si>
  <si>
    <t>r0038585</t>
  </si>
  <si>
    <t>Collins, Nicholas</t>
  </si>
  <si>
    <t>Door Dash</t>
  </si>
  <si>
    <t>06/22/2001</t>
  </si>
  <si>
    <t>r0038584</t>
  </si>
  <si>
    <t>Kavaklian, Cristopher</t>
  </si>
  <si>
    <t>t0038947</t>
  </si>
  <si>
    <t>Welcome, Cameron</t>
  </si>
  <si>
    <t>03/26/2004</t>
  </si>
  <si>
    <t>r0038984</t>
  </si>
  <si>
    <t>Hoffelner, Pavel</t>
  </si>
  <si>
    <t>06/02/2001</t>
  </si>
  <si>
    <t>t0035822</t>
  </si>
  <si>
    <t>Fleek, Heather</t>
  </si>
  <si>
    <t>09/25/1984</t>
  </si>
  <si>
    <t>t0029919</t>
  </si>
  <si>
    <t>Healy, Tyler</t>
  </si>
  <si>
    <t>Ty trucking</t>
  </si>
  <si>
    <t>11/02/1983</t>
  </si>
  <si>
    <t>r0030054</t>
  </si>
  <si>
    <t>Healy, Audrey</t>
  </si>
  <si>
    <t>10/23/1951</t>
  </si>
  <si>
    <t>r0030073</t>
  </si>
  <si>
    <t>Healy, Chase</t>
  </si>
  <si>
    <t>r0030056</t>
  </si>
  <si>
    <t>Moore, Gary</t>
  </si>
  <si>
    <t>t0035091</t>
  </si>
  <si>
    <t>Kriner, Tristen</t>
  </si>
  <si>
    <t>Priority plumbing</t>
  </si>
  <si>
    <t>02/25/1997</t>
  </si>
  <si>
    <t>t0034175</t>
  </si>
  <si>
    <t>Sudmeier, Laura</t>
  </si>
  <si>
    <t>Paul W. and Helen K. Sudmeier Family Trust</t>
  </si>
  <si>
    <t>03/22/1972</t>
  </si>
  <si>
    <t>r0034364</t>
  </si>
  <si>
    <t>Sudmeier, Jeffrey</t>
  </si>
  <si>
    <t>08/09/2001</t>
  </si>
  <si>
    <t>t0030391</t>
  </si>
  <si>
    <t>Hageman, Joseph</t>
  </si>
  <si>
    <t>01/18/1993</t>
  </si>
  <si>
    <t>t0034896</t>
  </si>
  <si>
    <t>Dickinson, Cregg</t>
  </si>
  <si>
    <t>D &amp; A Glass</t>
  </si>
  <si>
    <t>12/02/1970</t>
  </si>
  <si>
    <t>t0038026</t>
  </si>
  <si>
    <t>Frickel, Micah</t>
  </si>
  <si>
    <t>Neurobehavioral Center For Growth</t>
  </si>
  <si>
    <t>04/14/2004</t>
  </si>
  <si>
    <t>r0037972</t>
  </si>
  <si>
    <t>Frickel, Surya</t>
  </si>
  <si>
    <t>07/19/1999</t>
  </si>
  <si>
    <t>r0040323</t>
  </si>
  <si>
    <t>Noor, Nabeel</t>
  </si>
  <si>
    <t>t0031314</t>
  </si>
  <si>
    <t>Tarekegn, Eyob</t>
  </si>
  <si>
    <t>Micron Technology, Inc</t>
  </si>
  <si>
    <t>06/10/1994</t>
  </si>
  <si>
    <t>t0030462</t>
  </si>
  <si>
    <t>foster, Lyndsey</t>
  </si>
  <si>
    <t>Tmobile</t>
  </si>
  <si>
    <t>07/06/1991</t>
  </si>
  <si>
    <t>t0034766</t>
  </si>
  <si>
    <t>Stuart, Carole</t>
  </si>
  <si>
    <t>Social Security</t>
  </si>
  <si>
    <t>10/14/1947</t>
  </si>
  <si>
    <t>r0034835</t>
  </si>
  <si>
    <t>Allen, Eamonn</t>
  </si>
  <si>
    <t>County of San Mateo</t>
  </si>
  <si>
    <t>07/31/1980</t>
  </si>
  <si>
    <t>t0032096</t>
  </si>
  <si>
    <t>Snelson, Chareen</t>
  </si>
  <si>
    <t>05/24/1959</t>
  </si>
  <si>
    <t>r0032235</t>
  </si>
  <si>
    <t>Huff, Tanya</t>
  </si>
  <si>
    <t>11/27/1956</t>
  </si>
  <si>
    <t>r0032236</t>
  </si>
  <si>
    <t>Snelson, Robert</t>
  </si>
  <si>
    <t>t0032375</t>
  </si>
  <si>
    <t>Alcantara, Clarisa</t>
  </si>
  <si>
    <t>02/11/1993</t>
  </si>
  <si>
    <t>r0032511</t>
  </si>
  <si>
    <t>Alcantara Jr, Miguel</t>
  </si>
  <si>
    <t>Norco inc</t>
  </si>
  <si>
    <t>01/28/1992</t>
  </si>
  <si>
    <t>r0032512</t>
  </si>
  <si>
    <t>McJunkin, Cy</t>
  </si>
  <si>
    <t>t0037876</t>
  </si>
  <si>
    <t>Christensen, Makyna</t>
  </si>
  <si>
    <t>walmart</t>
  </si>
  <si>
    <t>11/30/2006</t>
  </si>
  <si>
    <t>r0037822</t>
  </si>
  <si>
    <t>salguero, Jesus</t>
  </si>
  <si>
    <t>07/15/2006</t>
  </si>
  <si>
    <t>r0037821</t>
  </si>
  <si>
    <t>salguero, Miguel</t>
  </si>
  <si>
    <t>t0029974</t>
  </si>
  <si>
    <t>Pinto Ayala, Monica</t>
  </si>
  <si>
    <t>hotel renegade llc</t>
  </si>
  <si>
    <t>r0038548</t>
  </si>
  <si>
    <t>Lopez Paramo, Luis</t>
  </si>
  <si>
    <t>10/22/2010</t>
  </si>
  <si>
    <t>r0037748</t>
  </si>
  <si>
    <t>Lopez Pinto, Valery Tatiana</t>
  </si>
  <si>
    <t>r0037747</t>
  </si>
  <si>
    <t>lopez pinto, leidy alejandra</t>
  </si>
  <si>
    <t>t0030392</t>
  </si>
  <si>
    <t>Cordero, Blane</t>
  </si>
  <si>
    <t>Idaho Department Of Corrections</t>
  </si>
  <si>
    <t>10/25/2001</t>
  </si>
  <si>
    <t>r0030577</t>
  </si>
  <si>
    <t>Cordero, Piper</t>
  </si>
  <si>
    <t>10/06/2005</t>
  </si>
  <si>
    <t>t0029954</t>
  </si>
  <si>
    <t>Monks, Ray</t>
  </si>
  <si>
    <t>01/11/2000</t>
  </si>
  <si>
    <t>r0040390</t>
  </si>
  <si>
    <t>Carr, Laiten</t>
  </si>
  <si>
    <t>Avery’s House</t>
  </si>
  <si>
    <t>08/07/1996</t>
  </si>
  <si>
    <t>t0039656</t>
  </si>
  <si>
    <t>Newbourg, Amber</t>
  </si>
  <si>
    <t>01/07/1999</t>
  </si>
  <si>
    <t>r0039636</t>
  </si>
  <si>
    <t>Mackiewicz, Victoria</t>
  </si>
  <si>
    <t>Idaho Materials &amp; Construction</t>
  </si>
  <si>
    <t>11/08/2001</t>
  </si>
  <si>
    <t>t0029733</t>
  </si>
  <si>
    <t>Nguyen, Vinh</t>
  </si>
  <si>
    <t>11/09/2001</t>
  </si>
  <si>
    <t>t0040232</t>
  </si>
  <si>
    <t>Mock, John</t>
  </si>
  <si>
    <t>09/07/2001</t>
  </si>
  <si>
    <t>r0040281</t>
  </si>
  <si>
    <t>Mock, Darren</t>
  </si>
  <si>
    <t>Skyworks Solutions</t>
  </si>
  <si>
    <t>03/29/1972</t>
  </si>
  <si>
    <t>t0037774</t>
  </si>
  <si>
    <t>Gorman, John</t>
  </si>
  <si>
    <t>12/21/2002</t>
  </si>
  <si>
    <t>r0037724</t>
  </si>
  <si>
    <t>Corrigan, Francis</t>
  </si>
  <si>
    <t>03/21/2006</t>
  </si>
  <si>
    <t>t0029850</t>
  </si>
  <si>
    <t>Kovick, Jeffrey</t>
  </si>
  <si>
    <t>Nestle</t>
  </si>
  <si>
    <t>08/07/1968</t>
  </si>
  <si>
    <t>t0035976</t>
  </si>
  <si>
    <t>Gil, Diego</t>
  </si>
  <si>
    <t>Amazon Flex, Lyft</t>
  </si>
  <si>
    <t>10/25/1969</t>
  </si>
  <si>
    <t>r0036136</t>
  </si>
  <si>
    <t>Gil, Sofia</t>
  </si>
  <si>
    <t>03/07/1978</t>
  </si>
  <si>
    <t>r0036135</t>
  </si>
  <si>
    <t>Llano Agudelo, Mariela</t>
  </si>
  <si>
    <t>t0032788</t>
  </si>
  <si>
    <t>Oliferchik, Samuel</t>
  </si>
  <si>
    <t>08/01/2001</t>
  </si>
  <si>
    <t>r0033229</t>
  </si>
  <si>
    <t>Oliferchik, Vyacheslav</t>
  </si>
  <si>
    <t>12/10/2001</t>
  </si>
  <si>
    <t>r0040585</t>
  </si>
  <si>
    <t>Perezchica, Garrett</t>
  </si>
  <si>
    <t>t0036033</t>
  </si>
  <si>
    <t>grimm, camille</t>
  </si>
  <si>
    <t>Royal Coffee Co</t>
  </si>
  <si>
    <t>11/25/2006</t>
  </si>
  <si>
    <t>r0036179</t>
  </si>
  <si>
    <t>wright, chris</t>
  </si>
  <si>
    <t>Royal Coffee CO</t>
  </si>
  <si>
    <t>03/11/1981</t>
  </si>
  <si>
    <t>r0036178</t>
  </si>
  <si>
    <t>wright, elly</t>
  </si>
  <si>
    <t>t0037670</t>
  </si>
  <si>
    <t>Rice, Kelby</t>
  </si>
  <si>
    <t>Capstone logistics</t>
  </si>
  <si>
    <t>05/20/2007</t>
  </si>
  <si>
    <t>r0039062</t>
  </si>
  <si>
    <t>Atwood, Donivan</t>
  </si>
  <si>
    <t>CFA</t>
  </si>
  <si>
    <t>07/14/2006</t>
  </si>
  <si>
    <t>r0037645</t>
  </si>
  <si>
    <t>Price, Luke</t>
  </si>
  <si>
    <t>t0035640</t>
  </si>
  <si>
    <t>Cressler, Lucas</t>
  </si>
  <si>
    <t>HWA Geosciences</t>
  </si>
  <si>
    <t>10/09/1994</t>
  </si>
  <si>
    <t>t0039196</t>
  </si>
  <si>
    <t>Zhong, Yaxu</t>
  </si>
  <si>
    <t>05/09/1995</t>
  </si>
  <si>
    <t>t0036067</t>
  </si>
  <si>
    <t>Azpeitia Cueva, Andrea</t>
  </si>
  <si>
    <t>07/15/2000</t>
  </si>
  <si>
    <t>r0036254</t>
  </si>
  <si>
    <t>Squire, Monica</t>
  </si>
  <si>
    <t>09/30/2006</t>
  </si>
  <si>
    <t>t0035624</t>
  </si>
  <si>
    <t>Bedell, Luke</t>
  </si>
  <si>
    <t>03/12/2002</t>
  </si>
  <si>
    <t>r0035819</t>
  </si>
  <si>
    <t>Romriell, Brent</t>
  </si>
  <si>
    <t>Idaho State University</t>
  </si>
  <si>
    <t>08/04/1964</t>
  </si>
  <si>
    <t>t0029395</t>
  </si>
  <si>
    <t>Seely, Kevin</t>
  </si>
  <si>
    <t>Mountain Companies LLC</t>
  </si>
  <si>
    <t>04/28/1977</t>
  </si>
  <si>
    <t>r0029461</t>
  </si>
  <si>
    <t>Seely, Peyton</t>
  </si>
  <si>
    <t>10/15/2008</t>
  </si>
  <si>
    <t>t0028083</t>
  </si>
  <si>
    <t>Miller, London</t>
  </si>
  <si>
    <t>11/12/1999</t>
  </si>
  <si>
    <t>r0028147</t>
  </si>
  <si>
    <t>Shiverick, Cameron</t>
  </si>
  <si>
    <t>05/13/1999</t>
  </si>
  <si>
    <t>t0038526</t>
  </si>
  <si>
    <t>Arredondo, Joshua</t>
  </si>
  <si>
    <t>r0038566</t>
  </si>
  <si>
    <t>Arredondo, Darius</t>
  </si>
  <si>
    <t>Peak Living</t>
  </si>
  <si>
    <t>09/14/1998</t>
  </si>
  <si>
    <t>r0038567</t>
  </si>
  <si>
    <t>Vazquez, Isabella</t>
  </si>
  <si>
    <t>t0035182</t>
  </si>
  <si>
    <t>Sunseri, Devrie</t>
  </si>
  <si>
    <t>r0035220</t>
  </si>
  <si>
    <t>Sunseri, Joshua</t>
  </si>
  <si>
    <t>Trinity Trailer</t>
  </si>
  <si>
    <t>07/08/1994</t>
  </si>
  <si>
    <t>t0035112</t>
  </si>
  <si>
    <t>Luther, Brenner</t>
  </si>
  <si>
    <t>06/10/1996</t>
  </si>
  <si>
    <t>r0035176</t>
  </si>
  <si>
    <t>Guzman, Freda</t>
  </si>
  <si>
    <t>09/14/1997</t>
  </si>
  <si>
    <t>t0030273</t>
  </si>
  <si>
    <t>Burkman, Micah</t>
  </si>
  <si>
    <t>USPS</t>
  </si>
  <si>
    <t>06/23/2001</t>
  </si>
  <si>
    <t>t0035220</t>
  </si>
  <si>
    <t>Kelton, Hailey</t>
  </si>
  <si>
    <t>Coast Electric</t>
  </si>
  <si>
    <t>08/30/2002</t>
  </si>
  <si>
    <t>r0035261</t>
  </si>
  <si>
    <t>McVeay, Dylan</t>
  </si>
  <si>
    <t>07/17/2001</t>
  </si>
  <si>
    <t>t0037879</t>
  </si>
  <si>
    <t>Lamb, Allie</t>
  </si>
  <si>
    <t>Harvester Coffee Co</t>
  </si>
  <si>
    <t>09/16/2004</t>
  </si>
  <si>
    <t>r0037825</t>
  </si>
  <si>
    <t>Harrington, Julien</t>
  </si>
  <si>
    <t>06/29/2004</t>
  </si>
  <si>
    <t>t0030361</t>
  </si>
  <si>
    <t>James, Thomas</t>
  </si>
  <si>
    <t>06/12/1952</t>
  </si>
  <si>
    <t>t0035830</t>
  </si>
  <si>
    <t>Carter, Kelsey</t>
  </si>
  <si>
    <t>03/15/1995</t>
  </si>
  <si>
    <t>t0037613</t>
  </si>
  <si>
    <t>Reese, Stephanie</t>
  </si>
  <si>
    <t>02/18/1997</t>
  </si>
  <si>
    <t>t0029841</t>
  </si>
  <si>
    <t>dela rosa, alma</t>
  </si>
  <si>
    <t>03/01/2001</t>
  </si>
  <si>
    <t>t0033441</t>
  </si>
  <si>
    <t>Johnson, Shakayla</t>
  </si>
  <si>
    <t>Community Connection, Inc.</t>
  </si>
  <si>
    <t>05/13/1997</t>
  </si>
  <si>
    <t>r0033569</t>
  </si>
  <si>
    <t>Johnson, Brantley</t>
  </si>
  <si>
    <t>08/11/2016</t>
  </si>
  <si>
    <t>r0033568</t>
  </si>
  <si>
    <t>Johnson, Kealah</t>
  </si>
  <si>
    <t>r0033567</t>
  </si>
  <si>
    <t>Johnson, Mitchel</t>
  </si>
  <si>
    <t>r0041443</t>
  </si>
  <si>
    <t>Malay, Avery</t>
  </si>
  <si>
    <t>r0041442</t>
  </si>
  <si>
    <t>Miklancic, Avery</t>
  </si>
  <si>
    <t>t0035133</t>
  </si>
  <si>
    <t>Radicia, Chelsea</t>
  </si>
  <si>
    <t>10/15/2001</t>
  </si>
  <si>
    <t>r0035185</t>
  </si>
  <si>
    <t>Koga, Savannah</t>
  </si>
  <si>
    <t>Eagle Ridge Apperal</t>
  </si>
  <si>
    <t>02/25/2002</t>
  </si>
  <si>
    <t>t0034253</t>
  </si>
  <si>
    <t>Fanning, Jill</t>
  </si>
  <si>
    <t>A Child's Heart Learning Center and Nursery</t>
  </si>
  <si>
    <t>04/28/1994</t>
  </si>
  <si>
    <t>r0034353</t>
  </si>
  <si>
    <t>Fanning, Katie</t>
  </si>
  <si>
    <t>10/10/1995</t>
  </si>
  <si>
    <t>t0030716</t>
  </si>
  <si>
    <t>Nallapaneni, Sasi Kiran</t>
  </si>
  <si>
    <t>Schweitzer Engineering Laboratories</t>
  </si>
  <si>
    <t>06/21/1993</t>
  </si>
  <si>
    <t>r0030944</t>
  </si>
  <si>
    <t>Nallapaneni, Ruhika</t>
  </si>
  <si>
    <t>07/08/1996</t>
  </si>
  <si>
    <t>r0030885</t>
  </si>
  <si>
    <t>RAVIPATI, TEJASWINI</t>
  </si>
  <si>
    <t>t0036618</t>
  </si>
  <si>
    <t>Satterly, Alixe</t>
  </si>
  <si>
    <t>St Luke’s</t>
  </si>
  <si>
    <t>04/28/1991</t>
  </si>
  <si>
    <t>t0030727</t>
  </si>
  <si>
    <t>Eastman, Jillian</t>
  </si>
  <si>
    <t>06/04/2001</t>
  </si>
  <si>
    <t>r0030900</t>
  </si>
  <si>
    <t>Blank, Jonathan</t>
  </si>
  <si>
    <t>Crave Restaurant and Bar</t>
  </si>
  <si>
    <t>12/26/1993</t>
  </si>
  <si>
    <t>t0040870</t>
  </si>
  <si>
    <t>Lorentzen, Bridget</t>
  </si>
  <si>
    <t>Compass, Idaho</t>
  </si>
  <si>
    <t>02/08/1991</t>
  </si>
  <si>
    <t>r0040800</t>
  </si>
  <si>
    <t>Lorentzen, Paula</t>
  </si>
  <si>
    <t>02/28/1956</t>
  </si>
  <si>
    <t>t0038962</t>
  </si>
  <si>
    <t>Pardo, Samuel</t>
  </si>
  <si>
    <t>05/03/1988</t>
  </si>
  <si>
    <t>r0038999</t>
  </si>
  <si>
    <t>Astle, Melissa</t>
  </si>
  <si>
    <t>05/31/1992</t>
  </si>
  <si>
    <t>t0029861</t>
  </si>
  <si>
    <t>Rempe, Samuel</t>
  </si>
  <si>
    <t>02/05/2003</t>
  </si>
  <si>
    <t>r0029962</t>
  </si>
  <si>
    <t>Rempe, Daniel</t>
  </si>
  <si>
    <t>The Boeing Company</t>
  </si>
  <si>
    <t>Boeing</t>
  </si>
  <si>
    <t>06/03/1964</t>
  </si>
  <si>
    <t>t0038423</t>
  </si>
  <si>
    <t>Martin, Leah</t>
  </si>
  <si>
    <t>11/11/2002</t>
  </si>
  <si>
    <t>r0038485</t>
  </si>
  <si>
    <t>Hice, Auron</t>
  </si>
  <si>
    <t>Arbor Valley</t>
  </si>
  <si>
    <t>10/23/2003</t>
  </si>
  <si>
    <t>t0029518</t>
  </si>
  <si>
    <t>Dailing, Wyatt</t>
  </si>
  <si>
    <t>11/08/1999</t>
  </si>
  <si>
    <t>t0029879</t>
  </si>
  <si>
    <t>Steacker, Hunter</t>
  </si>
  <si>
    <t>r0030010</t>
  </si>
  <si>
    <t>Steacker, Clayton</t>
  </si>
  <si>
    <t>Pension</t>
  </si>
  <si>
    <t>t0033382</t>
  </si>
  <si>
    <t>Wingar, Afton</t>
  </si>
  <si>
    <t>Air Methods Corporation</t>
  </si>
  <si>
    <t>07/23/1997</t>
  </si>
  <si>
    <t>r0033529</t>
  </si>
  <si>
    <t>Fluckiger, Aubree</t>
  </si>
  <si>
    <t>09/13/1990</t>
  </si>
  <si>
    <t>t0037184</t>
  </si>
  <si>
    <t>Conerly, Taj</t>
  </si>
  <si>
    <t>02/26/2003</t>
  </si>
  <si>
    <t>r0037668</t>
  </si>
  <si>
    <t>Garza Conerly, Princeton Ernesto</t>
  </si>
  <si>
    <t>04/08/2025</t>
  </si>
  <si>
    <t>t0034473</t>
  </si>
  <si>
    <t>Maloney, Kelsie</t>
  </si>
  <si>
    <t>Gastons Bakery</t>
  </si>
  <si>
    <t>12/21/1999</t>
  </si>
  <si>
    <t>r0038009</t>
  </si>
  <si>
    <t>Cloudt, Gemze</t>
  </si>
  <si>
    <t>1.Magic Valley Electric, 2. HRC Fire</t>
  </si>
  <si>
    <t>02/24/1997</t>
  </si>
  <si>
    <t>t0038531</t>
  </si>
  <si>
    <t>Neilson, Samantha</t>
  </si>
  <si>
    <t>Turner Construction Co</t>
  </si>
  <si>
    <t>t0030027</t>
  </si>
  <si>
    <t>Frisbee, Keriann</t>
  </si>
  <si>
    <t>03/10/2000</t>
  </si>
  <si>
    <t>r0030165</t>
  </si>
  <si>
    <t>Mora, Vincent</t>
  </si>
  <si>
    <t>Winco Foods Distribution Center</t>
  </si>
  <si>
    <t>02/17/1999</t>
  </si>
  <si>
    <t>t0035145</t>
  </si>
  <si>
    <t>wilger, Tyler</t>
  </si>
  <si>
    <t>mercedes benz</t>
  </si>
  <si>
    <t>06/16/2003</t>
  </si>
  <si>
    <t>r0035195</t>
  </si>
  <si>
    <t>Balos, Alice</t>
  </si>
  <si>
    <t>falck ambulance company</t>
  </si>
  <si>
    <t>08/02/2004</t>
  </si>
  <si>
    <t>t0035661</t>
  </si>
  <si>
    <t>Vetter, Travis</t>
  </si>
  <si>
    <t>10/22/2002</t>
  </si>
  <si>
    <t>r0035833</t>
  </si>
  <si>
    <t>Moss, Michael</t>
  </si>
  <si>
    <t>09/13/2002</t>
  </si>
  <si>
    <t>r0035832</t>
  </si>
  <si>
    <t>Moss, Ryder</t>
  </si>
  <si>
    <t>t0029419</t>
  </si>
  <si>
    <t>Chen, Linghan</t>
  </si>
  <si>
    <t>09/15/2000</t>
  </si>
  <si>
    <t>t0034557</t>
  </si>
  <si>
    <t>North, Kelly</t>
  </si>
  <si>
    <t>09/06/2003</t>
  </si>
  <si>
    <t>r0034643</t>
  </si>
  <si>
    <t>North, Kathleen</t>
  </si>
  <si>
    <t>01/25/1964</t>
  </si>
  <si>
    <t>t0028409</t>
  </si>
  <si>
    <t>Shanahan, Michael</t>
  </si>
  <si>
    <t>Micron Technologies</t>
  </si>
  <si>
    <t>r0036831</t>
  </si>
  <si>
    <t>Wallace, Natalle</t>
  </si>
  <si>
    <t>V’s Barbershop</t>
  </si>
  <si>
    <t>03/17/2001</t>
  </si>
  <si>
    <t>Seasons at Meridian — Raw employer text → standardized employer</t>
  </si>
  <si>
    <t>Every distinct raw string in the seller demographics export and how it was standardized/classified.</t>
  </si>
  <si>
    <t>Raw text (as entered)</t>
  </si>
  <si>
    <t>Canyon Ridge — Resident data (from Employer / Micron Analysis workbook 2026.06.24)</t>
  </si>
  <si>
    <t>Source: Entrata "Resident Data 3.0" as of 06/24/2026 (Primary + Co-Applicant occupants; lease statuses Future/Current/Notice). Standardized employers &amp; tiers carried over from the Canyon Ridge Micron analysis; industry coding added by this analysis.</t>
  </si>
  <si>
    <t>Occupant Type</t>
  </si>
  <si>
    <t>Lease Status</t>
  </si>
  <si>
    <t>Scheduled Rent</t>
  </si>
  <si>
    <t>Lease Start</t>
  </si>
  <si>
    <t>Lease End</t>
  </si>
  <si>
    <t>Occupation</t>
  </si>
  <si>
    <t>Raw Employer</t>
  </si>
  <si>
    <t>Annual Income</t>
  </si>
  <si>
    <t>Deshmukh, Hrishikesh Bipin</t>
  </si>
  <si>
    <t>Current</t>
  </si>
  <si>
    <t>2026-02-18</t>
  </si>
  <si>
    <t>2027-03-17</t>
  </si>
  <si>
    <t>Engineer</t>
  </si>
  <si>
    <t>Applegate, Bradley</t>
  </si>
  <si>
    <t>2026-05-29</t>
  </si>
  <si>
    <t>2027-08-28</t>
  </si>
  <si>
    <t>Villarreal, John</t>
  </si>
  <si>
    <t>Co-Applicant</t>
  </si>
  <si>
    <t>Leyva, Javier</t>
  </si>
  <si>
    <t>2026-06-06</t>
  </si>
  <si>
    <t>2027-06-05</t>
  </si>
  <si>
    <t>Leyva Sr, Javier</t>
  </si>
  <si>
    <t>Koch, Sebastian</t>
  </si>
  <si>
    <t>2026-05-03</t>
  </si>
  <si>
    <t>2027-06-02</t>
  </si>
  <si>
    <t>Blank, Thomas</t>
  </si>
  <si>
    <t>Jesse Bair</t>
  </si>
  <si>
    <t>Ostermiller, Sonora</t>
  </si>
  <si>
    <t>2026-02-07</t>
  </si>
  <si>
    <t>2027-04-06</t>
  </si>
  <si>
    <t>Unemployed/Dependent</t>
  </si>
  <si>
    <t>Hayden, Brian</t>
  </si>
  <si>
    <t>Corporate Housing, Paragon</t>
  </si>
  <si>
    <t>2025-10-17</t>
  </si>
  <si>
    <t>2026-10-16</t>
  </si>
  <si>
    <t>Jacobs, John</t>
  </si>
  <si>
    <t>2025-12-10</t>
  </si>
  <si>
    <t>2027-02-09</t>
  </si>
  <si>
    <t>Pipefitters UA local 296</t>
  </si>
  <si>
    <t>Sanchez, Patricia Naomi</t>
  </si>
  <si>
    <t>Notice</t>
  </si>
  <si>
    <t>2025-06-01</t>
  </si>
  <si>
    <t>2026-07-31</t>
  </si>
  <si>
    <t>Performance Contracting Group</t>
  </si>
  <si>
    <t>Echchad, Kawtar</t>
  </si>
  <si>
    <t>Wiggins, Layton</t>
  </si>
  <si>
    <t>2026-06-08</t>
  </si>
  <si>
    <t>2027-06-07</t>
  </si>
  <si>
    <t>Transporation/Utilities</t>
  </si>
  <si>
    <t>Chichester, Jack</t>
  </si>
  <si>
    <t>Weimer, Derek</t>
  </si>
  <si>
    <t>2026-02-28</t>
  </si>
  <si>
    <t>2027-03-27</t>
  </si>
  <si>
    <t>Administrative</t>
  </si>
  <si>
    <t>Brooks, Austin</t>
  </si>
  <si>
    <t>2025-06-13</t>
  </si>
  <si>
    <t>2026-08-12</t>
  </si>
  <si>
    <t>Brooks, Byron</t>
  </si>
  <si>
    <t>Weber, Austin</t>
  </si>
  <si>
    <t>2026-04-28</t>
  </si>
  <si>
    <t>2027-04-27</t>
  </si>
  <si>
    <t>US Air Force</t>
  </si>
  <si>
    <t>Montoya, Jorge</t>
  </si>
  <si>
    <t>2026-04-21</t>
  </si>
  <si>
    <t>2027-06-20</t>
  </si>
  <si>
    <t>Gomez, Mayela</t>
  </si>
  <si>
    <t>Kireys Mobile Grooming</t>
  </si>
  <si>
    <t>2025-11-27</t>
  </si>
  <si>
    <t>2026-12-26</t>
  </si>
  <si>
    <t>2025-11-18</t>
  </si>
  <si>
    <t>2026-12-17</t>
  </si>
  <si>
    <t>Pandey, neeraj</t>
  </si>
  <si>
    <t>2025-09-05</t>
  </si>
  <si>
    <t>2026-10-04</t>
  </si>
  <si>
    <t>Corporate Apt</t>
  </si>
  <si>
    <t>Pandey, Manisha</t>
  </si>
  <si>
    <t>Full-Time Homemaker</t>
  </si>
  <si>
    <t>Donnelly, Travis</t>
  </si>
  <si>
    <t>2025-09-27</t>
  </si>
  <si>
    <t>2026-09-26</t>
  </si>
  <si>
    <t>Pena, Jessica</t>
  </si>
  <si>
    <t>2026-02-08</t>
  </si>
  <si>
    <t>2027-04-07</t>
  </si>
  <si>
    <t>Pena, Noe</t>
  </si>
  <si>
    <t>Prime Control</t>
  </si>
  <si>
    <t>Roms, Heather</t>
  </si>
  <si>
    <t>2025-06-03</t>
  </si>
  <si>
    <t>2026-08-02</t>
  </si>
  <si>
    <t>Medical Services</t>
  </si>
  <si>
    <t>Roms, Lilly</t>
  </si>
  <si>
    <t>Smith, Kaidence</t>
  </si>
  <si>
    <t>2025-10-12</t>
  </si>
  <si>
    <t>2026-08-11</t>
  </si>
  <si>
    <t>Gavelovskyy, Veniamin</t>
  </si>
  <si>
    <t>2025-12-04</t>
  </si>
  <si>
    <t>2026-12-03</t>
  </si>
  <si>
    <t>Performance contracting inc</t>
  </si>
  <si>
    <t>2025-12-11</t>
  </si>
  <si>
    <t>2027-01-10</t>
  </si>
  <si>
    <t>Semitech, Fine</t>
  </si>
  <si>
    <t>2025-11-04</t>
  </si>
  <si>
    <t>2026-08-03</t>
  </si>
  <si>
    <t>Patil, Vijaykumar</t>
  </si>
  <si>
    <t>2026-02-15</t>
  </si>
  <si>
    <t>2027-02-14</t>
  </si>
  <si>
    <t>Patil, Kanchan</t>
  </si>
  <si>
    <t>Martin, Christopher</t>
  </si>
  <si>
    <t>2026-06-20</t>
  </si>
  <si>
    <t>2027-06-19</t>
  </si>
  <si>
    <t>Services</t>
  </si>
  <si>
    <t>Palanisamy, Nivin Krishnan</t>
  </si>
  <si>
    <t>2025-10-20</t>
  </si>
  <si>
    <t>2026-10-19</t>
  </si>
  <si>
    <t>Jha, Ujjawal</t>
  </si>
  <si>
    <t>Heinsma, Noah</t>
  </si>
  <si>
    <t>2026-02-05</t>
  </si>
  <si>
    <t>2027-04-04</t>
  </si>
  <si>
    <t>Gordon, Mikel</t>
  </si>
  <si>
    <t>Holt, Timothy</t>
  </si>
  <si>
    <t>Hoffman structures</t>
  </si>
  <si>
    <t>Brooks, Samuel</t>
  </si>
  <si>
    <t>2026-06-22</t>
  </si>
  <si>
    <t>2027-06-21</t>
  </si>
  <si>
    <t>Oregon electric group</t>
  </si>
  <si>
    <t>Pine, Axl</t>
  </si>
  <si>
    <t>Ramesh, Sivaramakrishnan</t>
  </si>
  <si>
    <t>2026-04-01</t>
  </si>
  <si>
    <t>2026-09-30</t>
  </si>
  <si>
    <t>Micron Technology Inc.</t>
  </si>
  <si>
    <t>Venkateswaran, Vaijeyanthi</t>
  </si>
  <si>
    <t>Pinkham, Philip</t>
  </si>
  <si>
    <t>2026-02-20</t>
  </si>
  <si>
    <t>2027-04-19</t>
  </si>
  <si>
    <t>Pinkham, Julie</t>
  </si>
  <si>
    <t>Jacques, Brandon</t>
  </si>
  <si>
    <t>2026-01-05</t>
  </si>
  <si>
    <t>2027-01-04</t>
  </si>
  <si>
    <t>Acco Engineered Systems</t>
  </si>
  <si>
    <t>Services, Wolff</t>
  </si>
  <si>
    <t>2025-06-27</t>
  </si>
  <si>
    <t>2026-06-26</t>
  </si>
  <si>
    <t>Pena, Michael</t>
  </si>
  <si>
    <t>2026-06-09</t>
  </si>
  <si>
    <t>2027-06-08</t>
  </si>
  <si>
    <t>Murray company</t>
  </si>
  <si>
    <t>Todachine, Michael</t>
  </si>
  <si>
    <t>Tan, Choon Suan</t>
  </si>
  <si>
    <t>2025-03-22</t>
  </si>
  <si>
    <t>2026-05-06</t>
  </si>
  <si>
    <t>High Tech/Telcomm/Internet</t>
  </si>
  <si>
    <t>Hon, Pei Ling</t>
  </si>
  <si>
    <t>Manufacturing</t>
  </si>
  <si>
    <t>Sengupta, Aneesha</t>
  </si>
  <si>
    <t>2026-05-22</t>
  </si>
  <si>
    <t>2027-05-21</t>
  </si>
  <si>
    <t>Mandapati, Neha Lakshmi</t>
  </si>
  <si>
    <t>Bangon, Tommy</t>
  </si>
  <si>
    <t>2026-12-09</t>
  </si>
  <si>
    <t>Reddipalli, Dundi Sai Avinash</t>
  </si>
  <si>
    <t>2025-10-18</t>
  </si>
  <si>
    <t>2026-10-17</t>
  </si>
  <si>
    <t>Bala, Sai Chandra</t>
  </si>
  <si>
    <t>Penmetsa, Jaswanth Venkata</t>
  </si>
  <si>
    <t>Vatsavai, Ramya Madhunika</t>
  </si>
  <si>
    <t>Vatturi, Jyothi</t>
  </si>
  <si>
    <t>2026-04-09</t>
  </si>
  <si>
    <t>2027-04-08</t>
  </si>
  <si>
    <t>Micron technologies</t>
  </si>
  <si>
    <t>Ninganure, Rajashekhar</t>
  </si>
  <si>
    <t>Microchip</t>
  </si>
  <si>
    <t>Ooi, Phaik Khim</t>
  </si>
  <si>
    <t>2026-03-21</t>
  </si>
  <si>
    <t>2027-04-20</t>
  </si>
  <si>
    <t>Lai, Yuen Kong</t>
  </si>
  <si>
    <t>Thurairatnam, Rahul</t>
  </si>
  <si>
    <t>2025-12-15</t>
  </si>
  <si>
    <t>2026-12-14</t>
  </si>
  <si>
    <t>Notah, Isaiah</t>
  </si>
  <si>
    <t>2026-03-16</t>
  </si>
  <si>
    <t>2027-04-15</t>
  </si>
  <si>
    <t>WW STEEL ERECTORS</t>
  </si>
  <si>
    <t>Pierce, Nathan</t>
  </si>
  <si>
    <t>SME steel</t>
  </si>
  <si>
    <t>KURRI, NAGI REDDY</t>
  </si>
  <si>
    <t>2026-03-22</t>
  </si>
  <si>
    <t>2027-03-21</t>
  </si>
  <si>
    <t>Micron Technology Inc</t>
  </si>
  <si>
    <t>Krishnasamy, Yuvadarshini</t>
  </si>
  <si>
    <t>2026-04-04</t>
  </si>
  <si>
    <t>2027-04-03</t>
  </si>
  <si>
    <t>Akkaladevi, Veena Sahithi</t>
  </si>
  <si>
    <t>Kinnee, Stroud</t>
  </si>
  <si>
    <t>2026-04-11</t>
  </si>
  <si>
    <t>2027-04-10</t>
  </si>
  <si>
    <t>Kanukuntla, Pallav</t>
  </si>
  <si>
    <t>2025-10-05</t>
  </si>
  <si>
    <t>Sanapa Prabhakar, Likhita</t>
  </si>
  <si>
    <t>2026-03-28</t>
  </si>
  <si>
    <t>Avella, Marci</t>
  </si>
  <si>
    <t>2026-01-31</t>
  </si>
  <si>
    <t>2027-03-30</t>
  </si>
  <si>
    <t>St lukes</t>
  </si>
  <si>
    <t>Semmens, Eric</t>
  </si>
  <si>
    <t>Clemens sales</t>
  </si>
  <si>
    <t>Howard, Yvonne</t>
  </si>
  <si>
    <t>2025-06-15</t>
  </si>
  <si>
    <t>2026-07-14</t>
  </si>
  <si>
    <t>MATHEW, IDIKULA</t>
  </si>
  <si>
    <t>2025-12-26</t>
  </si>
  <si>
    <t>2026-12-25</t>
  </si>
  <si>
    <t>Punnapuzha James, Anu</t>
  </si>
  <si>
    <t>Vaith, Graham</t>
  </si>
  <si>
    <t>2025-10-23</t>
  </si>
  <si>
    <t>2026-10-22</t>
  </si>
  <si>
    <t>McCall, Devin</t>
  </si>
  <si>
    <t>Micron Technology, Inc.</t>
  </si>
  <si>
    <t>haim, elior</t>
  </si>
  <si>
    <t>2025-09-21</t>
  </si>
  <si>
    <t>2026-11-20</t>
  </si>
  <si>
    <t>Nakav, Israel Reuven</t>
  </si>
  <si>
    <t>Bhosale, Sharwari</t>
  </si>
  <si>
    <t>Future</t>
  </si>
  <si>
    <t>2027-07-13</t>
  </si>
  <si>
    <t>Jesenko, Ian</t>
  </si>
  <si>
    <t>2025-05-21</t>
  </si>
  <si>
    <t>Jay, Akshitaa</t>
  </si>
  <si>
    <t>Quintela, Diego</t>
  </si>
  <si>
    <t>Finance/Insurance/RealEstate</t>
  </si>
  <si>
    <t>US BANK</t>
  </si>
  <si>
    <t>Polamreddy, Venkata Sai Harshavardhan Reddy</t>
  </si>
  <si>
    <t>2026-06-15</t>
  </si>
  <si>
    <t>2027-06-14</t>
  </si>
  <si>
    <t>Inamala, Srestha</t>
  </si>
  <si>
    <t>Coronado, Jason</t>
  </si>
  <si>
    <t>2025-05-02</t>
  </si>
  <si>
    <t>2026-06-01</t>
  </si>
  <si>
    <t>SUNTEC CONCRETE</t>
  </si>
  <si>
    <t>Gerhard, Joseph</t>
  </si>
  <si>
    <t>2026-07-10</t>
  </si>
  <si>
    <t>2027-07-09</t>
  </si>
  <si>
    <t>Acco</t>
  </si>
  <si>
    <t>Rodriguez, Efrain</t>
  </si>
  <si>
    <t>Suntec concrete</t>
  </si>
  <si>
    <t>Lipoma, Terryn</t>
  </si>
  <si>
    <t>2025-07-18</t>
  </si>
  <si>
    <t>2026-07-17</t>
  </si>
  <si>
    <t>Sales</t>
  </si>
  <si>
    <t>Flores De Leon, Santiago</t>
  </si>
  <si>
    <t>Hainer, Marshall</t>
  </si>
  <si>
    <t>Ebbighausen, Tyler</t>
  </si>
  <si>
    <t>2026-01-17</t>
  </si>
  <si>
    <t>2027-03-16</t>
  </si>
  <si>
    <t>JH Kelly, LLC</t>
  </si>
  <si>
    <t>Arevalo, Juan</t>
  </si>
  <si>
    <t>2025-11-01</t>
  </si>
  <si>
    <t>2026-10-31</t>
  </si>
  <si>
    <t>RUAN TRANSPORTATION</t>
  </si>
  <si>
    <t>Govea Solares, Flor</t>
  </si>
  <si>
    <t>Galeai, Joshua</t>
  </si>
  <si>
    <t>Mata, Juan</t>
  </si>
  <si>
    <t>2025-04-16</t>
  </si>
  <si>
    <t>2026-05-15</t>
  </si>
  <si>
    <t>Mata, Juana</t>
  </si>
  <si>
    <t>Kundu, Souvik</t>
  </si>
  <si>
    <t>2025-05-20</t>
  </si>
  <si>
    <t>2026-07-19</t>
  </si>
  <si>
    <t>Som, Debapriya</t>
  </si>
  <si>
    <t>Khelukar, Samadhan</t>
  </si>
  <si>
    <t>2025-07-19</t>
  </si>
  <si>
    <t>2026-09-18</t>
  </si>
  <si>
    <t>TCS</t>
  </si>
  <si>
    <t>2026-03-15</t>
  </si>
  <si>
    <t>2027-04-14</t>
  </si>
  <si>
    <t>Ashcraft, Justin</t>
  </si>
  <si>
    <t>2025-11-12</t>
  </si>
  <si>
    <t>2027-01-11</t>
  </si>
  <si>
    <t>Ashcraft, Martianne</t>
  </si>
  <si>
    <t>2025-09-15</t>
  </si>
  <si>
    <t>2026-09-14</t>
  </si>
  <si>
    <t>Muruganandam, Monisha</t>
  </si>
  <si>
    <t>2026-06-05</t>
  </si>
  <si>
    <t>2027-06-04</t>
  </si>
  <si>
    <t>Murali, Pavvithra</t>
  </si>
  <si>
    <t>Parks, Jeff</t>
  </si>
  <si>
    <t>2026-04-30</t>
  </si>
  <si>
    <t>2027-04-29</t>
  </si>
  <si>
    <t>Plumbers and Pipe Fitting Union</t>
  </si>
  <si>
    <t>Pitner, Chris</t>
  </si>
  <si>
    <t>2026-02-13</t>
  </si>
  <si>
    <t>2027-04-12</t>
  </si>
  <si>
    <t>Performance Contracting Inc.</t>
  </si>
  <si>
    <t>Craycraft-Colby, Damien</t>
  </si>
  <si>
    <t>Noxon, Kelly</t>
  </si>
  <si>
    <t>2026-05-17</t>
  </si>
  <si>
    <t>2027-08-16</t>
  </si>
  <si>
    <t>Kershaw Sr, Joshua (J.R.)</t>
  </si>
  <si>
    <t>2025-08-14</t>
  </si>
  <si>
    <t>2026-10-13</t>
  </si>
  <si>
    <t>Hoffman Structures Inc</t>
  </si>
  <si>
    <t>Kershaw, Cassandra</t>
  </si>
  <si>
    <t>Johnson, Kalin</t>
  </si>
  <si>
    <t>2025-12-30</t>
  </si>
  <si>
    <t>2027-03-29</t>
  </si>
  <si>
    <t>Johnson, David</t>
  </si>
  <si>
    <t>Refrigeration unlimited</t>
  </si>
  <si>
    <t>Avilez Ortiz, Alex</t>
  </si>
  <si>
    <t>2026-11-14</t>
  </si>
  <si>
    <t>Pence Kelly</t>
  </si>
  <si>
    <t>Ledesma Solorzano, Maria</t>
  </si>
  <si>
    <t>Price, Joshua</t>
  </si>
  <si>
    <t>2026-01-12</t>
  </si>
  <si>
    <t>2027-03-11</t>
  </si>
  <si>
    <t>Price, Phoebe</t>
  </si>
  <si>
    <t>Bosgal, Dominick</t>
  </si>
  <si>
    <t>2025-07-01</t>
  </si>
  <si>
    <t>2026-08-31</t>
  </si>
  <si>
    <t>Irizarry Santana, Victor</t>
  </si>
  <si>
    <t>2026-11-26</t>
  </si>
  <si>
    <t>Tcs</t>
  </si>
  <si>
    <t>Irizarry, Victor</t>
  </si>
  <si>
    <t>Kauffeld, Cristina</t>
  </si>
  <si>
    <t>2025-06-20</t>
  </si>
  <si>
    <t>2026-08-19</t>
  </si>
  <si>
    <t>Education</t>
  </si>
  <si>
    <t>West ada school district</t>
  </si>
  <si>
    <t>Rood, Randall</t>
  </si>
  <si>
    <t>Challenger Companies Inc</t>
  </si>
  <si>
    <t>Inskeep, Monte</t>
  </si>
  <si>
    <t>2025-05-06</t>
  </si>
  <si>
    <t>2026-07-09</t>
  </si>
  <si>
    <t>SME</t>
  </si>
  <si>
    <t>Phadke, Omkar</t>
  </si>
  <si>
    <t>2027-07-16</t>
  </si>
  <si>
    <t>Jacobson, Trent</t>
  </si>
  <si>
    <t>SME Steel</t>
  </si>
  <si>
    <t>Min, Seongcheol</t>
  </si>
  <si>
    <t>2026-04-15</t>
  </si>
  <si>
    <t>Tokyo Electron America</t>
  </si>
  <si>
    <t>2026-04-23</t>
  </si>
  <si>
    <t>2027-05-22</t>
  </si>
  <si>
    <t>Walker, Scott</t>
  </si>
  <si>
    <t>2026-03-25</t>
  </si>
  <si>
    <t>2027-05-24</t>
  </si>
  <si>
    <t>OEG electric</t>
  </si>
  <si>
    <t>Hentges, Traci</t>
  </si>
  <si>
    <t>2025-06-11</t>
  </si>
  <si>
    <t>2026-08-10</t>
  </si>
  <si>
    <t>POWER Engineers Inc</t>
  </si>
  <si>
    <t>Hentges, George</t>
  </si>
  <si>
    <t>Parkins, Alec</t>
  </si>
  <si>
    <t>2025-08-29</t>
  </si>
  <si>
    <t>2026-10-28</t>
  </si>
  <si>
    <t>2026-05-09</t>
  </si>
  <si>
    <t>2027-05-08</t>
  </si>
  <si>
    <t>Dutta, Chitradeep</t>
  </si>
  <si>
    <t>2025-08-25</t>
  </si>
  <si>
    <t>2026-10-24</t>
  </si>
  <si>
    <t>Bishal, Sumana</t>
  </si>
  <si>
    <t>Jasso, Victor</t>
  </si>
  <si>
    <t>2025-06-25</t>
  </si>
  <si>
    <t>2026-08-24</t>
  </si>
  <si>
    <t>Jayaprakash, Tanmayi</t>
  </si>
  <si>
    <t>2025-07-26</t>
  </si>
  <si>
    <t>2026-09-25</t>
  </si>
  <si>
    <t>Vasireddy, Kamala Vennela</t>
  </si>
  <si>
    <t>Micron Technologies Inc.</t>
  </si>
  <si>
    <t>Powali, Indrashis</t>
  </si>
  <si>
    <t>2025-08-01</t>
  </si>
  <si>
    <t>Mhatre, Prathamesh</t>
  </si>
  <si>
    <t>Abu Odeh, Ibrahem</t>
  </si>
  <si>
    <t>2025-04-29</t>
  </si>
  <si>
    <t>2026-06-28</t>
  </si>
  <si>
    <t>Intel</t>
  </si>
  <si>
    <t>Lozada, Maria</t>
  </si>
  <si>
    <t>2026-07-05</t>
  </si>
  <si>
    <t>2027-07-04</t>
  </si>
  <si>
    <t>Frazier, Abigail</t>
  </si>
  <si>
    <t>Boise Independent School District</t>
  </si>
  <si>
    <t>2026-06-10</t>
  </si>
  <si>
    <t>2027-06-09</t>
  </si>
  <si>
    <t>Urrutia, Alisha</t>
  </si>
  <si>
    <t>2026-05-25</t>
  </si>
  <si>
    <t>2027-06-24</t>
  </si>
  <si>
    <t>Miller, Ryan</t>
  </si>
  <si>
    <t>Renapurkar, Chaitanya</t>
  </si>
  <si>
    <t>2025-06-28</t>
  </si>
  <si>
    <t>2026-06-27</t>
  </si>
  <si>
    <t>Patankar, Sushant</t>
  </si>
  <si>
    <t>Barger, Talon</t>
  </si>
  <si>
    <t>Barger, Elizabeth</t>
  </si>
  <si>
    <t>Edwards, Kevia</t>
  </si>
  <si>
    <t>Contractors INC, SME Steel</t>
  </si>
  <si>
    <t>Villagran, Eric</t>
  </si>
  <si>
    <t>Sisco, Kevin</t>
  </si>
  <si>
    <t>2026-03-07</t>
  </si>
  <si>
    <t>2027-03-06</t>
  </si>
  <si>
    <t>Sisco, Aiden</t>
  </si>
  <si>
    <t>Performance Contracting, Inc.</t>
  </si>
  <si>
    <t>Camacho, Marta</t>
  </si>
  <si>
    <t>2026-07-13</t>
  </si>
  <si>
    <t>2027-07-12</t>
  </si>
  <si>
    <t>Matheny, Jada</t>
  </si>
  <si>
    <t>2025-07-07</t>
  </si>
  <si>
    <t>2026-07-06</t>
  </si>
  <si>
    <t>Andrews, Trey</t>
  </si>
  <si>
    <t>Cassinelli, Marquette</t>
  </si>
  <si>
    <t>Retail/Wholesale Trade</t>
  </si>
  <si>
    <t>Bohme</t>
  </si>
  <si>
    <t>Cook, Megan</t>
  </si>
  <si>
    <t>Bagade, Sujeet</t>
  </si>
  <si>
    <t>2025-05-18</t>
  </si>
  <si>
    <t>Jackson, Jamie</t>
  </si>
  <si>
    <t>2025-05-16</t>
  </si>
  <si>
    <t>2026-07-15</t>
  </si>
  <si>
    <t>Jackson, Benton</t>
  </si>
  <si>
    <t>2025-04-24</t>
  </si>
  <si>
    <t>2026-10-23</t>
  </si>
  <si>
    <t>Laramore, Cherylan</t>
  </si>
  <si>
    <t>2025-12-06</t>
  </si>
  <si>
    <t>2027-03-05</t>
  </si>
  <si>
    <t>Koehler Grover, Karla</t>
  </si>
  <si>
    <t>Taylor, Laura</t>
  </si>
  <si>
    <t>2025-07-06</t>
  </si>
  <si>
    <t>Grover, Jeremy</t>
  </si>
  <si>
    <t>Harder Mechanical</t>
  </si>
  <si>
    <t>Salyers, Joshua</t>
  </si>
  <si>
    <t>2025-06-30</t>
  </si>
  <si>
    <t>2026-08-29</t>
  </si>
  <si>
    <t>Kokusai Semiconductor Equipment Corp</t>
  </si>
  <si>
    <t>Scanson, Brianna</t>
  </si>
  <si>
    <t>2025-04-08</t>
  </si>
  <si>
    <t>2026-08-07</t>
  </si>
  <si>
    <t>Otto, Natalie</t>
  </si>
  <si>
    <t>LIN, CHIH-YU</t>
  </si>
  <si>
    <t>2026-09-06</t>
  </si>
  <si>
    <t>MICRON</t>
  </si>
  <si>
    <t>Zhang, Yurou</t>
  </si>
  <si>
    <t>Singh, Komal</t>
  </si>
  <si>
    <t>2026-04-27</t>
  </si>
  <si>
    <t>2027-06-26</t>
  </si>
  <si>
    <t>Suresh, Suraj</t>
  </si>
  <si>
    <t>Nordsieck, Craig</t>
  </si>
  <si>
    <t>2025-07-08</t>
  </si>
  <si>
    <t>2026-09-07</t>
  </si>
  <si>
    <t>BE Semiconductor Industries Inc.</t>
  </si>
  <si>
    <t>Yeola, Pranav</t>
  </si>
  <si>
    <t>2025-06-23</t>
  </si>
  <si>
    <t>2026-08-22</t>
  </si>
  <si>
    <t>Velusamy, Naveen Kumar</t>
  </si>
  <si>
    <t>Yazzie, Hector</t>
  </si>
  <si>
    <t>2025-11-30</t>
  </si>
  <si>
    <t>2027-02-28</t>
  </si>
  <si>
    <t>BrandSafway inc</t>
  </si>
  <si>
    <t>Crabtree, Joshua</t>
  </si>
  <si>
    <t>Harvey, Yaru</t>
  </si>
  <si>
    <t>2027-06-30</t>
  </si>
  <si>
    <t>Smith, Leroy</t>
  </si>
  <si>
    <t>2026-02-19</t>
  </si>
  <si>
    <t>2027-04-18</t>
  </si>
  <si>
    <t>Phoenix Industrial Inc</t>
  </si>
  <si>
    <t>diaz, natalia</t>
  </si>
  <si>
    <t>2025-08-13</t>
  </si>
  <si>
    <t>LC LOGISTICS LLC</t>
  </si>
  <si>
    <t>Alvarez, William</t>
  </si>
  <si>
    <t>Ladi, Sriraj</t>
  </si>
  <si>
    <t>2025-10-04</t>
  </si>
  <si>
    <t>2026-11-03</t>
  </si>
  <si>
    <t>Naik, Nishant Sanjeev</t>
  </si>
  <si>
    <t>Mechanical LLC, Sprint (Billy Martin)</t>
  </si>
  <si>
    <t>2025-09-01</t>
  </si>
  <si>
    <t>Shrimali, Bhavesh</t>
  </si>
  <si>
    <t>2026-05-19</t>
  </si>
  <si>
    <t>2027-05-18</t>
  </si>
  <si>
    <t>Kimberly Clark</t>
  </si>
  <si>
    <t>Stocker, Michael</t>
  </si>
  <si>
    <t>2025-09-26</t>
  </si>
  <si>
    <t>Armitage, Allie</t>
  </si>
  <si>
    <t>Providence Medical Group - Sherwood Immediate Care</t>
  </si>
  <si>
    <t>Stovall, Michelle</t>
  </si>
  <si>
    <t>2026-05-28</t>
  </si>
  <si>
    <t>2027-05-27</t>
  </si>
  <si>
    <t>Stovall, Allison</t>
  </si>
  <si>
    <t>Stovall, Madison</t>
  </si>
  <si>
    <t>Stovall, Megan</t>
  </si>
  <si>
    <t>CANTASDEMIR, MEHMET</t>
  </si>
  <si>
    <t>2026-02-27</t>
  </si>
  <si>
    <t>2027-04-26</t>
  </si>
  <si>
    <t>Posso Ramirez, Diana</t>
  </si>
  <si>
    <t>Hodess cleanroom construction</t>
  </si>
  <si>
    <t>Prasad, Ram</t>
  </si>
  <si>
    <t>OEG Electric</t>
  </si>
  <si>
    <t>Bernal Renteria, Roberto</t>
  </si>
  <si>
    <t>OEG inc</t>
  </si>
  <si>
    <t>Ogata, Tomoya</t>
  </si>
  <si>
    <t>Ebara technologies, inc.</t>
  </si>
  <si>
    <t>Ogata, Risa</t>
  </si>
  <si>
    <t>Kar, Soumya</t>
  </si>
  <si>
    <t>2026-05-23</t>
  </si>
  <si>
    <t>Mallick, Sayanti</t>
  </si>
  <si>
    <t>Naylor, Joshua</t>
  </si>
  <si>
    <t>2025-07-25</t>
  </si>
  <si>
    <t>2026-09-24</t>
  </si>
  <si>
    <t>Rane, Sagar</t>
  </si>
  <si>
    <t>2026-04-16</t>
  </si>
  <si>
    <t>Yardi Systems Inc</t>
  </si>
  <si>
    <t>Paasch, Cameron</t>
  </si>
  <si>
    <t>2025-09-24</t>
  </si>
  <si>
    <t>2026-11-23</t>
  </si>
  <si>
    <t>Pokharkar, Shubham Milind</t>
  </si>
  <si>
    <t>2025-07-31</t>
  </si>
  <si>
    <t>Viatechnik LLC</t>
  </si>
  <si>
    <t>Bahirat, Archit</t>
  </si>
  <si>
    <t>Booth, Brian</t>
  </si>
  <si>
    <t>IBW Local 291</t>
  </si>
  <si>
    <t>McElderry, Jay</t>
  </si>
  <si>
    <t>Ganzallo, Foluke</t>
  </si>
  <si>
    <t>2025-06-12</t>
  </si>
  <si>
    <t>Attipoe, Wisdom</t>
  </si>
  <si>
    <t>Dunn, Matthew</t>
  </si>
  <si>
    <t>2027-05-02</t>
  </si>
  <si>
    <t>Walden, Jared</t>
  </si>
  <si>
    <t>Sharma, Rohit</t>
  </si>
  <si>
    <t>Tiwari, Khushboo</t>
  </si>
  <si>
    <t>LIN, CHIA-HSUAN</t>
  </si>
  <si>
    <t>Sohn, Min Kyu</t>
  </si>
  <si>
    <t>2026-07-07</t>
  </si>
  <si>
    <t>2027-10-06</t>
  </si>
  <si>
    <t>Chien, Chun Wei</t>
  </si>
  <si>
    <t>Sung, Hyunah</t>
  </si>
  <si>
    <t>2026-06-16</t>
  </si>
  <si>
    <t>2027-07-15</t>
  </si>
  <si>
    <t>Yadav, Vivek</t>
  </si>
  <si>
    <t>2025-07-11</t>
  </si>
  <si>
    <t>2026-09-10</t>
  </si>
  <si>
    <t>Singh, Vastavikta</t>
  </si>
  <si>
    <t>Shah, Smith Kenedy</t>
  </si>
  <si>
    <t>JANGID, MANASVI</t>
  </si>
  <si>
    <t>Putney, Patrick</t>
  </si>
  <si>
    <t>Putney, Sarah</t>
  </si>
  <si>
    <t>Stoddard, Shane</t>
  </si>
  <si>
    <t>2025-09-12</t>
  </si>
  <si>
    <t>2026-11-11</t>
  </si>
  <si>
    <t>Government (Non-military)</t>
  </si>
  <si>
    <t>Currie &amp; brown</t>
  </si>
  <si>
    <t>Shelton, Treonnie</t>
  </si>
  <si>
    <t>2026-05-01</t>
  </si>
  <si>
    <t>2027-03-31</t>
  </si>
  <si>
    <t>Gonzalez Silva, Leobardo</t>
  </si>
  <si>
    <t>Ulrich, Sayge</t>
  </si>
  <si>
    <t>2025-09-06</t>
  </si>
  <si>
    <t>2026-11-05</t>
  </si>
  <si>
    <t>Antrim, Brooklyn</t>
  </si>
  <si>
    <t>2026-05-05</t>
  </si>
  <si>
    <t>2027-05-04</t>
  </si>
  <si>
    <t>Martinez Pelayo, Jorge</t>
  </si>
  <si>
    <t>Robertson, Vaughsha</t>
  </si>
  <si>
    <t>2026-06-13</t>
  </si>
  <si>
    <t>2027-06-12</t>
  </si>
  <si>
    <t>Williams, Dominique</t>
  </si>
  <si>
    <t>Lee, Mary</t>
  </si>
  <si>
    <t>2025-05-29</t>
  </si>
  <si>
    <t>Tomar, Indrajeet Singh Mansingh</t>
  </si>
  <si>
    <t>2025-07-05</t>
  </si>
  <si>
    <t>2026-09-04</t>
  </si>
  <si>
    <t>Chauhan, Madhuri</t>
  </si>
  <si>
    <t>Sanchez, Sam</t>
  </si>
  <si>
    <t>2026-08-14</t>
  </si>
  <si>
    <t>Sanchez, Mary</t>
  </si>
  <si>
    <t>Letarza, Juan</t>
  </si>
  <si>
    <t>2025-11-16</t>
  </si>
  <si>
    <t>2027-01-15</t>
  </si>
  <si>
    <t>Profrac</t>
  </si>
  <si>
    <t>Baumann, Cody</t>
  </si>
  <si>
    <t>2025-12-20</t>
  </si>
  <si>
    <t>2027-03-19</t>
  </si>
  <si>
    <t>Castaneda, Angel</t>
  </si>
  <si>
    <t>2025-11-21</t>
  </si>
  <si>
    <t>2027-02-20</t>
  </si>
  <si>
    <t>Lori, Jordan</t>
  </si>
  <si>
    <t>2025-05-27</t>
  </si>
  <si>
    <t>2026-07-26</t>
  </si>
  <si>
    <t>Food-Services Industries</t>
  </si>
  <si>
    <t>Elmer's Restraunt</t>
  </si>
  <si>
    <t>Hayden, Justin</t>
  </si>
  <si>
    <t>2026-05-20</t>
  </si>
  <si>
    <t>2027-05-19</t>
  </si>
  <si>
    <t>Zavare, Om Amar</t>
  </si>
  <si>
    <t>2027-05-31</t>
  </si>
  <si>
    <t>Sanghvi, Aarnav</t>
  </si>
  <si>
    <t>Billy, Shawn</t>
  </si>
  <si>
    <t>2025-06-07</t>
  </si>
  <si>
    <t>2026-08-06</t>
  </si>
  <si>
    <t>Vellathottam, Rohan</t>
  </si>
  <si>
    <t>Brown, Hayden</t>
  </si>
  <si>
    <t>Fritz, Abby</t>
  </si>
  <si>
    <t>Chen, Yen-Liang</t>
  </si>
  <si>
    <t>2025-09-16</t>
  </si>
  <si>
    <t>2026-11-15</t>
  </si>
  <si>
    <t>Chen, Ming Ming</t>
  </si>
  <si>
    <t>Thompson, Joseph</t>
  </si>
  <si>
    <t>2026-07-29</t>
  </si>
  <si>
    <t>Sengsourinho, Pete</t>
  </si>
  <si>
    <t>2025-06-18</t>
  </si>
  <si>
    <t>2026-08-17</t>
  </si>
  <si>
    <t>Devulapally, Snigdhaamrutha</t>
  </si>
  <si>
    <t>2027-08-09</t>
  </si>
  <si>
    <t>Kim, Joonha</t>
  </si>
  <si>
    <t>2025-06-14</t>
  </si>
  <si>
    <t>Johnson, Willie</t>
  </si>
  <si>
    <t>Jake True</t>
  </si>
  <si>
    <t>Lovato, Kayley</t>
  </si>
  <si>
    <t>Lovato Jr, Rudy</t>
  </si>
  <si>
    <t>Ramrakhyani, Rishi</t>
  </si>
  <si>
    <t>Deo, Atharv Sachin (Atharv)</t>
  </si>
  <si>
    <t>Surve, Ravina</t>
  </si>
  <si>
    <t>HP Inc</t>
  </si>
  <si>
    <t>Pavagada Matha, Varun</t>
  </si>
  <si>
    <t>kadlepla mata, spandana vishwanath</t>
  </si>
  <si>
    <t>Ruiz Amador, Dolly Natalia</t>
  </si>
  <si>
    <t>Sun, Fei</t>
  </si>
  <si>
    <t>2025-06-19</t>
  </si>
  <si>
    <t>2026-07-18</t>
  </si>
  <si>
    <t>Solis, Carlos</t>
  </si>
  <si>
    <t>Solis, Gabriela</t>
  </si>
  <si>
    <t>Bashale, Charlotte</t>
  </si>
  <si>
    <t>2025-05-24</t>
  </si>
  <si>
    <t>2026-07-23</t>
  </si>
  <si>
    <t>Raya, Eliza</t>
  </si>
  <si>
    <t>2026-08-13</t>
  </si>
  <si>
    <t>Konvalin, Harold</t>
  </si>
  <si>
    <t>Hussain, Md Shamim</t>
  </si>
  <si>
    <t>2026-08-01</t>
  </si>
  <si>
    <t>2027-07-31</t>
  </si>
  <si>
    <t>Janckila, Gabe (Gabriel Janckila)</t>
  </si>
  <si>
    <t>2025-05-19</t>
  </si>
  <si>
    <t>Rahman, Sanzida</t>
  </si>
  <si>
    <t>Wallace, Madison</t>
  </si>
  <si>
    <t>Quality arts</t>
  </si>
  <si>
    <t>Holden, Cory</t>
  </si>
  <si>
    <t>2025-05-03</t>
  </si>
  <si>
    <t>2026-07-02</t>
  </si>
  <si>
    <t>Flynn BEC</t>
  </si>
  <si>
    <t>Castillo, Jerdane</t>
  </si>
  <si>
    <t>Shambaugh and son</t>
  </si>
  <si>
    <t>Hammond, Codie</t>
  </si>
  <si>
    <t>Dittamore, Aaron</t>
  </si>
  <si>
    <t>Hoffman Structures</t>
  </si>
  <si>
    <t>Jiang, Hanyu</t>
  </si>
  <si>
    <t>Tokyo Electron</t>
  </si>
  <si>
    <t>Wang, Biyu</t>
  </si>
  <si>
    <t>Echternkamp, Kenny</t>
  </si>
  <si>
    <t>Barry, Shawn</t>
  </si>
  <si>
    <t>2026-01-02</t>
  </si>
  <si>
    <t>2027-03-01</t>
  </si>
  <si>
    <t>Freestone, Thomas</t>
  </si>
  <si>
    <t>2027-05-14</t>
  </si>
  <si>
    <t>Trivent</t>
  </si>
  <si>
    <t>Montgomery, Allison</t>
  </si>
  <si>
    <t>2026-07-01</t>
  </si>
  <si>
    <t>Fisher, Skylar</t>
  </si>
  <si>
    <t>Montgomery, Dominick</t>
  </si>
  <si>
    <t>Tan, Spencer</t>
  </si>
  <si>
    <t>2025-08-15</t>
  </si>
  <si>
    <t>Kan, Shiau Fen</t>
  </si>
  <si>
    <t>rowe, Eric</t>
  </si>
  <si>
    <t>Yabut, Althea</t>
  </si>
  <si>
    <t>2026-01-10</t>
  </si>
  <si>
    <t>2027-04-09</t>
  </si>
  <si>
    <t>Ristick, Paul</t>
  </si>
  <si>
    <t>2025-11-19</t>
  </si>
  <si>
    <t>2027-02-18</t>
  </si>
  <si>
    <t>Alex marks</t>
  </si>
  <si>
    <t>Rajiv, Navneeth</t>
  </si>
  <si>
    <t>2026-01-30</t>
  </si>
  <si>
    <t>Surabhi, Prabhav</t>
  </si>
  <si>
    <t>3D Glass Solution Inc.</t>
  </si>
  <si>
    <t>Muralidharan, Aditya</t>
  </si>
  <si>
    <t>2025-09-28</t>
  </si>
  <si>
    <t>2026-09-27</t>
  </si>
  <si>
    <t>kuo, chenghsuan</t>
  </si>
  <si>
    <t>Schmidt, Mark</t>
  </si>
  <si>
    <t>2026-05-12</t>
  </si>
  <si>
    <t>2027-05-11</t>
  </si>
  <si>
    <t>Justis, Tim</t>
  </si>
  <si>
    <t>Mpalang, Michael</t>
  </si>
  <si>
    <t>2025-08-21</t>
  </si>
  <si>
    <t>2026-09-20</t>
  </si>
  <si>
    <t>Hoffman structures inc.</t>
  </si>
  <si>
    <t>Tilmat, Adrian</t>
  </si>
  <si>
    <t>Sean snipe</t>
  </si>
  <si>
    <t>Adamson, Savino</t>
  </si>
  <si>
    <t>Edwin, Katianna</t>
  </si>
  <si>
    <t>Lieb, Connor</t>
  </si>
  <si>
    <t>2025-10-09</t>
  </si>
  <si>
    <t>2026-12-08</t>
  </si>
  <si>
    <t>DOD</t>
  </si>
  <si>
    <t>Rodriguez, Jorge</t>
  </si>
  <si>
    <t>2026-09-11</t>
  </si>
  <si>
    <t>Phoenix Industry</t>
  </si>
  <si>
    <t>Perez, Neima</t>
  </si>
  <si>
    <t>Donadio, Andrew</t>
  </si>
  <si>
    <t>2025-10-31</t>
  </si>
  <si>
    <t>2027-01-30</t>
  </si>
  <si>
    <t>LIU, KEN</t>
  </si>
  <si>
    <t>2025-11-15</t>
  </si>
  <si>
    <t>HSU, SHANSHAN</t>
  </si>
  <si>
    <t>Pratt, Owen</t>
  </si>
  <si>
    <t>2026-12-16</t>
  </si>
  <si>
    <t>Davis, Emmylee</t>
  </si>
  <si>
    <t>Sahoo, Krutikesh</t>
  </si>
  <si>
    <t>2026-08-28</t>
  </si>
  <si>
    <t>Darak, Aarya</t>
  </si>
  <si>
    <t>2025-11-11</t>
  </si>
  <si>
    <t>INTEL CORPORATION</t>
  </si>
  <si>
    <t>Sabbineni, Anuja Sree</t>
  </si>
  <si>
    <t>Bansode, Vaibhav</t>
  </si>
  <si>
    <t>2025-10-11</t>
  </si>
  <si>
    <t>2026-12-10</t>
  </si>
  <si>
    <t>Hanchate, Mayura</t>
  </si>
  <si>
    <t>Kindy, David</t>
  </si>
  <si>
    <t>2025-10-29</t>
  </si>
  <si>
    <t>2026-12-28</t>
  </si>
  <si>
    <t>Giambattista, Kurtis</t>
  </si>
  <si>
    <t>2027-06-15</t>
  </si>
  <si>
    <t>Robins, Landon</t>
  </si>
  <si>
    <t>Jh kelly</t>
  </si>
  <si>
    <t>Loen, Jeffrey</t>
  </si>
  <si>
    <t>2025-10-10</t>
  </si>
  <si>
    <t>2026-10-09</t>
  </si>
  <si>
    <t>Moreno, Gabriel</t>
  </si>
  <si>
    <t>2025-10-15</t>
  </si>
  <si>
    <t>2026-10-14</t>
  </si>
  <si>
    <t>Spillers, Billy</t>
  </si>
  <si>
    <t>Tcs construction</t>
  </si>
  <si>
    <t>Yerabati, Anjali</t>
  </si>
  <si>
    <t>2027-05-16</t>
  </si>
  <si>
    <t>Gowda, Vedika Bhanu</t>
  </si>
  <si>
    <t>Rodin, Cole</t>
  </si>
  <si>
    <t>2025-11-20</t>
  </si>
  <si>
    <t>2027-02-19</t>
  </si>
  <si>
    <t>Edmunds, Lindsey</t>
  </si>
  <si>
    <t>lively, abigail</t>
  </si>
  <si>
    <t>Zufelt, Ireland</t>
  </si>
  <si>
    <t>2025-10-01</t>
  </si>
  <si>
    <t>Brusseau, Samuel</t>
  </si>
  <si>
    <t>Auerbach, Alexander</t>
  </si>
  <si>
    <t>2026-09-23</t>
  </si>
  <si>
    <t>Brubaker, Kurtis</t>
  </si>
  <si>
    <t>2027-03-09</t>
  </si>
  <si>
    <t>Gurrala, Praveen</t>
  </si>
  <si>
    <t>2025-09-18</t>
  </si>
  <si>
    <t>2026-11-17</t>
  </si>
  <si>
    <t>Murray, Collin</t>
  </si>
  <si>
    <t>2025-12-23</t>
  </si>
  <si>
    <t>Performance Contracting, Inc</t>
  </si>
  <si>
    <t>Ross-Rutter, Elijah</t>
  </si>
  <si>
    <t>Peters, Anna</t>
  </si>
  <si>
    <t>2025-09-07</t>
  </si>
  <si>
    <t>2026-10-06</t>
  </si>
  <si>
    <t>Mead, Emily</t>
  </si>
  <si>
    <t>Butcher, Chad</t>
  </si>
  <si>
    <t>2027-11-18</t>
  </si>
  <si>
    <t>Butcher, Amanda</t>
  </si>
  <si>
    <t>Wang, Chunguang</t>
  </si>
  <si>
    <t>2026-01-23</t>
  </si>
  <si>
    <t>2027-03-22</t>
  </si>
  <si>
    <t>Chafin, Bryce</t>
  </si>
  <si>
    <t>2025-09-13</t>
  </si>
  <si>
    <t>2026-11-12</t>
  </si>
  <si>
    <t>Challenger companies</t>
  </si>
  <si>
    <t>Hall, Jordan</t>
  </si>
  <si>
    <t>Cheeley, Rebecca</t>
  </si>
  <si>
    <t>2025-12-19</t>
  </si>
  <si>
    <t>2027-03-18</t>
  </si>
  <si>
    <t>Sanchez, Marco</t>
  </si>
  <si>
    <t>Rai, Gaurav</t>
  </si>
  <si>
    <t>Phadke, Pooja</t>
  </si>
  <si>
    <t>Rico, Soi</t>
  </si>
  <si>
    <t>Mourant, Andrew</t>
  </si>
  <si>
    <t>Sabol, James</t>
  </si>
  <si>
    <t>Dennis Dillon kia</t>
  </si>
  <si>
    <t>Cobb, Ky'Noah</t>
  </si>
  <si>
    <t>Gunfighter Fitness Center</t>
  </si>
  <si>
    <t>Fulbright, Nickalus</t>
  </si>
  <si>
    <t>Wiley, Cash</t>
  </si>
  <si>
    <t>Wiley inc</t>
  </si>
  <si>
    <t>Robinson, Jasper</t>
  </si>
  <si>
    <t>2025-09-11</t>
  </si>
  <si>
    <t>2026-11-10</t>
  </si>
  <si>
    <t>TEWS CONSTRUCTION</t>
  </si>
  <si>
    <t>Someya, Kohki</t>
  </si>
  <si>
    <t>2025-09-19</t>
  </si>
  <si>
    <t>2026-11-18</t>
  </si>
  <si>
    <t>Someya, Takanori</t>
  </si>
  <si>
    <t>Hoffman construction</t>
  </si>
  <si>
    <t>Palmerio, Nathan</t>
  </si>
  <si>
    <t>2025-08-30</t>
  </si>
  <si>
    <t>2026-10-29</t>
  </si>
  <si>
    <t>Palmerio, Leonie</t>
  </si>
  <si>
    <t>Tullie, Ericson</t>
  </si>
  <si>
    <t>Mas tec - phoenix industrial</t>
  </si>
  <si>
    <t>Redshirt-Nez, Rydell</t>
  </si>
  <si>
    <t>Johnson, Devon</t>
  </si>
  <si>
    <t>2025-12-29</t>
  </si>
  <si>
    <t>2027-04-28</t>
  </si>
  <si>
    <t>Nelson, Nicholas</t>
  </si>
  <si>
    <t>2027-01-31</t>
  </si>
  <si>
    <t>Schafer, vance</t>
  </si>
  <si>
    <t>OEG Inc</t>
  </si>
  <si>
    <t>Harris, Paul</t>
  </si>
  <si>
    <t>Bhatnagar, Shefali</t>
  </si>
  <si>
    <t>2027-03-28</t>
  </si>
  <si>
    <t>Srimanthula, Sai Ragini</t>
  </si>
  <si>
    <t>Perez, Hugo</t>
  </si>
  <si>
    <t>2026-01-06</t>
  </si>
  <si>
    <t>Perez, Melany</t>
  </si>
  <si>
    <t>Pappas, Tucker</t>
  </si>
  <si>
    <t>2025-11-22</t>
  </si>
  <si>
    <t>2027-02-21</t>
  </si>
  <si>
    <t>Niccum, Daniel</t>
  </si>
  <si>
    <t>Weber, Daniel</t>
  </si>
  <si>
    <t>2025-11-26</t>
  </si>
  <si>
    <t>2027-02-25</t>
  </si>
  <si>
    <t>Graham, Taryn</t>
  </si>
  <si>
    <t>Thornton, Danielle</t>
  </si>
  <si>
    <t>2026-02-12</t>
  </si>
  <si>
    <t>2027-04-11</t>
  </si>
  <si>
    <t>Jones, Michael</t>
  </si>
  <si>
    <t>Kamal Batcha, Mohamed Saadat</t>
  </si>
  <si>
    <t>Kolli, Sesha Sai Hemanth</t>
  </si>
  <si>
    <t>Marker, Shelby</t>
  </si>
  <si>
    <t>2025-09-10</t>
  </si>
  <si>
    <t>2026-11-09</t>
  </si>
  <si>
    <t>Johnson, Jenna</t>
  </si>
  <si>
    <t>Pennant Services - Barber Station Assisted Living</t>
  </si>
  <si>
    <t>Linville, Kirklan</t>
  </si>
  <si>
    <t>2026-02-09</t>
  </si>
  <si>
    <t>2027-03-08</t>
  </si>
  <si>
    <t>Blake, Byron</t>
  </si>
  <si>
    <t>2025-08-19</t>
  </si>
  <si>
    <t>2026-10-18</t>
  </si>
  <si>
    <t>HSU, LIJEN</t>
  </si>
  <si>
    <t>Leon, Max</t>
  </si>
  <si>
    <t>Sanchez, Yazmin</t>
  </si>
  <si>
    <t>Herrmann, Sandy</t>
  </si>
  <si>
    <t>2025-10-07</t>
  </si>
  <si>
    <t>2026-12-06</t>
  </si>
  <si>
    <t>Robert Gibb and Sons</t>
  </si>
  <si>
    <t>Menges, Brian</t>
  </si>
  <si>
    <t>JH Kelley</t>
  </si>
  <si>
    <t>Mattson, Tucker</t>
  </si>
  <si>
    <t>2025-09-04</t>
  </si>
  <si>
    <t>TCS, LLC</t>
  </si>
  <si>
    <t>Stanley, Olivia</t>
  </si>
  <si>
    <t>Galofaro, Vincent</t>
  </si>
  <si>
    <t>2027-04-16</t>
  </si>
  <si>
    <t>byers, sofia</t>
  </si>
  <si>
    <t>Gividen, Nicholas</t>
  </si>
  <si>
    <t>Mansoor, Abdul</t>
  </si>
  <si>
    <t>2026-02-14</t>
  </si>
  <si>
    <t>2027-03-14</t>
  </si>
  <si>
    <t>Omari, Saman</t>
  </si>
  <si>
    <t>Bauman, Kendall</t>
  </si>
  <si>
    <t>Bauman, Lauren</t>
  </si>
  <si>
    <t>Villarreal, Emily</t>
  </si>
  <si>
    <t>2025-08-16</t>
  </si>
  <si>
    <t>2026-10-15</t>
  </si>
  <si>
    <t>Costco</t>
  </si>
  <si>
    <t>Islas, Armando</t>
  </si>
  <si>
    <t>Ymc mechanical</t>
  </si>
  <si>
    <t>Laramore, Niamiah</t>
  </si>
  <si>
    <t>2025-12-12</t>
  </si>
  <si>
    <t>Hoffman Structures In</t>
  </si>
  <si>
    <t>Brookshier, Will</t>
  </si>
  <si>
    <t>EC Electric</t>
  </si>
  <si>
    <t>Terrell, Natalie</t>
  </si>
  <si>
    <t>2025-10-30</t>
  </si>
  <si>
    <t>2026-12-29</t>
  </si>
  <si>
    <t>Terrell, Timothy</t>
  </si>
  <si>
    <t>Maxim crane works</t>
  </si>
  <si>
    <t>Melendez, Alejandro</t>
  </si>
  <si>
    <t>Villatoro, Jimena</t>
  </si>
  <si>
    <t>lu, sih-ting</t>
  </si>
  <si>
    <t>2027-01-19</t>
  </si>
  <si>
    <t>HAWKINS, JACOB</t>
  </si>
  <si>
    <t>2025-11-29</t>
  </si>
  <si>
    <t>Joeckel, Jason</t>
  </si>
  <si>
    <t>2025-12-03</t>
  </si>
  <si>
    <t>2027-02-02</t>
  </si>
  <si>
    <t>Hoffman Structures Inc.</t>
  </si>
  <si>
    <t>Miller, Tim</t>
  </si>
  <si>
    <t>2026-01-15</t>
  </si>
  <si>
    <t>2027-01-14</t>
  </si>
  <si>
    <t>Giraldi, Alessandro</t>
  </si>
  <si>
    <t>Apollo Mechanical</t>
  </si>
  <si>
    <t>Orlaske, Ryan</t>
  </si>
  <si>
    <t>2025-11-14</t>
  </si>
  <si>
    <t>2027-01-13</t>
  </si>
  <si>
    <t>Orlaske, Melinda</t>
  </si>
  <si>
    <t>Legal/Attorney</t>
  </si>
  <si>
    <t>Scott, Andrew</t>
  </si>
  <si>
    <t>Sunil, Neelima</t>
  </si>
  <si>
    <t>2026-11-25</t>
  </si>
  <si>
    <t>Puvvadi, Venkata Naga Pranavi</t>
  </si>
  <si>
    <t>Sunil, Sonia</t>
  </si>
  <si>
    <t>Tata Consultancy Services Ltd (Micron Contract)</t>
  </si>
  <si>
    <t>ling, chia</t>
  </si>
  <si>
    <t>2025-10-28</t>
  </si>
  <si>
    <t>2026-12-27</t>
  </si>
  <si>
    <t>Anderson, Branden</t>
  </si>
  <si>
    <t>Swenson, Samantha</t>
  </si>
  <si>
    <t>Naik, Haard Jasmin</t>
  </si>
  <si>
    <t>2026-01-09</t>
  </si>
  <si>
    <t>Kamat, Nivedita</t>
  </si>
  <si>
    <t>2025-09-30</t>
  </si>
  <si>
    <t>2026-09-29</t>
  </si>
  <si>
    <t>Micron/TCS</t>
  </si>
  <si>
    <t>Rice, Trevor</t>
  </si>
  <si>
    <t>2025-09-08</t>
  </si>
  <si>
    <t>Diaz- Corral, Jose</t>
  </si>
  <si>
    <t>Trew Contracting Solutions LLC</t>
  </si>
  <si>
    <t>Walker, Christian</t>
  </si>
  <si>
    <t>Watters, Jacob</t>
  </si>
  <si>
    <t>Robey, Sarah</t>
  </si>
  <si>
    <t>2025-09-02</t>
  </si>
  <si>
    <t>2026-11-01</t>
  </si>
  <si>
    <t>Krupp, Phillip</t>
  </si>
  <si>
    <t>Bazan Consulting, INC</t>
  </si>
  <si>
    <t>Ellison, Joseph</t>
  </si>
  <si>
    <t>2026-03-14</t>
  </si>
  <si>
    <t>2027-04-13</t>
  </si>
  <si>
    <t>Makarov, Sergii</t>
  </si>
  <si>
    <t>2025-08-10</t>
  </si>
  <si>
    <t>2026-08-09</t>
  </si>
  <si>
    <t>Omelchenko, Yevheniia</t>
  </si>
  <si>
    <t>Raetz, Hannah</t>
  </si>
  <si>
    <t>Safeway Albertsons</t>
  </si>
  <si>
    <t>Lindell, Michael</t>
  </si>
  <si>
    <t>2025-08-04</t>
  </si>
  <si>
    <t>Brown, Justin</t>
  </si>
  <si>
    <t>Saguibo, Hailey</t>
  </si>
  <si>
    <t>Dahmen, Garrett</t>
  </si>
  <si>
    <t>Henney, Cheri</t>
  </si>
  <si>
    <t>Henney, Donald</t>
  </si>
  <si>
    <t>Saunders, Robert</t>
  </si>
  <si>
    <t>2026-12-11</t>
  </si>
  <si>
    <t>Hess</t>
  </si>
  <si>
    <t>Borley, Juliana</t>
  </si>
  <si>
    <t>Kim, Jongsu</t>
  </si>
  <si>
    <t>2025-08-08</t>
  </si>
  <si>
    <t>2026-10-07</t>
  </si>
  <si>
    <t>Park, SunYoung</t>
  </si>
  <si>
    <t>2027-04-30</t>
  </si>
  <si>
    <t>Simon, Ryan</t>
  </si>
  <si>
    <t>2026-02-22</t>
  </si>
  <si>
    <t>2027-04-21</t>
  </si>
  <si>
    <t>Duff, Bill</t>
  </si>
  <si>
    <t>2025-12-27</t>
  </si>
  <si>
    <t>2027-03-26</t>
  </si>
  <si>
    <t>Oregon Electric</t>
  </si>
  <si>
    <t>Hamill, Jeremy</t>
  </si>
  <si>
    <t>Hoffman Structures Inv</t>
  </si>
  <si>
    <t>Seasons - Top Employers</t>
  </si>
  <si>
    <t>Canyon Ridge - Top Employers</t>
  </si>
  <si>
    <t>MICRON EXPOSURE — occupant level
(% of employed residents)</t>
  </si>
  <si>
    <t>Seasons at
Meridian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</si>
</sst>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.0\x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6" fillId="3" borderId="0" xfId="0" applyFont="1" applyFill="1"/>
    <xf numFmtId="0" fontId="0" fillId="2" borderId="0" xfId="0" applyFill="1"/>
    <xf numFmtId="0" fontId="4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3" fillId="0" borderId="1" xfId="0" applyFont="1" applyBorder="1"/>
    <xf numFmtId="164" fontId="4" fillId="0" borderId="1" xfId="0" applyNumberFormat="1" applyFont="1" applyBorder="1"/>
    <xf numFmtId="0" fontId="10" fillId="0" borderId="0" xfId="0" applyFont="1"/>
    <xf numFmtId="0" fontId="6" fillId="3" borderId="0" xfId="0" applyFont="1" applyFill="1" applyAlignment="1">
      <alignment vertical="center" wrapText="1"/>
    </xf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9" fillId="0" borderId="0" xfId="0" applyNumberFormat="1" applyFont="1"/>
    <xf numFmtId="165" fontId="7" fillId="0" borderId="0" xfId="0" applyNumberFormat="1" applyFont="1"/>
    <xf numFmtId="166" fontId="9" fillId="0" borderId="0" xfId="0" applyNumberFormat="1" applyFont="1"/>
    <xf numFmtId="164" fontId="7" fillId="0" borderId="0" xfId="0" applyNumberFormat="1" applyFont="1"/>
    <xf numFmtId="0" fontId="4" fillId="4" borderId="1" xfId="0" applyFont="1" applyFill="1" applyBorder="1"/>
    <xf numFmtId="164" fontId="4" fillId="4" borderId="1" xfId="0" applyNumberFormat="1" applyFont="1" applyFill="1" applyBorder="1"/>
    <xf numFmtId="9" fontId="7" fillId="0" borderId="1" xfId="0" applyNumberFormat="1" applyFont="1" applyBorder="1"/>
    <xf numFmtId="0" fontId="7" fillId="0" borderId="0" xfId="0" applyFont="1"/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5" fontId="4" fillId="0" borderId="1" xfId="0" applyNumberFormat="1" applyFont="1" applyBorder="1"/>
    <xf numFmtId="166" fontId="4" fillId="0" borderId="1" xfId="0" applyNumberFormat="1" applyFont="1" applyBorder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wrapText="1"/>
    </xf>
    <xf numFmtId="0" fontId="6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7030A0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23"/>
  <sheetViews>
    <sheetView showGridLines="0" zoomScaleNormal="100" workbookViewId="0"/>
  </sheetViews>
  <sheetFormatPr defaultColWidth="8.5546875" defaultRowHeight="14.4" x14ac:dyDescent="0.3"/>
  <cols>
    <col min="1" max="1" width="30" customWidth="1"/>
    <col min="2" max="2" width="120" customWidth="1"/>
  </cols>
  <sheetData>
    <row r="1" spans="1:2" ht="17.399999999999999" x14ac:dyDescent="0.3">
      <c r="A1" s="2" t="s">
        <v>0</v>
      </c>
    </row>
    <row r="3" spans="1:2" x14ac:dyDescent="0.3">
      <c r="A3" s="3" t="s">
        <v>1</v>
      </c>
      <c r="B3" s="4" t="s">
        <v>2</v>
      </c>
    </row>
    <row r="4" spans="1:2" ht="25.5" customHeight="1" x14ac:dyDescent="0.3">
      <c r="A4" s="3" t="s">
        <v>3</v>
      </c>
      <c r="B4" s="4" t="s">
        <v>4</v>
      </c>
    </row>
    <row r="5" spans="1:2" x14ac:dyDescent="0.3">
      <c r="A5" s="3"/>
      <c r="B5" s="4"/>
    </row>
    <row r="6" spans="1:2" x14ac:dyDescent="0.3">
      <c r="A6" s="5" t="s">
        <v>5</v>
      </c>
      <c r="B6" s="6"/>
    </row>
    <row r="7" spans="1:2" ht="25.5" customHeight="1" x14ac:dyDescent="0.3">
      <c r="A7" s="3" t="s">
        <v>6</v>
      </c>
      <c r="B7" s="4" t="s">
        <v>7</v>
      </c>
    </row>
    <row r="8" spans="1:2" ht="25.5" customHeight="1" x14ac:dyDescent="0.3">
      <c r="A8" s="3" t="s">
        <v>8</v>
      </c>
      <c r="B8" s="4" t="s">
        <v>9</v>
      </c>
    </row>
    <row r="9" spans="1:2" ht="25.5" customHeight="1" x14ac:dyDescent="0.3">
      <c r="A9" s="3" t="s">
        <v>10</v>
      </c>
      <c r="B9" s="4" t="s">
        <v>11</v>
      </c>
    </row>
    <row r="10" spans="1:2" x14ac:dyDescent="0.3">
      <c r="A10" s="3"/>
      <c r="B10" s="4"/>
    </row>
    <row r="11" spans="1:2" ht="39" customHeight="1" x14ac:dyDescent="0.3">
      <c r="A11" s="3" t="s">
        <v>12</v>
      </c>
      <c r="B11" s="4" t="s">
        <v>13</v>
      </c>
    </row>
    <row r="12" spans="1:2" ht="25.5" customHeight="1" x14ac:dyDescent="0.3">
      <c r="A12" s="3" t="s">
        <v>14</v>
      </c>
      <c r="B12" s="4" t="s">
        <v>15</v>
      </c>
    </row>
    <row r="13" spans="1:2" x14ac:dyDescent="0.3">
      <c r="A13" s="3"/>
      <c r="B13" s="4"/>
    </row>
    <row r="14" spans="1:2" x14ac:dyDescent="0.3">
      <c r="A14" s="5" t="s">
        <v>16</v>
      </c>
      <c r="B14" s="6"/>
    </row>
    <row r="15" spans="1:2" ht="25.5" customHeight="1" x14ac:dyDescent="0.3">
      <c r="A15" s="3" t="s">
        <v>17</v>
      </c>
      <c r="B15" s="4" t="s">
        <v>18</v>
      </c>
    </row>
    <row r="16" spans="1:2" ht="25.5" customHeight="1" x14ac:dyDescent="0.3">
      <c r="A16" s="3" t="s">
        <v>19</v>
      </c>
      <c r="B16" s="4" t="s">
        <v>20</v>
      </c>
    </row>
    <row r="17" spans="1:2" ht="25.5" customHeight="1" x14ac:dyDescent="0.3">
      <c r="A17" s="3" t="s">
        <v>21</v>
      </c>
      <c r="B17" s="4" t="s">
        <v>22</v>
      </c>
    </row>
    <row r="18" spans="1:2" ht="25.5" customHeight="1" x14ac:dyDescent="0.3">
      <c r="A18" s="3" t="s">
        <v>23</v>
      </c>
      <c r="B18" s="4" t="s">
        <v>24</v>
      </c>
    </row>
    <row r="19" spans="1:2" ht="25.5" customHeight="1" x14ac:dyDescent="0.3">
      <c r="A19" s="3" t="s">
        <v>25</v>
      </c>
      <c r="B19" s="4" t="s">
        <v>26</v>
      </c>
    </row>
    <row r="20" spans="1:2" ht="25.5" customHeight="1" x14ac:dyDescent="0.3">
      <c r="A20" s="3" t="s">
        <v>27</v>
      </c>
      <c r="B20" s="4" t="s">
        <v>28</v>
      </c>
    </row>
    <row r="21" spans="1:2" x14ac:dyDescent="0.3">
      <c r="A21" s="3"/>
      <c r="B21" s="4"/>
    </row>
    <row r="22" spans="1:2" ht="25.5" customHeight="1" x14ac:dyDescent="0.3">
      <c r="A22" s="3" t="s">
        <v>29</v>
      </c>
      <c r="B22" s="4" t="s">
        <v>30</v>
      </c>
    </row>
    <row r="23" spans="1:2" ht="25.5" customHeight="1" x14ac:dyDescent="0.3">
      <c r="A23" s="3" t="s">
        <v>31</v>
      </c>
      <c r="B23" s="4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D57"/>
  <sheetViews>
    <sheetView showGridLines="0" zoomScaleNormal="100" workbookViewId="0">
      <selection activeCell="A4" sqref="A4:C29"/>
    </sheetView>
  </sheetViews>
  <sheetFormatPr defaultColWidth="8.5546875" defaultRowHeight="14.4" x14ac:dyDescent="0.3"/>
  <cols>
    <col min="1" max="1" width="37.88671875" customWidth="1"/>
    <col min="2" max="3" width="15.77734375" style="33" customWidth="1"/>
    <col min="4" max="4" width="76" customWidth="1"/>
  </cols>
  <sheetData>
    <row r="1" spans="1:4" ht="17.399999999999999" x14ac:dyDescent="0.3">
      <c r="A1" s="2" t="s">
        <v>33</v>
      </c>
    </row>
    <row r="2" spans="1:4" x14ac:dyDescent="0.3">
      <c r="A2" s="7" t="s">
        <v>34</v>
      </c>
    </row>
    <row r="4" spans="1:4" ht="27" x14ac:dyDescent="0.3">
      <c r="A4" s="8"/>
      <c r="B4" s="34" t="s">
        <v>6</v>
      </c>
      <c r="C4" s="60" t="s">
        <v>4911</v>
      </c>
      <c r="D4" s="8" t="s">
        <v>35</v>
      </c>
    </row>
    <row r="5" spans="1:4" hidden="1" x14ac:dyDescent="0.3">
      <c r="A5" s="5" t="s">
        <v>36</v>
      </c>
      <c r="B5" s="35"/>
      <c r="C5" s="35"/>
      <c r="D5" s="9"/>
    </row>
    <row r="6" spans="1:4" hidden="1" x14ac:dyDescent="0.3">
      <c r="A6" s="10" t="s">
        <v>37</v>
      </c>
      <c r="B6" s="36" t="s">
        <v>38</v>
      </c>
      <c r="C6" s="36" t="s">
        <v>39</v>
      </c>
      <c r="D6" s="11" t="s">
        <v>40</v>
      </c>
    </row>
    <row r="7" spans="1:4" hidden="1" x14ac:dyDescent="0.3">
      <c r="A7" s="10" t="s">
        <v>41</v>
      </c>
      <c r="B7" s="37">
        <v>287</v>
      </c>
      <c r="C7" s="37">
        <v>360</v>
      </c>
      <c r="D7" s="11"/>
    </row>
    <row r="8" spans="1:4" hidden="1" x14ac:dyDescent="0.3">
      <c r="A8" s="10" t="s">
        <v>42</v>
      </c>
      <c r="B8" s="36" t="s">
        <v>43</v>
      </c>
      <c r="C8" s="36" t="s">
        <v>44</v>
      </c>
      <c r="D8" s="11" t="s">
        <v>45</v>
      </c>
    </row>
    <row r="9" spans="1:4" hidden="1" x14ac:dyDescent="0.3">
      <c r="A9" s="10" t="s">
        <v>46</v>
      </c>
      <c r="B9" s="38">
        <f>'Lease-Up &amp; Churn'!B18</f>
        <v>286</v>
      </c>
      <c r="C9" s="38">
        <f>'Lease-Up &amp; Churn'!C18</f>
        <v>342</v>
      </c>
      <c r="D9" s="11"/>
    </row>
    <row r="10" spans="1:4" hidden="1" x14ac:dyDescent="0.3">
      <c r="A10" s="10" t="s">
        <v>47</v>
      </c>
      <c r="B10" s="39">
        <f>'Lease-Up &amp; Churn'!B19</f>
        <v>0.99651567944250874</v>
      </c>
      <c r="C10" s="39">
        <f>'Lease-Up &amp; Churn'!C19</f>
        <v>0.95</v>
      </c>
      <c r="D10" s="11"/>
    </row>
    <row r="11" spans="1:4" hidden="1" x14ac:dyDescent="0.3">
      <c r="A11" s="10" t="s">
        <v>48</v>
      </c>
      <c r="B11" s="38">
        <f>'Lease-Up &amp; Churn'!B20</f>
        <v>24</v>
      </c>
      <c r="C11" s="38">
        <f>'Lease-Up &amp; Churn'!C20</f>
        <v>38</v>
      </c>
      <c r="D11" s="11" t="s">
        <v>49</v>
      </c>
    </row>
    <row r="12" spans="1:4" hidden="1" x14ac:dyDescent="0.3">
      <c r="A12" s="10" t="s">
        <v>50</v>
      </c>
      <c r="B12" s="39">
        <f>'Lease-Up &amp; Churn'!B21</f>
        <v>8.3916083916083919E-2</v>
      </c>
      <c r="C12" s="39">
        <f>'Lease-Up &amp; Churn'!C21</f>
        <v>0.1111111111111111</v>
      </c>
      <c r="D12" s="11"/>
    </row>
    <row r="13" spans="1:4" hidden="1" x14ac:dyDescent="0.3">
      <c r="A13" s="10" t="s">
        <v>51</v>
      </c>
      <c r="B13" s="40">
        <v>1975</v>
      </c>
      <c r="C13" s="40">
        <v>1714</v>
      </c>
      <c r="D13" s="11" t="s">
        <v>52</v>
      </c>
    </row>
    <row r="14" spans="1:4" hidden="1" x14ac:dyDescent="0.3"/>
    <row r="15" spans="1:4" ht="27" x14ac:dyDescent="0.3">
      <c r="A15" s="59" t="s">
        <v>4910</v>
      </c>
      <c r="B15" s="35"/>
      <c r="C15" s="35"/>
      <c r="D15" s="9"/>
    </row>
    <row r="16" spans="1:4" x14ac:dyDescent="0.3">
      <c r="A16" s="10" t="s">
        <v>53</v>
      </c>
      <c r="B16" s="49">
        <f>'Tier Summary'!C11</f>
        <v>337</v>
      </c>
      <c r="C16" s="49">
        <f>'Tier Summary'!E11</f>
        <v>443</v>
      </c>
      <c r="D16" s="11" t="s">
        <v>54</v>
      </c>
    </row>
    <row r="17" spans="1:4" x14ac:dyDescent="0.3">
      <c r="A17" s="13" t="s">
        <v>55</v>
      </c>
      <c r="B17" s="50">
        <f>'Tier Summary'!D17</f>
        <v>0.26409495548961426</v>
      </c>
      <c r="C17" s="50">
        <f>'Tier Summary'!F17</f>
        <v>2.0316027088036117E-2</v>
      </c>
      <c r="D17" s="11" t="s">
        <v>56</v>
      </c>
    </row>
    <row r="18" spans="1:4" x14ac:dyDescent="0.3">
      <c r="A18" s="10" t="s">
        <v>57</v>
      </c>
      <c r="B18" s="51">
        <f>'Tier Summary'!D18</f>
        <v>0.62611275964391688</v>
      </c>
      <c r="C18" s="51">
        <f>'Tier Summary'!F18</f>
        <v>4.740406320541761E-2</v>
      </c>
      <c r="D18" s="11"/>
    </row>
    <row r="19" spans="1:4" x14ac:dyDescent="0.3">
      <c r="A19" s="10" t="s">
        <v>58</v>
      </c>
      <c r="B19" s="51">
        <f>'Tier Summary'!D19</f>
        <v>0.67655786350148372</v>
      </c>
      <c r="C19" s="51">
        <f>'Tier Summary'!F19</f>
        <v>5.4176072234762979E-2</v>
      </c>
      <c r="D19" s="11"/>
    </row>
    <row r="20" spans="1:4" x14ac:dyDescent="0.3">
      <c r="A20" s="13" t="s">
        <v>59</v>
      </c>
      <c r="B20" s="50">
        <f>'Tier Summary'!D20</f>
        <v>0.71513353115727007</v>
      </c>
      <c r="C20" s="50">
        <f>'Tier Summary'!F20</f>
        <v>6.320541760722348E-2</v>
      </c>
      <c r="D20" s="11" t="s">
        <v>60</v>
      </c>
    </row>
    <row r="22" spans="1:4" hidden="1" x14ac:dyDescent="0.3">
      <c r="A22" s="5" t="s">
        <v>61</v>
      </c>
      <c r="B22" s="35"/>
      <c r="C22" s="35"/>
      <c r="D22" s="9"/>
    </row>
    <row r="23" spans="1:4" hidden="1" x14ac:dyDescent="0.3">
      <c r="A23" s="13" t="s">
        <v>62</v>
      </c>
      <c r="B23" s="50">
        <f>'Tier Summary'!D24</f>
        <v>0.69580419580419584</v>
      </c>
      <c r="C23" s="50">
        <f>'Tier Summary'!F24</f>
        <v>7.8688524590163941E-2</v>
      </c>
      <c r="D23" s="11" t="s">
        <v>63</v>
      </c>
    </row>
    <row r="24" spans="1:4" hidden="1" x14ac:dyDescent="0.3">
      <c r="A24" s="10" t="s">
        <v>64</v>
      </c>
      <c r="B24" s="51">
        <f>'Tier Summary'!D25</f>
        <v>0.25524475524475526</v>
      </c>
      <c r="C24" s="51">
        <f>'Tier Summary'!F25</f>
        <v>2.9508196721311476E-2</v>
      </c>
      <c r="D24" s="11"/>
    </row>
    <row r="25" spans="1:4" hidden="1" x14ac:dyDescent="0.3"/>
    <row r="26" spans="1:4" x14ac:dyDescent="0.3">
      <c r="A26" s="5" t="s">
        <v>65</v>
      </c>
      <c r="B26" s="35"/>
      <c r="C26" s="35"/>
      <c r="D26" s="9"/>
    </row>
    <row r="27" spans="1:4" x14ac:dyDescent="0.3">
      <c r="A27" s="13" t="s">
        <v>66</v>
      </c>
      <c r="B27" s="57">
        <f>'Income &amp; Coverage'!B14</f>
        <v>107000</v>
      </c>
      <c r="C27" s="57">
        <f>'Income &amp; Coverage'!D14</f>
        <v>58020</v>
      </c>
      <c r="D27" s="11" t="s">
        <v>67</v>
      </c>
    </row>
    <row r="28" spans="1:4" x14ac:dyDescent="0.3">
      <c r="A28" s="13" t="s">
        <v>68</v>
      </c>
      <c r="B28" s="57">
        <f>'Income &amp; Coverage'!B26</f>
        <v>144600</v>
      </c>
      <c r="C28" s="57">
        <f>'Income &amp; Coverage'!D26</f>
        <v>80160</v>
      </c>
      <c r="D28" s="11"/>
    </row>
    <row r="29" spans="1:4" x14ac:dyDescent="0.3">
      <c r="A29" s="10" t="s">
        <v>69</v>
      </c>
      <c r="B29" s="58">
        <f>'Income &amp; Coverage'!B38</f>
        <v>6.14</v>
      </c>
      <c r="C29" s="58">
        <f>'Income &amp; Coverage'!D38</f>
        <v>3.84</v>
      </c>
      <c r="D29" s="11" t="s">
        <v>70</v>
      </c>
    </row>
    <row r="30" spans="1:4" hidden="1" x14ac:dyDescent="0.3">
      <c r="A30" s="13" t="s">
        <v>71</v>
      </c>
      <c r="B30" s="50">
        <f>'Income &amp; Coverage'!B39/'Income &amp; Coverage'!B37</f>
        <v>0.93359375</v>
      </c>
      <c r="C30" s="50">
        <f>'Income &amp; Coverage'!D39/'Income &amp; Coverage'!D37</f>
        <v>0.79180887372013653</v>
      </c>
      <c r="D30" s="11"/>
    </row>
    <row r="31" spans="1:4" hidden="1" x14ac:dyDescent="0.3">
      <c r="A31" s="10" t="s">
        <v>72</v>
      </c>
      <c r="B31" s="51">
        <f>'Income &amp; Coverage'!B31/'Income &amp; Coverage'!B37</f>
        <v>7.8125E-3</v>
      </c>
      <c r="C31" s="51">
        <f>'Income &amp; Coverage'!D31/'Income &amp; Coverage'!D37</f>
        <v>8.191126279863481E-2</v>
      </c>
      <c r="D31" s="11" t="s">
        <v>73</v>
      </c>
    </row>
    <row r="33" spans="1:4" x14ac:dyDescent="0.3">
      <c r="A33" s="5" t="s">
        <v>74</v>
      </c>
      <c r="B33" s="35"/>
      <c r="C33" s="35"/>
      <c r="D33" s="9"/>
    </row>
    <row r="34" spans="1:4" x14ac:dyDescent="0.3">
      <c r="A34" s="10" t="s">
        <v>75</v>
      </c>
      <c r="B34" s="37">
        <v>151</v>
      </c>
      <c r="C34" s="37">
        <v>304</v>
      </c>
      <c r="D34" s="11" t="s">
        <v>76</v>
      </c>
    </row>
    <row r="35" spans="1:4" x14ac:dyDescent="0.3">
      <c r="A35" s="13" t="s">
        <v>77</v>
      </c>
      <c r="B35" s="41">
        <v>0.26409495548961398</v>
      </c>
      <c r="C35" s="41">
        <v>3.6117381489841997E-2</v>
      </c>
      <c r="D35" s="11" t="s">
        <v>78</v>
      </c>
    </row>
    <row r="36" spans="1:4" x14ac:dyDescent="0.3">
      <c r="A36" s="10" t="s">
        <v>79</v>
      </c>
      <c r="B36" s="42">
        <v>0.385756676557864</v>
      </c>
      <c r="C36" s="42">
        <v>0.12415349887133199</v>
      </c>
      <c r="D36" s="11"/>
    </row>
    <row r="37" spans="1:4" x14ac:dyDescent="0.3">
      <c r="A37" s="10" t="s">
        <v>80</v>
      </c>
      <c r="B37" s="42">
        <v>0.47774480712166201</v>
      </c>
      <c r="C37" s="42">
        <v>0.18510158013544001</v>
      </c>
      <c r="D37" s="11"/>
    </row>
    <row r="38" spans="1:4" x14ac:dyDescent="0.3">
      <c r="A38" s="10" t="s">
        <v>81</v>
      </c>
      <c r="B38" s="39">
        <f>'Industry Mix'!C5+'Industry Mix'!C6+'Industry Mix'!C7+'Industry Mix'!C8</f>
        <v>0.71513353115726996</v>
      </c>
      <c r="C38" s="39">
        <f>'Industry Mix'!E12</f>
        <v>0.21670428893905191</v>
      </c>
      <c r="D38" s="11" t="s">
        <v>82</v>
      </c>
    </row>
    <row r="40" spans="1:4" x14ac:dyDescent="0.3">
      <c r="A40" s="5" t="s">
        <v>83</v>
      </c>
      <c r="B40" s="35"/>
      <c r="C40" s="35"/>
      <c r="D40" s="9"/>
    </row>
    <row r="41" spans="1:4" x14ac:dyDescent="0.3">
      <c r="A41" s="10" t="s">
        <v>84</v>
      </c>
      <c r="B41" s="43">
        <v>1.59</v>
      </c>
      <c r="C41" s="43">
        <v>1.89</v>
      </c>
      <c r="D41" s="11" t="s">
        <v>85</v>
      </c>
    </row>
    <row r="42" spans="1:4" x14ac:dyDescent="0.3">
      <c r="A42" s="10" t="s">
        <v>86</v>
      </c>
      <c r="B42" s="42">
        <v>0.50699300699300698</v>
      </c>
      <c r="C42" s="42">
        <v>0.39016393442622999</v>
      </c>
      <c r="D42" s="11"/>
    </row>
    <row r="43" spans="1:4" x14ac:dyDescent="0.3">
      <c r="A43" s="10" t="s">
        <v>87</v>
      </c>
      <c r="B43" s="44"/>
      <c r="C43" s="42">
        <v>0.34098360655737697</v>
      </c>
      <c r="D43" s="11" t="s">
        <v>88</v>
      </c>
    </row>
    <row r="44" spans="1:4" x14ac:dyDescent="0.3">
      <c r="A44" s="10" t="s">
        <v>89</v>
      </c>
      <c r="B44" s="44"/>
      <c r="C44" s="42">
        <v>0.219672131147541</v>
      </c>
      <c r="D44" s="11" t="s">
        <v>90</v>
      </c>
    </row>
    <row r="45" spans="1:4" x14ac:dyDescent="0.3">
      <c r="A45" s="10" t="s">
        <v>91</v>
      </c>
      <c r="B45" s="42">
        <v>0</v>
      </c>
      <c r="C45" s="42">
        <v>9.5081967213114807E-2</v>
      </c>
      <c r="D45" s="11" t="s">
        <v>92</v>
      </c>
    </row>
    <row r="46" spans="1:4" x14ac:dyDescent="0.3">
      <c r="A46" s="10" t="s">
        <v>93</v>
      </c>
      <c r="B46" s="37">
        <v>33</v>
      </c>
      <c r="C46" s="37">
        <v>14</v>
      </c>
      <c r="D46" s="11" t="s">
        <v>94</v>
      </c>
    </row>
    <row r="47" spans="1:4" x14ac:dyDescent="0.3">
      <c r="A47" s="10" t="s">
        <v>95</v>
      </c>
      <c r="B47" s="42">
        <v>0.73026315789473695</v>
      </c>
      <c r="C47" s="42">
        <v>0.72</v>
      </c>
      <c r="D47" s="11"/>
    </row>
    <row r="48" spans="1:4" x14ac:dyDescent="0.3">
      <c r="A48" s="10" t="s">
        <v>96</v>
      </c>
      <c r="B48" s="42">
        <v>8.7719298245613996E-3</v>
      </c>
      <c r="C48" s="42">
        <v>3.6521739130434799E-2</v>
      </c>
      <c r="D48" s="11"/>
    </row>
    <row r="49" spans="1:4" x14ac:dyDescent="0.3">
      <c r="A49" s="10" t="s">
        <v>97</v>
      </c>
      <c r="B49" s="42">
        <v>0</v>
      </c>
      <c r="C49" s="42">
        <v>1.7391304347826101E-2</v>
      </c>
      <c r="D49" s="11"/>
    </row>
    <row r="50" spans="1:4" x14ac:dyDescent="0.3">
      <c r="A50" s="10" t="s">
        <v>98</v>
      </c>
      <c r="B50" s="42">
        <v>0.26096491228070201</v>
      </c>
      <c r="C50" s="42">
        <v>0.21217391304347799</v>
      </c>
      <c r="D50" s="11" t="s">
        <v>99</v>
      </c>
    </row>
    <row r="52" spans="1:4" x14ac:dyDescent="0.3">
      <c r="A52" s="5" t="s">
        <v>100</v>
      </c>
      <c r="B52" s="35"/>
      <c r="C52" s="35"/>
      <c r="D52" s="9"/>
    </row>
    <row r="53" spans="1:4" ht="51.75" customHeight="1" x14ac:dyDescent="0.3">
      <c r="A53" s="1" t="s">
        <v>101</v>
      </c>
      <c r="B53" s="1"/>
      <c r="C53" s="1"/>
      <c r="D53" s="1"/>
    </row>
    <row r="54" spans="1:4" ht="51.75" customHeight="1" x14ac:dyDescent="0.3">
      <c r="A54" s="1" t="s">
        <v>102</v>
      </c>
      <c r="B54" s="1"/>
      <c r="C54" s="1"/>
      <c r="D54" s="1"/>
    </row>
    <row r="55" spans="1:4" ht="51.75" customHeight="1" x14ac:dyDescent="0.3">
      <c r="A55" s="1" t="s">
        <v>103</v>
      </c>
      <c r="B55" s="1"/>
      <c r="C55" s="1"/>
      <c r="D55" s="1"/>
    </row>
    <row r="56" spans="1:4" ht="51.75" customHeight="1" x14ac:dyDescent="0.3">
      <c r="A56" s="1" t="s">
        <v>104</v>
      </c>
      <c r="B56" s="1"/>
      <c r="C56" s="1"/>
      <c r="D56" s="1"/>
    </row>
    <row r="57" spans="1:4" ht="51.75" customHeight="1" x14ac:dyDescent="0.3">
      <c r="A57" s="1" t="s">
        <v>105</v>
      </c>
      <c r="B57" s="1"/>
      <c r="C57" s="1"/>
      <c r="D57" s="1"/>
    </row>
  </sheetData>
  <mergeCells count="5">
    <mergeCell ref="A53:D53"/>
    <mergeCell ref="A54:D54"/>
    <mergeCell ref="A55:D55"/>
    <mergeCell ref="A56:D56"/>
    <mergeCell ref="A57:D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F27"/>
  <sheetViews>
    <sheetView showGridLines="0" tabSelected="1" zoomScaleNormal="100" workbookViewId="0">
      <selection sqref="A1:F11"/>
    </sheetView>
  </sheetViews>
  <sheetFormatPr defaultColWidth="8.5546875" defaultRowHeight="14.4" x14ac:dyDescent="0.3"/>
  <cols>
    <col min="1" max="1" width="7" customWidth="1"/>
    <col min="2" max="2" width="55.44140625" customWidth="1"/>
    <col min="3" max="3" width="12" style="33" customWidth="1"/>
    <col min="4" max="4" width="13" style="33" customWidth="1"/>
    <col min="5" max="5" width="12" style="33" customWidth="1"/>
    <col min="6" max="6" width="13" style="33" customWidth="1"/>
  </cols>
  <sheetData>
    <row r="1" spans="1:6" ht="15.6" x14ac:dyDescent="0.3">
      <c r="A1" s="15" t="s">
        <v>106</v>
      </c>
    </row>
    <row r="2" spans="1:6" hidden="1" x14ac:dyDescent="0.3">
      <c r="A2" s="7" t="s">
        <v>107</v>
      </c>
    </row>
    <row r="4" spans="1:6" ht="26.4" x14ac:dyDescent="0.3">
      <c r="A4" s="16" t="s">
        <v>108</v>
      </c>
      <c r="B4" s="16" t="s">
        <v>109</v>
      </c>
      <c r="C4" s="45" t="s">
        <v>6</v>
      </c>
      <c r="D4" s="45" t="s">
        <v>110</v>
      </c>
      <c r="E4" s="45" t="s">
        <v>111</v>
      </c>
      <c r="F4" s="45" t="s">
        <v>112</v>
      </c>
    </row>
    <row r="5" spans="1:6" x14ac:dyDescent="0.3">
      <c r="A5" s="13" t="s">
        <v>113</v>
      </c>
      <c r="B5" s="10" t="s">
        <v>114</v>
      </c>
      <c r="C5" s="36">
        <f>COUNTIF('CR Data'!K$5:K$460,"T1")</f>
        <v>89</v>
      </c>
      <c r="D5" s="44">
        <f t="shared" ref="D5:D10" si="0">C5/C$11</f>
        <v>0.26409495548961426</v>
      </c>
      <c r="E5" s="36">
        <f>COUNTIFS('Seasons Data'!H$5:H$608,"T1",'Seasons Data'!E$5:E$608,"Y")</f>
        <v>9</v>
      </c>
      <c r="F5" s="44">
        <f t="shared" ref="F5:F10" si="1">E5/E$11</f>
        <v>2.0316027088036117E-2</v>
      </c>
    </row>
    <row r="6" spans="1:6" x14ac:dyDescent="0.3">
      <c r="A6" s="13" t="s">
        <v>115</v>
      </c>
      <c r="B6" s="10" t="s">
        <v>116</v>
      </c>
      <c r="C6" s="36">
        <f>COUNTIF('CR Data'!K$5:K$460,"T2")</f>
        <v>122</v>
      </c>
      <c r="D6" s="44">
        <f t="shared" si="0"/>
        <v>0.36201780415430268</v>
      </c>
      <c r="E6" s="36">
        <f>COUNTIFS('Seasons Data'!H$5:H$608,"T2",'Seasons Data'!E$5:E$608,"Y")</f>
        <v>12</v>
      </c>
      <c r="F6" s="44">
        <f t="shared" si="1"/>
        <v>2.7088036117381489E-2</v>
      </c>
    </row>
    <row r="7" spans="1:6" x14ac:dyDescent="0.3">
      <c r="A7" s="13" t="s">
        <v>117</v>
      </c>
      <c r="B7" s="10" t="s">
        <v>118</v>
      </c>
      <c r="C7" s="36">
        <f>COUNTIF('CR Data'!K$5:K$460,"T3")</f>
        <v>17</v>
      </c>
      <c r="D7" s="44">
        <f t="shared" si="0"/>
        <v>5.0445103857566766E-2</v>
      </c>
      <c r="E7" s="36">
        <f>COUNTIFS('Seasons Data'!H$5:H$608,"T3",'Seasons Data'!E$5:E$608,"Y")</f>
        <v>3</v>
      </c>
      <c r="F7" s="44">
        <f t="shared" si="1"/>
        <v>6.7720090293453723E-3</v>
      </c>
    </row>
    <row r="8" spans="1:6" x14ac:dyDescent="0.3">
      <c r="A8" s="13" t="s">
        <v>119</v>
      </c>
      <c r="B8" s="10" t="s">
        <v>120</v>
      </c>
      <c r="C8" s="36">
        <f>COUNTIF('CR Data'!K$5:K$460,"T4")</f>
        <v>13</v>
      </c>
      <c r="D8" s="44">
        <f t="shared" si="0"/>
        <v>3.857566765578635E-2</v>
      </c>
      <c r="E8" s="36">
        <f>COUNTIFS('Seasons Data'!H$5:H$608,"T4",'Seasons Data'!E$5:E$608,"Y")</f>
        <v>4</v>
      </c>
      <c r="F8" s="44">
        <f t="shared" si="1"/>
        <v>9.0293453724604959E-3</v>
      </c>
    </row>
    <row r="9" spans="1:6" x14ac:dyDescent="0.3">
      <c r="A9" s="13" t="s">
        <v>121</v>
      </c>
      <c r="B9" s="10" t="s">
        <v>122</v>
      </c>
      <c r="C9" s="36">
        <f>COUNTIF('CR Data'!K$5:K$460,"T5")</f>
        <v>5</v>
      </c>
      <c r="D9" s="44">
        <f t="shared" si="0"/>
        <v>1.483679525222552E-2</v>
      </c>
      <c r="E9" s="36">
        <f>COUNTIFS('Seasons Data'!H$5:H$608,"T5",'Seasons Data'!E$5:E$608,"Y")</f>
        <v>2</v>
      </c>
      <c r="F9" s="44">
        <f t="shared" si="1"/>
        <v>4.5146726862302479E-3</v>
      </c>
    </row>
    <row r="10" spans="1:6" x14ac:dyDescent="0.3">
      <c r="A10" s="13" t="s">
        <v>123</v>
      </c>
      <c r="B10" s="10" t="s">
        <v>124</v>
      </c>
      <c r="C10" s="36">
        <f>COUNTIF('CR Data'!K$5:K$460,"T6")</f>
        <v>91</v>
      </c>
      <c r="D10" s="44">
        <f t="shared" si="0"/>
        <v>0.27002967359050445</v>
      </c>
      <c r="E10" s="36">
        <f>COUNTIFS('Seasons Data'!H$5:H$608,"T6",'Seasons Data'!E$5:E$608,"Y")</f>
        <v>413</v>
      </c>
      <c r="F10" s="44">
        <f t="shared" si="1"/>
        <v>0.93227990970654628</v>
      </c>
    </row>
    <row r="11" spans="1:6" x14ac:dyDescent="0.3">
      <c r="B11" s="3" t="s">
        <v>125</v>
      </c>
      <c r="C11" s="52">
        <f>SUM(C5:C10)</f>
        <v>337</v>
      </c>
      <c r="D11" s="53">
        <v>1</v>
      </c>
      <c r="E11" s="52">
        <f>SUM(E5:E10)</f>
        <v>443</v>
      </c>
      <c r="F11" s="53">
        <v>1</v>
      </c>
    </row>
    <row r="12" spans="1:6" x14ac:dyDescent="0.3">
      <c r="B12" s="17" t="s">
        <v>126</v>
      </c>
      <c r="C12" s="54">
        <v>0</v>
      </c>
      <c r="E12" s="54">
        <f>COUNTIFS('Seasons Data'!H$5:H$608,"",'Seasons Data'!E$5:E$608,"Y",'Seasons Data'!G$5:G$608,"&lt;&gt;")</f>
        <v>10</v>
      </c>
    </row>
    <row r="13" spans="1:6" x14ac:dyDescent="0.3">
      <c r="B13" s="17" t="s">
        <v>127</v>
      </c>
      <c r="C13" s="54">
        <f>COUNTIFS('CR Data'!K$5:K$460,"",'CR Data'!A$5:A$460,"&lt;&gt;")</f>
        <v>119</v>
      </c>
      <c r="E13" s="54">
        <f>COUNTIFS('Seasons Data'!G$5:G$608,"",'Seasons Data'!E$5:E$608,"Y")</f>
        <v>122</v>
      </c>
    </row>
    <row r="14" spans="1:6" x14ac:dyDescent="0.3">
      <c r="B14" s="3" t="s">
        <v>128</v>
      </c>
      <c r="C14" s="52">
        <f>SUM(C11:C13)</f>
        <v>456</v>
      </c>
      <c r="E14" s="52">
        <f>SUM(E11:E13)</f>
        <v>575</v>
      </c>
    </row>
    <row r="16" spans="1:6" x14ac:dyDescent="0.3">
      <c r="A16" s="5" t="s">
        <v>129</v>
      </c>
      <c r="B16" s="9"/>
      <c r="C16" s="35"/>
      <c r="D16" s="35"/>
      <c r="E16" s="35"/>
      <c r="F16" s="35"/>
    </row>
    <row r="17" spans="1:6" x14ac:dyDescent="0.3">
      <c r="B17" s="3" t="s">
        <v>130</v>
      </c>
      <c r="C17" s="52">
        <f>C5</f>
        <v>89</v>
      </c>
      <c r="D17" s="55">
        <f>C17/C$11</f>
        <v>0.26409495548961426</v>
      </c>
      <c r="E17" s="52">
        <f>E5</f>
        <v>9</v>
      </c>
      <c r="F17" s="55">
        <f>E17/E$11</f>
        <v>2.0316027088036117E-2</v>
      </c>
    </row>
    <row r="18" spans="1:6" x14ac:dyDescent="0.3">
      <c r="B18" s="3" t="s">
        <v>131</v>
      </c>
      <c r="C18" s="52">
        <f>C5+C6</f>
        <v>211</v>
      </c>
      <c r="D18" s="55">
        <f>C18/C$11</f>
        <v>0.62611275964391688</v>
      </c>
      <c r="E18" s="52">
        <f>E5+E6</f>
        <v>21</v>
      </c>
      <c r="F18" s="55">
        <f>E18/E$11</f>
        <v>4.740406320541761E-2</v>
      </c>
    </row>
    <row r="19" spans="1:6" x14ac:dyDescent="0.3">
      <c r="B19" s="3" t="s">
        <v>132</v>
      </c>
      <c r="C19" s="52">
        <f>C5+C6+C7</f>
        <v>228</v>
      </c>
      <c r="D19" s="55">
        <f>C19/C$11</f>
        <v>0.67655786350148372</v>
      </c>
      <c r="E19" s="52">
        <f>E5+E6+E7</f>
        <v>24</v>
      </c>
      <c r="F19" s="55">
        <f>E19/E$11</f>
        <v>5.4176072234762979E-2</v>
      </c>
    </row>
    <row r="20" spans="1:6" x14ac:dyDescent="0.3">
      <c r="B20" s="3" t="s">
        <v>133</v>
      </c>
      <c r="C20" s="52">
        <f>SUM(C5:C8)</f>
        <v>241</v>
      </c>
      <c r="D20" s="55">
        <f>C20/C$11</f>
        <v>0.71513353115727007</v>
      </c>
      <c r="E20" s="52">
        <f>SUM(E5:E8)</f>
        <v>28</v>
      </c>
      <c r="F20" s="55">
        <f>E20/E$11</f>
        <v>6.320541760722348E-2</v>
      </c>
    </row>
    <row r="22" spans="1:6" x14ac:dyDescent="0.3">
      <c r="A22" s="5" t="s">
        <v>134</v>
      </c>
      <c r="B22" s="9"/>
      <c r="C22" s="35"/>
      <c r="D22" s="35"/>
      <c r="E22" s="35"/>
      <c r="F22" s="35"/>
    </row>
    <row r="23" spans="1:6" x14ac:dyDescent="0.3">
      <c r="B23" s="17" t="s">
        <v>135</v>
      </c>
      <c r="C23" s="54">
        <f>COUNTIF('Unit Coverage Detail'!A$5:A$595,"Canyon Ridge")</f>
        <v>286</v>
      </c>
      <c r="E23" s="54">
        <f>COUNTIF('Unit Coverage Detail'!A$5:A$595,"Seasons")</f>
        <v>305</v>
      </c>
    </row>
    <row r="24" spans="1:6" x14ac:dyDescent="0.3">
      <c r="B24" s="3" t="s">
        <v>62</v>
      </c>
      <c r="C24" s="52">
        <f>COUNTIFS('Unit Coverage Detail'!A$5:A$595,"Canyon Ridge",'Unit Coverage Detail'!G$5:G$595,"Y")</f>
        <v>199</v>
      </c>
      <c r="D24" s="55">
        <f>C24/C23</f>
        <v>0.69580419580419584</v>
      </c>
      <c r="E24" s="52">
        <f>COUNTIFS('Unit Coverage Detail'!A$5:A$595,"Seasons",'Unit Coverage Detail'!G$5:G$595,"Y")</f>
        <v>24</v>
      </c>
      <c r="F24" s="55">
        <f>E24/E23</f>
        <v>7.8688524590163941E-2</v>
      </c>
    </row>
    <row r="25" spans="1:6" x14ac:dyDescent="0.3">
      <c r="B25" s="17" t="s">
        <v>64</v>
      </c>
      <c r="C25" s="54">
        <f>COUNTIFS('Unit Coverage Detail'!A$5:A$595,"Canyon Ridge",'Unit Coverage Detail'!H$5:H$595,"Y")</f>
        <v>73</v>
      </c>
      <c r="D25" s="56">
        <f>C25/C23</f>
        <v>0.25524475524475526</v>
      </c>
      <c r="E25" s="54">
        <f>COUNTIFS('Unit Coverage Detail'!A$5:A$595,"Seasons",'Unit Coverage Detail'!H$5:H$595,"Y")</f>
        <v>9</v>
      </c>
      <c r="F25" s="56">
        <f>E25/E23</f>
        <v>2.9508196721311476E-2</v>
      </c>
    </row>
    <row r="27" spans="1:6" x14ac:dyDescent="0.3">
      <c r="A27" s="7" t="s">
        <v>136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E5:E10 D17:D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E46"/>
  <sheetViews>
    <sheetView showGridLines="0" zoomScaleNormal="100" workbookViewId="0">
      <selection activeCell="B42" sqref="B42:E42"/>
    </sheetView>
  </sheetViews>
  <sheetFormatPr defaultColWidth="8.5546875" defaultRowHeight="14.4" x14ac:dyDescent="0.3"/>
  <cols>
    <col min="1" max="1" width="26" customWidth="1"/>
    <col min="2" max="2" width="12" customWidth="1"/>
    <col min="3" max="3" width="10" customWidth="1"/>
    <col min="4" max="4" width="12" customWidth="1"/>
    <col min="5" max="5" width="10" customWidth="1"/>
  </cols>
  <sheetData>
    <row r="1" spans="1:5" ht="15.6" x14ac:dyDescent="0.3">
      <c r="A1" s="15" t="s">
        <v>137</v>
      </c>
    </row>
    <row r="2" spans="1:5" x14ac:dyDescent="0.3">
      <c r="A2" s="7" t="s">
        <v>138</v>
      </c>
    </row>
    <row r="4" spans="1:5" x14ac:dyDescent="0.3">
      <c r="A4" s="5" t="s">
        <v>139</v>
      </c>
      <c r="B4" s="9"/>
      <c r="C4" s="9"/>
      <c r="D4" s="9"/>
      <c r="E4" s="9"/>
    </row>
    <row r="5" spans="1:5" ht="26.4" x14ac:dyDescent="0.3">
      <c r="A5" s="16" t="s">
        <v>140</v>
      </c>
      <c r="B5" s="16" t="s">
        <v>6</v>
      </c>
      <c r="C5" s="16" t="s">
        <v>141</v>
      </c>
      <c r="D5" s="16" t="s">
        <v>111</v>
      </c>
      <c r="E5" s="16" t="s">
        <v>142</v>
      </c>
    </row>
    <row r="6" spans="1:5" x14ac:dyDescent="0.3">
      <c r="A6" s="10" t="s">
        <v>143</v>
      </c>
      <c r="B6" s="10">
        <f>COUNTIFS('CR Data'!M$5:M$460,"&gt;0",'CR Data'!M$5:M$460,"&lt;40000")</f>
        <v>26</v>
      </c>
      <c r="C6" s="14">
        <f t="shared" ref="C6:C12" si="0">B6/B$13</f>
        <v>7.0080862533692723E-2</v>
      </c>
      <c r="D6" s="10">
        <f>COUNTIFS('Seasons Data'!K$5:K$608,"&gt;0",'Seasons Data'!L$5:L$608,"Y",'Seasons Data'!K$5:K$608,"&lt;40000")</f>
        <v>109</v>
      </c>
      <c r="E6" s="14">
        <f t="shared" ref="E6:E12" si="1">D6/D$13</f>
        <v>0.26265060240963856</v>
      </c>
    </row>
    <row r="7" spans="1:5" x14ac:dyDescent="0.3">
      <c r="A7" s="10" t="s">
        <v>144</v>
      </c>
      <c r="B7" s="10">
        <f>COUNTIFS('CR Data'!M$5:M$460,"&gt;0",'CR Data'!M$5:M$460,"&gt;=40000",'CR Data'!M$5:M$460,"&lt;60000")</f>
        <v>27</v>
      </c>
      <c r="C7" s="14">
        <f t="shared" si="0"/>
        <v>7.277628032345014E-2</v>
      </c>
      <c r="D7" s="10">
        <f>COUNTIFS('Seasons Data'!K$5:K$608,"&gt;0",'Seasons Data'!L$5:L$608,"Y",'Seasons Data'!K$5:K$608,"&gt;=40000",'Seasons Data'!K$5:K$608,"&lt;60000")</f>
        <v>107</v>
      </c>
      <c r="E7" s="14">
        <f t="shared" si="1"/>
        <v>0.25783132530120484</v>
      </c>
    </row>
    <row r="8" spans="1:5" x14ac:dyDescent="0.3">
      <c r="A8" s="10" t="s">
        <v>145</v>
      </c>
      <c r="B8" s="10">
        <f>COUNTIFS('CR Data'!M$5:M$460,"&gt;0",'CR Data'!M$5:M$460,"&gt;=60000",'CR Data'!M$5:M$460,"&lt;80000")</f>
        <v>37</v>
      </c>
      <c r="C8" s="14">
        <f t="shared" si="0"/>
        <v>9.9730458221024262E-2</v>
      </c>
      <c r="D8" s="10">
        <f>COUNTIFS('Seasons Data'!K$5:K$608,"&gt;0",'Seasons Data'!L$5:L$608,"Y",'Seasons Data'!K$5:K$608,"&gt;=60000",'Seasons Data'!K$5:K$608,"&lt;80000")</f>
        <v>91</v>
      </c>
      <c r="E8" s="14">
        <f t="shared" si="1"/>
        <v>0.21927710843373494</v>
      </c>
    </row>
    <row r="9" spans="1:5" x14ac:dyDescent="0.3">
      <c r="A9" s="10" t="s">
        <v>146</v>
      </c>
      <c r="B9" s="10">
        <f>COUNTIFS('CR Data'!M$5:M$460,"&gt;0",'CR Data'!M$5:M$460,"&gt;=80000",'CR Data'!M$5:M$460,"&lt;100000")</f>
        <v>67</v>
      </c>
      <c r="C9" s="14">
        <f t="shared" si="0"/>
        <v>0.18059299191374664</v>
      </c>
      <c r="D9" s="10">
        <f>COUNTIFS('Seasons Data'!K$5:K$608,"&gt;0",'Seasons Data'!L$5:L$608,"Y",'Seasons Data'!K$5:K$608,"&gt;=80000",'Seasons Data'!K$5:K$608,"&lt;100000")</f>
        <v>40</v>
      </c>
      <c r="E9" s="14">
        <f t="shared" si="1"/>
        <v>9.6385542168674704E-2</v>
      </c>
    </row>
    <row r="10" spans="1:5" x14ac:dyDescent="0.3">
      <c r="A10" s="10" t="s">
        <v>147</v>
      </c>
      <c r="B10" s="10">
        <f>COUNTIFS('CR Data'!M$5:M$460,"&gt;0",'CR Data'!M$5:M$460,"&gt;=100000",'CR Data'!M$5:M$460,"&lt;150000")</f>
        <v>121</v>
      </c>
      <c r="C10" s="14">
        <f t="shared" si="0"/>
        <v>0.32614555256064692</v>
      </c>
      <c r="D10" s="10">
        <f>COUNTIFS('Seasons Data'!K$5:K$608,"&gt;0",'Seasons Data'!L$5:L$608,"Y",'Seasons Data'!K$5:K$608,"&gt;=100000",'Seasons Data'!K$5:K$608,"&lt;150000")</f>
        <v>53</v>
      </c>
      <c r="E10" s="14">
        <f t="shared" si="1"/>
        <v>0.12771084337349398</v>
      </c>
    </row>
    <row r="11" spans="1:5" x14ac:dyDescent="0.3">
      <c r="A11" s="10" t="s">
        <v>148</v>
      </c>
      <c r="B11" s="10">
        <f>COUNTIFS('CR Data'!M$5:M$460,"&gt;0",'CR Data'!M$5:M$460,"&gt;=150000",'CR Data'!M$5:M$460,"&lt;200000")</f>
        <v>46</v>
      </c>
      <c r="C11" s="14">
        <f t="shared" si="0"/>
        <v>0.12398921832884097</v>
      </c>
      <c r="D11" s="10">
        <f>COUNTIFS('Seasons Data'!K$5:K$608,"&gt;0",'Seasons Data'!L$5:L$608,"Y",'Seasons Data'!K$5:K$608,"&gt;=150000",'Seasons Data'!K$5:K$608,"&lt;200000")</f>
        <v>3</v>
      </c>
      <c r="E11" s="14">
        <f t="shared" si="1"/>
        <v>7.2289156626506026E-3</v>
      </c>
    </row>
    <row r="12" spans="1:5" x14ac:dyDescent="0.3">
      <c r="A12" s="10" t="s">
        <v>149</v>
      </c>
      <c r="B12" s="10">
        <f>COUNTIFS('CR Data'!M$5:M$460,"&gt;0",'CR Data'!M$5:M$460,"&gt;=200000")</f>
        <v>47</v>
      </c>
      <c r="C12" s="14">
        <f t="shared" si="0"/>
        <v>0.12668463611859837</v>
      </c>
      <c r="D12" s="10">
        <f>COUNTIFS('Seasons Data'!K$5:K$608,"&gt;0",'Seasons Data'!L$5:L$608,"Y",'Seasons Data'!K$5:K$608,"&gt;=200000")</f>
        <v>12</v>
      </c>
      <c r="E12" s="14">
        <f t="shared" si="1"/>
        <v>2.891566265060241E-2</v>
      </c>
    </row>
    <row r="13" spans="1:5" x14ac:dyDescent="0.3">
      <c r="A13" s="3" t="s">
        <v>150</v>
      </c>
      <c r="B13" s="3">
        <f>SUM(B6:B12)</f>
        <v>371</v>
      </c>
      <c r="D13" s="3">
        <f>SUM(D6:D12)</f>
        <v>415</v>
      </c>
    </row>
    <row r="14" spans="1:5" x14ac:dyDescent="0.3">
      <c r="A14" s="3" t="s">
        <v>151</v>
      </c>
      <c r="B14" s="20">
        <v>107000</v>
      </c>
      <c r="D14" s="20">
        <v>58020</v>
      </c>
    </row>
    <row r="15" spans="1:5" x14ac:dyDescent="0.3">
      <c r="A15" s="17" t="s">
        <v>152</v>
      </c>
      <c r="B15" s="21">
        <v>162598</v>
      </c>
      <c r="D15" s="21">
        <v>71814</v>
      </c>
      <c r="E15" s="7" t="s">
        <v>153</v>
      </c>
    </row>
    <row r="17" spans="1:5" x14ac:dyDescent="0.3">
      <c r="A17" s="5" t="s">
        <v>154</v>
      </c>
      <c r="B17" s="9"/>
      <c r="C17" s="9"/>
      <c r="D17" s="9"/>
      <c r="E17" s="9"/>
    </row>
    <row r="18" spans="1:5" ht="26.4" x14ac:dyDescent="0.3">
      <c r="A18" s="16" t="s">
        <v>140</v>
      </c>
      <c r="B18" s="16" t="s">
        <v>6</v>
      </c>
      <c r="C18" s="16" t="s">
        <v>141</v>
      </c>
      <c r="D18" s="16" t="s">
        <v>111</v>
      </c>
      <c r="E18" s="16" t="s">
        <v>142</v>
      </c>
    </row>
    <row r="19" spans="1:5" x14ac:dyDescent="0.3">
      <c r="A19" s="10" t="s">
        <v>155</v>
      </c>
      <c r="B19" s="10">
        <f>COUNTIFS('Unit Coverage Detail'!A$5:A$595,"Canyon Ridge",'Unit Coverage Detail'!C$5:C$595,"&gt;0",'Unit Coverage Detail'!C$5:C$595,"&lt;50000")</f>
        <v>1</v>
      </c>
      <c r="C19" s="14">
        <f t="shared" ref="C19:C24" si="2">B19/B$25</f>
        <v>3.8910505836575876E-3</v>
      </c>
      <c r="D19" s="10">
        <f>COUNTIFS('Unit Coverage Detail'!A$5:A$595,"Seasons",'Unit Coverage Detail'!C$5:C$595,"&gt;0",'Unit Coverage Detail'!C$5:C$595,"&lt;50000")</f>
        <v>41</v>
      </c>
      <c r="E19" s="14">
        <f t="shared" ref="E19:E24" si="3">D19/D$25</f>
        <v>0.13993174061433447</v>
      </c>
    </row>
    <row r="20" spans="1:5" x14ac:dyDescent="0.3">
      <c r="A20" s="10" t="s">
        <v>156</v>
      </c>
      <c r="B20" s="10">
        <f>COUNTIFS('Unit Coverage Detail'!A$5:A$595,"Canyon Ridge",'Unit Coverage Detail'!C$5:C$595,"&gt;0",'Unit Coverage Detail'!C$5:C$595,"&gt;=50000",'Unit Coverage Detail'!C$5:C$595,"&lt;75000")</f>
        <v>24</v>
      </c>
      <c r="C20" s="14">
        <f t="shared" si="2"/>
        <v>9.3385214007782102E-2</v>
      </c>
      <c r="D20" s="10">
        <f>COUNTIFS('Unit Coverage Detail'!A$5:A$595,"Seasons",'Unit Coverage Detail'!C$5:C$595,"&gt;0",'Unit Coverage Detail'!C$5:C$595,"&gt;=50000",'Unit Coverage Detail'!C$5:C$595,"&lt;75000")</f>
        <v>87</v>
      </c>
      <c r="E20" s="14">
        <f t="shared" si="3"/>
        <v>0.29692832764505117</v>
      </c>
    </row>
    <row r="21" spans="1:5" x14ac:dyDescent="0.3">
      <c r="A21" s="10" t="s">
        <v>157</v>
      </c>
      <c r="B21" s="10">
        <f>COUNTIFS('Unit Coverage Detail'!A$5:A$595,"Canyon Ridge",'Unit Coverage Detail'!C$5:C$595,"&gt;0",'Unit Coverage Detail'!C$5:C$595,"&gt;=75000",'Unit Coverage Detail'!C$5:C$595,"&lt;100000")</f>
        <v>39</v>
      </c>
      <c r="C21" s="14">
        <f t="shared" si="2"/>
        <v>0.1517509727626459</v>
      </c>
      <c r="D21" s="10">
        <f>COUNTIFS('Unit Coverage Detail'!A$5:A$595,"Seasons",'Unit Coverage Detail'!C$5:C$595,"&gt;0",'Unit Coverage Detail'!C$5:C$595,"&gt;=75000",'Unit Coverage Detail'!C$5:C$595,"&lt;100000")</f>
        <v>65</v>
      </c>
      <c r="E21" s="14">
        <f t="shared" si="3"/>
        <v>0.22184300341296928</v>
      </c>
    </row>
    <row r="22" spans="1:5" x14ac:dyDescent="0.3">
      <c r="A22" s="10" t="s">
        <v>147</v>
      </c>
      <c r="B22" s="10">
        <f>COUNTIFS('Unit Coverage Detail'!A$5:A$595,"Canyon Ridge",'Unit Coverage Detail'!C$5:C$595,"&gt;0",'Unit Coverage Detail'!C$5:C$595,"&gt;=100000",'Unit Coverage Detail'!C$5:C$595,"&lt;150000")</f>
        <v>69</v>
      </c>
      <c r="C22" s="14">
        <f t="shared" si="2"/>
        <v>0.26848249027237353</v>
      </c>
      <c r="D22" s="10">
        <f>COUNTIFS('Unit Coverage Detail'!A$5:A$595,"Seasons",'Unit Coverage Detail'!C$5:C$595,"&gt;0",'Unit Coverage Detail'!C$5:C$595,"&gt;=100000",'Unit Coverage Detail'!C$5:C$595,"&lt;150000")</f>
        <v>67</v>
      </c>
      <c r="E22" s="14">
        <f t="shared" si="3"/>
        <v>0.22866894197952217</v>
      </c>
    </row>
    <row r="23" spans="1:5" x14ac:dyDescent="0.3">
      <c r="A23" s="10" t="s">
        <v>158</v>
      </c>
      <c r="B23" s="10">
        <f>COUNTIFS('Unit Coverage Detail'!A$5:A$595,"Canyon Ridge",'Unit Coverage Detail'!C$5:C$595,"&gt;0",'Unit Coverage Detail'!C$5:C$595,"&gt;=150000",'Unit Coverage Detail'!C$5:C$595,"&lt;250000")</f>
        <v>75</v>
      </c>
      <c r="C23" s="14">
        <f t="shared" si="2"/>
        <v>0.29182879377431908</v>
      </c>
      <c r="D23" s="10">
        <f>COUNTIFS('Unit Coverage Detail'!A$5:A$595,"Seasons",'Unit Coverage Detail'!C$5:C$595,"&gt;0",'Unit Coverage Detail'!C$5:C$595,"&gt;=150000",'Unit Coverage Detail'!C$5:C$595,"&lt;250000")</f>
        <v>23</v>
      </c>
      <c r="E23" s="14">
        <f t="shared" si="3"/>
        <v>7.8498293515358364E-2</v>
      </c>
    </row>
    <row r="24" spans="1:5" x14ac:dyDescent="0.3">
      <c r="A24" s="10" t="s">
        <v>159</v>
      </c>
      <c r="B24" s="10">
        <f>COUNTIFS('Unit Coverage Detail'!A$5:A$595,"Canyon Ridge",'Unit Coverage Detail'!C$5:C$595,"&gt;0",'Unit Coverage Detail'!C$5:C$595,"&gt;=250000")</f>
        <v>49</v>
      </c>
      <c r="C24" s="14">
        <f t="shared" si="2"/>
        <v>0.19066147859922178</v>
      </c>
      <c r="D24" s="10">
        <f>COUNTIFS('Unit Coverage Detail'!A$5:A$595,"Seasons",'Unit Coverage Detail'!C$5:C$595,"&gt;0",'Unit Coverage Detail'!C$5:C$595,"&gt;=250000")</f>
        <v>10</v>
      </c>
      <c r="E24" s="14">
        <f t="shared" si="3"/>
        <v>3.4129692832764506E-2</v>
      </c>
    </row>
    <row r="25" spans="1:5" x14ac:dyDescent="0.3">
      <c r="A25" s="3" t="s">
        <v>160</v>
      </c>
      <c r="B25" s="3">
        <f>SUM(B19:B24)</f>
        <v>257</v>
      </c>
      <c r="D25" s="3">
        <f>SUM(D19:D24)</f>
        <v>293</v>
      </c>
    </row>
    <row r="26" spans="1:5" x14ac:dyDescent="0.3">
      <c r="A26" s="3" t="s">
        <v>161</v>
      </c>
      <c r="B26" s="20">
        <v>144600</v>
      </c>
      <c r="D26" s="20">
        <v>80160</v>
      </c>
    </row>
    <row r="27" spans="1:5" x14ac:dyDescent="0.3">
      <c r="A27" s="17" t="s">
        <v>162</v>
      </c>
      <c r="B27" s="21">
        <v>234723</v>
      </c>
      <c r="D27" s="21">
        <v>101716</v>
      </c>
    </row>
    <row r="29" spans="1:5" x14ac:dyDescent="0.3">
      <c r="A29" s="5" t="s">
        <v>163</v>
      </c>
      <c r="B29" s="9"/>
      <c r="C29" s="9"/>
      <c r="D29" s="9"/>
      <c r="E29" s="9"/>
    </row>
    <row r="30" spans="1:5" ht="26.4" x14ac:dyDescent="0.3">
      <c r="A30" s="16" t="s">
        <v>164</v>
      </c>
      <c r="B30" s="16" t="s">
        <v>6</v>
      </c>
      <c r="C30" s="16" t="s">
        <v>141</v>
      </c>
      <c r="D30" s="16" t="s">
        <v>111</v>
      </c>
      <c r="E30" s="16" t="s">
        <v>142</v>
      </c>
    </row>
    <row r="31" spans="1:5" x14ac:dyDescent="0.3">
      <c r="A31" s="10" t="s">
        <v>165</v>
      </c>
      <c r="B31" s="10">
        <f>COUNTIFS('Unit Coverage Detail'!A$5:A$595,"Canyon Ridge",'Unit Coverage Detail'!E$5:E$595,"&gt;0",'Unit Coverage Detail'!E$5:E$595,"&lt;2")</f>
        <v>2</v>
      </c>
      <c r="C31" s="14">
        <f t="shared" ref="C31:C36" si="4">B31/B$37</f>
        <v>7.8125E-3</v>
      </c>
      <c r="D31" s="10">
        <f>COUNTIFS('Unit Coverage Detail'!A$5:A$595,"Seasons",'Unit Coverage Detail'!E$5:E$595,"&gt;0",'Unit Coverage Detail'!E$5:E$595,"&lt;2")</f>
        <v>24</v>
      </c>
      <c r="E31" s="14">
        <f t="shared" ref="E31:E36" si="5">D31/D$37</f>
        <v>8.191126279863481E-2</v>
      </c>
    </row>
    <row r="32" spans="1:5" x14ac:dyDescent="0.3">
      <c r="A32" s="10" t="s">
        <v>166</v>
      </c>
      <c r="B32" s="10">
        <f>COUNTIFS('Unit Coverage Detail'!A$5:A$595,"Canyon Ridge",'Unit Coverage Detail'!E$5:E$595,"&gt;0",'Unit Coverage Detail'!E$5:E$595,"&gt;=2",'Unit Coverage Detail'!E$5:E$595,"&lt;2.5")</f>
        <v>2</v>
      </c>
      <c r="C32" s="14">
        <f t="shared" si="4"/>
        <v>7.8125E-3</v>
      </c>
      <c r="D32" s="10">
        <f>COUNTIFS('Unit Coverage Detail'!A$5:A$595,"Seasons",'Unit Coverage Detail'!E$5:E$595,"&gt;0",'Unit Coverage Detail'!E$5:E$595,"&gt;=2",'Unit Coverage Detail'!E$5:E$595,"&lt;2.5")</f>
        <v>19</v>
      </c>
      <c r="E32" s="14">
        <f t="shared" si="5"/>
        <v>6.4846416382252553E-2</v>
      </c>
    </row>
    <row r="33" spans="1:5" x14ac:dyDescent="0.3">
      <c r="A33" s="10" t="s">
        <v>167</v>
      </c>
      <c r="B33" s="10">
        <f>COUNTIFS('Unit Coverage Detail'!A$5:A$595,"Canyon Ridge",'Unit Coverage Detail'!E$5:E$595,"&gt;0",'Unit Coverage Detail'!E$5:E$595,"&gt;=2.5",'Unit Coverage Detail'!E$5:E$595,"&lt;3")</f>
        <v>13</v>
      </c>
      <c r="C33" s="14">
        <f t="shared" si="4"/>
        <v>5.078125E-2</v>
      </c>
      <c r="D33" s="10">
        <f>COUNTIFS('Unit Coverage Detail'!A$5:A$595,"Seasons",'Unit Coverage Detail'!E$5:E$595,"&gt;0",'Unit Coverage Detail'!E$5:E$595,"&gt;=2.5",'Unit Coverage Detail'!E$5:E$595,"&lt;3")</f>
        <v>18</v>
      </c>
      <c r="E33" s="14">
        <f t="shared" si="5"/>
        <v>6.1433447098976107E-2</v>
      </c>
    </row>
    <row r="34" spans="1:5" x14ac:dyDescent="0.3">
      <c r="A34" s="10" t="s">
        <v>168</v>
      </c>
      <c r="B34" s="10">
        <f>COUNTIFS('Unit Coverage Detail'!A$5:A$595,"Canyon Ridge",'Unit Coverage Detail'!E$5:E$595,"&gt;0",'Unit Coverage Detail'!E$5:E$595,"&gt;=3",'Unit Coverage Detail'!E$5:E$595,"&lt;4")</f>
        <v>34</v>
      </c>
      <c r="C34" s="14">
        <f t="shared" si="4"/>
        <v>0.1328125</v>
      </c>
      <c r="D34" s="10">
        <f>COUNTIFS('Unit Coverage Detail'!A$5:A$595,"Seasons",'Unit Coverage Detail'!E$5:E$595,"&gt;0",'Unit Coverage Detail'!E$5:E$595,"&gt;=3",'Unit Coverage Detail'!E$5:E$595,"&lt;4")</f>
        <v>98</v>
      </c>
      <c r="E34" s="14">
        <f t="shared" si="5"/>
        <v>0.33447098976109213</v>
      </c>
    </row>
    <row r="35" spans="1:5" x14ac:dyDescent="0.3">
      <c r="A35" s="10" t="s">
        <v>169</v>
      </c>
      <c r="B35" s="10">
        <f>COUNTIFS('Unit Coverage Detail'!A$5:A$595,"Canyon Ridge",'Unit Coverage Detail'!E$5:E$595,"&gt;0",'Unit Coverage Detail'!E$5:E$595,"&gt;=4",'Unit Coverage Detail'!E$5:E$595,"&lt;6")</f>
        <v>72</v>
      </c>
      <c r="C35" s="14">
        <f t="shared" si="4"/>
        <v>0.28125</v>
      </c>
      <c r="D35" s="10">
        <f>COUNTIFS('Unit Coverage Detail'!A$5:A$595,"Seasons",'Unit Coverage Detail'!E$5:E$595,"&gt;0",'Unit Coverage Detail'!E$5:E$595,"&gt;=4",'Unit Coverage Detail'!E$5:E$595,"&lt;6")</f>
        <v>75</v>
      </c>
      <c r="E35" s="14">
        <f t="shared" si="5"/>
        <v>0.25597269624573377</v>
      </c>
    </row>
    <row r="36" spans="1:5" x14ac:dyDescent="0.3">
      <c r="A36" s="10" t="s">
        <v>170</v>
      </c>
      <c r="B36" s="10">
        <f>COUNTIFS('Unit Coverage Detail'!A$5:A$595,"Canyon Ridge",'Unit Coverage Detail'!E$5:E$595,"&gt;0",'Unit Coverage Detail'!E$5:E$595,"&gt;=6")</f>
        <v>133</v>
      </c>
      <c r="C36" s="14">
        <f t="shared" si="4"/>
        <v>0.51953125</v>
      </c>
      <c r="D36" s="10">
        <f>COUNTIFS('Unit Coverage Detail'!A$5:A$595,"Seasons",'Unit Coverage Detail'!E$5:E$595,"&gt;0",'Unit Coverage Detail'!E$5:E$595,"&gt;=6")</f>
        <v>59</v>
      </c>
      <c r="E36" s="14">
        <f t="shared" si="5"/>
        <v>0.20136518771331058</v>
      </c>
    </row>
    <row r="37" spans="1:5" x14ac:dyDescent="0.3">
      <c r="A37" s="3" t="s">
        <v>171</v>
      </c>
      <c r="B37" s="3">
        <f>SUM(B31:B36)</f>
        <v>256</v>
      </c>
      <c r="D37" s="3">
        <f>SUM(D31:D36)</f>
        <v>293</v>
      </c>
    </row>
    <row r="38" spans="1:5" x14ac:dyDescent="0.3">
      <c r="A38" s="3" t="s">
        <v>172</v>
      </c>
      <c r="B38" s="22">
        <v>6.14</v>
      </c>
      <c r="D38" s="22">
        <v>3.84</v>
      </c>
    </row>
    <row r="39" spans="1:5" x14ac:dyDescent="0.3">
      <c r="A39" s="3" t="s">
        <v>173</v>
      </c>
      <c r="B39" s="3">
        <f>COUNTIFS('Unit Coverage Detail'!A$5:A$595,"Canyon Ridge",'Unit Coverage Detail'!F$5:F$595,"Y")</f>
        <v>239</v>
      </c>
      <c r="C39" s="18">
        <f>B39/B37</f>
        <v>0.93359375</v>
      </c>
      <c r="D39" s="3">
        <f>COUNTIFS('Unit Coverage Detail'!A$5:A$595,"Seasons",'Unit Coverage Detail'!F$5:F$595,"Y")</f>
        <v>232</v>
      </c>
      <c r="E39" s="18">
        <f>D39/D37</f>
        <v>0.79180887372013653</v>
      </c>
    </row>
    <row r="41" spans="1:5" x14ac:dyDescent="0.3">
      <c r="A41" s="5" t="s">
        <v>174</v>
      </c>
      <c r="B41" s="9"/>
      <c r="C41" s="9"/>
      <c r="D41" s="9"/>
      <c r="E41" s="9"/>
    </row>
    <row r="42" spans="1:5" x14ac:dyDescent="0.3">
      <c r="A42" s="17" t="s">
        <v>175</v>
      </c>
      <c r="B42" s="21">
        <v>1975</v>
      </c>
      <c r="D42" s="21">
        <v>1714</v>
      </c>
    </row>
    <row r="43" spans="1:5" x14ac:dyDescent="0.3">
      <c r="A43" s="17" t="s">
        <v>176</v>
      </c>
      <c r="B43" s="21">
        <v>1991</v>
      </c>
      <c r="D43" s="21">
        <v>1738</v>
      </c>
    </row>
    <row r="44" spans="1:5" x14ac:dyDescent="0.3">
      <c r="A44" s="17" t="s">
        <v>177</v>
      </c>
      <c r="B44" s="21" t="s">
        <v>178</v>
      </c>
      <c r="D44" s="21">
        <v>1896.5</v>
      </c>
    </row>
    <row r="45" spans="1:5" x14ac:dyDescent="0.3">
      <c r="A45" s="17" t="s">
        <v>179</v>
      </c>
      <c r="B45" s="23" t="s">
        <v>178</v>
      </c>
      <c r="D45" s="23">
        <v>0.88790000000000002</v>
      </c>
    </row>
    <row r="46" spans="1:5" x14ac:dyDescent="0.3">
      <c r="A46" s="7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E29"/>
  <sheetViews>
    <sheetView showGridLines="0" zoomScaleNormal="100" workbookViewId="0"/>
  </sheetViews>
  <sheetFormatPr defaultColWidth="8.5546875" defaultRowHeight="14.4" x14ac:dyDescent="0.3"/>
  <cols>
    <col min="1" max="1" width="34" customWidth="1"/>
    <col min="2" max="2" width="12" customWidth="1"/>
    <col min="3" max="3" width="10" customWidth="1"/>
    <col min="4" max="4" width="12" customWidth="1"/>
    <col min="5" max="5" width="10" customWidth="1"/>
  </cols>
  <sheetData>
    <row r="1" spans="1:5" ht="15.6" x14ac:dyDescent="0.3">
      <c r="A1" s="15" t="s">
        <v>181</v>
      </c>
    </row>
    <row r="2" spans="1:5" x14ac:dyDescent="0.3">
      <c r="A2" s="7" t="s">
        <v>182</v>
      </c>
    </row>
    <row r="4" spans="1:5" ht="26.4" x14ac:dyDescent="0.3">
      <c r="A4" s="16" t="s">
        <v>183</v>
      </c>
      <c r="B4" s="16" t="s">
        <v>6</v>
      </c>
      <c r="C4" s="16" t="s">
        <v>141</v>
      </c>
      <c r="D4" s="16" t="s">
        <v>111</v>
      </c>
      <c r="E4" s="16" t="s">
        <v>142</v>
      </c>
    </row>
    <row r="5" spans="1:5" x14ac:dyDescent="0.3">
      <c r="A5" s="24" t="s">
        <v>184</v>
      </c>
      <c r="B5" s="24">
        <f>COUNTIF('CR Data'!L$5:L$460,A5)</f>
        <v>89</v>
      </c>
      <c r="C5" s="25">
        <f>B5/'Tier Summary'!C$11</f>
        <v>0.26409495548961426</v>
      </c>
      <c r="D5" s="24">
        <f>COUNTIFS('Seasons Data'!I$5:I$608,A5,'Seasons Data'!E$5:E$608,"Y",'Seasons Data'!H$5:H$608,"&lt;&gt;")</f>
        <v>9</v>
      </c>
      <c r="E5" s="25">
        <f>D5/'Tier Summary'!E$11</f>
        <v>2.0316027088036117E-2</v>
      </c>
    </row>
    <row r="6" spans="1:5" x14ac:dyDescent="0.3">
      <c r="A6" s="24" t="s">
        <v>185</v>
      </c>
      <c r="B6" s="24">
        <f>COUNTIF('CR Data'!L$5:L$460,A6)</f>
        <v>122</v>
      </c>
      <c r="C6" s="25">
        <f>B6/'Tier Summary'!C$11</f>
        <v>0.36201780415430268</v>
      </c>
      <c r="D6" s="24">
        <f>COUNTIFS('Seasons Data'!I$5:I$608,A6,'Seasons Data'!E$5:E$608,"Y",'Seasons Data'!H$5:H$608,"&lt;&gt;")</f>
        <v>12</v>
      </c>
      <c r="E6" s="25">
        <f>D6/'Tier Summary'!E$11</f>
        <v>2.7088036117381489E-2</v>
      </c>
    </row>
    <row r="7" spans="1:5" x14ac:dyDescent="0.3">
      <c r="A7" s="24" t="s">
        <v>186</v>
      </c>
      <c r="B7" s="24">
        <f>COUNTIF('CR Data'!L$5:L$460,A7)</f>
        <v>17</v>
      </c>
      <c r="C7" s="25">
        <f>B7/'Tier Summary'!C$11</f>
        <v>5.0445103857566766E-2</v>
      </c>
      <c r="D7" s="24">
        <f>COUNTIFS('Seasons Data'!I$5:I$608,A7,'Seasons Data'!E$5:E$608,"Y",'Seasons Data'!H$5:H$608,"&lt;&gt;")</f>
        <v>3</v>
      </c>
      <c r="E7" s="25">
        <f>D7/'Tier Summary'!E$11</f>
        <v>6.7720090293453723E-3</v>
      </c>
    </row>
    <row r="8" spans="1:5" x14ac:dyDescent="0.3">
      <c r="A8" s="24" t="s">
        <v>187</v>
      </c>
      <c r="B8" s="24">
        <f>COUNTIF('CR Data'!L$5:L$460,A8)</f>
        <v>13</v>
      </c>
      <c r="C8" s="25">
        <f>B8/'Tier Summary'!C$11</f>
        <v>3.857566765578635E-2</v>
      </c>
      <c r="D8" s="24">
        <f>COUNTIFS('Seasons Data'!I$5:I$608,A8,'Seasons Data'!E$5:E$608,"Y",'Seasons Data'!H$5:H$608,"&lt;&gt;")</f>
        <v>4</v>
      </c>
      <c r="E8" s="25">
        <f>D8/'Tier Summary'!E$11</f>
        <v>9.0293453724604959E-3</v>
      </c>
    </row>
    <row r="9" spans="1:5" x14ac:dyDescent="0.3">
      <c r="A9" s="10" t="s">
        <v>188</v>
      </c>
      <c r="B9" s="10">
        <f>COUNTIF('CR Data'!L$5:L$460,A9)</f>
        <v>5</v>
      </c>
      <c r="C9" s="14">
        <f>B9/'Tier Summary'!C$11</f>
        <v>1.483679525222552E-2</v>
      </c>
      <c r="D9" s="10">
        <f>COUNTIFS('Seasons Data'!I$5:I$608,A9,'Seasons Data'!E$5:E$608,"Y",'Seasons Data'!H$5:H$608,"&lt;&gt;")</f>
        <v>2</v>
      </c>
      <c r="E9" s="14">
        <f>D9/'Tier Summary'!E$11</f>
        <v>4.5146726862302479E-3</v>
      </c>
    </row>
    <row r="10" spans="1:5" x14ac:dyDescent="0.3">
      <c r="A10" s="10" t="s">
        <v>189</v>
      </c>
      <c r="B10" s="10">
        <f>COUNTIF('CR Data'!L$5:L$460,A10)</f>
        <v>16</v>
      </c>
      <c r="C10" s="14">
        <f>B10/'Tier Summary'!C$11</f>
        <v>4.7477744807121663E-2</v>
      </c>
      <c r="D10" s="10">
        <f>COUNTIFS('Seasons Data'!I$5:I$608,A10,'Seasons Data'!E$5:E$608,"Y",'Seasons Data'!H$5:H$608,"&lt;&gt;")</f>
        <v>32</v>
      </c>
      <c r="E10" s="14">
        <f>D10/'Tier Summary'!E$11</f>
        <v>7.2234762979683967E-2</v>
      </c>
    </row>
    <row r="11" spans="1:5" x14ac:dyDescent="0.3">
      <c r="A11" s="10" t="s">
        <v>190</v>
      </c>
      <c r="B11" s="10">
        <f>COUNTIF('CR Data'!L$5:L$460,A11)</f>
        <v>13</v>
      </c>
      <c r="C11" s="14">
        <f>B11/'Tier Summary'!C$11</f>
        <v>3.857566765578635E-2</v>
      </c>
      <c r="D11" s="10">
        <f>COUNTIFS('Seasons Data'!I$5:I$608,A11,'Seasons Data'!E$5:E$608,"Y",'Seasons Data'!H$5:H$608,"&lt;&gt;")</f>
        <v>61</v>
      </c>
      <c r="E11" s="14">
        <f>D11/'Tier Summary'!E$11</f>
        <v>0.13769751693002258</v>
      </c>
    </row>
    <row r="12" spans="1:5" x14ac:dyDescent="0.3">
      <c r="A12" s="10" t="s">
        <v>191</v>
      </c>
      <c r="B12" s="10">
        <f>COUNTIF('CR Data'!L$5:L$460,A12)</f>
        <v>11</v>
      </c>
      <c r="C12" s="14">
        <f>B12/'Tier Summary'!C$11</f>
        <v>3.2640949554896145E-2</v>
      </c>
      <c r="D12" s="10">
        <f>COUNTIFS('Seasons Data'!I$5:I$608,A12,'Seasons Data'!E$5:E$608,"Y",'Seasons Data'!H$5:H$608,"&lt;&gt;")</f>
        <v>96</v>
      </c>
      <c r="E12" s="14">
        <f>D12/'Tier Summary'!E$11</f>
        <v>0.21670428893905191</v>
      </c>
    </row>
    <row r="13" spans="1:5" x14ac:dyDescent="0.3">
      <c r="A13" s="10" t="s">
        <v>192</v>
      </c>
      <c r="B13" s="10">
        <f>COUNTIF('CR Data'!L$5:L$460,A13)</f>
        <v>10</v>
      </c>
      <c r="C13" s="14">
        <f>B13/'Tier Summary'!C$11</f>
        <v>2.967359050445104E-2</v>
      </c>
      <c r="D13" s="10">
        <f>COUNTIFS('Seasons Data'!I$5:I$608,A13,'Seasons Data'!E$5:E$608,"Y",'Seasons Data'!H$5:H$608,"&lt;&gt;")</f>
        <v>20</v>
      </c>
      <c r="E13" s="14">
        <f>D13/'Tier Summary'!E$11</f>
        <v>4.5146726862302484E-2</v>
      </c>
    </row>
    <row r="14" spans="1:5" x14ac:dyDescent="0.3">
      <c r="A14" s="10" t="s">
        <v>193</v>
      </c>
      <c r="B14" s="10">
        <f>COUNTIF('CR Data'!L$5:L$460,A14)</f>
        <v>10</v>
      </c>
      <c r="C14" s="14">
        <f>B14/'Tier Summary'!C$11</f>
        <v>2.967359050445104E-2</v>
      </c>
      <c r="D14" s="10">
        <f>COUNTIFS('Seasons Data'!I$5:I$608,A14,'Seasons Data'!E$5:E$608,"Y",'Seasons Data'!H$5:H$608,"&lt;&gt;")</f>
        <v>9</v>
      </c>
      <c r="E14" s="14">
        <f>D14/'Tier Summary'!E$11</f>
        <v>2.0316027088036117E-2</v>
      </c>
    </row>
    <row r="15" spans="1:5" x14ac:dyDescent="0.3">
      <c r="A15" s="10" t="s">
        <v>194</v>
      </c>
      <c r="B15" s="10">
        <f>COUNTIF('CR Data'!L$5:L$460,A15)</f>
        <v>8</v>
      </c>
      <c r="C15" s="14">
        <f>B15/'Tier Summary'!C$11</f>
        <v>2.3738872403560832E-2</v>
      </c>
      <c r="D15" s="10">
        <f>COUNTIFS('Seasons Data'!I$5:I$608,A15,'Seasons Data'!E$5:E$608,"Y",'Seasons Data'!H$5:H$608,"&lt;&gt;")</f>
        <v>33</v>
      </c>
      <c r="E15" s="14">
        <f>D15/'Tier Summary'!E$11</f>
        <v>7.4492099322799099E-2</v>
      </c>
    </row>
    <row r="16" spans="1:5" x14ac:dyDescent="0.3">
      <c r="A16" s="10" t="s">
        <v>195</v>
      </c>
      <c r="B16" s="10">
        <f>COUNTIF('CR Data'!L$5:L$460,A16)</f>
        <v>5</v>
      </c>
      <c r="C16" s="14">
        <f>B16/'Tier Summary'!C$11</f>
        <v>1.483679525222552E-2</v>
      </c>
      <c r="D16" s="10">
        <f>COUNTIFS('Seasons Data'!I$5:I$608,A16,'Seasons Data'!E$5:E$608,"Y",'Seasons Data'!H$5:H$608,"&lt;&gt;")</f>
        <v>22</v>
      </c>
      <c r="E16" s="14">
        <f>D16/'Tier Summary'!E$11</f>
        <v>4.9661399548532728E-2</v>
      </c>
    </row>
    <row r="17" spans="1:5" x14ac:dyDescent="0.3">
      <c r="A17" s="10" t="s">
        <v>196</v>
      </c>
      <c r="B17" s="10">
        <f>COUNTIF('CR Data'!L$5:L$460,A17)</f>
        <v>4</v>
      </c>
      <c r="C17" s="14">
        <f>B17/'Tier Summary'!C$11</f>
        <v>1.1869436201780416E-2</v>
      </c>
      <c r="D17" s="10">
        <f>COUNTIFS('Seasons Data'!I$5:I$608,A17,'Seasons Data'!E$5:E$608,"Y",'Seasons Data'!H$5:H$608,"&lt;&gt;")</f>
        <v>15</v>
      </c>
      <c r="E17" s="14">
        <f>D17/'Tier Summary'!E$11</f>
        <v>3.3860045146726865E-2</v>
      </c>
    </row>
    <row r="18" spans="1:5" x14ac:dyDescent="0.3">
      <c r="A18" s="10" t="s">
        <v>197</v>
      </c>
      <c r="B18" s="10">
        <f>COUNTIF('CR Data'!L$5:L$460,A18)</f>
        <v>3</v>
      </c>
      <c r="C18" s="14">
        <f>B18/'Tier Summary'!C$11</f>
        <v>8.9020771513353119E-3</v>
      </c>
      <c r="D18" s="10">
        <f>COUNTIFS('Seasons Data'!I$5:I$608,A18,'Seasons Data'!E$5:E$608,"Y",'Seasons Data'!H$5:H$608,"&lt;&gt;")</f>
        <v>46</v>
      </c>
      <c r="E18" s="14">
        <f>D18/'Tier Summary'!E$11</f>
        <v>0.10383747178329571</v>
      </c>
    </row>
    <row r="19" spans="1:5" x14ac:dyDescent="0.3">
      <c r="A19" s="10" t="s">
        <v>198</v>
      </c>
      <c r="B19" s="10">
        <f>COUNTIF('CR Data'!L$5:L$460,A19)</f>
        <v>3</v>
      </c>
      <c r="C19" s="14">
        <f>B19/'Tier Summary'!C$11</f>
        <v>8.9020771513353119E-3</v>
      </c>
      <c r="D19" s="10">
        <f>COUNTIFS('Seasons Data'!I$5:I$608,A19,'Seasons Data'!E$5:E$608,"Y",'Seasons Data'!H$5:H$608,"&lt;&gt;")</f>
        <v>10</v>
      </c>
      <c r="E19" s="14">
        <f>D19/'Tier Summary'!E$11</f>
        <v>2.2573363431151242E-2</v>
      </c>
    </row>
    <row r="20" spans="1:5" x14ac:dyDescent="0.3">
      <c r="A20" s="10" t="s">
        <v>199</v>
      </c>
      <c r="B20" s="10">
        <f>COUNTIF('CR Data'!L$5:L$460,A20)</f>
        <v>2</v>
      </c>
      <c r="C20" s="14">
        <f>B20/'Tier Summary'!C$11</f>
        <v>5.9347181008902079E-3</v>
      </c>
      <c r="D20" s="10">
        <f>COUNTIFS('Seasons Data'!I$5:I$608,A20,'Seasons Data'!E$5:E$608,"Y",'Seasons Data'!H$5:H$608,"&lt;&gt;")</f>
        <v>15</v>
      </c>
      <c r="E20" s="14">
        <f>D20/'Tier Summary'!E$11</f>
        <v>3.3860045146726865E-2</v>
      </c>
    </row>
    <row r="21" spans="1:5" x14ac:dyDescent="0.3">
      <c r="A21" s="10" t="s">
        <v>200</v>
      </c>
      <c r="B21" s="10">
        <f>COUNTIF('CR Data'!L$5:L$460,A21)</f>
        <v>2</v>
      </c>
      <c r="C21" s="14">
        <f>B21/'Tier Summary'!C$11</f>
        <v>5.9347181008902079E-3</v>
      </c>
      <c r="D21" s="10">
        <f>COUNTIFS('Seasons Data'!I$5:I$608,A21,'Seasons Data'!E$5:E$608,"Y",'Seasons Data'!H$5:H$608,"&lt;&gt;")</f>
        <v>10</v>
      </c>
      <c r="E21" s="14">
        <f>D21/'Tier Summary'!E$11</f>
        <v>2.2573363431151242E-2</v>
      </c>
    </row>
    <row r="22" spans="1:5" x14ac:dyDescent="0.3">
      <c r="A22" s="10" t="s">
        <v>201</v>
      </c>
      <c r="B22" s="10">
        <f>COUNTIF('CR Data'!L$5:L$460,A22)</f>
        <v>2</v>
      </c>
      <c r="C22" s="14">
        <f>B22/'Tier Summary'!C$11</f>
        <v>5.9347181008902079E-3</v>
      </c>
      <c r="D22" s="10">
        <f>COUNTIFS('Seasons Data'!I$5:I$608,A22,'Seasons Data'!E$5:E$608,"Y",'Seasons Data'!H$5:H$608,"&lt;&gt;")</f>
        <v>7</v>
      </c>
      <c r="E22" s="14">
        <f>D22/'Tier Summary'!E$11</f>
        <v>1.580135440180587E-2</v>
      </c>
    </row>
    <row r="23" spans="1:5" x14ac:dyDescent="0.3">
      <c r="A23" s="10" t="s">
        <v>202</v>
      </c>
      <c r="B23" s="10">
        <f>COUNTIF('CR Data'!L$5:L$460,A23)</f>
        <v>1</v>
      </c>
      <c r="C23" s="14">
        <f>B23/'Tier Summary'!C$11</f>
        <v>2.967359050445104E-3</v>
      </c>
      <c r="D23" s="10">
        <f>COUNTIFS('Seasons Data'!I$5:I$608,A23,'Seasons Data'!E$5:E$608,"Y",'Seasons Data'!H$5:H$608,"&lt;&gt;")</f>
        <v>6</v>
      </c>
      <c r="E23" s="14">
        <f>D23/'Tier Summary'!E$11</f>
        <v>1.3544018058690745E-2</v>
      </c>
    </row>
    <row r="24" spans="1:5" x14ac:dyDescent="0.3">
      <c r="A24" s="10" t="s">
        <v>203</v>
      </c>
      <c r="B24" s="10">
        <f>COUNTIF('CR Data'!L$5:L$460,A24)</f>
        <v>1</v>
      </c>
      <c r="C24" s="14">
        <f>B24/'Tier Summary'!C$11</f>
        <v>2.967359050445104E-3</v>
      </c>
      <c r="D24" s="10">
        <f>COUNTIFS('Seasons Data'!I$5:I$608,A24,'Seasons Data'!E$5:E$608,"Y",'Seasons Data'!H$5:H$608,"&lt;&gt;")</f>
        <v>7</v>
      </c>
      <c r="E24" s="14">
        <f>D24/'Tier Summary'!E$11</f>
        <v>1.580135440180587E-2</v>
      </c>
    </row>
    <row r="25" spans="1:5" x14ac:dyDescent="0.3">
      <c r="A25" s="10" t="s">
        <v>204</v>
      </c>
      <c r="B25" s="10">
        <f>COUNTIF('CR Data'!L$5:L$460,A25)</f>
        <v>0</v>
      </c>
      <c r="C25" s="14">
        <f>B25/'Tier Summary'!C$11</f>
        <v>0</v>
      </c>
      <c r="D25" s="10">
        <f>COUNTIFS('Seasons Data'!I$5:I$608,A25,'Seasons Data'!E$5:E$608,"Y",'Seasons Data'!H$5:H$608,"&lt;&gt;")</f>
        <v>8</v>
      </c>
      <c r="E25" s="14">
        <f>D25/'Tier Summary'!E$11</f>
        <v>1.8058690744920992E-2</v>
      </c>
    </row>
    <row r="26" spans="1:5" x14ac:dyDescent="0.3">
      <c r="A26" s="10" t="s">
        <v>205</v>
      </c>
      <c r="B26" s="10">
        <f>COUNTIF('CR Data'!L$5:L$460,A26)</f>
        <v>0</v>
      </c>
      <c r="C26" s="14">
        <f>B26/'Tier Summary'!C$11</f>
        <v>0</v>
      </c>
      <c r="D26" s="10">
        <f>COUNTIFS('Seasons Data'!I$5:I$608,A26,'Seasons Data'!E$5:E$608,"Y",'Seasons Data'!H$5:H$608,"&lt;&gt;")</f>
        <v>6</v>
      </c>
      <c r="E26" s="14">
        <f>D26/'Tier Summary'!E$11</f>
        <v>1.3544018058690745E-2</v>
      </c>
    </row>
    <row r="27" spans="1:5" x14ac:dyDescent="0.3">
      <c r="A27" s="10" t="s">
        <v>206</v>
      </c>
      <c r="B27" s="10">
        <f>COUNTIF('CR Data'!L$5:L$460,A27)</f>
        <v>0</v>
      </c>
      <c r="C27" s="14">
        <f>B27/'Tier Summary'!C$11</f>
        <v>0</v>
      </c>
      <c r="D27" s="10">
        <f>COUNTIFS('Seasons Data'!I$5:I$608,A27,'Seasons Data'!E$5:E$608,"Y",'Seasons Data'!H$5:H$608,"&lt;&gt;")</f>
        <v>6</v>
      </c>
      <c r="E27" s="14">
        <f>D27/'Tier Summary'!E$11</f>
        <v>1.3544018058690745E-2</v>
      </c>
    </row>
    <row r="28" spans="1:5" x14ac:dyDescent="0.3">
      <c r="A28" s="10" t="s">
        <v>207</v>
      </c>
      <c r="B28" s="10">
        <f>COUNTIF('CR Data'!L$5:L$460,A28)</f>
        <v>0</v>
      </c>
      <c r="C28" s="14">
        <f>B28/'Tier Summary'!C$11</f>
        <v>0</v>
      </c>
      <c r="D28" s="10">
        <f>COUNTIFS('Seasons Data'!I$5:I$608,A28,'Seasons Data'!E$5:E$608,"Y",'Seasons Data'!H$5:H$608,"&lt;&gt;")</f>
        <v>4</v>
      </c>
      <c r="E28" s="14">
        <f>D28/'Tier Summary'!E$11</f>
        <v>9.0293453724604959E-3</v>
      </c>
    </row>
    <row r="29" spans="1:5" x14ac:dyDescent="0.3">
      <c r="A29" s="3" t="s">
        <v>208</v>
      </c>
      <c r="B29" s="3">
        <f>SUM(B5:B28)</f>
        <v>337</v>
      </c>
      <c r="D29" s="3">
        <f>SUM(D5:D28)</f>
        <v>443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E22"/>
  <sheetViews>
    <sheetView showGridLines="0" zoomScaleNormal="100" workbookViewId="0"/>
  </sheetViews>
  <sheetFormatPr defaultColWidth="8.5546875" defaultRowHeight="14.4" x14ac:dyDescent="0.3"/>
  <cols>
    <col min="1" max="1" width="10" customWidth="1"/>
    <col min="2" max="2" width="14" customWidth="1"/>
    <col min="3" max="3" width="13" customWidth="1"/>
    <col min="4" max="4" width="14" customWidth="1"/>
    <col min="5" max="5" width="64" customWidth="1"/>
  </cols>
  <sheetData>
    <row r="1" spans="1:5" ht="15.6" x14ac:dyDescent="0.3">
      <c r="A1" s="15" t="s">
        <v>209</v>
      </c>
    </row>
    <row r="2" spans="1:5" x14ac:dyDescent="0.3">
      <c r="A2" s="7" t="s">
        <v>210</v>
      </c>
    </row>
    <row r="4" spans="1:5" ht="26.4" x14ac:dyDescent="0.3">
      <c r="A4" s="16" t="s">
        <v>211</v>
      </c>
      <c r="B4" s="16" t="s">
        <v>212</v>
      </c>
      <c r="C4" s="16" t="s">
        <v>213</v>
      </c>
      <c r="D4" s="16" t="s">
        <v>214</v>
      </c>
      <c r="E4" s="16" t="s">
        <v>215</v>
      </c>
    </row>
    <row r="5" spans="1:5" x14ac:dyDescent="0.3">
      <c r="A5" s="10" t="s">
        <v>216</v>
      </c>
      <c r="B5" s="12">
        <v>13</v>
      </c>
      <c r="C5" s="26">
        <v>0.38</v>
      </c>
      <c r="D5" s="12">
        <v>4</v>
      </c>
      <c r="E5" s="10" t="s">
        <v>217</v>
      </c>
    </row>
    <row r="6" spans="1:5" x14ac:dyDescent="0.3">
      <c r="A6" s="10" t="s">
        <v>218</v>
      </c>
      <c r="B6" s="12">
        <v>5</v>
      </c>
      <c r="C6" s="26">
        <v>0.6</v>
      </c>
      <c r="D6" s="12">
        <v>12</v>
      </c>
      <c r="E6" s="10"/>
    </row>
    <row r="7" spans="1:5" x14ac:dyDescent="0.3">
      <c r="A7" s="10" t="s">
        <v>219</v>
      </c>
      <c r="B7" s="12">
        <v>17</v>
      </c>
      <c r="C7" s="26">
        <v>0.71</v>
      </c>
      <c r="D7" s="12">
        <v>39</v>
      </c>
      <c r="E7" s="10"/>
    </row>
    <row r="8" spans="1:5" x14ac:dyDescent="0.3">
      <c r="A8" s="10" t="s">
        <v>220</v>
      </c>
      <c r="B8" s="12">
        <v>58</v>
      </c>
      <c r="C8" s="26">
        <v>0.48</v>
      </c>
      <c r="D8" s="12">
        <v>50</v>
      </c>
      <c r="E8" s="10" t="s">
        <v>221</v>
      </c>
    </row>
    <row r="9" spans="1:5" x14ac:dyDescent="0.3">
      <c r="A9" s="10" t="s">
        <v>222</v>
      </c>
      <c r="B9" s="12">
        <v>69</v>
      </c>
      <c r="C9" s="26">
        <v>0.67</v>
      </c>
      <c r="D9" s="12">
        <v>66</v>
      </c>
      <c r="E9" s="10" t="s">
        <v>223</v>
      </c>
    </row>
    <row r="10" spans="1:5" x14ac:dyDescent="0.3">
      <c r="A10" s="10" t="s">
        <v>224</v>
      </c>
      <c r="B10" s="12">
        <v>48</v>
      </c>
      <c r="C10" s="26">
        <v>0.71</v>
      </c>
      <c r="D10" s="12">
        <v>66</v>
      </c>
      <c r="E10" s="10" t="s">
        <v>225</v>
      </c>
    </row>
    <row r="11" spans="1:5" x14ac:dyDescent="0.3">
      <c r="A11" s="10" t="s">
        <v>226</v>
      </c>
      <c r="B11" s="12">
        <v>43</v>
      </c>
      <c r="C11" s="26">
        <v>0.77</v>
      </c>
      <c r="D11" s="12">
        <v>59</v>
      </c>
      <c r="E11" s="10" t="s">
        <v>227</v>
      </c>
    </row>
    <row r="12" spans="1:5" x14ac:dyDescent="0.3">
      <c r="A12" s="10" t="s">
        <v>228</v>
      </c>
      <c r="B12" s="12">
        <v>32</v>
      </c>
      <c r="C12" s="26">
        <v>0.81</v>
      </c>
      <c r="D12" s="12">
        <v>43</v>
      </c>
      <c r="E12" s="10" t="s">
        <v>229</v>
      </c>
    </row>
    <row r="13" spans="1:5" x14ac:dyDescent="0.3">
      <c r="A13" s="10" t="s">
        <v>230</v>
      </c>
      <c r="B13" s="12">
        <v>1</v>
      </c>
      <c r="C13" s="26">
        <v>0</v>
      </c>
      <c r="D13" s="12">
        <v>3</v>
      </c>
      <c r="E13" s="10"/>
    </row>
    <row r="14" spans="1:5" x14ac:dyDescent="0.3">
      <c r="A14" s="3" t="s">
        <v>231</v>
      </c>
      <c r="B14" s="3">
        <f>SUM(B5:B13)</f>
        <v>286</v>
      </c>
      <c r="D14" s="3">
        <f>SUM(D5:D13)</f>
        <v>342</v>
      </c>
    </row>
    <row r="16" spans="1:5" x14ac:dyDescent="0.3">
      <c r="A16" s="5" t="s">
        <v>232</v>
      </c>
      <c r="B16" s="9"/>
      <c r="C16" s="9"/>
      <c r="D16" s="9"/>
      <c r="E16" s="9"/>
    </row>
    <row r="17" spans="1:5" x14ac:dyDescent="0.3">
      <c r="A17" s="17" t="s">
        <v>41</v>
      </c>
      <c r="B17" s="27">
        <v>287</v>
      </c>
      <c r="C17" s="27">
        <v>360</v>
      </c>
    </row>
    <row r="18" spans="1:5" x14ac:dyDescent="0.3">
      <c r="A18" s="17" t="s">
        <v>46</v>
      </c>
      <c r="B18" s="27">
        <v>286</v>
      </c>
      <c r="C18" s="27">
        <v>342</v>
      </c>
      <c r="E18" s="7" t="s">
        <v>233</v>
      </c>
    </row>
    <row r="19" spans="1:5" x14ac:dyDescent="0.3">
      <c r="A19" s="17" t="s">
        <v>47</v>
      </c>
      <c r="B19" s="19">
        <f>B18/B17</f>
        <v>0.99651567944250874</v>
      </c>
      <c r="C19" s="19">
        <f>C18/C17</f>
        <v>0.95</v>
      </c>
    </row>
    <row r="20" spans="1:5" x14ac:dyDescent="0.3">
      <c r="A20" s="17" t="s">
        <v>48</v>
      </c>
      <c r="B20" s="27">
        <v>24</v>
      </c>
      <c r="C20" s="27">
        <v>38</v>
      </c>
      <c r="E20" s="7" t="s">
        <v>234</v>
      </c>
    </row>
    <row r="21" spans="1:5" x14ac:dyDescent="0.3">
      <c r="A21" s="17" t="s">
        <v>50</v>
      </c>
      <c r="B21" s="19">
        <f>B20/B18</f>
        <v>8.3916083916083919E-2</v>
      </c>
      <c r="C21" s="19">
        <f>C20/C18</f>
        <v>0.1111111111111111</v>
      </c>
    </row>
    <row r="22" spans="1:5" x14ac:dyDescent="0.3">
      <c r="A22" s="17" t="s">
        <v>235</v>
      </c>
      <c r="B22" s="27">
        <v>1</v>
      </c>
      <c r="C22" s="27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H3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1" width="6" customWidth="1"/>
    <col min="2" max="2" width="36" customWidth="1"/>
    <col min="3" max="3" width="8" customWidth="1"/>
    <col min="4" max="6" width="12" customWidth="1"/>
    <col min="7" max="7" width="15" customWidth="1"/>
    <col min="8" max="8" width="70" customWidth="1"/>
  </cols>
  <sheetData>
    <row r="1" spans="1:8" ht="15.6" x14ac:dyDescent="0.3">
      <c r="A1" s="15" t="s">
        <v>236</v>
      </c>
    </row>
    <row r="2" spans="1:8" x14ac:dyDescent="0.3">
      <c r="A2" s="7" t="s">
        <v>237</v>
      </c>
    </row>
    <row r="4" spans="1:8" ht="26.4" x14ac:dyDescent="0.3">
      <c r="A4" s="16" t="s">
        <v>108</v>
      </c>
      <c r="B4" s="16" t="s">
        <v>238</v>
      </c>
      <c r="C4" s="16" t="s">
        <v>239</v>
      </c>
      <c r="D4" s="16" t="s">
        <v>240</v>
      </c>
      <c r="E4" s="16" t="s">
        <v>241</v>
      </c>
      <c r="F4" s="16" t="s">
        <v>242</v>
      </c>
      <c r="G4" s="16" t="s">
        <v>243</v>
      </c>
      <c r="H4" s="16" t="s">
        <v>244</v>
      </c>
    </row>
    <row r="5" spans="1:8" x14ac:dyDescent="0.3">
      <c r="A5" s="28" t="s">
        <v>113</v>
      </c>
      <c r="B5" s="28" t="s">
        <v>245</v>
      </c>
      <c r="C5" s="28" t="s">
        <v>246</v>
      </c>
      <c r="D5" s="28" t="s">
        <v>247</v>
      </c>
      <c r="E5" s="28" t="s">
        <v>248</v>
      </c>
      <c r="F5" s="29">
        <v>51180</v>
      </c>
      <c r="G5" s="28" t="s">
        <v>249</v>
      </c>
      <c r="H5" s="28"/>
    </row>
    <row r="6" spans="1:8" ht="26.4" x14ac:dyDescent="0.3">
      <c r="A6" s="28" t="s">
        <v>113</v>
      </c>
      <c r="B6" s="28" t="s">
        <v>245</v>
      </c>
      <c r="C6" s="28" t="s">
        <v>250</v>
      </c>
      <c r="D6" s="28" t="s">
        <v>251</v>
      </c>
      <c r="E6" s="28" t="s">
        <v>252</v>
      </c>
      <c r="F6" s="29">
        <v>276816</v>
      </c>
      <c r="G6" s="28" t="s">
        <v>249</v>
      </c>
      <c r="H6" s="28"/>
    </row>
    <row r="7" spans="1:8" x14ac:dyDescent="0.3">
      <c r="A7" s="28" t="s">
        <v>113</v>
      </c>
      <c r="B7" s="28" t="s">
        <v>245</v>
      </c>
      <c r="C7" s="28" t="s">
        <v>253</v>
      </c>
      <c r="D7" s="28" t="s">
        <v>247</v>
      </c>
      <c r="E7" s="28" t="s">
        <v>248</v>
      </c>
      <c r="F7" s="29">
        <v>56700</v>
      </c>
      <c r="G7" s="28" t="s">
        <v>249</v>
      </c>
      <c r="H7" s="28"/>
    </row>
    <row r="8" spans="1:8" x14ac:dyDescent="0.3">
      <c r="A8" s="28" t="s">
        <v>113</v>
      </c>
      <c r="B8" s="28" t="s">
        <v>245</v>
      </c>
      <c r="C8" s="28" t="s">
        <v>254</v>
      </c>
      <c r="D8" s="28" t="s">
        <v>247</v>
      </c>
      <c r="E8" s="28" t="s">
        <v>248</v>
      </c>
      <c r="F8" s="29">
        <v>58812</v>
      </c>
      <c r="G8" s="28" t="s">
        <v>249</v>
      </c>
      <c r="H8" s="28"/>
    </row>
    <row r="9" spans="1:8" x14ac:dyDescent="0.3">
      <c r="A9" s="28" t="s">
        <v>113</v>
      </c>
      <c r="B9" s="28" t="s">
        <v>245</v>
      </c>
      <c r="C9" s="28" t="s">
        <v>255</v>
      </c>
      <c r="D9" s="28" t="s">
        <v>247</v>
      </c>
      <c r="E9" s="28" t="s">
        <v>248</v>
      </c>
      <c r="F9" s="29">
        <v>124272</v>
      </c>
      <c r="G9" s="28" t="s">
        <v>249</v>
      </c>
      <c r="H9" s="28"/>
    </row>
    <row r="10" spans="1:8" x14ac:dyDescent="0.3">
      <c r="A10" s="28" t="s">
        <v>113</v>
      </c>
      <c r="B10" s="28" t="s">
        <v>245</v>
      </c>
      <c r="C10" s="28" t="s">
        <v>256</v>
      </c>
      <c r="D10" s="28" t="s">
        <v>247</v>
      </c>
      <c r="E10" s="28" t="s">
        <v>248</v>
      </c>
      <c r="F10" s="29">
        <v>96996</v>
      </c>
      <c r="G10" s="28" t="s">
        <v>249</v>
      </c>
      <c r="H10" s="28"/>
    </row>
    <row r="11" spans="1:8" x14ac:dyDescent="0.3">
      <c r="A11" s="28" t="s">
        <v>113</v>
      </c>
      <c r="B11" s="28" t="s">
        <v>245</v>
      </c>
      <c r="C11" s="28" t="s">
        <v>257</v>
      </c>
      <c r="D11" s="28" t="s">
        <v>247</v>
      </c>
      <c r="E11" s="28" t="s">
        <v>248</v>
      </c>
      <c r="F11" s="29">
        <v>121608</v>
      </c>
      <c r="G11" s="28" t="s">
        <v>249</v>
      </c>
      <c r="H11" s="28"/>
    </row>
    <row r="12" spans="1:8" x14ac:dyDescent="0.3">
      <c r="A12" s="28" t="s">
        <v>113</v>
      </c>
      <c r="B12" s="28" t="s">
        <v>245</v>
      </c>
      <c r="C12" s="28" t="s">
        <v>258</v>
      </c>
      <c r="D12" s="28" t="s">
        <v>259</v>
      </c>
      <c r="E12" s="28" t="s">
        <v>248</v>
      </c>
      <c r="F12" s="29">
        <v>50400</v>
      </c>
      <c r="G12" s="28" t="s">
        <v>249</v>
      </c>
      <c r="H12" s="28"/>
    </row>
    <row r="13" spans="1:8" x14ac:dyDescent="0.3">
      <c r="A13" s="28" t="s">
        <v>113</v>
      </c>
      <c r="B13" s="28" t="s">
        <v>245</v>
      </c>
      <c r="C13" s="28" t="s">
        <v>260</v>
      </c>
      <c r="D13" s="28" t="s">
        <v>247</v>
      </c>
      <c r="E13" s="28" t="s">
        <v>248</v>
      </c>
      <c r="F13" s="29">
        <v>54000</v>
      </c>
      <c r="G13" s="28" t="s">
        <v>249</v>
      </c>
      <c r="H13" s="28"/>
    </row>
    <row r="14" spans="1:8" x14ac:dyDescent="0.3">
      <c r="A14" s="28" t="s">
        <v>113</v>
      </c>
      <c r="B14" s="28" t="s">
        <v>245</v>
      </c>
      <c r="C14" s="28" t="s">
        <v>261</v>
      </c>
      <c r="D14" s="28" t="s">
        <v>247</v>
      </c>
      <c r="E14" s="28" t="s">
        <v>248</v>
      </c>
      <c r="F14" s="29">
        <v>87600</v>
      </c>
      <c r="G14" s="28" t="s">
        <v>249</v>
      </c>
      <c r="H14" s="28"/>
    </row>
    <row r="15" spans="1:8" ht="26.4" x14ac:dyDescent="0.3">
      <c r="A15" s="28" t="s">
        <v>115</v>
      </c>
      <c r="B15" s="28" t="s">
        <v>262</v>
      </c>
      <c r="C15" s="28" t="s">
        <v>263</v>
      </c>
      <c r="D15" s="28" t="s">
        <v>264</v>
      </c>
      <c r="E15" s="28" t="s">
        <v>248</v>
      </c>
      <c r="F15" s="29">
        <v>133620</v>
      </c>
      <c r="G15" s="28" t="s">
        <v>249</v>
      </c>
      <c r="H15" s="28" t="s">
        <v>265</v>
      </c>
    </row>
    <row r="16" spans="1:8" ht="26.4" x14ac:dyDescent="0.3">
      <c r="A16" s="28" t="s">
        <v>115</v>
      </c>
      <c r="B16" s="28" t="s">
        <v>262</v>
      </c>
      <c r="C16" s="28" t="s">
        <v>263</v>
      </c>
      <c r="D16" s="28" t="s">
        <v>259</v>
      </c>
      <c r="E16" s="28" t="s">
        <v>248</v>
      </c>
      <c r="F16" s="29">
        <v>133620</v>
      </c>
      <c r="G16" s="28" t="s">
        <v>249</v>
      </c>
      <c r="H16" s="28" t="s">
        <v>265</v>
      </c>
    </row>
    <row r="17" spans="1:8" ht="26.4" x14ac:dyDescent="0.3">
      <c r="A17" s="28" t="s">
        <v>115</v>
      </c>
      <c r="B17" s="28" t="s">
        <v>266</v>
      </c>
      <c r="C17" s="28" t="s">
        <v>267</v>
      </c>
      <c r="D17" s="28" t="s">
        <v>247</v>
      </c>
      <c r="E17" s="28" t="s">
        <v>248</v>
      </c>
      <c r="F17" s="29">
        <v>83160</v>
      </c>
      <c r="G17" s="28" t="s">
        <v>249</v>
      </c>
      <c r="H17" s="28" t="s">
        <v>268</v>
      </c>
    </row>
    <row r="18" spans="1:8" x14ac:dyDescent="0.3">
      <c r="A18" s="28" t="s">
        <v>115</v>
      </c>
      <c r="B18" s="28" t="s">
        <v>269</v>
      </c>
      <c r="C18" s="28" t="s">
        <v>270</v>
      </c>
      <c r="D18" s="28" t="s">
        <v>247</v>
      </c>
      <c r="E18" s="28" t="s">
        <v>248</v>
      </c>
      <c r="F18" s="29">
        <v>120000</v>
      </c>
      <c r="G18" s="28" t="s">
        <v>249</v>
      </c>
      <c r="H18" s="28"/>
    </row>
    <row r="19" spans="1:8" x14ac:dyDescent="0.3">
      <c r="A19" s="28" t="s">
        <v>115</v>
      </c>
      <c r="B19" s="28" t="s">
        <v>271</v>
      </c>
      <c r="C19" s="28" t="s">
        <v>272</v>
      </c>
      <c r="D19" s="28" t="s">
        <v>247</v>
      </c>
      <c r="E19" s="28" t="s">
        <v>248</v>
      </c>
      <c r="F19" s="29">
        <v>118392</v>
      </c>
      <c r="G19" s="28" t="s">
        <v>273</v>
      </c>
      <c r="H19" s="28"/>
    </row>
    <row r="20" spans="1:8" x14ac:dyDescent="0.3">
      <c r="A20" s="28" t="s">
        <v>115</v>
      </c>
      <c r="B20" s="28" t="s">
        <v>271</v>
      </c>
      <c r="C20" s="28" t="s">
        <v>272</v>
      </c>
      <c r="D20" s="28" t="s">
        <v>264</v>
      </c>
      <c r="E20" s="28" t="s">
        <v>248</v>
      </c>
      <c r="F20" s="29">
        <v>183312</v>
      </c>
      <c r="G20" s="28" t="s">
        <v>273</v>
      </c>
      <c r="H20" s="28"/>
    </row>
    <row r="21" spans="1:8" x14ac:dyDescent="0.3">
      <c r="A21" s="28" t="s">
        <v>115</v>
      </c>
      <c r="B21" s="28" t="s">
        <v>274</v>
      </c>
      <c r="C21" s="28" t="s">
        <v>275</v>
      </c>
      <c r="D21" s="28" t="s">
        <v>259</v>
      </c>
      <c r="E21" s="28" t="s">
        <v>248</v>
      </c>
      <c r="F21" s="29">
        <v>107172</v>
      </c>
      <c r="G21" s="28" t="s">
        <v>249</v>
      </c>
      <c r="H21" s="28"/>
    </row>
    <row r="22" spans="1:8" x14ac:dyDescent="0.3">
      <c r="A22" s="28" t="s">
        <v>115</v>
      </c>
      <c r="B22" s="28" t="s">
        <v>276</v>
      </c>
      <c r="C22" s="28" t="s">
        <v>277</v>
      </c>
      <c r="D22" s="28" t="s">
        <v>247</v>
      </c>
      <c r="E22" s="28" t="s">
        <v>248</v>
      </c>
      <c r="F22" s="29">
        <v>120000</v>
      </c>
      <c r="G22" s="28" t="s">
        <v>273</v>
      </c>
      <c r="H22" s="28"/>
    </row>
    <row r="23" spans="1:8" x14ac:dyDescent="0.3">
      <c r="A23" s="28" t="s">
        <v>115</v>
      </c>
      <c r="B23" s="28" t="s">
        <v>278</v>
      </c>
      <c r="C23" s="28" t="s">
        <v>275</v>
      </c>
      <c r="D23" s="28" t="s">
        <v>247</v>
      </c>
      <c r="E23" s="28" t="s">
        <v>248</v>
      </c>
      <c r="F23" s="29">
        <v>72372</v>
      </c>
      <c r="G23" s="28" t="s">
        <v>273</v>
      </c>
      <c r="H23" s="28"/>
    </row>
    <row r="24" spans="1:8" ht="26.4" x14ac:dyDescent="0.3">
      <c r="A24" s="28" t="s">
        <v>115</v>
      </c>
      <c r="B24" s="28" t="s">
        <v>279</v>
      </c>
      <c r="C24" s="28" t="s">
        <v>280</v>
      </c>
      <c r="D24" s="28" t="s">
        <v>247</v>
      </c>
      <c r="E24" s="28" t="s">
        <v>248</v>
      </c>
      <c r="F24" s="29">
        <v>80040</v>
      </c>
      <c r="G24" s="28" t="s">
        <v>273</v>
      </c>
      <c r="H24" s="28" t="s">
        <v>281</v>
      </c>
    </row>
    <row r="25" spans="1:8" ht="26.4" x14ac:dyDescent="0.3">
      <c r="A25" s="28" t="s">
        <v>115</v>
      </c>
      <c r="B25" s="28" t="s">
        <v>282</v>
      </c>
      <c r="C25" s="28" t="s">
        <v>283</v>
      </c>
      <c r="D25" s="28" t="s">
        <v>259</v>
      </c>
      <c r="E25" s="28" t="s">
        <v>248</v>
      </c>
      <c r="F25" s="29">
        <v>118356</v>
      </c>
      <c r="G25" s="28" t="s">
        <v>273</v>
      </c>
      <c r="H25" s="28" t="s">
        <v>284</v>
      </c>
    </row>
    <row r="26" spans="1:8" ht="39.6" x14ac:dyDescent="0.3">
      <c r="A26" s="28" t="s">
        <v>115</v>
      </c>
      <c r="B26" s="28" t="s">
        <v>285</v>
      </c>
      <c r="C26" s="28" t="s">
        <v>286</v>
      </c>
      <c r="D26" s="28" t="s">
        <v>247</v>
      </c>
      <c r="E26" s="28" t="s">
        <v>248</v>
      </c>
      <c r="F26" s="29">
        <v>103200</v>
      </c>
      <c r="G26" s="28" t="s">
        <v>287</v>
      </c>
      <c r="H26" s="28" t="s">
        <v>288</v>
      </c>
    </row>
    <row r="27" spans="1:8" ht="26.4" x14ac:dyDescent="0.3">
      <c r="A27" s="28" t="s">
        <v>117</v>
      </c>
      <c r="B27" s="28" t="s">
        <v>289</v>
      </c>
      <c r="C27" s="28" t="s">
        <v>290</v>
      </c>
      <c r="D27" s="28" t="s">
        <v>247</v>
      </c>
      <c r="E27" s="28" t="s">
        <v>248</v>
      </c>
      <c r="F27" s="29">
        <v>64488</v>
      </c>
      <c r="G27" s="28" t="s">
        <v>273</v>
      </c>
      <c r="H27" s="28" t="s">
        <v>291</v>
      </c>
    </row>
    <row r="28" spans="1:8" ht="39.6" x14ac:dyDescent="0.3">
      <c r="A28" s="28" t="s">
        <v>117</v>
      </c>
      <c r="B28" s="28" t="s">
        <v>292</v>
      </c>
      <c r="C28" s="28" t="s">
        <v>293</v>
      </c>
      <c r="D28" s="28" t="s">
        <v>247</v>
      </c>
      <c r="E28" s="28" t="s">
        <v>248</v>
      </c>
      <c r="F28" s="29">
        <v>70716</v>
      </c>
      <c r="G28" s="28" t="s">
        <v>294</v>
      </c>
      <c r="H28" s="28" t="s">
        <v>295</v>
      </c>
    </row>
    <row r="29" spans="1:8" ht="26.4" x14ac:dyDescent="0.3">
      <c r="A29" s="28" t="s">
        <v>117</v>
      </c>
      <c r="B29" s="28" t="s">
        <v>296</v>
      </c>
      <c r="C29" s="28" t="s">
        <v>297</v>
      </c>
      <c r="D29" s="28" t="s">
        <v>247</v>
      </c>
      <c r="E29" s="28" t="s">
        <v>248</v>
      </c>
      <c r="F29" s="29">
        <v>124860</v>
      </c>
      <c r="G29" s="28" t="s">
        <v>294</v>
      </c>
      <c r="H29" s="28" t="s">
        <v>298</v>
      </c>
    </row>
    <row r="30" spans="1:8" ht="39.6" x14ac:dyDescent="0.3">
      <c r="A30" s="28" t="s">
        <v>119</v>
      </c>
      <c r="B30" s="28" t="s">
        <v>299</v>
      </c>
      <c r="C30" s="28" t="s">
        <v>300</v>
      </c>
      <c r="D30" s="28" t="s">
        <v>247</v>
      </c>
      <c r="E30" s="28" t="s">
        <v>248</v>
      </c>
      <c r="F30" s="29">
        <v>60000</v>
      </c>
      <c r="G30" s="28" t="s">
        <v>273</v>
      </c>
      <c r="H30" s="28" t="s">
        <v>301</v>
      </c>
    </row>
    <row r="31" spans="1:8" ht="39.6" x14ac:dyDescent="0.3">
      <c r="A31" s="28" t="s">
        <v>119</v>
      </c>
      <c r="B31" s="28" t="s">
        <v>299</v>
      </c>
      <c r="C31" s="28" t="s">
        <v>300</v>
      </c>
      <c r="D31" s="28" t="s">
        <v>259</v>
      </c>
      <c r="E31" s="28" t="s">
        <v>248</v>
      </c>
      <c r="F31" s="29">
        <v>45600</v>
      </c>
      <c r="G31" s="28" t="s">
        <v>273</v>
      </c>
      <c r="H31" s="28" t="s">
        <v>301</v>
      </c>
    </row>
    <row r="32" spans="1:8" ht="39.6" x14ac:dyDescent="0.3">
      <c r="A32" s="28" t="s">
        <v>119</v>
      </c>
      <c r="B32" s="28" t="s">
        <v>302</v>
      </c>
      <c r="C32" s="28" t="s">
        <v>303</v>
      </c>
      <c r="D32" s="28" t="s">
        <v>247</v>
      </c>
      <c r="E32" s="28" t="s">
        <v>248</v>
      </c>
      <c r="F32" s="29">
        <v>72000</v>
      </c>
      <c r="G32" s="28" t="s">
        <v>249</v>
      </c>
      <c r="H32" s="28" t="s">
        <v>304</v>
      </c>
    </row>
    <row r="33" spans="1:8" ht="26.4" x14ac:dyDescent="0.3">
      <c r="A33" s="28" t="s">
        <v>119</v>
      </c>
      <c r="B33" s="28" t="s">
        <v>305</v>
      </c>
      <c r="C33" s="28" t="s">
        <v>306</v>
      </c>
      <c r="D33" s="28" t="s">
        <v>247</v>
      </c>
      <c r="E33" s="28" t="s">
        <v>248</v>
      </c>
      <c r="F33" s="29">
        <v>80004</v>
      </c>
      <c r="G33" s="28" t="s">
        <v>249</v>
      </c>
      <c r="H33" s="28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I312"/>
  <sheetViews>
    <sheetView showGridLines="0" zoomScaleNormal="100" workbookViewId="0">
      <pane ySplit="4" topLeftCell="A5" activePane="bottomLeft" state="frozen"/>
      <selection pane="bottomLeft" activeCell="A4" sqref="A4:D14"/>
    </sheetView>
  </sheetViews>
  <sheetFormatPr defaultColWidth="8.5546875" defaultRowHeight="14.4" x14ac:dyDescent="0.3"/>
  <cols>
    <col min="1" max="1" width="34" customWidth="1"/>
    <col min="2" max="2" width="11.88671875" style="33" customWidth="1"/>
    <col min="3" max="3" width="6" style="33" customWidth="1"/>
    <col min="4" max="4" width="31.6640625" customWidth="1"/>
    <col min="5" max="5" width="44" customWidth="1"/>
    <col min="6" max="6" width="32" customWidth="1"/>
    <col min="7" max="7" width="52" customWidth="1"/>
    <col min="8" max="8" width="15" customWidth="1"/>
    <col min="9" max="9" width="24" customWidth="1"/>
  </cols>
  <sheetData>
    <row r="1" spans="1:9" ht="15.6" x14ac:dyDescent="0.3">
      <c r="A1" s="15" t="s">
        <v>308</v>
      </c>
    </row>
    <row r="2" spans="1:9" hidden="1" x14ac:dyDescent="0.3">
      <c r="A2" s="7" t="s">
        <v>309</v>
      </c>
    </row>
    <row r="4" spans="1:9" x14ac:dyDescent="0.3">
      <c r="A4" s="16" t="s">
        <v>4908</v>
      </c>
      <c r="B4" s="45" t="s">
        <v>310</v>
      </c>
      <c r="C4" s="45" t="s">
        <v>108</v>
      </c>
      <c r="D4" s="16" t="s">
        <v>183</v>
      </c>
      <c r="E4" s="16" t="s">
        <v>311</v>
      </c>
      <c r="F4" s="16" t="s">
        <v>312</v>
      </c>
      <c r="G4" s="16" t="s">
        <v>244</v>
      </c>
      <c r="H4" s="16" t="s">
        <v>243</v>
      </c>
      <c r="I4" s="16" t="s">
        <v>313</v>
      </c>
    </row>
    <row r="5" spans="1:9" ht="15" customHeight="1" x14ac:dyDescent="0.3">
      <c r="A5" s="10" t="s">
        <v>354</v>
      </c>
      <c r="B5" s="36">
        <f>COUNTIFS('Seasons Data'!G:G,A5,'Seasons Data'!E:E,"Y")</f>
        <v>16</v>
      </c>
      <c r="C5" s="48" t="s">
        <v>123</v>
      </c>
      <c r="D5" s="28" t="s">
        <v>191</v>
      </c>
      <c r="E5" s="28"/>
      <c r="F5" s="28"/>
      <c r="G5" s="28"/>
      <c r="H5" s="28" t="s">
        <v>348</v>
      </c>
      <c r="I5" s="28"/>
    </row>
    <row r="6" spans="1:9" ht="15" customHeight="1" x14ac:dyDescent="0.3">
      <c r="A6" s="10" t="s">
        <v>355</v>
      </c>
      <c r="B6" s="36">
        <f>COUNTIFS('Seasons Data'!G:G,A6,'Seasons Data'!E:E,"Y")</f>
        <v>14</v>
      </c>
      <c r="C6" s="48" t="s">
        <v>123</v>
      </c>
      <c r="D6" s="28" t="s">
        <v>191</v>
      </c>
      <c r="E6" s="28"/>
      <c r="F6" s="28"/>
      <c r="G6" s="28"/>
      <c r="H6" s="28" t="s">
        <v>348</v>
      </c>
      <c r="I6" s="28"/>
    </row>
    <row r="7" spans="1:9" ht="15" customHeight="1" x14ac:dyDescent="0.3">
      <c r="A7" s="24" t="s">
        <v>245</v>
      </c>
      <c r="B7" s="46">
        <f>COUNTIFS('Seasons Data'!G:G,A7,'Seasons Data'!E:E,"Y")</f>
        <v>9</v>
      </c>
      <c r="C7" s="47" t="s">
        <v>113</v>
      </c>
      <c r="D7" s="30" t="s">
        <v>184</v>
      </c>
      <c r="E7" s="30"/>
      <c r="F7" s="30"/>
      <c r="G7" s="30"/>
      <c r="H7" s="30" t="s">
        <v>249</v>
      </c>
      <c r="I7" s="30"/>
    </row>
    <row r="8" spans="1:9" ht="15" customHeight="1" x14ac:dyDescent="0.3">
      <c r="A8" s="10" t="s">
        <v>356</v>
      </c>
      <c r="B8" s="36">
        <f>COUNTIFS('Seasons Data'!G:G,A8,'Seasons Data'!E:E,"Y")</f>
        <v>9</v>
      </c>
      <c r="C8" s="48" t="s">
        <v>123</v>
      </c>
      <c r="D8" s="28" t="s">
        <v>196</v>
      </c>
      <c r="E8" s="28"/>
      <c r="F8" s="28"/>
      <c r="G8" s="28"/>
      <c r="H8" s="28" t="s">
        <v>348</v>
      </c>
      <c r="I8" s="28"/>
    </row>
    <row r="9" spans="1:9" ht="15" customHeight="1" x14ac:dyDescent="0.3">
      <c r="A9" s="10" t="s">
        <v>357</v>
      </c>
      <c r="B9" s="36">
        <f>COUNTIFS('Seasons Data'!G:G,A9,'Seasons Data'!E:E,"Y")</f>
        <v>7</v>
      </c>
      <c r="C9" s="48" t="s">
        <v>123</v>
      </c>
      <c r="D9" s="28" t="s">
        <v>195</v>
      </c>
      <c r="E9" s="28"/>
      <c r="F9" s="28"/>
      <c r="G9" s="28"/>
      <c r="H9" s="28" t="s">
        <v>348</v>
      </c>
      <c r="I9" s="28"/>
    </row>
    <row r="10" spans="1:9" ht="15" customHeight="1" x14ac:dyDescent="0.3">
      <c r="A10" s="10" t="s">
        <v>768</v>
      </c>
      <c r="B10" s="36">
        <f>COUNTIFS('Seasons Data'!G:G,A10,'Seasons Data'!E:E,"Y")</f>
        <v>7</v>
      </c>
      <c r="C10" s="48" t="s">
        <v>178</v>
      </c>
      <c r="D10" s="28" t="s">
        <v>769</v>
      </c>
      <c r="E10" s="28"/>
      <c r="F10" s="28"/>
      <c r="G10" s="28"/>
      <c r="H10" s="28" t="s">
        <v>348</v>
      </c>
      <c r="I10" s="28"/>
    </row>
    <row r="11" spans="1:9" ht="15" customHeight="1" x14ac:dyDescent="0.3">
      <c r="A11" s="10" t="s">
        <v>358</v>
      </c>
      <c r="B11" s="36">
        <f>COUNTIFS('Seasons Data'!G:G,A11,'Seasons Data'!E:E,"Y")</f>
        <v>6</v>
      </c>
      <c r="C11" s="48" t="s">
        <v>123</v>
      </c>
      <c r="D11" s="28" t="s">
        <v>190</v>
      </c>
      <c r="E11" s="28"/>
      <c r="F11" s="28"/>
      <c r="G11" s="28"/>
      <c r="H11" s="28" t="s">
        <v>348</v>
      </c>
      <c r="I11" s="28"/>
    </row>
    <row r="12" spans="1:9" ht="15" customHeight="1" x14ac:dyDescent="0.3">
      <c r="A12" s="10" t="s">
        <v>359</v>
      </c>
      <c r="B12" s="36">
        <f>COUNTIFS('Seasons Data'!G:G,A12,'Seasons Data'!E:E,"Y")</f>
        <v>6</v>
      </c>
      <c r="C12" s="48" t="s">
        <v>123</v>
      </c>
      <c r="D12" s="28" t="s">
        <v>190</v>
      </c>
      <c r="E12" s="28"/>
      <c r="F12" s="28"/>
      <c r="G12" s="28"/>
      <c r="H12" s="28" t="s">
        <v>348</v>
      </c>
      <c r="I12" s="28"/>
    </row>
    <row r="13" spans="1:9" ht="15" customHeight="1" x14ac:dyDescent="0.3">
      <c r="A13" s="10" t="s">
        <v>360</v>
      </c>
      <c r="B13" s="36">
        <f>COUNTIFS('Seasons Data'!G:G,A13,'Seasons Data'!E:E,"Y")</f>
        <v>6</v>
      </c>
      <c r="C13" s="48" t="s">
        <v>123</v>
      </c>
      <c r="D13" s="28" t="s">
        <v>191</v>
      </c>
      <c r="E13" s="28"/>
      <c r="F13" s="28"/>
      <c r="G13" s="28"/>
      <c r="H13" s="28" t="s">
        <v>294</v>
      </c>
      <c r="I13" s="28"/>
    </row>
    <row r="14" spans="1:9" ht="15" customHeight="1" x14ac:dyDescent="0.3">
      <c r="A14" s="10" t="s">
        <v>361</v>
      </c>
      <c r="B14" s="36">
        <f>COUNTIFS('Seasons Data'!G:G,A14,'Seasons Data'!E:E,"Y")</f>
        <v>5</v>
      </c>
      <c r="C14" s="48" t="s">
        <v>123</v>
      </c>
      <c r="D14" s="28" t="s">
        <v>198</v>
      </c>
      <c r="E14" s="28"/>
      <c r="F14" s="28"/>
      <c r="G14" s="28"/>
      <c r="H14" s="28" t="s">
        <v>348</v>
      </c>
      <c r="I14" s="28"/>
    </row>
    <row r="15" spans="1:9" ht="15" customHeight="1" x14ac:dyDescent="0.3">
      <c r="A15" s="10" t="s">
        <v>362</v>
      </c>
      <c r="B15" s="36">
        <f>COUNTIFS('Seasons Data'!G:G,A15,'Seasons Data'!E:E,"Y")</f>
        <v>4</v>
      </c>
      <c r="C15" s="48" t="s">
        <v>123</v>
      </c>
      <c r="D15" s="28" t="s">
        <v>200</v>
      </c>
      <c r="E15" s="28" t="s">
        <v>363</v>
      </c>
      <c r="F15" s="28" t="s">
        <v>364</v>
      </c>
      <c r="G15" s="28" t="s">
        <v>365</v>
      </c>
      <c r="H15" s="28" t="s">
        <v>366</v>
      </c>
      <c r="I15" s="28" t="s">
        <v>367</v>
      </c>
    </row>
    <row r="16" spans="1:9" ht="15" customHeight="1" x14ac:dyDescent="0.3">
      <c r="A16" s="10" t="s">
        <v>368</v>
      </c>
      <c r="B16" s="36">
        <f>COUNTIFS('Seasons Data'!G:G,A16,'Seasons Data'!E:E,"Y")</f>
        <v>4</v>
      </c>
      <c r="C16" s="48" t="s">
        <v>123</v>
      </c>
      <c r="D16" s="28" t="s">
        <v>190</v>
      </c>
      <c r="E16" s="28"/>
      <c r="F16" s="28"/>
      <c r="G16" s="28"/>
      <c r="H16" s="28" t="s">
        <v>348</v>
      </c>
      <c r="I16" s="28"/>
    </row>
    <row r="17" spans="1:9" ht="15" customHeight="1" x14ac:dyDescent="0.3">
      <c r="A17" s="10" t="s">
        <v>369</v>
      </c>
      <c r="B17" s="36">
        <f>COUNTIFS('Seasons Data'!G:G,A17,'Seasons Data'!E:E,"Y")</f>
        <v>4</v>
      </c>
      <c r="C17" s="48" t="s">
        <v>123</v>
      </c>
      <c r="D17" s="28" t="s">
        <v>194</v>
      </c>
      <c r="E17" s="28"/>
      <c r="F17" s="28"/>
      <c r="G17" s="28"/>
      <c r="H17" s="28" t="s">
        <v>348</v>
      </c>
      <c r="I17" s="28"/>
    </row>
    <row r="18" spans="1:9" ht="15" customHeight="1" x14ac:dyDescent="0.3">
      <c r="A18" s="10" t="s">
        <v>370</v>
      </c>
      <c r="B18" s="36">
        <f>COUNTIFS('Seasons Data'!G:G,A18,'Seasons Data'!E:E,"Y")</f>
        <v>4</v>
      </c>
      <c r="C18" s="48" t="s">
        <v>123</v>
      </c>
      <c r="D18" s="28" t="s">
        <v>201</v>
      </c>
      <c r="E18" s="28"/>
      <c r="F18" s="28"/>
      <c r="G18" s="28"/>
      <c r="H18" s="28" t="s">
        <v>348</v>
      </c>
      <c r="I18" s="28"/>
    </row>
    <row r="19" spans="1:9" ht="15" customHeight="1" x14ac:dyDescent="0.3">
      <c r="A19" s="10" t="s">
        <v>371</v>
      </c>
      <c r="B19" s="36">
        <f>COUNTIFS('Seasons Data'!G:G,A19,'Seasons Data'!E:E,"Y")</f>
        <v>3</v>
      </c>
      <c r="C19" s="48" t="s">
        <v>123</v>
      </c>
      <c r="D19" s="28" t="s">
        <v>204</v>
      </c>
      <c r="E19" s="28" t="s">
        <v>372</v>
      </c>
      <c r="F19" s="28" t="s">
        <v>178</v>
      </c>
      <c r="G19" s="28" t="s">
        <v>373</v>
      </c>
      <c r="H19" s="28" t="s">
        <v>366</v>
      </c>
      <c r="I19" s="28" t="s">
        <v>178</v>
      </c>
    </row>
    <row r="20" spans="1:9" ht="15" customHeight="1" x14ac:dyDescent="0.3">
      <c r="A20" s="10" t="s">
        <v>374</v>
      </c>
      <c r="B20" s="36">
        <f>COUNTIFS('Seasons Data'!G:G,A20,'Seasons Data'!E:E,"Y")</f>
        <v>3</v>
      </c>
      <c r="C20" s="48" t="s">
        <v>123</v>
      </c>
      <c r="D20" s="28" t="s">
        <v>197</v>
      </c>
      <c r="E20" s="28"/>
      <c r="F20" s="28"/>
      <c r="G20" s="28"/>
      <c r="H20" s="28" t="s">
        <v>348</v>
      </c>
      <c r="I20" s="28"/>
    </row>
    <row r="21" spans="1:9" ht="26.4" x14ac:dyDescent="0.3">
      <c r="A21" s="10" t="s">
        <v>375</v>
      </c>
      <c r="B21" s="36">
        <f>COUNTIFS('Seasons Data'!G:G,A21,'Seasons Data'!E:E,"Y")</f>
        <v>3</v>
      </c>
      <c r="C21" s="48" t="s">
        <v>123</v>
      </c>
      <c r="D21" s="28" t="s">
        <v>191</v>
      </c>
      <c r="E21" s="28"/>
      <c r="F21" s="28"/>
      <c r="G21" s="28"/>
      <c r="H21" s="28" t="s">
        <v>348</v>
      </c>
      <c r="I21" s="28"/>
    </row>
    <row r="22" spans="1:9" ht="26.4" x14ac:dyDescent="0.3">
      <c r="A22" s="10" t="s">
        <v>376</v>
      </c>
      <c r="B22" s="36">
        <f>COUNTIFS('Seasons Data'!G:G,A22,'Seasons Data'!E:E,"Y")</f>
        <v>3</v>
      </c>
      <c r="C22" s="48" t="s">
        <v>123</v>
      </c>
      <c r="D22" s="28" t="s">
        <v>191</v>
      </c>
      <c r="E22" s="28"/>
      <c r="F22" s="28"/>
      <c r="G22" s="28"/>
      <c r="H22" s="28" t="s">
        <v>348</v>
      </c>
      <c r="I22" s="28"/>
    </row>
    <row r="23" spans="1:9" ht="26.4" x14ac:dyDescent="0.3">
      <c r="A23" s="10" t="s">
        <v>377</v>
      </c>
      <c r="B23" s="36">
        <f>COUNTIFS('Seasons Data'!G:G,A23,'Seasons Data'!E:E,"Y")</f>
        <v>3</v>
      </c>
      <c r="C23" s="48" t="s">
        <v>123</v>
      </c>
      <c r="D23" s="28" t="s">
        <v>191</v>
      </c>
      <c r="E23" s="28"/>
      <c r="F23" s="28"/>
      <c r="G23" s="28"/>
      <c r="H23" s="28" t="s">
        <v>348</v>
      </c>
      <c r="I23" s="28"/>
    </row>
    <row r="24" spans="1:9" ht="26.4" x14ac:dyDescent="0.3">
      <c r="A24" s="10" t="s">
        <v>378</v>
      </c>
      <c r="B24" s="36">
        <f>COUNTIFS('Seasons Data'!G:G,A24,'Seasons Data'!E:E,"Y")</f>
        <v>3</v>
      </c>
      <c r="C24" s="48" t="s">
        <v>123</v>
      </c>
      <c r="D24" s="28" t="s">
        <v>189</v>
      </c>
      <c r="E24" s="28"/>
      <c r="F24" s="28"/>
      <c r="G24" s="28"/>
      <c r="H24" s="28" t="s">
        <v>348</v>
      </c>
      <c r="I24" s="28"/>
    </row>
    <row r="25" spans="1:9" ht="39.6" x14ac:dyDescent="0.3">
      <c r="A25" s="10" t="s">
        <v>379</v>
      </c>
      <c r="B25" s="36">
        <f>COUNTIFS('Seasons Data'!G:G,A25,'Seasons Data'!E:E,"Y")</f>
        <v>3</v>
      </c>
      <c r="C25" s="48" t="s">
        <v>123</v>
      </c>
      <c r="D25" s="28" t="s">
        <v>200</v>
      </c>
      <c r="E25" s="28" t="s">
        <v>380</v>
      </c>
      <c r="F25" s="28" t="s">
        <v>381</v>
      </c>
      <c r="G25" s="28" t="s">
        <v>382</v>
      </c>
      <c r="H25" s="28" t="s">
        <v>294</v>
      </c>
      <c r="I25" s="28" t="s">
        <v>383</v>
      </c>
    </row>
    <row r="26" spans="1:9" ht="26.4" x14ac:dyDescent="0.3">
      <c r="A26" s="10" t="s">
        <v>384</v>
      </c>
      <c r="B26" s="36">
        <f>COUNTIFS('Seasons Data'!G:G,A26,'Seasons Data'!E:E,"Y")</f>
        <v>3</v>
      </c>
      <c r="C26" s="48" t="s">
        <v>123</v>
      </c>
      <c r="D26" s="28" t="s">
        <v>194</v>
      </c>
      <c r="E26" s="28"/>
      <c r="F26" s="28"/>
      <c r="G26" s="28"/>
      <c r="H26" s="28" t="s">
        <v>348</v>
      </c>
      <c r="I26" s="28"/>
    </row>
    <row r="27" spans="1:9" ht="26.4" x14ac:dyDescent="0.3">
      <c r="A27" s="10" t="s">
        <v>385</v>
      </c>
      <c r="B27" s="36">
        <f>COUNTIFS('Seasons Data'!G:G,A27,'Seasons Data'!E:E,"Y")</f>
        <v>3</v>
      </c>
      <c r="C27" s="48" t="s">
        <v>123</v>
      </c>
      <c r="D27" s="28" t="s">
        <v>190</v>
      </c>
      <c r="E27" s="28"/>
      <c r="F27" s="28"/>
      <c r="G27" s="28"/>
      <c r="H27" s="28" t="s">
        <v>348</v>
      </c>
      <c r="I27" s="28"/>
    </row>
    <row r="28" spans="1:9" ht="26.4" x14ac:dyDescent="0.3">
      <c r="A28" s="10" t="s">
        <v>386</v>
      </c>
      <c r="B28" s="36">
        <f>COUNTIFS('Seasons Data'!G:G,A28,'Seasons Data'!E:E,"Y")</f>
        <v>3</v>
      </c>
      <c r="C28" s="48" t="s">
        <v>123</v>
      </c>
      <c r="D28" s="28" t="s">
        <v>197</v>
      </c>
      <c r="E28" s="28"/>
      <c r="F28" s="28"/>
      <c r="G28" s="28"/>
      <c r="H28" s="28" t="s">
        <v>348</v>
      </c>
      <c r="I28" s="28"/>
    </row>
    <row r="29" spans="1:9" ht="26.4" x14ac:dyDescent="0.3">
      <c r="A29" s="10" t="s">
        <v>387</v>
      </c>
      <c r="B29" s="36">
        <f>COUNTIFS('Seasons Data'!G:G,A29,'Seasons Data'!E:E,"Y")</f>
        <v>3</v>
      </c>
      <c r="C29" s="48" t="s">
        <v>123</v>
      </c>
      <c r="D29" s="28" t="s">
        <v>206</v>
      </c>
      <c r="E29" s="28"/>
      <c r="F29" s="28"/>
      <c r="G29" s="28"/>
      <c r="H29" s="28" t="s">
        <v>348</v>
      </c>
      <c r="I29" s="28"/>
    </row>
    <row r="30" spans="1:9" ht="39.6" x14ac:dyDescent="0.3">
      <c r="A30" s="10" t="s">
        <v>388</v>
      </c>
      <c r="B30" s="36">
        <f>COUNTIFS('Seasons Data'!G:G,A30,'Seasons Data'!E:E,"Y")</f>
        <v>3</v>
      </c>
      <c r="C30" s="48" t="s">
        <v>123</v>
      </c>
      <c r="D30" s="28" t="s">
        <v>199</v>
      </c>
      <c r="E30" s="28" t="s">
        <v>389</v>
      </c>
      <c r="F30" s="28" t="s">
        <v>390</v>
      </c>
      <c r="G30" s="28" t="s">
        <v>391</v>
      </c>
      <c r="H30" s="28" t="s">
        <v>348</v>
      </c>
      <c r="I30" s="28" t="s">
        <v>392</v>
      </c>
    </row>
    <row r="31" spans="1:9" ht="26.4" x14ac:dyDescent="0.3">
      <c r="A31" s="10" t="s">
        <v>393</v>
      </c>
      <c r="B31" s="36">
        <f>COUNTIFS('Seasons Data'!G:G,A31,'Seasons Data'!E:E,"Y")</f>
        <v>3</v>
      </c>
      <c r="C31" s="48" t="s">
        <v>123</v>
      </c>
      <c r="D31" s="28" t="s">
        <v>192</v>
      </c>
      <c r="E31" s="28"/>
      <c r="F31" s="28"/>
      <c r="G31" s="28"/>
      <c r="H31" s="28" t="s">
        <v>348</v>
      </c>
      <c r="I31" s="28"/>
    </row>
    <row r="32" spans="1:9" ht="39.6" x14ac:dyDescent="0.3">
      <c r="A32" s="24" t="s">
        <v>262</v>
      </c>
      <c r="B32" s="46">
        <f>COUNTIFS('Seasons Data'!G:G,A32,'Seasons Data'!E:E,"Y")</f>
        <v>2</v>
      </c>
      <c r="C32" s="47" t="s">
        <v>115</v>
      </c>
      <c r="D32" s="30" t="s">
        <v>185</v>
      </c>
      <c r="E32" s="30" t="s">
        <v>314</v>
      </c>
      <c r="F32" s="30" t="s">
        <v>315</v>
      </c>
      <c r="G32" s="30" t="s">
        <v>265</v>
      </c>
      <c r="H32" s="30" t="s">
        <v>249</v>
      </c>
      <c r="I32" s="30" t="s">
        <v>316</v>
      </c>
    </row>
    <row r="33" spans="1:9" x14ac:dyDescent="0.3">
      <c r="A33" s="24" t="s">
        <v>271</v>
      </c>
      <c r="B33" s="46">
        <f>COUNTIFS('Seasons Data'!G:G,A33,'Seasons Data'!E:E,"Y")</f>
        <v>2</v>
      </c>
      <c r="C33" s="47" t="s">
        <v>115</v>
      </c>
      <c r="D33" s="30" t="s">
        <v>185</v>
      </c>
      <c r="E33" s="30"/>
      <c r="F33" s="30"/>
      <c r="G33" s="30"/>
      <c r="H33" s="30" t="s">
        <v>273</v>
      </c>
      <c r="I33" s="30"/>
    </row>
    <row r="34" spans="1:9" ht="52.8" x14ac:dyDescent="0.3">
      <c r="A34" s="24" t="s">
        <v>299</v>
      </c>
      <c r="B34" s="46">
        <f>COUNTIFS('Seasons Data'!G:G,A34,'Seasons Data'!E:E,"Y")</f>
        <v>2</v>
      </c>
      <c r="C34" s="47" t="s">
        <v>119</v>
      </c>
      <c r="D34" s="30" t="s">
        <v>187</v>
      </c>
      <c r="E34" s="30" t="s">
        <v>338</v>
      </c>
      <c r="F34" s="30" t="s">
        <v>339</v>
      </c>
      <c r="G34" s="30" t="s">
        <v>301</v>
      </c>
      <c r="H34" s="30" t="s">
        <v>273</v>
      </c>
      <c r="I34" s="30" t="s">
        <v>340</v>
      </c>
    </row>
    <row r="35" spans="1:9" ht="26.4" x14ac:dyDescent="0.3">
      <c r="A35" s="10" t="s">
        <v>394</v>
      </c>
      <c r="B35" s="36">
        <f>COUNTIFS('Seasons Data'!G:G,A35,'Seasons Data'!E:E,"Y")</f>
        <v>2</v>
      </c>
      <c r="C35" s="48" t="s">
        <v>123</v>
      </c>
      <c r="D35" s="28" t="s">
        <v>191</v>
      </c>
      <c r="E35" s="28"/>
      <c r="F35" s="28"/>
      <c r="G35" s="28"/>
      <c r="H35" s="28" t="s">
        <v>348</v>
      </c>
      <c r="I35" s="28"/>
    </row>
    <row r="36" spans="1:9" ht="26.4" x14ac:dyDescent="0.3">
      <c r="A36" s="10" t="s">
        <v>395</v>
      </c>
      <c r="B36" s="36">
        <f>COUNTIFS('Seasons Data'!G:G,A36,'Seasons Data'!E:E,"Y")</f>
        <v>2</v>
      </c>
      <c r="C36" s="48" t="s">
        <v>123</v>
      </c>
      <c r="D36" s="28" t="s">
        <v>189</v>
      </c>
      <c r="E36" s="28"/>
      <c r="F36" s="28"/>
      <c r="G36" s="28"/>
      <c r="H36" s="28" t="s">
        <v>348</v>
      </c>
      <c r="I36" s="28"/>
    </row>
    <row r="37" spans="1:9" ht="26.4" x14ac:dyDescent="0.3">
      <c r="A37" s="10" t="s">
        <v>396</v>
      </c>
      <c r="B37" s="36">
        <f>COUNTIFS('Seasons Data'!G:G,A37,'Seasons Data'!E:E,"Y")</f>
        <v>2</v>
      </c>
      <c r="C37" s="48" t="s">
        <v>123</v>
      </c>
      <c r="D37" s="28" t="s">
        <v>192</v>
      </c>
      <c r="E37" s="28"/>
      <c r="F37" s="28"/>
      <c r="G37" s="28"/>
      <c r="H37" s="28" t="s">
        <v>348</v>
      </c>
      <c r="I37" s="28"/>
    </row>
    <row r="38" spans="1:9" ht="26.4" x14ac:dyDescent="0.3">
      <c r="A38" s="10" t="s">
        <v>397</v>
      </c>
      <c r="B38" s="36">
        <f>COUNTIFS('Seasons Data'!G:G,A38,'Seasons Data'!E:E,"Y")</f>
        <v>2</v>
      </c>
      <c r="C38" s="48" t="s">
        <v>123</v>
      </c>
      <c r="D38" s="28" t="s">
        <v>192</v>
      </c>
      <c r="E38" s="28"/>
      <c r="F38" s="28"/>
      <c r="G38" s="28"/>
      <c r="H38" s="28" t="s">
        <v>348</v>
      </c>
      <c r="I38" s="28"/>
    </row>
    <row r="39" spans="1:9" ht="26.4" x14ac:dyDescent="0.3">
      <c r="A39" s="10" t="s">
        <v>398</v>
      </c>
      <c r="B39" s="36">
        <f>COUNTIFS('Seasons Data'!G:G,A39,'Seasons Data'!E:E,"Y")</f>
        <v>2</v>
      </c>
      <c r="C39" s="48" t="s">
        <v>123</v>
      </c>
      <c r="D39" s="28" t="s">
        <v>195</v>
      </c>
      <c r="E39" s="28" t="s">
        <v>399</v>
      </c>
      <c r="F39" s="28" t="s">
        <v>400</v>
      </c>
      <c r="G39" s="28" t="s">
        <v>401</v>
      </c>
      <c r="H39" s="28" t="s">
        <v>294</v>
      </c>
      <c r="I39" s="28" t="s">
        <v>402</v>
      </c>
    </row>
    <row r="40" spans="1:9" ht="26.4" x14ac:dyDescent="0.3">
      <c r="A40" s="10" t="s">
        <v>403</v>
      </c>
      <c r="B40" s="36">
        <f>COUNTIFS('Seasons Data'!G:G,A40,'Seasons Data'!E:E,"Y")</f>
        <v>2</v>
      </c>
      <c r="C40" s="48" t="s">
        <v>123</v>
      </c>
      <c r="D40" s="28" t="s">
        <v>190</v>
      </c>
      <c r="E40" s="28"/>
      <c r="F40" s="28"/>
      <c r="G40" s="28"/>
      <c r="H40" s="28" t="s">
        <v>348</v>
      </c>
      <c r="I40" s="28"/>
    </row>
    <row r="41" spans="1:9" ht="26.4" x14ac:dyDescent="0.3">
      <c r="A41" s="10" t="s">
        <v>404</v>
      </c>
      <c r="B41" s="36">
        <f>COUNTIFS('Seasons Data'!G:G,A41,'Seasons Data'!E:E,"Y")</f>
        <v>2</v>
      </c>
      <c r="C41" s="48" t="s">
        <v>123</v>
      </c>
      <c r="D41" s="28" t="s">
        <v>189</v>
      </c>
      <c r="E41" s="28"/>
      <c r="F41" s="28"/>
      <c r="G41" s="28"/>
      <c r="H41" s="28" t="s">
        <v>348</v>
      </c>
      <c r="I41" s="28"/>
    </row>
    <row r="42" spans="1:9" ht="26.4" x14ac:dyDescent="0.3">
      <c r="A42" s="10" t="s">
        <v>405</v>
      </c>
      <c r="B42" s="36">
        <f>COUNTIFS('Seasons Data'!G:G,A42,'Seasons Data'!E:E,"Y")</f>
        <v>2</v>
      </c>
      <c r="C42" s="48" t="s">
        <v>123</v>
      </c>
      <c r="D42" s="28" t="s">
        <v>197</v>
      </c>
      <c r="E42" s="28"/>
      <c r="F42" s="28"/>
      <c r="G42" s="28"/>
      <c r="H42" s="28" t="s">
        <v>348</v>
      </c>
      <c r="I42" s="28"/>
    </row>
    <row r="43" spans="1:9" ht="26.4" x14ac:dyDescent="0.3">
      <c r="A43" s="10" t="s">
        <v>406</v>
      </c>
      <c r="B43" s="36">
        <f>COUNTIFS('Seasons Data'!G:G,A43,'Seasons Data'!E:E,"Y")</f>
        <v>2</v>
      </c>
      <c r="C43" s="48" t="s">
        <v>123</v>
      </c>
      <c r="D43" s="28" t="s">
        <v>206</v>
      </c>
      <c r="E43" s="28"/>
      <c r="F43" s="28"/>
      <c r="G43" s="28"/>
      <c r="H43" s="28" t="s">
        <v>348</v>
      </c>
      <c r="I43" s="28"/>
    </row>
    <row r="44" spans="1:9" ht="26.4" x14ac:dyDescent="0.3">
      <c r="A44" s="10" t="s">
        <v>407</v>
      </c>
      <c r="B44" s="36">
        <f>COUNTIFS('Seasons Data'!G:G,A44,'Seasons Data'!E:E,"Y")</f>
        <v>2</v>
      </c>
      <c r="C44" s="48" t="s">
        <v>123</v>
      </c>
      <c r="D44" s="28" t="s">
        <v>191</v>
      </c>
      <c r="E44" s="28"/>
      <c r="F44" s="28"/>
      <c r="G44" s="28"/>
      <c r="H44" s="28" t="s">
        <v>348</v>
      </c>
      <c r="I44" s="28"/>
    </row>
    <row r="45" spans="1:9" ht="26.4" x14ac:dyDescent="0.3">
      <c r="A45" s="10" t="s">
        <v>408</v>
      </c>
      <c r="B45" s="36">
        <f>COUNTIFS('Seasons Data'!G:G,A45,'Seasons Data'!E:E,"Y")</f>
        <v>2</v>
      </c>
      <c r="C45" s="48" t="s">
        <v>123</v>
      </c>
      <c r="D45" s="28" t="s">
        <v>203</v>
      </c>
      <c r="E45" s="28"/>
      <c r="F45" s="28"/>
      <c r="G45" s="28"/>
      <c r="H45" s="28" t="s">
        <v>348</v>
      </c>
      <c r="I45" s="28"/>
    </row>
    <row r="46" spans="1:9" ht="26.4" x14ac:dyDescent="0.3">
      <c r="A46" s="10" t="s">
        <v>409</v>
      </c>
      <c r="B46" s="36">
        <f>COUNTIFS('Seasons Data'!G:G,A46,'Seasons Data'!E:E,"Y")</f>
        <v>2</v>
      </c>
      <c r="C46" s="48" t="s">
        <v>123</v>
      </c>
      <c r="D46" s="28" t="s">
        <v>190</v>
      </c>
      <c r="E46" s="28"/>
      <c r="F46" s="28"/>
      <c r="G46" s="28"/>
      <c r="H46" s="28" t="s">
        <v>348</v>
      </c>
      <c r="I46" s="28"/>
    </row>
    <row r="47" spans="1:9" ht="26.4" x14ac:dyDescent="0.3">
      <c r="A47" s="10" t="s">
        <v>410</v>
      </c>
      <c r="B47" s="36">
        <f>COUNTIFS('Seasons Data'!G:G,A47,'Seasons Data'!E:E,"Y")</f>
        <v>2</v>
      </c>
      <c r="C47" s="48" t="s">
        <v>123</v>
      </c>
      <c r="D47" s="28" t="s">
        <v>197</v>
      </c>
      <c r="E47" s="28" t="s">
        <v>411</v>
      </c>
      <c r="F47" s="28" t="s">
        <v>412</v>
      </c>
      <c r="G47" s="28" t="s">
        <v>413</v>
      </c>
      <c r="H47" s="28" t="s">
        <v>273</v>
      </c>
      <c r="I47" s="28" t="s">
        <v>414</v>
      </c>
    </row>
    <row r="48" spans="1:9" x14ac:dyDescent="0.3">
      <c r="A48" s="10" t="s">
        <v>415</v>
      </c>
      <c r="B48" s="36">
        <f>COUNTIFS('Seasons Data'!G:G,A48,'Seasons Data'!E:E,"Y")</f>
        <v>2</v>
      </c>
      <c r="C48" s="48" t="s">
        <v>123</v>
      </c>
      <c r="D48" s="28" t="s">
        <v>204</v>
      </c>
      <c r="E48" s="28" t="s">
        <v>416</v>
      </c>
      <c r="F48" s="28" t="s">
        <v>417</v>
      </c>
      <c r="G48" s="28" t="s">
        <v>418</v>
      </c>
      <c r="H48" s="28" t="s">
        <v>366</v>
      </c>
      <c r="I48" s="28" t="s">
        <v>178</v>
      </c>
    </row>
    <row r="49" spans="1:9" ht="26.4" x14ac:dyDescent="0.3">
      <c r="A49" s="10" t="s">
        <v>419</v>
      </c>
      <c r="B49" s="36">
        <f>COUNTIFS('Seasons Data'!G:G,A49,'Seasons Data'!E:E,"Y")</f>
        <v>2</v>
      </c>
      <c r="C49" s="48" t="s">
        <v>123</v>
      </c>
      <c r="D49" s="28" t="s">
        <v>194</v>
      </c>
      <c r="E49" s="28"/>
      <c r="F49" s="28"/>
      <c r="G49" s="28"/>
      <c r="H49" s="28" t="s">
        <v>348</v>
      </c>
      <c r="I49" s="28"/>
    </row>
    <row r="50" spans="1:9" x14ac:dyDescent="0.3">
      <c r="A50" s="10" t="s">
        <v>420</v>
      </c>
      <c r="B50" s="36">
        <f>COUNTIFS('Seasons Data'!G:G,A50,'Seasons Data'!E:E,"Y")</f>
        <v>2</v>
      </c>
      <c r="C50" s="48" t="s">
        <v>123</v>
      </c>
      <c r="D50" s="28" t="s">
        <v>199</v>
      </c>
      <c r="E50" s="28"/>
      <c r="F50" s="28"/>
      <c r="G50" s="28"/>
      <c r="H50" s="28" t="s">
        <v>366</v>
      </c>
      <c r="I50" s="28"/>
    </row>
    <row r="51" spans="1:9" ht="39.6" x14ac:dyDescent="0.3">
      <c r="A51" s="10" t="s">
        <v>421</v>
      </c>
      <c r="B51" s="36">
        <f>COUNTIFS('Seasons Data'!G:G,A51,'Seasons Data'!E:E,"Y")</f>
        <v>2</v>
      </c>
      <c r="C51" s="48" t="s">
        <v>123</v>
      </c>
      <c r="D51" s="28" t="s">
        <v>195</v>
      </c>
      <c r="E51" s="28" t="s">
        <v>422</v>
      </c>
      <c r="F51" s="28" t="s">
        <v>423</v>
      </c>
      <c r="G51" s="28" t="s">
        <v>424</v>
      </c>
      <c r="H51" s="28" t="s">
        <v>294</v>
      </c>
      <c r="I51" s="28" t="s">
        <v>425</v>
      </c>
    </row>
    <row r="52" spans="1:9" ht="26.4" x14ac:dyDescent="0.3">
      <c r="A52" s="10" t="s">
        <v>426</v>
      </c>
      <c r="B52" s="36">
        <f>COUNTIFS('Seasons Data'!G:G,A52,'Seasons Data'!E:E,"Y")</f>
        <v>2</v>
      </c>
      <c r="C52" s="48" t="s">
        <v>123</v>
      </c>
      <c r="D52" s="28" t="s">
        <v>191</v>
      </c>
      <c r="E52" s="28"/>
      <c r="F52" s="28"/>
      <c r="G52" s="28"/>
      <c r="H52" s="28" t="s">
        <v>348</v>
      </c>
      <c r="I52" s="28"/>
    </row>
    <row r="53" spans="1:9" ht="26.4" x14ac:dyDescent="0.3">
      <c r="A53" s="10" t="s">
        <v>427</v>
      </c>
      <c r="B53" s="36">
        <f>COUNTIFS('Seasons Data'!G:G,A53,'Seasons Data'!E:E,"Y")</f>
        <v>2</v>
      </c>
      <c r="C53" s="48" t="s">
        <v>123</v>
      </c>
      <c r="D53" s="28" t="s">
        <v>207</v>
      </c>
      <c r="E53" s="28"/>
      <c r="F53" s="28"/>
      <c r="G53" s="28"/>
      <c r="H53" s="28" t="s">
        <v>348</v>
      </c>
      <c r="I53" s="28"/>
    </row>
    <row r="54" spans="1:9" ht="26.4" x14ac:dyDescent="0.3">
      <c r="A54" s="10" t="s">
        <v>428</v>
      </c>
      <c r="B54" s="36">
        <f>COUNTIFS('Seasons Data'!G:G,A54,'Seasons Data'!E:E,"Y")</f>
        <v>2</v>
      </c>
      <c r="C54" s="48" t="s">
        <v>123</v>
      </c>
      <c r="D54" s="28" t="s">
        <v>194</v>
      </c>
      <c r="E54" s="28"/>
      <c r="F54" s="28"/>
      <c r="G54" s="28"/>
      <c r="H54" s="28" t="s">
        <v>348</v>
      </c>
      <c r="I54" s="28"/>
    </row>
    <row r="55" spans="1:9" ht="26.4" x14ac:dyDescent="0.3">
      <c r="A55" s="10" t="s">
        <v>429</v>
      </c>
      <c r="B55" s="36">
        <f>COUNTIFS('Seasons Data'!G:G,A55,'Seasons Data'!E:E,"Y")</f>
        <v>2</v>
      </c>
      <c r="C55" s="48" t="s">
        <v>123</v>
      </c>
      <c r="D55" s="28" t="s">
        <v>193</v>
      </c>
      <c r="E55" s="28"/>
      <c r="F55" s="28"/>
      <c r="G55" s="28"/>
      <c r="H55" s="28" t="s">
        <v>348</v>
      </c>
      <c r="I55" s="28"/>
    </row>
    <row r="56" spans="1:9" ht="26.4" x14ac:dyDescent="0.3">
      <c r="A56" s="10" t="s">
        <v>430</v>
      </c>
      <c r="B56" s="36">
        <f>COUNTIFS('Seasons Data'!G:G,A56,'Seasons Data'!E:E,"Y")</f>
        <v>2</v>
      </c>
      <c r="C56" s="48" t="s">
        <v>123</v>
      </c>
      <c r="D56" s="28" t="s">
        <v>203</v>
      </c>
      <c r="E56" s="28"/>
      <c r="F56" s="28"/>
      <c r="G56" s="28"/>
      <c r="H56" s="28" t="s">
        <v>348</v>
      </c>
      <c r="I56" s="28"/>
    </row>
    <row r="57" spans="1:9" ht="26.4" x14ac:dyDescent="0.3">
      <c r="A57" s="10" t="s">
        <v>431</v>
      </c>
      <c r="B57" s="36">
        <f>COUNTIFS('Seasons Data'!G:G,A57,'Seasons Data'!E:E,"Y")</f>
        <v>2</v>
      </c>
      <c r="C57" s="48" t="s">
        <v>123</v>
      </c>
      <c r="D57" s="28" t="s">
        <v>190</v>
      </c>
      <c r="E57" s="28"/>
      <c r="F57" s="28"/>
      <c r="G57" s="28"/>
      <c r="H57" s="28" t="s">
        <v>348</v>
      </c>
      <c r="I57" s="28"/>
    </row>
    <row r="58" spans="1:9" ht="26.4" x14ac:dyDescent="0.3">
      <c r="A58" s="10" t="s">
        <v>432</v>
      </c>
      <c r="B58" s="36">
        <f>COUNTIFS('Seasons Data'!G:G,A58,'Seasons Data'!E:E,"Y")</f>
        <v>2</v>
      </c>
      <c r="C58" s="48" t="s">
        <v>123</v>
      </c>
      <c r="D58" s="28" t="s">
        <v>189</v>
      </c>
      <c r="E58" s="28"/>
      <c r="F58" s="28"/>
      <c r="G58" s="28"/>
      <c r="H58" s="28" t="s">
        <v>348</v>
      </c>
      <c r="I58" s="28"/>
    </row>
    <row r="59" spans="1:9" ht="26.4" x14ac:dyDescent="0.3">
      <c r="A59" s="10" t="s">
        <v>433</v>
      </c>
      <c r="B59" s="36">
        <f>COUNTIFS('Seasons Data'!G:G,A59,'Seasons Data'!E:E,"Y")</f>
        <v>2</v>
      </c>
      <c r="C59" s="48" t="s">
        <v>123</v>
      </c>
      <c r="D59" s="28" t="s">
        <v>193</v>
      </c>
      <c r="E59" s="28"/>
      <c r="F59" s="28"/>
      <c r="G59" s="28"/>
      <c r="H59" s="28" t="s">
        <v>348</v>
      </c>
      <c r="I59" s="28"/>
    </row>
    <row r="60" spans="1:9" ht="26.4" x14ac:dyDescent="0.3">
      <c r="A60" s="10" t="s">
        <v>434</v>
      </c>
      <c r="B60" s="36">
        <f>COUNTIFS('Seasons Data'!G:G,A60,'Seasons Data'!E:E,"Y")</f>
        <v>2</v>
      </c>
      <c r="C60" s="48" t="s">
        <v>123</v>
      </c>
      <c r="D60" s="28" t="s">
        <v>191</v>
      </c>
      <c r="E60" s="28"/>
      <c r="F60" s="28"/>
      <c r="G60" s="28"/>
      <c r="H60" s="28" t="s">
        <v>348</v>
      </c>
      <c r="I60" s="28"/>
    </row>
    <row r="61" spans="1:9" ht="26.4" x14ac:dyDescent="0.3">
      <c r="A61" s="10" t="s">
        <v>435</v>
      </c>
      <c r="B61" s="36">
        <f>COUNTIFS('Seasons Data'!G:G,A61,'Seasons Data'!E:E,"Y")</f>
        <v>2</v>
      </c>
      <c r="C61" s="48" t="s">
        <v>123</v>
      </c>
      <c r="D61" s="28" t="s">
        <v>189</v>
      </c>
      <c r="E61" s="28"/>
      <c r="F61" s="28"/>
      <c r="G61" s="28"/>
      <c r="H61" s="28" t="s">
        <v>348</v>
      </c>
      <c r="I61" s="28"/>
    </row>
    <row r="62" spans="1:9" ht="26.4" x14ac:dyDescent="0.3">
      <c r="A62" s="10" t="s">
        <v>436</v>
      </c>
      <c r="B62" s="36">
        <f>COUNTIFS('Seasons Data'!G:G,A62,'Seasons Data'!E:E,"Y")</f>
        <v>2</v>
      </c>
      <c r="C62" s="48" t="s">
        <v>123</v>
      </c>
      <c r="D62" s="28" t="s">
        <v>189</v>
      </c>
      <c r="E62" s="28"/>
      <c r="F62" s="28"/>
      <c r="G62" s="28"/>
      <c r="H62" s="28" t="s">
        <v>348</v>
      </c>
      <c r="I62" s="28"/>
    </row>
    <row r="63" spans="1:9" ht="26.4" x14ac:dyDescent="0.3">
      <c r="A63" s="10" t="s">
        <v>437</v>
      </c>
      <c r="B63" s="36">
        <f>COUNTIFS('Seasons Data'!G:G,A63,'Seasons Data'!E:E,"Y")</f>
        <v>2</v>
      </c>
      <c r="C63" s="48" t="s">
        <v>123</v>
      </c>
      <c r="D63" s="28" t="s">
        <v>192</v>
      </c>
      <c r="E63" s="28"/>
      <c r="F63" s="28"/>
      <c r="G63" s="28"/>
      <c r="H63" s="28" t="s">
        <v>348</v>
      </c>
      <c r="I63" s="28"/>
    </row>
    <row r="64" spans="1:9" ht="26.4" x14ac:dyDescent="0.3">
      <c r="A64" s="24" t="s">
        <v>266</v>
      </c>
      <c r="B64" s="46">
        <f>COUNTIFS('Seasons Data'!G:G,A64,'Seasons Data'!E:E,"Y")</f>
        <v>1</v>
      </c>
      <c r="C64" s="47" t="s">
        <v>115</v>
      </c>
      <c r="D64" s="30" t="s">
        <v>185</v>
      </c>
      <c r="E64" s="30" t="s">
        <v>317</v>
      </c>
      <c r="F64" s="30" t="s">
        <v>318</v>
      </c>
      <c r="G64" s="30" t="s">
        <v>268</v>
      </c>
      <c r="H64" s="30" t="s">
        <v>249</v>
      </c>
      <c r="I64" s="30" t="s">
        <v>319</v>
      </c>
    </row>
    <row r="65" spans="1:9" x14ac:dyDescent="0.3">
      <c r="A65" s="24" t="s">
        <v>269</v>
      </c>
      <c r="B65" s="46">
        <f>COUNTIFS('Seasons Data'!G:G,A65,'Seasons Data'!E:E,"Y")</f>
        <v>1</v>
      </c>
      <c r="C65" s="47" t="s">
        <v>115</v>
      </c>
      <c r="D65" s="30" t="s">
        <v>185</v>
      </c>
      <c r="E65" s="30"/>
      <c r="F65" s="30"/>
      <c r="G65" s="30"/>
      <c r="H65" s="30" t="s">
        <v>249</v>
      </c>
      <c r="I65" s="30"/>
    </row>
    <row r="66" spans="1:9" x14ac:dyDescent="0.3">
      <c r="A66" s="24" t="s">
        <v>274</v>
      </c>
      <c r="B66" s="46">
        <f>COUNTIFS('Seasons Data'!G:G,A66,'Seasons Data'!E:E,"Y")</f>
        <v>1</v>
      </c>
      <c r="C66" s="47" t="s">
        <v>115</v>
      </c>
      <c r="D66" s="30" t="s">
        <v>185</v>
      </c>
      <c r="E66" s="30"/>
      <c r="F66" s="30"/>
      <c r="G66" s="30"/>
      <c r="H66" s="30" t="s">
        <v>249</v>
      </c>
      <c r="I66" s="30"/>
    </row>
    <row r="67" spans="1:9" x14ac:dyDescent="0.3">
      <c r="A67" s="24" t="s">
        <v>276</v>
      </c>
      <c r="B67" s="46">
        <f>COUNTIFS('Seasons Data'!G:G,A67,'Seasons Data'!E:E,"Y")</f>
        <v>1</v>
      </c>
      <c r="C67" s="47" t="s">
        <v>115</v>
      </c>
      <c r="D67" s="30" t="s">
        <v>185</v>
      </c>
      <c r="E67" s="30"/>
      <c r="F67" s="30"/>
      <c r="G67" s="30"/>
      <c r="H67" s="30" t="s">
        <v>273</v>
      </c>
      <c r="I67" s="30"/>
    </row>
    <row r="68" spans="1:9" x14ac:dyDescent="0.3">
      <c r="A68" s="24" t="s">
        <v>278</v>
      </c>
      <c r="B68" s="46">
        <f>COUNTIFS('Seasons Data'!G:G,A68,'Seasons Data'!E:E,"Y")</f>
        <v>1</v>
      </c>
      <c r="C68" s="47" t="s">
        <v>115</v>
      </c>
      <c r="D68" s="30" t="s">
        <v>185</v>
      </c>
      <c r="E68" s="30"/>
      <c r="F68" s="30"/>
      <c r="G68" s="30"/>
      <c r="H68" s="30" t="s">
        <v>273</v>
      </c>
      <c r="I68" s="30"/>
    </row>
    <row r="69" spans="1:9" ht="66" x14ac:dyDescent="0.3">
      <c r="A69" s="24" t="s">
        <v>279</v>
      </c>
      <c r="B69" s="46">
        <f>COUNTIFS('Seasons Data'!G:G,A69,'Seasons Data'!E:E,"Y")</f>
        <v>1</v>
      </c>
      <c r="C69" s="47" t="s">
        <v>115</v>
      </c>
      <c r="D69" s="30" t="s">
        <v>185</v>
      </c>
      <c r="E69" s="30" t="s">
        <v>320</v>
      </c>
      <c r="F69" s="30" t="s">
        <v>321</v>
      </c>
      <c r="G69" s="30" t="s">
        <v>281</v>
      </c>
      <c r="H69" s="30" t="s">
        <v>273</v>
      </c>
      <c r="I69" s="30" t="s">
        <v>322</v>
      </c>
    </row>
    <row r="70" spans="1:9" ht="52.8" x14ac:dyDescent="0.3">
      <c r="A70" s="24" t="s">
        <v>282</v>
      </c>
      <c r="B70" s="46">
        <f>COUNTIFS('Seasons Data'!G:G,A70,'Seasons Data'!E:E,"Y")</f>
        <v>1</v>
      </c>
      <c r="C70" s="47" t="s">
        <v>115</v>
      </c>
      <c r="D70" s="30" t="s">
        <v>185</v>
      </c>
      <c r="E70" s="30" t="s">
        <v>323</v>
      </c>
      <c r="F70" s="30" t="s">
        <v>324</v>
      </c>
      <c r="G70" s="30" t="s">
        <v>284</v>
      </c>
      <c r="H70" s="30" t="s">
        <v>273</v>
      </c>
      <c r="I70" s="30" t="s">
        <v>325</v>
      </c>
    </row>
    <row r="71" spans="1:9" ht="39.6" x14ac:dyDescent="0.3">
      <c r="A71" s="24" t="s">
        <v>285</v>
      </c>
      <c r="B71" s="46">
        <f>COUNTIFS('Seasons Data'!G:G,A71,'Seasons Data'!E:E,"Y")</f>
        <v>1</v>
      </c>
      <c r="C71" s="47" t="s">
        <v>115</v>
      </c>
      <c r="D71" s="30" t="s">
        <v>185</v>
      </c>
      <c r="E71" s="30" t="s">
        <v>326</v>
      </c>
      <c r="F71" s="30" t="s">
        <v>327</v>
      </c>
      <c r="G71" s="30" t="s">
        <v>288</v>
      </c>
      <c r="H71" s="30" t="s">
        <v>287</v>
      </c>
      <c r="I71" s="30" t="s">
        <v>328</v>
      </c>
    </row>
    <row r="72" spans="1:9" ht="39.6" x14ac:dyDescent="0.3">
      <c r="A72" s="24" t="s">
        <v>289</v>
      </c>
      <c r="B72" s="46">
        <f>COUNTIFS('Seasons Data'!G:G,A72,'Seasons Data'!E:E,"Y")</f>
        <v>1</v>
      </c>
      <c r="C72" s="47" t="s">
        <v>117</v>
      </c>
      <c r="D72" s="30" t="s">
        <v>186</v>
      </c>
      <c r="E72" s="30" t="s">
        <v>329</v>
      </c>
      <c r="F72" s="30" t="s">
        <v>330</v>
      </c>
      <c r="G72" s="30" t="s">
        <v>291</v>
      </c>
      <c r="H72" s="30" t="s">
        <v>273</v>
      </c>
      <c r="I72" s="30" t="s">
        <v>331</v>
      </c>
    </row>
    <row r="73" spans="1:9" ht="52.8" x14ac:dyDescent="0.3">
      <c r="A73" s="24" t="s">
        <v>292</v>
      </c>
      <c r="B73" s="46">
        <f>COUNTIFS('Seasons Data'!G:G,A73,'Seasons Data'!E:E,"Y")</f>
        <v>1</v>
      </c>
      <c r="C73" s="47" t="s">
        <v>117</v>
      </c>
      <c r="D73" s="30" t="s">
        <v>186</v>
      </c>
      <c r="E73" s="30" t="s">
        <v>332</v>
      </c>
      <c r="F73" s="30" t="s">
        <v>333</v>
      </c>
      <c r="G73" s="30" t="s">
        <v>295</v>
      </c>
      <c r="H73" s="30" t="s">
        <v>294</v>
      </c>
      <c r="I73" s="30" t="s">
        <v>334</v>
      </c>
    </row>
    <row r="74" spans="1:9" ht="26.4" x14ac:dyDescent="0.3">
      <c r="A74" s="24" t="s">
        <v>296</v>
      </c>
      <c r="B74" s="46">
        <f>COUNTIFS('Seasons Data'!G:G,A74,'Seasons Data'!E:E,"Y")</f>
        <v>1</v>
      </c>
      <c r="C74" s="47" t="s">
        <v>117</v>
      </c>
      <c r="D74" s="30" t="s">
        <v>186</v>
      </c>
      <c r="E74" s="30" t="s">
        <v>335</v>
      </c>
      <c r="F74" s="30" t="s">
        <v>336</v>
      </c>
      <c r="G74" s="30" t="s">
        <v>298</v>
      </c>
      <c r="H74" s="30" t="s">
        <v>294</v>
      </c>
      <c r="I74" s="30" t="s">
        <v>337</v>
      </c>
    </row>
    <row r="75" spans="1:9" ht="52.8" x14ac:dyDescent="0.3">
      <c r="A75" s="24" t="s">
        <v>302</v>
      </c>
      <c r="B75" s="46">
        <f>COUNTIFS('Seasons Data'!G:G,A75,'Seasons Data'!E:E,"Y")</f>
        <v>1</v>
      </c>
      <c r="C75" s="47" t="s">
        <v>119</v>
      </c>
      <c r="D75" s="30" t="s">
        <v>187</v>
      </c>
      <c r="E75" s="30" t="s">
        <v>341</v>
      </c>
      <c r="F75" s="30" t="s">
        <v>342</v>
      </c>
      <c r="G75" s="30" t="s">
        <v>304</v>
      </c>
      <c r="H75" s="30" t="s">
        <v>249</v>
      </c>
      <c r="I75" s="30" t="s">
        <v>343</v>
      </c>
    </row>
    <row r="76" spans="1:9" ht="52.8" x14ac:dyDescent="0.3">
      <c r="A76" s="24" t="s">
        <v>305</v>
      </c>
      <c r="B76" s="46">
        <f>COUNTIFS('Seasons Data'!G:G,A76,'Seasons Data'!E:E,"Y")</f>
        <v>1</v>
      </c>
      <c r="C76" s="47" t="s">
        <v>119</v>
      </c>
      <c r="D76" s="30" t="s">
        <v>187</v>
      </c>
      <c r="E76" s="30" t="s">
        <v>344</v>
      </c>
      <c r="F76" s="30" t="s">
        <v>345</v>
      </c>
      <c r="G76" s="30" t="s">
        <v>307</v>
      </c>
      <c r="H76" s="30" t="s">
        <v>249</v>
      </c>
      <c r="I76" s="30" t="s">
        <v>346</v>
      </c>
    </row>
    <row r="77" spans="1:9" ht="26.4" x14ac:dyDescent="0.3">
      <c r="A77" s="10" t="s">
        <v>347</v>
      </c>
      <c r="B77" s="36">
        <f>COUNTIFS('Seasons Data'!G:G,A77,'Seasons Data'!E:E,"Y")</f>
        <v>1</v>
      </c>
      <c r="C77" s="48" t="s">
        <v>121</v>
      </c>
      <c r="D77" s="28" t="s">
        <v>188</v>
      </c>
      <c r="E77" s="28"/>
      <c r="F77" s="28"/>
      <c r="G77" s="28"/>
      <c r="H77" s="28" t="s">
        <v>348</v>
      </c>
      <c r="I77" s="28"/>
    </row>
    <row r="78" spans="1:9" ht="39.6" x14ac:dyDescent="0.3">
      <c r="A78" s="10" t="s">
        <v>349</v>
      </c>
      <c r="B78" s="36">
        <f>COUNTIFS('Seasons Data'!G:G,A78,'Seasons Data'!E:E,"Y")</f>
        <v>1</v>
      </c>
      <c r="C78" s="48" t="s">
        <v>121</v>
      </c>
      <c r="D78" s="28" t="s">
        <v>188</v>
      </c>
      <c r="E78" s="28" t="s">
        <v>350</v>
      </c>
      <c r="F78" s="28" t="s">
        <v>351</v>
      </c>
      <c r="G78" s="28" t="s">
        <v>352</v>
      </c>
      <c r="H78" s="28" t="s">
        <v>348</v>
      </c>
      <c r="I78" s="28" t="s">
        <v>353</v>
      </c>
    </row>
    <row r="79" spans="1:9" ht="26.4" x14ac:dyDescent="0.3">
      <c r="A79" s="10" t="s">
        <v>438</v>
      </c>
      <c r="B79" s="36">
        <f>COUNTIFS('Seasons Data'!G:G,A79,'Seasons Data'!E:E,"Y")</f>
        <v>1</v>
      </c>
      <c r="C79" s="48" t="s">
        <v>123</v>
      </c>
      <c r="D79" s="28" t="s">
        <v>191</v>
      </c>
      <c r="E79" s="28"/>
      <c r="F79" s="28"/>
      <c r="G79" s="28"/>
      <c r="H79" s="28" t="s">
        <v>348</v>
      </c>
      <c r="I79" s="28"/>
    </row>
    <row r="80" spans="1:9" ht="26.4" x14ac:dyDescent="0.3">
      <c r="A80" s="10" t="s">
        <v>439</v>
      </c>
      <c r="B80" s="36">
        <f>COUNTIFS('Seasons Data'!G:G,A80,'Seasons Data'!E:E,"Y")</f>
        <v>1</v>
      </c>
      <c r="C80" s="48" t="s">
        <v>123</v>
      </c>
      <c r="D80" s="28" t="s">
        <v>197</v>
      </c>
      <c r="E80" s="28"/>
      <c r="F80" s="28"/>
      <c r="G80" s="28"/>
      <c r="H80" s="28" t="s">
        <v>348</v>
      </c>
      <c r="I80" s="28"/>
    </row>
    <row r="81" spans="1:9" ht="26.4" x14ac:dyDescent="0.3">
      <c r="A81" s="10" t="s">
        <v>440</v>
      </c>
      <c r="B81" s="36">
        <f>COUNTIFS('Seasons Data'!G:G,A81,'Seasons Data'!E:E,"Y")</f>
        <v>1</v>
      </c>
      <c r="C81" s="48" t="s">
        <v>123</v>
      </c>
      <c r="D81" s="28" t="s">
        <v>192</v>
      </c>
      <c r="E81" s="28"/>
      <c r="F81" s="28"/>
      <c r="G81" s="28"/>
      <c r="H81" s="28" t="s">
        <v>348</v>
      </c>
      <c r="I81" s="28"/>
    </row>
    <row r="82" spans="1:9" ht="26.4" x14ac:dyDescent="0.3">
      <c r="A82" s="10" t="s">
        <v>441</v>
      </c>
      <c r="B82" s="36">
        <f>COUNTIFS('Seasons Data'!G:G,A82,'Seasons Data'!E:E,"Y")</f>
        <v>1</v>
      </c>
      <c r="C82" s="48" t="s">
        <v>123</v>
      </c>
      <c r="D82" s="28" t="s">
        <v>197</v>
      </c>
      <c r="E82" s="28"/>
      <c r="F82" s="28"/>
      <c r="G82" s="28"/>
      <c r="H82" s="28" t="s">
        <v>348</v>
      </c>
      <c r="I82" s="28"/>
    </row>
    <row r="83" spans="1:9" ht="39.6" x14ac:dyDescent="0.3">
      <c r="A83" s="10" t="s">
        <v>442</v>
      </c>
      <c r="B83" s="36">
        <f>COUNTIFS('Seasons Data'!G:G,A83,'Seasons Data'!E:E,"Y")</f>
        <v>1</v>
      </c>
      <c r="C83" s="48" t="s">
        <v>123</v>
      </c>
      <c r="D83" s="28" t="s">
        <v>200</v>
      </c>
      <c r="E83" s="28" t="s">
        <v>443</v>
      </c>
      <c r="F83" s="28" t="s">
        <v>444</v>
      </c>
      <c r="G83" s="28" t="s">
        <v>445</v>
      </c>
      <c r="H83" s="28" t="s">
        <v>366</v>
      </c>
      <c r="I83" s="28" t="s">
        <v>446</v>
      </c>
    </row>
    <row r="84" spans="1:9" ht="26.4" x14ac:dyDescent="0.3">
      <c r="A84" s="10" t="s">
        <v>447</v>
      </c>
      <c r="B84" s="36">
        <f>COUNTIFS('Seasons Data'!G:G,A84,'Seasons Data'!E:E,"Y")</f>
        <v>1</v>
      </c>
      <c r="C84" s="48" t="s">
        <v>123</v>
      </c>
      <c r="D84" s="28" t="s">
        <v>190</v>
      </c>
      <c r="E84" s="28"/>
      <c r="F84" s="28"/>
      <c r="G84" s="28"/>
      <c r="H84" s="28" t="s">
        <v>348</v>
      </c>
      <c r="I84" s="28"/>
    </row>
    <row r="85" spans="1:9" ht="26.4" x14ac:dyDescent="0.3">
      <c r="A85" s="10" t="s">
        <v>448</v>
      </c>
      <c r="B85" s="36">
        <f>COUNTIFS('Seasons Data'!G:G,A85,'Seasons Data'!E:E,"Y")</f>
        <v>1</v>
      </c>
      <c r="C85" s="48" t="s">
        <v>123</v>
      </c>
      <c r="D85" s="28" t="s">
        <v>189</v>
      </c>
      <c r="E85" s="28"/>
      <c r="F85" s="28"/>
      <c r="G85" s="28"/>
      <c r="H85" s="28" t="s">
        <v>348</v>
      </c>
      <c r="I85" s="28"/>
    </row>
    <row r="86" spans="1:9" ht="26.4" x14ac:dyDescent="0.3">
      <c r="A86" s="10" t="s">
        <v>449</v>
      </c>
      <c r="B86" s="36">
        <f>COUNTIFS('Seasons Data'!G:G,A86,'Seasons Data'!E:E,"Y")</f>
        <v>1</v>
      </c>
      <c r="C86" s="48" t="s">
        <v>123</v>
      </c>
      <c r="D86" s="28" t="s">
        <v>197</v>
      </c>
      <c r="E86" s="28"/>
      <c r="F86" s="28"/>
      <c r="G86" s="28"/>
      <c r="H86" s="28" t="s">
        <v>348</v>
      </c>
      <c r="I86" s="28"/>
    </row>
    <row r="87" spans="1:9" ht="26.4" x14ac:dyDescent="0.3">
      <c r="A87" s="10" t="s">
        <v>450</v>
      </c>
      <c r="B87" s="36">
        <f>COUNTIFS('Seasons Data'!G:G,A87,'Seasons Data'!E:E,"Y")</f>
        <v>1</v>
      </c>
      <c r="C87" s="48" t="s">
        <v>123</v>
      </c>
      <c r="D87" s="28" t="s">
        <v>191</v>
      </c>
      <c r="E87" s="28"/>
      <c r="F87" s="28"/>
      <c r="G87" s="28"/>
      <c r="H87" s="28" t="s">
        <v>348</v>
      </c>
      <c r="I87" s="28"/>
    </row>
    <row r="88" spans="1:9" ht="26.4" x14ac:dyDescent="0.3">
      <c r="A88" s="10" t="s">
        <v>451</v>
      </c>
      <c r="B88" s="36">
        <f>COUNTIFS('Seasons Data'!G:G,A88,'Seasons Data'!E:E,"Y")</f>
        <v>1</v>
      </c>
      <c r="C88" s="48" t="s">
        <v>123</v>
      </c>
      <c r="D88" s="28" t="s">
        <v>191</v>
      </c>
      <c r="E88" s="28"/>
      <c r="F88" s="28"/>
      <c r="G88" s="28"/>
      <c r="H88" s="28" t="s">
        <v>348</v>
      </c>
      <c r="I88" s="28"/>
    </row>
    <row r="89" spans="1:9" ht="26.4" x14ac:dyDescent="0.3">
      <c r="A89" s="10" t="s">
        <v>452</v>
      </c>
      <c r="B89" s="36">
        <f>COUNTIFS('Seasons Data'!G:G,A89,'Seasons Data'!E:E,"Y")</f>
        <v>1</v>
      </c>
      <c r="C89" s="48" t="s">
        <v>123</v>
      </c>
      <c r="D89" s="28" t="s">
        <v>206</v>
      </c>
      <c r="E89" s="28"/>
      <c r="F89" s="28"/>
      <c r="G89" s="28"/>
      <c r="H89" s="28" t="s">
        <v>348</v>
      </c>
      <c r="I89" s="28"/>
    </row>
    <row r="90" spans="1:9" ht="26.4" x14ac:dyDescent="0.3">
      <c r="A90" s="10" t="s">
        <v>453</v>
      </c>
      <c r="B90" s="36">
        <f>COUNTIFS('Seasons Data'!G:G,A90,'Seasons Data'!E:E,"Y")</f>
        <v>1</v>
      </c>
      <c r="C90" s="48" t="s">
        <v>123</v>
      </c>
      <c r="D90" s="28" t="s">
        <v>194</v>
      </c>
      <c r="E90" s="28"/>
      <c r="F90" s="28"/>
      <c r="G90" s="28"/>
      <c r="H90" s="28" t="s">
        <v>348</v>
      </c>
      <c r="I90" s="28"/>
    </row>
    <row r="91" spans="1:9" ht="39.6" x14ac:dyDescent="0.3">
      <c r="A91" s="10" t="s">
        <v>454</v>
      </c>
      <c r="B91" s="36">
        <f>COUNTIFS('Seasons Data'!G:G,A91,'Seasons Data'!E:E,"Y")</f>
        <v>1</v>
      </c>
      <c r="C91" s="48" t="s">
        <v>123</v>
      </c>
      <c r="D91" s="28" t="s">
        <v>197</v>
      </c>
      <c r="E91" s="28" t="s">
        <v>455</v>
      </c>
      <c r="F91" s="28" t="s">
        <v>456</v>
      </c>
      <c r="G91" s="28" t="s">
        <v>457</v>
      </c>
      <c r="H91" s="28" t="s">
        <v>348</v>
      </c>
      <c r="I91" s="28" t="s">
        <v>458</v>
      </c>
    </row>
    <row r="92" spans="1:9" ht="26.4" x14ac:dyDescent="0.3">
      <c r="A92" s="10" t="s">
        <v>459</v>
      </c>
      <c r="B92" s="36">
        <f>COUNTIFS('Seasons Data'!G:G,A92,'Seasons Data'!E:E,"Y")</f>
        <v>1</v>
      </c>
      <c r="C92" s="48" t="s">
        <v>123</v>
      </c>
      <c r="D92" s="28" t="s">
        <v>191</v>
      </c>
      <c r="E92" s="28"/>
      <c r="F92" s="28"/>
      <c r="G92" s="28"/>
      <c r="H92" s="28" t="s">
        <v>348</v>
      </c>
      <c r="I92" s="28"/>
    </row>
    <row r="93" spans="1:9" x14ac:dyDescent="0.3">
      <c r="A93" s="10" t="s">
        <v>460</v>
      </c>
      <c r="B93" s="36">
        <f>COUNTIFS('Seasons Data'!G:G,A93,'Seasons Data'!E:E,"Y")</f>
        <v>1</v>
      </c>
      <c r="C93" s="48" t="s">
        <v>123</v>
      </c>
      <c r="D93" s="28" t="s">
        <v>205</v>
      </c>
      <c r="E93" s="28"/>
      <c r="F93" s="28"/>
      <c r="G93" s="28"/>
      <c r="H93" s="28" t="s">
        <v>366</v>
      </c>
      <c r="I93" s="28"/>
    </row>
    <row r="94" spans="1:9" ht="26.4" x14ac:dyDescent="0.3">
      <c r="A94" s="10" t="s">
        <v>461</v>
      </c>
      <c r="B94" s="36">
        <f>COUNTIFS('Seasons Data'!G:G,A94,'Seasons Data'!E:E,"Y")</f>
        <v>1</v>
      </c>
      <c r="C94" s="48" t="s">
        <v>123</v>
      </c>
      <c r="D94" s="28" t="s">
        <v>191</v>
      </c>
      <c r="E94" s="28"/>
      <c r="F94" s="28"/>
      <c r="G94" s="28"/>
      <c r="H94" s="28" t="s">
        <v>348</v>
      </c>
      <c r="I94" s="28"/>
    </row>
    <row r="95" spans="1:9" ht="26.4" x14ac:dyDescent="0.3">
      <c r="A95" s="10" t="s">
        <v>462</v>
      </c>
      <c r="B95" s="36">
        <f>COUNTIFS('Seasons Data'!G:G,A95,'Seasons Data'!E:E,"Y")</f>
        <v>1</v>
      </c>
      <c r="C95" s="48" t="s">
        <v>123</v>
      </c>
      <c r="D95" s="28" t="s">
        <v>191</v>
      </c>
      <c r="E95" s="28"/>
      <c r="F95" s="28"/>
      <c r="G95" s="28"/>
      <c r="H95" s="28" t="s">
        <v>348</v>
      </c>
      <c r="I95" s="28"/>
    </row>
    <row r="96" spans="1:9" x14ac:dyDescent="0.3">
      <c r="A96" s="10" t="s">
        <v>463</v>
      </c>
      <c r="B96" s="36">
        <f>COUNTIFS('Seasons Data'!G:G,A96,'Seasons Data'!E:E,"Y")</f>
        <v>1</v>
      </c>
      <c r="C96" s="48" t="s">
        <v>123</v>
      </c>
      <c r="D96" s="28" t="s">
        <v>194</v>
      </c>
      <c r="E96" s="28"/>
      <c r="F96" s="28"/>
      <c r="G96" s="28"/>
      <c r="H96" s="28" t="s">
        <v>366</v>
      </c>
      <c r="I96" s="28"/>
    </row>
    <row r="97" spans="1:9" ht="26.4" x14ac:dyDescent="0.3">
      <c r="A97" s="10" t="s">
        <v>464</v>
      </c>
      <c r="B97" s="36">
        <f>COUNTIFS('Seasons Data'!G:G,A97,'Seasons Data'!E:E,"Y")</f>
        <v>1</v>
      </c>
      <c r="C97" s="48" t="s">
        <v>123</v>
      </c>
      <c r="D97" s="28" t="s">
        <v>197</v>
      </c>
      <c r="E97" s="28"/>
      <c r="F97" s="28"/>
      <c r="G97" s="28"/>
      <c r="H97" s="28" t="s">
        <v>348</v>
      </c>
      <c r="I97" s="28"/>
    </row>
    <row r="98" spans="1:9" ht="26.4" x14ac:dyDescent="0.3">
      <c r="A98" s="10" t="s">
        <v>465</v>
      </c>
      <c r="B98" s="36">
        <f>COUNTIFS('Seasons Data'!G:G,A98,'Seasons Data'!E:E,"Y")</f>
        <v>1</v>
      </c>
      <c r="C98" s="48" t="s">
        <v>123</v>
      </c>
      <c r="D98" s="28" t="s">
        <v>197</v>
      </c>
      <c r="E98" s="28" t="s">
        <v>466</v>
      </c>
      <c r="F98" s="28" t="s">
        <v>467</v>
      </c>
      <c r="G98" s="28" t="s">
        <v>468</v>
      </c>
      <c r="H98" s="28" t="s">
        <v>294</v>
      </c>
      <c r="I98" s="28" t="s">
        <v>469</v>
      </c>
    </row>
    <row r="99" spans="1:9" ht="26.4" x14ac:dyDescent="0.3">
      <c r="A99" s="10" t="s">
        <v>470</v>
      </c>
      <c r="B99" s="36">
        <f>COUNTIFS('Seasons Data'!G:G,A99,'Seasons Data'!E:E,"Y")</f>
        <v>1</v>
      </c>
      <c r="C99" s="48" t="s">
        <v>123</v>
      </c>
      <c r="D99" s="28" t="s">
        <v>190</v>
      </c>
      <c r="E99" s="28"/>
      <c r="F99" s="28"/>
      <c r="G99" s="28"/>
      <c r="H99" s="28" t="s">
        <v>348</v>
      </c>
      <c r="I99" s="28"/>
    </row>
    <row r="100" spans="1:9" ht="39.6" x14ac:dyDescent="0.3">
      <c r="A100" s="10" t="s">
        <v>471</v>
      </c>
      <c r="B100" s="36">
        <f>COUNTIFS('Seasons Data'!G:G,A100,'Seasons Data'!E:E,"Y")</f>
        <v>1</v>
      </c>
      <c r="C100" s="48" t="s">
        <v>123</v>
      </c>
      <c r="D100" s="28" t="s">
        <v>197</v>
      </c>
      <c r="E100" s="28" t="s">
        <v>472</v>
      </c>
      <c r="F100" s="28" t="s">
        <v>473</v>
      </c>
      <c r="G100" s="28" t="s">
        <v>474</v>
      </c>
      <c r="H100" s="28" t="s">
        <v>366</v>
      </c>
      <c r="I100" s="28" t="s">
        <v>475</v>
      </c>
    </row>
    <row r="101" spans="1:9" ht="26.4" x14ac:dyDescent="0.3">
      <c r="A101" s="10" t="s">
        <v>476</v>
      </c>
      <c r="B101" s="36">
        <f>COUNTIFS('Seasons Data'!G:G,A101,'Seasons Data'!E:E,"Y")</f>
        <v>1</v>
      </c>
      <c r="C101" s="48" t="s">
        <v>123</v>
      </c>
      <c r="D101" s="28" t="s">
        <v>190</v>
      </c>
      <c r="E101" s="28"/>
      <c r="F101" s="28"/>
      <c r="G101" s="28"/>
      <c r="H101" s="28" t="s">
        <v>348</v>
      </c>
      <c r="I101" s="28"/>
    </row>
    <row r="102" spans="1:9" ht="26.4" x14ac:dyDescent="0.3">
      <c r="A102" s="10" t="s">
        <v>477</v>
      </c>
      <c r="B102" s="36">
        <f>COUNTIFS('Seasons Data'!G:G,A102,'Seasons Data'!E:E,"Y")</f>
        <v>1</v>
      </c>
      <c r="C102" s="48" t="s">
        <v>123</v>
      </c>
      <c r="D102" s="28" t="s">
        <v>194</v>
      </c>
      <c r="E102" s="28"/>
      <c r="F102" s="28"/>
      <c r="G102" s="28"/>
      <c r="H102" s="28" t="s">
        <v>348</v>
      </c>
      <c r="I102" s="28"/>
    </row>
    <row r="103" spans="1:9" ht="26.4" x14ac:dyDescent="0.3">
      <c r="A103" s="10" t="s">
        <v>478</v>
      </c>
      <c r="B103" s="36">
        <f>COUNTIFS('Seasons Data'!G:G,A103,'Seasons Data'!E:E,"Y")</f>
        <v>1</v>
      </c>
      <c r="C103" s="48" t="s">
        <v>123</v>
      </c>
      <c r="D103" s="28" t="s">
        <v>192</v>
      </c>
      <c r="E103" s="28"/>
      <c r="F103" s="28"/>
      <c r="G103" s="28"/>
      <c r="H103" s="28" t="s">
        <v>348</v>
      </c>
      <c r="I103" s="28"/>
    </row>
    <row r="104" spans="1:9" ht="26.4" x14ac:dyDescent="0.3">
      <c r="A104" s="10" t="s">
        <v>479</v>
      </c>
      <c r="B104" s="36">
        <f>COUNTIFS('Seasons Data'!G:G,A104,'Seasons Data'!E:E,"Y")</f>
        <v>1</v>
      </c>
      <c r="C104" s="48" t="s">
        <v>123</v>
      </c>
      <c r="D104" s="28" t="s">
        <v>190</v>
      </c>
      <c r="E104" s="28"/>
      <c r="F104" s="28"/>
      <c r="G104" s="28"/>
      <c r="H104" s="28" t="s">
        <v>348</v>
      </c>
      <c r="I104" s="28"/>
    </row>
    <row r="105" spans="1:9" ht="26.4" x14ac:dyDescent="0.3">
      <c r="A105" s="10" t="s">
        <v>480</v>
      </c>
      <c r="B105" s="36">
        <f>COUNTIFS('Seasons Data'!G:G,A105,'Seasons Data'!E:E,"Y")</f>
        <v>1</v>
      </c>
      <c r="C105" s="48" t="s">
        <v>123</v>
      </c>
      <c r="D105" s="28" t="s">
        <v>191</v>
      </c>
      <c r="E105" s="28"/>
      <c r="F105" s="28"/>
      <c r="G105" s="28"/>
      <c r="H105" s="28" t="s">
        <v>348</v>
      </c>
      <c r="I105" s="28"/>
    </row>
    <row r="106" spans="1:9" ht="26.4" x14ac:dyDescent="0.3">
      <c r="A106" s="10" t="s">
        <v>481</v>
      </c>
      <c r="B106" s="36">
        <f>COUNTIFS('Seasons Data'!G:G,A106,'Seasons Data'!E:E,"Y")</f>
        <v>1</v>
      </c>
      <c r="C106" s="48" t="s">
        <v>123</v>
      </c>
      <c r="D106" s="28" t="s">
        <v>199</v>
      </c>
      <c r="E106" s="28"/>
      <c r="F106" s="28"/>
      <c r="G106" s="28"/>
      <c r="H106" s="28" t="s">
        <v>348</v>
      </c>
      <c r="I106" s="28"/>
    </row>
    <row r="107" spans="1:9" ht="26.4" x14ac:dyDescent="0.3">
      <c r="A107" s="10" t="s">
        <v>482</v>
      </c>
      <c r="B107" s="36">
        <f>COUNTIFS('Seasons Data'!G:G,A107,'Seasons Data'!E:E,"Y")</f>
        <v>1</v>
      </c>
      <c r="C107" s="48" t="s">
        <v>123</v>
      </c>
      <c r="D107" s="28" t="s">
        <v>191</v>
      </c>
      <c r="E107" s="28"/>
      <c r="F107" s="28"/>
      <c r="G107" s="28"/>
      <c r="H107" s="28" t="s">
        <v>348</v>
      </c>
      <c r="I107" s="28"/>
    </row>
    <row r="108" spans="1:9" ht="26.4" x14ac:dyDescent="0.3">
      <c r="A108" s="10" t="s">
        <v>483</v>
      </c>
      <c r="B108" s="36">
        <f>COUNTIFS('Seasons Data'!G:G,A108,'Seasons Data'!E:E,"Y")</f>
        <v>1</v>
      </c>
      <c r="C108" s="48" t="s">
        <v>123</v>
      </c>
      <c r="D108" s="28" t="s">
        <v>198</v>
      </c>
      <c r="E108" s="28"/>
      <c r="F108" s="28"/>
      <c r="G108" s="28"/>
      <c r="H108" s="28" t="s">
        <v>348</v>
      </c>
      <c r="I108" s="28"/>
    </row>
    <row r="109" spans="1:9" ht="26.4" x14ac:dyDescent="0.3">
      <c r="A109" s="10" t="s">
        <v>484</v>
      </c>
      <c r="B109" s="36">
        <f>COUNTIFS('Seasons Data'!G:G,A109,'Seasons Data'!E:E,"Y")</f>
        <v>1</v>
      </c>
      <c r="C109" s="48" t="s">
        <v>123</v>
      </c>
      <c r="D109" s="28" t="s">
        <v>189</v>
      </c>
      <c r="E109" s="28"/>
      <c r="F109" s="28"/>
      <c r="G109" s="28"/>
      <c r="H109" s="28" t="s">
        <v>348</v>
      </c>
      <c r="I109" s="28"/>
    </row>
    <row r="110" spans="1:9" ht="26.4" x14ac:dyDescent="0.3">
      <c r="A110" s="10" t="s">
        <v>485</v>
      </c>
      <c r="B110" s="36">
        <f>COUNTIFS('Seasons Data'!G:G,A110,'Seasons Data'!E:E,"Y")</f>
        <v>1</v>
      </c>
      <c r="C110" s="48" t="s">
        <v>123</v>
      </c>
      <c r="D110" s="28" t="s">
        <v>189</v>
      </c>
      <c r="E110" s="28"/>
      <c r="F110" s="28"/>
      <c r="G110" s="28"/>
      <c r="H110" s="28" t="s">
        <v>348</v>
      </c>
      <c r="I110" s="28"/>
    </row>
    <row r="111" spans="1:9" ht="26.4" x14ac:dyDescent="0.3">
      <c r="A111" s="10" t="s">
        <v>486</v>
      </c>
      <c r="B111" s="36">
        <f>COUNTIFS('Seasons Data'!G:G,A111,'Seasons Data'!E:E,"Y")</f>
        <v>1</v>
      </c>
      <c r="C111" s="48" t="s">
        <v>123</v>
      </c>
      <c r="D111" s="28" t="s">
        <v>191</v>
      </c>
      <c r="E111" s="28"/>
      <c r="F111" s="28"/>
      <c r="G111" s="28"/>
      <c r="H111" s="28" t="s">
        <v>348</v>
      </c>
      <c r="I111" s="28"/>
    </row>
    <row r="112" spans="1:9" ht="26.4" x14ac:dyDescent="0.3">
      <c r="A112" s="10" t="s">
        <v>487</v>
      </c>
      <c r="B112" s="36">
        <f>COUNTIFS('Seasons Data'!G:G,A112,'Seasons Data'!E:E,"Y")</f>
        <v>1</v>
      </c>
      <c r="C112" s="48" t="s">
        <v>123</v>
      </c>
      <c r="D112" s="28" t="s">
        <v>194</v>
      </c>
      <c r="E112" s="28"/>
      <c r="F112" s="28"/>
      <c r="G112" s="28"/>
      <c r="H112" s="28" t="s">
        <v>348</v>
      </c>
      <c r="I112" s="28"/>
    </row>
    <row r="113" spans="1:9" ht="26.4" x14ac:dyDescent="0.3">
      <c r="A113" s="10" t="s">
        <v>488</v>
      </c>
      <c r="B113" s="36">
        <f>COUNTIFS('Seasons Data'!G:G,A113,'Seasons Data'!E:E,"Y")</f>
        <v>1</v>
      </c>
      <c r="C113" s="48" t="s">
        <v>123</v>
      </c>
      <c r="D113" s="28" t="s">
        <v>190</v>
      </c>
      <c r="E113" s="28"/>
      <c r="F113" s="28"/>
      <c r="G113" s="28"/>
      <c r="H113" s="28" t="s">
        <v>348</v>
      </c>
      <c r="I113" s="28"/>
    </row>
    <row r="114" spans="1:9" ht="26.4" x14ac:dyDescent="0.3">
      <c r="A114" s="10" t="s">
        <v>489</v>
      </c>
      <c r="B114" s="36">
        <f>COUNTIFS('Seasons Data'!G:G,A114,'Seasons Data'!E:E,"Y")</f>
        <v>1</v>
      </c>
      <c r="C114" s="48" t="s">
        <v>123</v>
      </c>
      <c r="D114" s="28" t="s">
        <v>191</v>
      </c>
      <c r="E114" s="28"/>
      <c r="F114" s="28"/>
      <c r="G114" s="28"/>
      <c r="H114" s="28" t="s">
        <v>348</v>
      </c>
      <c r="I114" s="28"/>
    </row>
    <row r="115" spans="1:9" ht="26.4" x14ac:dyDescent="0.3">
      <c r="A115" s="10" t="s">
        <v>490</v>
      </c>
      <c r="B115" s="36">
        <f>COUNTIFS('Seasons Data'!G:G,A115,'Seasons Data'!E:E,"Y")</f>
        <v>1</v>
      </c>
      <c r="C115" s="48" t="s">
        <v>123</v>
      </c>
      <c r="D115" s="28" t="s">
        <v>190</v>
      </c>
      <c r="E115" s="28"/>
      <c r="F115" s="28"/>
      <c r="G115" s="28"/>
      <c r="H115" s="28" t="s">
        <v>348</v>
      </c>
      <c r="I115" s="28"/>
    </row>
    <row r="116" spans="1:9" ht="26.4" x14ac:dyDescent="0.3">
      <c r="A116" s="10" t="s">
        <v>491</v>
      </c>
      <c r="B116" s="36">
        <f>COUNTIFS('Seasons Data'!G:G,A116,'Seasons Data'!E:E,"Y")</f>
        <v>1</v>
      </c>
      <c r="C116" s="48" t="s">
        <v>123</v>
      </c>
      <c r="D116" s="28" t="s">
        <v>197</v>
      </c>
      <c r="E116" s="28"/>
      <c r="F116" s="28"/>
      <c r="G116" s="28"/>
      <c r="H116" s="28" t="s">
        <v>348</v>
      </c>
      <c r="I116" s="28"/>
    </row>
    <row r="117" spans="1:9" x14ac:dyDescent="0.3">
      <c r="A117" s="10" t="s">
        <v>492</v>
      </c>
      <c r="B117" s="36">
        <f>COUNTIFS('Seasons Data'!G:G,A117,'Seasons Data'!E:E,"Y")</f>
        <v>1</v>
      </c>
      <c r="C117" s="48" t="s">
        <v>123</v>
      </c>
      <c r="D117" s="28" t="s">
        <v>196</v>
      </c>
      <c r="E117" s="28"/>
      <c r="F117" s="28"/>
      <c r="G117" s="28"/>
      <c r="H117" s="28" t="s">
        <v>366</v>
      </c>
      <c r="I117" s="28"/>
    </row>
    <row r="118" spans="1:9" ht="39.6" x14ac:dyDescent="0.3">
      <c r="A118" s="10" t="s">
        <v>493</v>
      </c>
      <c r="B118" s="36">
        <f>COUNTIFS('Seasons Data'!G:G,A118,'Seasons Data'!E:E,"Y")</f>
        <v>1</v>
      </c>
      <c r="C118" s="48" t="s">
        <v>123</v>
      </c>
      <c r="D118" s="28" t="s">
        <v>202</v>
      </c>
      <c r="E118" s="28" t="s">
        <v>494</v>
      </c>
      <c r="F118" s="28" t="s">
        <v>495</v>
      </c>
      <c r="G118" s="28" t="s">
        <v>496</v>
      </c>
      <c r="H118" s="28" t="s">
        <v>348</v>
      </c>
      <c r="I118" s="28" t="s">
        <v>497</v>
      </c>
    </row>
    <row r="119" spans="1:9" ht="26.4" x14ac:dyDescent="0.3">
      <c r="A119" s="10" t="s">
        <v>498</v>
      </c>
      <c r="B119" s="36">
        <f>COUNTIFS('Seasons Data'!G:G,A119,'Seasons Data'!E:E,"Y")</f>
        <v>1</v>
      </c>
      <c r="C119" s="48" t="s">
        <v>123</v>
      </c>
      <c r="D119" s="28" t="s">
        <v>189</v>
      </c>
      <c r="E119" s="28"/>
      <c r="F119" s="28"/>
      <c r="G119" s="28"/>
      <c r="H119" s="28" t="s">
        <v>348</v>
      </c>
      <c r="I119" s="28"/>
    </row>
    <row r="120" spans="1:9" ht="26.4" x14ac:dyDescent="0.3">
      <c r="A120" s="10" t="s">
        <v>499</v>
      </c>
      <c r="B120" s="36">
        <f>COUNTIFS('Seasons Data'!G:G,A120,'Seasons Data'!E:E,"Y")</f>
        <v>1</v>
      </c>
      <c r="C120" s="48" t="s">
        <v>123</v>
      </c>
      <c r="D120" s="28" t="s">
        <v>190</v>
      </c>
      <c r="E120" s="28"/>
      <c r="F120" s="28"/>
      <c r="G120" s="28"/>
      <c r="H120" s="28" t="s">
        <v>348</v>
      </c>
      <c r="I120" s="28"/>
    </row>
    <row r="121" spans="1:9" ht="26.4" x14ac:dyDescent="0.3">
      <c r="A121" s="10" t="s">
        <v>500</v>
      </c>
      <c r="B121" s="36">
        <f>COUNTIFS('Seasons Data'!G:G,A121,'Seasons Data'!E:E,"Y")</f>
        <v>1</v>
      </c>
      <c r="C121" s="48" t="s">
        <v>123</v>
      </c>
      <c r="D121" s="28" t="s">
        <v>205</v>
      </c>
      <c r="E121" s="28"/>
      <c r="F121" s="28"/>
      <c r="G121" s="28"/>
      <c r="H121" s="28" t="s">
        <v>348</v>
      </c>
      <c r="I121" s="28"/>
    </row>
    <row r="122" spans="1:9" ht="26.4" x14ac:dyDescent="0.3">
      <c r="A122" s="10" t="s">
        <v>501</v>
      </c>
      <c r="B122" s="36">
        <f>COUNTIFS('Seasons Data'!G:G,A122,'Seasons Data'!E:E,"Y")</f>
        <v>1</v>
      </c>
      <c r="C122" s="48" t="s">
        <v>123</v>
      </c>
      <c r="D122" s="28" t="s">
        <v>189</v>
      </c>
      <c r="E122" s="28"/>
      <c r="F122" s="28"/>
      <c r="G122" s="28"/>
      <c r="H122" s="28" t="s">
        <v>348</v>
      </c>
      <c r="I122" s="28"/>
    </row>
    <row r="123" spans="1:9" ht="26.4" x14ac:dyDescent="0.3">
      <c r="A123" s="10" t="s">
        <v>502</v>
      </c>
      <c r="B123" s="36">
        <f>COUNTIFS('Seasons Data'!G:G,A123,'Seasons Data'!E:E,"Y")</f>
        <v>1</v>
      </c>
      <c r="C123" s="48" t="s">
        <v>123</v>
      </c>
      <c r="D123" s="28" t="s">
        <v>192</v>
      </c>
      <c r="E123" s="28"/>
      <c r="F123" s="28"/>
      <c r="G123" s="28"/>
      <c r="H123" s="28" t="s">
        <v>348</v>
      </c>
      <c r="I123" s="28"/>
    </row>
    <row r="124" spans="1:9" ht="26.4" x14ac:dyDescent="0.3">
      <c r="A124" s="10" t="s">
        <v>503</v>
      </c>
      <c r="B124" s="36">
        <f>COUNTIFS('Seasons Data'!G:G,A124,'Seasons Data'!E:E,"Y")</f>
        <v>1</v>
      </c>
      <c r="C124" s="48" t="s">
        <v>123</v>
      </c>
      <c r="D124" s="28" t="s">
        <v>197</v>
      </c>
      <c r="E124" s="28"/>
      <c r="F124" s="28"/>
      <c r="G124" s="28"/>
      <c r="H124" s="28" t="s">
        <v>348</v>
      </c>
      <c r="I124" s="28"/>
    </row>
    <row r="125" spans="1:9" ht="26.4" x14ac:dyDescent="0.3">
      <c r="A125" s="10" t="s">
        <v>504</v>
      </c>
      <c r="B125" s="36">
        <f>COUNTIFS('Seasons Data'!G:G,A125,'Seasons Data'!E:E,"Y")</f>
        <v>1</v>
      </c>
      <c r="C125" s="48" t="s">
        <v>123</v>
      </c>
      <c r="D125" s="28" t="s">
        <v>195</v>
      </c>
      <c r="E125" s="28"/>
      <c r="F125" s="28"/>
      <c r="G125" s="28"/>
      <c r="H125" s="28" t="s">
        <v>348</v>
      </c>
      <c r="I125" s="28"/>
    </row>
    <row r="126" spans="1:9" ht="26.4" x14ac:dyDescent="0.3">
      <c r="A126" s="10" t="s">
        <v>505</v>
      </c>
      <c r="B126" s="36">
        <f>COUNTIFS('Seasons Data'!G:G,A126,'Seasons Data'!E:E,"Y")</f>
        <v>1</v>
      </c>
      <c r="C126" s="48" t="s">
        <v>123</v>
      </c>
      <c r="D126" s="28" t="s">
        <v>191</v>
      </c>
      <c r="E126" s="28"/>
      <c r="F126" s="28"/>
      <c r="G126" s="28"/>
      <c r="H126" s="28" t="s">
        <v>348</v>
      </c>
      <c r="I126" s="28"/>
    </row>
    <row r="127" spans="1:9" ht="26.4" x14ac:dyDescent="0.3">
      <c r="A127" s="10" t="s">
        <v>506</v>
      </c>
      <c r="B127" s="36">
        <f>COUNTIFS('Seasons Data'!G:G,A127,'Seasons Data'!E:E,"Y")</f>
        <v>1</v>
      </c>
      <c r="C127" s="48" t="s">
        <v>123</v>
      </c>
      <c r="D127" s="28" t="s">
        <v>191</v>
      </c>
      <c r="E127" s="28"/>
      <c r="F127" s="28"/>
      <c r="G127" s="28"/>
      <c r="H127" s="28" t="s">
        <v>348</v>
      </c>
      <c r="I127" s="28"/>
    </row>
    <row r="128" spans="1:9" ht="26.4" x14ac:dyDescent="0.3">
      <c r="A128" s="10" t="s">
        <v>507</v>
      </c>
      <c r="B128" s="36">
        <f>COUNTIFS('Seasons Data'!G:G,A128,'Seasons Data'!E:E,"Y")</f>
        <v>1</v>
      </c>
      <c r="C128" s="48" t="s">
        <v>123</v>
      </c>
      <c r="D128" s="28" t="s">
        <v>191</v>
      </c>
      <c r="E128" s="28"/>
      <c r="F128" s="28"/>
      <c r="G128" s="28"/>
      <c r="H128" s="28" t="s">
        <v>348</v>
      </c>
      <c r="I128" s="28"/>
    </row>
    <row r="129" spans="1:9" ht="26.4" x14ac:dyDescent="0.3">
      <c r="A129" s="10" t="s">
        <v>508</v>
      </c>
      <c r="B129" s="36">
        <f>COUNTIFS('Seasons Data'!G:G,A129,'Seasons Data'!E:E,"Y")</f>
        <v>1</v>
      </c>
      <c r="C129" s="48" t="s">
        <v>123</v>
      </c>
      <c r="D129" s="28" t="s">
        <v>197</v>
      </c>
      <c r="E129" s="28"/>
      <c r="F129" s="28"/>
      <c r="G129" s="28"/>
      <c r="H129" s="28" t="s">
        <v>348</v>
      </c>
      <c r="I129" s="28"/>
    </row>
    <row r="130" spans="1:9" ht="26.4" x14ac:dyDescent="0.3">
      <c r="A130" s="10" t="s">
        <v>509</v>
      </c>
      <c r="B130" s="36">
        <f>COUNTIFS('Seasons Data'!G:G,A130,'Seasons Data'!E:E,"Y")</f>
        <v>1</v>
      </c>
      <c r="C130" s="48" t="s">
        <v>123</v>
      </c>
      <c r="D130" s="28" t="s">
        <v>189</v>
      </c>
      <c r="E130" s="28"/>
      <c r="F130" s="28"/>
      <c r="G130" s="28"/>
      <c r="H130" s="28" t="s">
        <v>348</v>
      </c>
      <c r="I130" s="28"/>
    </row>
    <row r="131" spans="1:9" ht="26.4" x14ac:dyDescent="0.3">
      <c r="A131" s="10" t="s">
        <v>510</v>
      </c>
      <c r="B131" s="36">
        <f>COUNTIFS('Seasons Data'!G:G,A131,'Seasons Data'!E:E,"Y")</f>
        <v>1</v>
      </c>
      <c r="C131" s="48" t="s">
        <v>123</v>
      </c>
      <c r="D131" s="28" t="s">
        <v>190</v>
      </c>
      <c r="E131" s="28"/>
      <c r="F131" s="28"/>
      <c r="G131" s="28"/>
      <c r="H131" s="28" t="s">
        <v>348</v>
      </c>
      <c r="I131" s="28"/>
    </row>
    <row r="132" spans="1:9" ht="26.4" x14ac:dyDescent="0.3">
      <c r="A132" s="10" t="s">
        <v>511</v>
      </c>
      <c r="B132" s="36">
        <f>COUNTIFS('Seasons Data'!G:G,A132,'Seasons Data'!E:E,"Y")</f>
        <v>1</v>
      </c>
      <c r="C132" s="48" t="s">
        <v>123</v>
      </c>
      <c r="D132" s="28" t="s">
        <v>192</v>
      </c>
      <c r="E132" s="28"/>
      <c r="F132" s="28"/>
      <c r="G132" s="28"/>
      <c r="H132" s="28" t="s">
        <v>348</v>
      </c>
      <c r="I132" s="28"/>
    </row>
    <row r="133" spans="1:9" ht="26.4" x14ac:dyDescent="0.3">
      <c r="A133" s="10" t="s">
        <v>512</v>
      </c>
      <c r="B133" s="36">
        <f>COUNTIFS('Seasons Data'!G:G,A133,'Seasons Data'!E:E,"Y")</f>
        <v>1</v>
      </c>
      <c r="C133" s="48" t="s">
        <v>123</v>
      </c>
      <c r="D133" s="28" t="s">
        <v>189</v>
      </c>
      <c r="E133" s="28"/>
      <c r="F133" s="28"/>
      <c r="G133" s="28"/>
      <c r="H133" s="28" t="s">
        <v>348</v>
      </c>
      <c r="I133" s="28"/>
    </row>
    <row r="134" spans="1:9" ht="26.4" x14ac:dyDescent="0.3">
      <c r="A134" s="10" t="s">
        <v>513</v>
      </c>
      <c r="B134" s="36">
        <f>COUNTIFS('Seasons Data'!G:G,A134,'Seasons Data'!E:E,"Y")</f>
        <v>1</v>
      </c>
      <c r="C134" s="48" t="s">
        <v>123</v>
      </c>
      <c r="D134" s="28" t="s">
        <v>189</v>
      </c>
      <c r="E134" s="28"/>
      <c r="F134" s="28"/>
      <c r="G134" s="28"/>
      <c r="H134" s="28" t="s">
        <v>348</v>
      </c>
      <c r="I134" s="28"/>
    </row>
    <row r="135" spans="1:9" ht="26.4" x14ac:dyDescent="0.3">
      <c r="A135" s="10" t="s">
        <v>514</v>
      </c>
      <c r="B135" s="36">
        <f>COUNTIFS('Seasons Data'!G:G,A135,'Seasons Data'!E:E,"Y")</f>
        <v>1</v>
      </c>
      <c r="C135" s="48" t="s">
        <v>123</v>
      </c>
      <c r="D135" s="28" t="s">
        <v>197</v>
      </c>
      <c r="E135" s="28" t="s">
        <v>515</v>
      </c>
      <c r="F135" s="28" t="s">
        <v>516</v>
      </c>
      <c r="G135" s="28" t="s">
        <v>517</v>
      </c>
      <c r="H135" s="28" t="s">
        <v>366</v>
      </c>
      <c r="I135" s="28" t="s">
        <v>178</v>
      </c>
    </row>
    <row r="136" spans="1:9" ht="26.4" x14ac:dyDescent="0.3">
      <c r="A136" s="10" t="s">
        <v>518</v>
      </c>
      <c r="B136" s="36">
        <f>COUNTIFS('Seasons Data'!G:G,A136,'Seasons Data'!E:E,"Y")</f>
        <v>1</v>
      </c>
      <c r="C136" s="48" t="s">
        <v>123</v>
      </c>
      <c r="D136" s="28" t="s">
        <v>205</v>
      </c>
      <c r="E136" s="28"/>
      <c r="F136" s="28"/>
      <c r="G136" s="28"/>
      <c r="H136" s="28" t="s">
        <v>348</v>
      </c>
      <c r="I136" s="28"/>
    </row>
    <row r="137" spans="1:9" x14ac:dyDescent="0.3">
      <c r="A137" s="10" t="s">
        <v>519</v>
      </c>
      <c r="B137" s="36">
        <f>COUNTIFS('Seasons Data'!G:G,A137,'Seasons Data'!E:E,"Y")</f>
        <v>1</v>
      </c>
      <c r="C137" s="48" t="s">
        <v>123</v>
      </c>
      <c r="D137" s="28" t="s">
        <v>197</v>
      </c>
      <c r="E137" s="28"/>
      <c r="F137" s="28"/>
      <c r="G137" s="28"/>
      <c r="H137" s="28" t="s">
        <v>366</v>
      </c>
      <c r="I137" s="28"/>
    </row>
    <row r="138" spans="1:9" x14ac:dyDescent="0.3">
      <c r="A138" s="10" t="s">
        <v>520</v>
      </c>
      <c r="B138" s="36">
        <f>COUNTIFS('Seasons Data'!G:G,A138,'Seasons Data'!E:E,"Y")</f>
        <v>1</v>
      </c>
      <c r="C138" s="48" t="s">
        <v>123</v>
      </c>
      <c r="D138" s="28" t="s">
        <v>207</v>
      </c>
      <c r="E138" s="28"/>
      <c r="F138" s="28"/>
      <c r="G138" s="28"/>
      <c r="H138" s="28" t="s">
        <v>366</v>
      </c>
      <c r="I138" s="28"/>
    </row>
    <row r="139" spans="1:9" ht="26.4" x14ac:dyDescent="0.3">
      <c r="A139" s="10" t="s">
        <v>521</v>
      </c>
      <c r="B139" s="36">
        <f>COUNTIFS('Seasons Data'!G:G,A139,'Seasons Data'!E:E,"Y")</f>
        <v>1</v>
      </c>
      <c r="C139" s="48" t="s">
        <v>123</v>
      </c>
      <c r="D139" s="28" t="s">
        <v>189</v>
      </c>
      <c r="E139" s="28"/>
      <c r="F139" s="28"/>
      <c r="G139" s="28"/>
      <c r="H139" s="28" t="s">
        <v>348</v>
      </c>
      <c r="I139" s="28"/>
    </row>
    <row r="140" spans="1:9" ht="26.4" x14ac:dyDescent="0.3">
      <c r="A140" s="10" t="s">
        <v>522</v>
      </c>
      <c r="B140" s="36">
        <f>COUNTIFS('Seasons Data'!G:G,A140,'Seasons Data'!E:E,"Y")</f>
        <v>1</v>
      </c>
      <c r="C140" s="48" t="s">
        <v>123</v>
      </c>
      <c r="D140" s="28" t="s">
        <v>190</v>
      </c>
      <c r="E140" s="28"/>
      <c r="F140" s="28"/>
      <c r="G140" s="28"/>
      <c r="H140" s="28" t="s">
        <v>348</v>
      </c>
      <c r="I140" s="28"/>
    </row>
    <row r="141" spans="1:9" ht="26.4" x14ac:dyDescent="0.3">
      <c r="A141" s="10" t="s">
        <v>523</v>
      </c>
      <c r="B141" s="36">
        <f>COUNTIFS('Seasons Data'!G:G,A141,'Seasons Data'!E:E,"Y")</f>
        <v>1</v>
      </c>
      <c r="C141" s="48" t="s">
        <v>123</v>
      </c>
      <c r="D141" s="28" t="s">
        <v>190</v>
      </c>
      <c r="E141" s="28"/>
      <c r="F141" s="28"/>
      <c r="G141" s="28"/>
      <c r="H141" s="28" t="s">
        <v>348</v>
      </c>
      <c r="I141" s="28"/>
    </row>
    <row r="142" spans="1:9" x14ac:dyDescent="0.3">
      <c r="A142" s="10" t="s">
        <v>524</v>
      </c>
      <c r="B142" s="36">
        <f>COUNTIFS('Seasons Data'!G:G,A142,'Seasons Data'!E:E,"Y")</f>
        <v>1</v>
      </c>
      <c r="C142" s="48" t="s">
        <v>123</v>
      </c>
      <c r="D142" s="28" t="s">
        <v>197</v>
      </c>
      <c r="E142" s="28"/>
      <c r="F142" s="28"/>
      <c r="G142" s="28"/>
      <c r="H142" s="28" t="s">
        <v>366</v>
      </c>
      <c r="I142" s="28"/>
    </row>
    <row r="143" spans="1:9" ht="26.4" x14ac:dyDescent="0.3">
      <c r="A143" s="10" t="s">
        <v>525</v>
      </c>
      <c r="B143" s="36">
        <f>COUNTIFS('Seasons Data'!G:G,A143,'Seasons Data'!E:E,"Y")</f>
        <v>1</v>
      </c>
      <c r="C143" s="48" t="s">
        <v>123</v>
      </c>
      <c r="D143" s="28" t="s">
        <v>197</v>
      </c>
      <c r="E143" s="28"/>
      <c r="F143" s="28"/>
      <c r="G143" s="28"/>
      <c r="H143" s="28" t="s">
        <v>348</v>
      </c>
      <c r="I143" s="28"/>
    </row>
    <row r="144" spans="1:9" ht="26.4" x14ac:dyDescent="0.3">
      <c r="A144" s="10" t="s">
        <v>526</v>
      </c>
      <c r="B144" s="36">
        <f>COUNTIFS('Seasons Data'!G:G,A144,'Seasons Data'!E:E,"Y")</f>
        <v>1</v>
      </c>
      <c r="C144" s="48" t="s">
        <v>123</v>
      </c>
      <c r="D144" s="28" t="s">
        <v>191</v>
      </c>
      <c r="E144" s="28"/>
      <c r="F144" s="28"/>
      <c r="G144" s="28"/>
      <c r="H144" s="28" t="s">
        <v>348</v>
      </c>
      <c r="I144" s="28"/>
    </row>
    <row r="145" spans="1:9" ht="39.6" x14ac:dyDescent="0.3">
      <c r="A145" s="10" t="s">
        <v>527</v>
      </c>
      <c r="B145" s="36">
        <f>COUNTIFS('Seasons Data'!G:G,A145,'Seasons Data'!E:E,"Y")</f>
        <v>1</v>
      </c>
      <c r="C145" s="48" t="s">
        <v>123</v>
      </c>
      <c r="D145" s="28" t="s">
        <v>204</v>
      </c>
      <c r="E145" s="28" t="s">
        <v>528</v>
      </c>
      <c r="F145" s="28" t="s">
        <v>529</v>
      </c>
      <c r="G145" s="28" t="s">
        <v>418</v>
      </c>
      <c r="H145" s="28" t="s">
        <v>366</v>
      </c>
      <c r="I145" s="28" t="s">
        <v>178</v>
      </c>
    </row>
    <row r="146" spans="1:9" ht="26.4" x14ac:dyDescent="0.3">
      <c r="A146" s="10" t="s">
        <v>530</v>
      </c>
      <c r="B146" s="36">
        <f>COUNTIFS('Seasons Data'!G:G,A146,'Seasons Data'!E:E,"Y")</f>
        <v>1</v>
      </c>
      <c r="C146" s="48" t="s">
        <v>123</v>
      </c>
      <c r="D146" s="28" t="s">
        <v>190</v>
      </c>
      <c r="E146" s="28"/>
      <c r="F146" s="28"/>
      <c r="G146" s="28"/>
      <c r="H146" s="28" t="s">
        <v>348</v>
      </c>
      <c r="I146" s="28"/>
    </row>
    <row r="147" spans="1:9" x14ac:dyDescent="0.3">
      <c r="A147" s="10" t="s">
        <v>531</v>
      </c>
      <c r="B147" s="36">
        <f>COUNTIFS('Seasons Data'!G:G,A147,'Seasons Data'!E:E,"Y")</f>
        <v>1</v>
      </c>
      <c r="C147" s="48" t="s">
        <v>123</v>
      </c>
      <c r="D147" s="28" t="s">
        <v>196</v>
      </c>
      <c r="E147" s="28"/>
      <c r="F147" s="28"/>
      <c r="G147" s="28"/>
      <c r="H147" s="28" t="s">
        <v>532</v>
      </c>
      <c r="I147" s="28"/>
    </row>
    <row r="148" spans="1:9" ht="26.4" x14ac:dyDescent="0.3">
      <c r="A148" s="10" t="s">
        <v>533</v>
      </c>
      <c r="B148" s="36">
        <f>COUNTIFS('Seasons Data'!G:G,A148,'Seasons Data'!E:E,"Y")</f>
        <v>1</v>
      </c>
      <c r="C148" s="48" t="s">
        <v>123</v>
      </c>
      <c r="D148" s="28" t="s">
        <v>193</v>
      </c>
      <c r="E148" s="28"/>
      <c r="F148" s="28"/>
      <c r="G148" s="28"/>
      <c r="H148" s="28" t="s">
        <v>348</v>
      </c>
      <c r="I148" s="28"/>
    </row>
    <row r="149" spans="1:9" ht="26.4" x14ac:dyDescent="0.3">
      <c r="A149" s="10" t="s">
        <v>534</v>
      </c>
      <c r="B149" s="36">
        <f>COUNTIFS('Seasons Data'!G:G,A149,'Seasons Data'!E:E,"Y")</f>
        <v>1</v>
      </c>
      <c r="C149" s="48" t="s">
        <v>123</v>
      </c>
      <c r="D149" s="28" t="s">
        <v>191</v>
      </c>
      <c r="E149" s="28"/>
      <c r="F149" s="28"/>
      <c r="G149" s="28"/>
      <c r="H149" s="28" t="s">
        <v>348</v>
      </c>
      <c r="I149" s="28"/>
    </row>
    <row r="150" spans="1:9" ht="26.4" x14ac:dyDescent="0.3">
      <c r="A150" s="10" t="s">
        <v>535</v>
      </c>
      <c r="B150" s="36">
        <f>COUNTIFS('Seasons Data'!G:G,A150,'Seasons Data'!E:E,"Y")</f>
        <v>1</v>
      </c>
      <c r="C150" s="48" t="s">
        <v>123</v>
      </c>
      <c r="D150" s="28" t="s">
        <v>199</v>
      </c>
      <c r="E150" s="28"/>
      <c r="F150" s="28"/>
      <c r="G150" s="28"/>
      <c r="H150" s="28" t="s">
        <v>348</v>
      </c>
      <c r="I150" s="28"/>
    </row>
    <row r="151" spans="1:9" ht="26.4" x14ac:dyDescent="0.3">
      <c r="A151" s="10" t="s">
        <v>536</v>
      </c>
      <c r="B151" s="36">
        <f>COUNTIFS('Seasons Data'!G:G,A151,'Seasons Data'!E:E,"Y")</f>
        <v>1</v>
      </c>
      <c r="C151" s="48" t="s">
        <v>123</v>
      </c>
      <c r="D151" s="28" t="s">
        <v>197</v>
      </c>
      <c r="E151" s="28"/>
      <c r="F151" s="28"/>
      <c r="G151" s="28"/>
      <c r="H151" s="28" t="s">
        <v>348</v>
      </c>
      <c r="I151" s="28"/>
    </row>
    <row r="152" spans="1:9" ht="26.4" x14ac:dyDescent="0.3">
      <c r="A152" s="10" t="s">
        <v>537</v>
      </c>
      <c r="B152" s="36">
        <f>COUNTIFS('Seasons Data'!G:G,A152,'Seasons Data'!E:E,"Y")</f>
        <v>1</v>
      </c>
      <c r="C152" s="48" t="s">
        <v>123</v>
      </c>
      <c r="D152" s="28" t="s">
        <v>190</v>
      </c>
      <c r="E152" s="28"/>
      <c r="F152" s="28"/>
      <c r="G152" s="28"/>
      <c r="H152" s="28" t="s">
        <v>348</v>
      </c>
      <c r="I152" s="28"/>
    </row>
    <row r="153" spans="1:9" ht="26.4" x14ac:dyDescent="0.3">
      <c r="A153" s="10" t="s">
        <v>538</v>
      </c>
      <c r="B153" s="36">
        <f>COUNTIFS('Seasons Data'!G:G,A153,'Seasons Data'!E:E,"Y")</f>
        <v>1</v>
      </c>
      <c r="C153" s="48" t="s">
        <v>123</v>
      </c>
      <c r="D153" s="28" t="s">
        <v>197</v>
      </c>
      <c r="E153" s="28" t="s">
        <v>539</v>
      </c>
      <c r="F153" s="28" t="s">
        <v>540</v>
      </c>
      <c r="G153" s="28" t="s">
        <v>541</v>
      </c>
      <c r="H153" s="28" t="s">
        <v>294</v>
      </c>
      <c r="I153" s="28" t="s">
        <v>542</v>
      </c>
    </row>
    <row r="154" spans="1:9" ht="26.4" x14ac:dyDescent="0.3">
      <c r="A154" s="10" t="s">
        <v>543</v>
      </c>
      <c r="B154" s="36">
        <f>COUNTIFS('Seasons Data'!G:G,A154,'Seasons Data'!E:E,"Y")</f>
        <v>1</v>
      </c>
      <c r="C154" s="48" t="s">
        <v>123</v>
      </c>
      <c r="D154" s="28" t="s">
        <v>191</v>
      </c>
      <c r="E154" s="28"/>
      <c r="F154" s="28"/>
      <c r="G154" s="28"/>
      <c r="H154" s="28" t="s">
        <v>348</v>
      </c>
      <c r="I154" s="28"/>
    </row>
    <row r="155" spans="1:9" ht="26.4" x14ac:dyDescent="0.3">
      <c r="A155" s="10" t="s">
        <v>544</v>
      </c>
      <c r="B155" s="36">
        <f>COUNTIFS('Seasons Data'!G:G,A155,'Seasons Data'!E:E,"Y")</f>
        <v>1</v>
      </c>
      <c r="C155" s="48" t="s">
        <v>123</v>
      </c>
      <c r="D155" s="28" t="s">
        <v>191</v>
      </c>
      <c r="E155" s="28"/>
      <c r="F155" s="28"/>
      <c r="G155" s="28"/>
      <c r="H155" s="28" t="s">
        <v>348</v>
      </c>
      <c r="I155" s="28"/>
    </row>
    <row r="156" spans="1:9" ht="26.4" x14ac:dyDescent="0.3">
      <c r="A156" s="10" t="s">
        <v>545</v>
      </c>
      <c r="B156" s="36">
        <f>COUNTIFS('Seasons Data'!G:G,A156,'Seasons Data'!E:E,"Y")</f>
        <v>1</v>
      </c>
      <c r="C156" s="48" t="s">
        <v>123</v>
      </c>
      <c r="D156" s="28" t="s">
        <v>192</v>
      </c>
      <c r="E156" s="28"/>
      <c r="F156" s="28"/>
      <c r="G156" s="28"/>
      <c r="H156" s="28" t="s">
        <v>348</v>
      </c>
      <c r="I156" s="28"/>
    </row>
    <row r="157" spans="1:9" ht="26.4" x14ac:dyDescent="0.3">
      <c r="A157" s="10" t="s">
        <v>546</v>
      </c>
      <c r="B157" s="36">
        <f>COUNTIFS('Seasons Data'!G:G,A157,'Seasons Data'!E:E,"Y")</f>
        <v>1</v>
      </c>
      <c r="C157" s="48" t="s">
        <v>123</v>
      </c>
      <c r="D157" s="28" t="s">
        <v>197</v>
      </c>
      <c r="E157" s="28"/>
      <c r="F157" s="28"/>
      <c r="G157" s="28"/>
      <c r="H157" s="28" t="s">
        <v>348</v>
      </c>
      <c r="I157" s="28"/>
    </row>
    <row r="158" spans="1:9" ht="39.6" x14ac:dyDescent="0.3">
      <c r="A158" s="10" t="s">
        <v>547</v>
      </c>
      <c r="B158" s="36">
        <f>COUNTIFS('Seasons Data'!G:G,A158,'Seasons Data'!E:E,"Y")</f>
        <v>1</v>
      </c>
      <c r="C158" s="48" t="s">
        <v>123</v>
      </c>
      <c r="D158" s="28" t="s">
        <v>204</v>
      </c>
      <c r="E158" s="28" t="s">
        <v>548</v>
      </c>
      <c r="F158" s="28" t="s">
        <v>549</v>
      </c>
      <c r="G158" s="28" t="s">
        <v>550</v>
      </c>
      <c r="H158" s="28" t="s">
        <v>366</v>
      </c>
      <c r="I158" s="28" t="s">
        <v>551</v>
      </c>
    </row>
    <row r="159" spans="1:9" ht="26.4" x14ac:dyDescent="0.3">
      <c r="A159" s="10" t="s">
        <v>552</v>
      </c>
      <c r="B159" s="36">
        <f>COUNTIFS('Seasons Data'!G:G,A159,'Seasons Data'!E:E,"Y")</f>
        <v>1</v>
      </c>
      <c r="C159" s="48" t="s">
        <v>123</v>
      </c>
      <c r="D159" s="28" t="s">
        <v>197</v>
      </c>
      <c r="E159" s="28"/>
      <c r="F159" s="28"/>
      <c r="G159" s="28"/>
      <c r="H159" s="28" t="s">
        <v>348</v>
      </c>
      <c r="I159" s="28"/>
    </row>
    <row r="160" spans="1:9" ht="26.4" x14ac:dyDescent="0.3">
      <c r="A160" s="10" t="s">
        <v>553</v>
      </c>
      <c r="B160" s="36">
        <f>COUNTIFS('Seasons Data'!G:G,A160,'Seasons Data'!E:E,"Y")</f>
        <v>1</v>
      </c>
      <c r="C160" s="48" t="s">
        <v>123</v>
      </c>
      <c r="D160" s="28" t="s">
        <v>189</v>
      </c>
      <c r="E160" s="28"/>
      <c r="F160" s="28"/>
      <c r="G160" s="28"/>
      <c r="H160" s="28" t="s">
        <v>348</v>
      </c>
      <c r="I160" s="28"/>
    </row>
    <row r="161" spans="1:9" ht="26.4" x14ac:dyDescent="0.3">
      <c r="A161" s="10" t="s">
        <v>554</v>
      </c>
      <c r="B161" s="36">
        <f>COUNTIFS('Seasons Data'!G:G,A161,'Seasons Data'!E:E,"Y")</f>
        <v>1</v>
      </c>
      <c r="C161" s="48" t="s">
        <v>123</v>
      </c>
      <c r="D161" s="28" t="s">
        <v>190</v>
      </c>
      <c r="E161" s="28"/>
      <c r="F161" s="28"/>
      <c r="G161" s="28"/>
      <c r="H161" s="28" t="s">
        <v>348</v>
      </c>
      <c r="I161" s="28"/>
    </row>
    <row r="162" spans="1:9" x14ac:dyDescent="0.3">
      <c r="A162" s="10" t="s">
        <v>555</v>
      </c>
      <c r="B162" s="36">
        <f>COUNTIFS('Seasons Data'!G:G,A162,'Seasons Data'!E:E,"Y")</f>
        <v>1</v>
      </c>
      <c r="C162" s="48" t="s">
        <v>123</v>
      </c>
      <c r="D162" s="28" t="s">
        <v>199</v>
      </c>
      <c r="E162" s="28"/>
      <c r="F162" s="28"/>
      <c r="G162" s="28"/>
      <c r="H162" s="28" t="s">
        <v>366</v>
      </c>
      <c r="I162" s="28"/>
    </row>
    <row r="163" spans="1:9" ht="26.4" x14ac:dyDescent="0.3">
      <c r="A163" s="10" t="s">
        <v>556</v>
      </c>
      <c r="B163" s="36">
        <f>COUNTIFS('Seasons Data'!G:G,A163,'Seasons Data'!E:E,"Y")</f>
        <v>1</v>
      </c>
      <c r="C163" s="48" t="s">
        <v>123</v>
      </c>
      <c r="D163" s="28" t="s">
        <v>190</v>
      </c>
      <c r="E163" s="28"/>
      <c r="F163" s="28"/>
      <c r="G163" s="28"/>
      <c r="H163" s="28" t="s">
        <v>348</v>
      </c>
      <c r="I163" s="28"/>
    </row>
    <row r="164" spans="1:9" ht="26.4" x14ac:dyDescent="0.3">
      <c r="A164" s="10" t="s">
        <v>557</v>
      </c>
      <c r="B164" s="36">
        <f>COUNTIFS('Seasons Data'!G:G,A164,'Seasons Data'!E:E,"Y")</f>
        <v>1</v>
      </c>
      <c r="C164" s="48" t="s">
        <v>123</v>
      </c>
      <c r="D164" s="28" t="s">
        <v>192</v>
      </c>
      <c r="E164" s="28"/>
      <c r="F164" s="28"/>
      <c r="G164" s="28"/>
      <c r="H164" s="28" t="s">
        <v>348</v>
      </c>
      <c r="I164" s="28"/>
    </row>
    <row r="165" spans="1:9" ht="26.4" x14ac:dyDescent="0.3">
      <c r="A165" s="10" t="s">
        <v>558</v>
      </c>
      <c r="B165" s="36">
        <f>COUNTIFS('Seasons Data'!G:G,A165,'Seasons Data'!E:E,"Y")</f>
        <v>1</v>
      </c>
      <c r="C165" s="48" t="s">
        <v>123</v>
      </c>
      <c r="D165" s="28" t="s">
        <v>190</v>
      </c>
      <c r="E165" s="28"/>
      <c r="F165" s="28"/>
      <c r="G165" s="28"/>
      <c r="H165" s="28" t="s">
        <v>348</v>
      </c>
      <c r="I165" s="28"/>
    </row>
    <row r="166" spans="1:9" ht="26.4" x14ac:dyDescent="0.3">
      <c r="A166" s="10" t="s">
        <v>559</v>
      </c>
      <c r="B166" s="36">
        <f>COUNTIFS('Seasons Data'!G:G,A166,'Seasons Data'!E:E,"Y")</f>
        <v>1</v>
      </c>
      <c r="C166" s="48" t="s">
        <v>123</v>
      </c>
      <c r="D166" s="28" t="s">
        <v>197</v>
      </c>
      <c r="E166" s="28" t="s">
        <v>560</v>
      </c>
      <c r="F166" s="28" t="s">
        <v>561</v>
      </c>
      <c r="G166" s="28" t="s">
        <v>562</v>
      </c>
      <c r="H166" s="28" t="s">
        <v>294</v>
      </c>
      <c r="I166" s="28" t="s">
        <v>563</v>
      </c>
    </row>
    <row r="167" spans="1:9" ht="26.4" x14ac:dyDescent="0.3">
      <c r="A167" s="10" t="s">
        <v>564</v>
      </c>
      <c r="B167" s="36">
        <f>COUNTIFS('Seasons Data'!G:G,A167,'Seasons Data'!E:E,"Y")</f>
        <v>1</v>
      </c>
      <c r="C167" s="48" t="s">
        <v>123</v>
      </c>
      <c r="D167" s="28" t="s">
        <v>195</v>
      </c>
      <c r="E167" s="28"/>
      <c r="F167" s="28"/>
      <c r="G167" s="28"/>
      <c r="H167" s="28" t="s">
        <v>348</v>
      </c>
      <c r="I167" s="28"/>
    </row>
    <row r="168" spans="1:9" ht="39.6" x14ac:dyDescent="0.3">
      <c r="A168" s="10" t="s">
        <v>565</v>
      </c>
      <c r="B168" s="36">
        <f>COUNTIFS('Seasons Data'!G:G,A168,'Seasons Data'!E:E,"Y")</f>
        <v>1</v>
      </c>
      <c r="C168" s="48" t="s">
        <v>123</v>
      </c>
      <c r="D168" s="28" t="s">
        <v>200</v>
      </c>
      <c r="E168" s="28" t="s">
        <v>566</v>
      </c>
      <c r="F168" s="28" t="s">
        <v>567</v>
      </c>
      <c r="G168" s="28" t="s">
        <v>568</v>
      </c>
      <c r="H168" s="28" t="s">
        <v>366</v>
      </c>
      <c r="I168" s="28" t="s">
        <v>569</v>
      </c>
    </row>
    <row r="169" spans="1:9" ht="26.4" x14ac:dyDescent="0.3">
      <c r="A169" s="10" t="s">
        <v>570</v>
      </c>
      <c r="B169" s="36">
        <f>COUNTIFS('Seasons Data'!G:G,A169,'Seasons Data'!E:E,"Y")</f>
        <v>1</v>
      </c>
      <c r="C169" s="48" t="s">
        <v>123</v>
      </c>
      <c r="D169" s="28" t="s">
        <v>194</v>
      </c>
      <c r="E169" s="28"/>
      <c r="F169" s="28"/>
      <c r="G169" s="28"/>
      <c r="H169" s="28" t="s">
        <v>348</v>
      </c>
      <c r="I169" s="28"/>
    </row>
    <row r="170" spans="1:9" ht="26.4" x14ac:dyDescent="0.3">
      <c r="A170" s="10" t="s">
        <v>571</v>
      </c>
      <c r="B170" s="36">
        <f>COUNTIFS('Seasons Data'!G:G,A170,'Seasons Data'!E:E,"Y")</f>
        <v>1</v>
      </c>
      <c r="C170" s="48" t="s">
        <v>123</v>
      </c>
      <c r="D170" s="28" t="s">
        <v>190</v>
      </c>
      <c r="E170" s="28"/>
      <c r="F170" s="28"/>
      <c r="G170" s="28"/>
      <c r="H170" s="28" t="s">
        <v>348</v>
      </c>
      <c r="I170" s="28"/>
    </row>
    <row r="171" spans="1:9" ht="26.4" x14ac:dyDescent="0.3">
      <c r="A171" s="10" t="s">
        <v>572</v>
      </c>
      <c r="B171" s="36">
        <f>COUNTIFS('Seasons Data'!G:G,A171,'Seasons Data'!E:E,"Y")</f>
        <v>1</v>
      </c>
      <c r="C171" s="48" t="s">
        <v>123</v>
      </c>
      <c r="D171" s="28" t="s">
        <v>191</v>
      </c>
      <c r="E171" s="28"/>
      <c r="F171" s="28"/>
      <c r="G171" s="28"/>
      <c r="H171" s="28" t="s">
        <v>348</v>
      </c>
      <c r="I171" s="28"/>
    </row>
    <row r="172" spans="1:9" ht="26.4" x14ac:dyDescent="0.3">
      <c r="A172" s="10" t="s">
        <v>573</v>
      </c>
      <c r="B172" s="36">
        <f>COUNTIFS('Seasons Data'!G:G,A172,'Seasons Data'!E:E,"Y")</f>
        <v>1</v>
      </c>
      <c r="C172" s="48" t="s">
        <v>123</v>
      </c>
      <c r="D172" s="28" t="s">
        <v>190</v>
      </c>
      <c r="E172" s="28"/>
      <c r="F172" s="28"/>
      <c r="G172" s="28"/>
      <c r="H172" s="28" t="s">
        <v>348</v>
      </c>
      <c r="I172" s="28"/>
    </row>
    <row r="173" spans="1:9" ht="26.4" x14ac:dyDescent="0.3">
      <c r="A173" s="10" t="s">
        <v>574</v>
      </c>
      <c r="B173" s="36">
        <f>COUNTIFS('Seasons Data'!G:G,A173,'Seasons Data'!E:E,"Y")</f>
        <v>1</v>
      </c>
      <c r="C173" s="48" t="s">
        <v>123</v>
      </c>
      <c r="D173" s="28" t="s">
        <v>198</v>
      </c>
      <c r="E173" s="28"/>
      <c r="F173" s="28"/>
      <c r="G173" s="28"/>
      <c r="H173" s="28" t="s">
        <v>348</v>
      </c>
      <c r="I173" s="28"/>
    </row>
    <row r="174" spans="1:9" ht="26.4" x14ac:dyDescent="0.3">
      <c r="A174" s="10" t="s">
        <v>575</v>
      </c>
      <c r="B174" s="36">
        <f>COUNTIFS('Seasons Data'!G:G,A174,'Seasons Data'!E:E,"Y")</f>
        <v>1</v>
      </c>
      <c r="C174" s="48" t="s">
        <v>123</v>
      </c>
      <c r="D174" s="28" t="s">
        <v>191</v>
      </c>
      <c r="E174" s="28"/>
      <c r="F174" s="28"/>
      <c r="G174" s="28"/>
      <c r="H174" s="28" t="s">
        <v>348</v>
      </c>
      <c r="I174" s="28"/>
    </row>
    <row r="175" spans="1:9" ht="26.4" x14ac:dyDescent="0.3">
      <c r="A175" s="10" t="s">
        <v>576</v>
      </c>
      <c r="B175" s="36">
        <f>COUNTIFS('Seasons Data'!G:G,A175,'Seasons Data'!E:E,"Y")</f>
        <v>1</v>
      </c>
      <c r="C175" s="48" t="s">
        <v>123</v>
      </c>
      <c r="D175" s="28" t="s">
        <v>189</v>
      </c>
      <c r="E175" s="28"/>
      <c r="F175" s="28"/>
      <c r="G175" s="28"/>
      <c r="H175" s="28" t="s">
        <v>348</v>
      </c>
      <c r="I175" s="28"/>
    </row>
    <row r="176" spans="1:9" ht="26.4" x14ac:dyDescent="0.3">
      <c r="A176" s="10" t="s">
        <v>577</v>
      </c>
      <c r="B176" s="36">
        <f>COUNTIFS('Seasons Data'!G:G,A176,'Seasons Data'!E:E,"Y")</f>
        <v>1</v>
      </c>
      <c r="C176" s="48" t="s">
        <v>123</v>
      </c>
      <c r="D176" s="28" t="s">
        <v>191</v>
      </c>
      <c r="E176" s="28"/>
      <c r="F176" s="28"/>
      <c r="G176" s="28"/>
      <c r="H176" s="28" t="s">
        <v>348</v>
      </c>
      <c r="I176" s="28"/>
    </row>
    <row r="177" spans="1:9" ht="39.6" x14ac:dyDescent="0.3">
      <c r="A177" s="10" t="s">
        <v>578</v>
      </c>
      <c r="B177" s="36">
        <f>COUNTIFS('Seasons Data'!G:G,A177,'Seasons Data'!E:E,"Y")</f>
        <v>1</v>
      </c>
      <c r="C177" s="48" t="s">
        <v>123</v>
      </c>
      <c r="D177" s="28" t="s">
        <v>197</v>
      </c>
      <c r="E177" s="28" t="s">
        <v>579</v>
      </c>
      <c r="F177" s="28" t="s">
        <v>580</v>
      </c>
      <c r="G177" s="28" t="s">
        <v>581</v>
      </c>
      <c r="H177" s="28" t="s">
        <v>366</v>
      </c>
      <c r="I177" s="28" t="s">
        <v>582</v>
      </c>
    </row>
    <row r="178" spans="1:9" ht="26.4" x14ac:dyDescent="0.3">
      <c r="A178" s="10" t="s">
        <v>583</v>
      </c>
      <c r="B178" s="36">
        <f>COUNTIFS('Seasons Data'!G:G,A178,'Seasons Data'!E:E,"Y")</f>
        <v>1</v>
      </c>
      <c r="C178" s="48" t="s">
        <v>123</v>
      </c>
      <c r="D178" s="28" t="s">
        <v>189</v>
      </c>
      <c r="E178" s="28"/>
      <c r="F178" s="28"/>
      <c r="G178" s="28"/>
      <c r="H178" s="28" t="s">
        <v>348</v>
      </c>
      <c r="I178" s="28"/>
    </row>
    <row r="179" spans="1:9" ht="26.4" x14ac:dyDescent="0.3">
      <c r="A179" s="10" t="s">
        <v>584</v>
      </c>
      <c r="B179" s="36">
        <f>COUNTIFS('Seasons Data'!G:G,A179,'Seasons Data'!E:E,"Y")</f>
        <v>1</v>
      </c>
      <c r="C179" s="48" t="s">
        <v>123</v>
      </c>
      <c r="D179" s="28" t="s">
        <v>190</v>
      </c>
      <c r="E179" s="28"/>
      <c r="F179" s="28"/>
      <c r="G179" s="28"/>
      <c r="H179" s="28" t="s">
        <v>348</v>
      </c>
      <c r="I179" s="28"/>
    </row>
    <row r="180" spans="1:9" ht="26.4" x14ac:dyDescent="0.3">
      <c r="A180" s="10" t="s">
        <v>585</v>
      </c>
      <c r="B180" s="36">
        <f>COUNTIFS('Seasons Data'!G:G,A180,'Seasons Data'!E:E,"Y")</f>
        <v>1</v>
      </c>
      <c r="C180" s="48" t="s">
        <v>123</v>
      </c>
      <c r="D180" s="28" t="s">
        <v>197</v>
      </c>
      <c r="E180" s="28"/>
      <c r="F180" s="28"/>
      <c r="G180" s="28"/>
      <c r="H180" s="28" t="s">
        <v>348</v>
      </c>
      <c r="I180" s="28"/>
    </row>
    <row r="181" spans="1:9" ht="26.4" x14ac:dyDescent="0.3">
      <c r="A181" s="10" t="s">
        <v>586</v>
      </c>
      <c r="B181" s="36">
        <f>COUNTIFS('Seasons Data'!G:G,A181,'Seasons Data'!E:E,"Y")</f>
        <v>1</v>
      </c>
      <c r="C181" s="48" t="s">
        <v>123</v>
      </c>
      <c r="D181" s="28" t="s">
        <v>195</v>
      </c>
      <c r="E181" s="28"/>
      <c r="F181" s="28"/>
      <c r="G181" s="28"/>
      <c r="H181" s="28" t="s">
        <v>348</v>
      </c>
      <c r="I181" s="28"/>
    </row>
    <row r="182" spans="1:9" ht="26.4" x14ac:dyDescent="0.3">
      <c r="A182" s="10" t="s">
        <v>587</v>
      </c>
      <c r="B182" s="36">
        <f>COUNTIFS('Seasons Data'!G:G,A182,'Seasons Data'!E:E,"Y")</f>
        <v>1</v>
      </c>
      <c r="C182" s="48" t="s">
        <v>123</v>
      </c>
      <c r="D182" s="28" t="s">
        <v>194</v>
      </c>
      <c r="E182" s="28"/>
      <c r="F182" s="28"/>
      <c r="G182" s="28"/>
      <c r="H182" s="28" t="s">
        <v>348</v>
      </c>
      <c r="I182" s="28"/>
    </row>
    <row r="183" spans="1:9" ht="26.4" x14ac:dyDescent="0.3">
      <c r="A183" s="10" t="s">
        <v>588</v>
      </c>
      <c r="B183" s="36">
        <f>COUNTIFS('Seasons Data'!G:G,A183,'Seasons Data'!E:E,"Y")</f>
        <v>1</v>
      </c>
      <c r="C183" s="48" t="s">
        <v>123</v>
      </c>
      <c r="D183" s="28" t="s">
        <v>199</v>
      </c>
      <c r="E183" s="28"/>
      <c r="F183" s="28"/>
      <c r="G183" s="28"/>
      <c r="H183" s="28" t="s">
        <v>348</v>
      </c>
      <c r="I183" s="28"/>
    </row>
    <row r="184" spans="1:9" ht="26.4" x14ac:dyDescent="0.3">
      <c r="A184" s="10" t="s">
        <v>589</v>
      </c>
      <c r="B184" s="36">
        <f>COUNTIFS('Seasons Data'!G:G,A184,'Seasons Data'!E:E,"Y")</f>
        <v>1</v>
      </c>
      <c r="C184" s="48" t="s">
        <v>123</v>
      </c>
      <c r="D184" s="28" t="s">
        <v>194</v>
      </c>
      <c r="E184" s="28"/>
      <c r="F184" s="28"/>
      <c r="G184" s="28"/>
      <c r="H184" s="28" t="s">
        <v>348</v>
      </c>
      <c r="I184" s="28"/>
    </row>
    <row r="185" spans="1:9" x14ac:dyDescent="0.3">
      <c r="A185" s="10" t="s">
        <v>590</v>
      </c>
      <c r="B185" s="36">
        <f>COUNTIFS('Seasons Data'!G:G,A185,'Seasons Data'!E:E,"Y")</f>
        <v>1</v>
      </c>
      <c r="C185" s="48" t="s">
        <v>123</v>
      </c>
      <c r="D185" s="28" t="s">
        <v>196</v>
      </c>
      <c r="E185" s="28"/>
      <c r="F185" s="28"/>
      <c r="G185" s="28"/>
      <c r="H185" s="28" t="s">
        <v>366</v>
      </c>
      <c r="I185" s="28"/>
    </row>
    <row r="186" spans="1:9" ht="26.4" x14ac:dyDescent="0.3">
      <c r="A186" s="10" t="s">
        <v>591</v>
      </c>
      <c r="B186" s="36">
        <f>COUNTIFS('Seasons Data'!G:G,A186,'Seasons Data'!E:E,"Y")</f>
        <v>1</v>
      </c>
      <c r="C186" s="48" t="s">
        <v>123</v>
      </c>
      <c r="D186" s="28" t="s">
        <v>190</v>
      </c>
      <c r="E186" s="28"/>
      <c r="F186" s="28"/>
      <c r="G186" s="28"/>
      <c r="H186" s="28" t="s">
        <v>348</v>
      </c>
      <c r="I186" s="28"/>
    </row>
    <row r="187" spans="1:9" ht="26.4" x14ac:dyDescent="0.3">
      <c r="A187" s="10" t="s">
        <v>592</v>
      </c>
      <c r="B187" s="36">
        <f>COUNTIFS('Seasons Data'!G:G,A187,'Seasons Data'!E:E,"Y")</f>
        <v>1</v>
      </c>
      <c r="C187" s="48" t="s">
        <v>123</v>
      </c>
      <c r="D187" s="28" t="s">
        <v>191</v>
      </c>
      <c r="E187" s="28"/>
      <c r="F187" s="28"/>
      <c r="G187" s="28"/>
      <c r="H187" s="28" t="s">
        <v>348</v>
      </c>
      <c r="I187" s="28"/>
    </row>
    <row r="188" spans="1:9" ht="26.4" x14ac:dyDescent="0.3">
      <c r="A188" s="10" t="s">
        <v>593</v>
      </c>
      <c r="B188" s="36">
        <f>COUNTIFS('Seasons Data'!G:G,A188,'Seasons Data'!E:E,"Y")</f>
        <v>1</v>
      </c>
      <c r="C188" s="48" t="s">
        <v>123</v>
      </c>
      <c r="D188" s="28" t="s">
        <v>194</v>
      </c>
      <c r="E188" s="28"/>
      <c r="F188" s="28"/>
      <c r="G188" s="28"/>
      <c r="H188" s="28" t="s">
        <v>348</v>
      </c>
      <c r="I188" s="28"/>
    </row>
    <row r="189" spans="1:9" ht="26.4" x14ac:dyDescent="0.3">
      <c r="A189" s="10" t="s">
        <v>594</v>
      </c>
      <c r="B189" s="36">
        <f>COUNTIFS('Seasons Data'!G:G,A189,'Seasons Data'!E:E,"Y")</f>
        <v>1</v>
      </c>
      <c r="C189" s="48" t="s">
        <v>123</v>
      </c>
      <c r="D189" s="28" t="s">
        <v>205</v>
      </c>
      <c r="E189" s="28"/>
      <c r="F189" s="28"/>
      <c r="G189" s="28"/>
      <c r="H189" s="28" t="s">
        <v>348</v>
      </c>
      <c r="I189" s="28"/>
    </row>
    <row r="190" spans="1:9" ht="26.4" x14ac:dyDescent="0.3">
      <c r="A190" s="10" t="s">
        <v>595</v>
      </c>
      <c r="B190" s="36">
        <f>COUNTIFS('Seasons Data'!G:G,A190,'Seasons Data'!E:E,"Y")</f>
        <v>1</v>
      </c>
      <c r="C190" s="48" t="s">
        <v>123</v>
      </c>
      <c r="D190" s="28" t="s">
        <v>197</v>
      </c>
      <c r="E190" s="28"/>
      <c r="F190" s="28"/>
      <c r="G190" s="28"/>
      <c r="H190" s="28" t="s">
        <v>348</v>
      </c>
      <c r="I190" s="28"/>
    </row>
    <row r="191" spans="1:9" ht="26.4" x14ac:dyDescent="0.3">
      <c r="A191" s="10" t="s">
        <v>596</v>
      </c>
      <c r="B191" s="36">
        <f>COUNTIFS('Seasons Data'!G:G,A191,'Seasons Data'!E:E,"Y")</f>
        <v>1</v>
      </c>
      <c r="C191" s="48" t="s">
        <v>123</v>
      </c>
      <c r="D191" s="28" t="s">
        <v>197</v>
      </c>
      <c r="E191" s="28"/>
      <c r="F191" s="28"/>
      <c r="G191" s="28"/>
      <c r="H191" s="28" t="s">
        <v>348</v>
      </c>
      <c r="I191" s="28"/>
    </row>
    <row r="192" spans="1:9" ht="26.4" x14ac:dyDescent="0.3">
      <c r="A192" s="10" t="s">
        <v>597</v>
      </c>
      <c r="B192" s="36">
        <f>COUNTIFS('Seasons Data'!G:G,A192,'Seasons Data'!E:E,"Y")</f>
        <v>1</v>
      </c>
      <c r="C192" s="48" t="s">
        <v>123</v>
      </c>
      <c r="D192" s="28" t="s">
        <v>202</v>
      </c>
      <c r="E192" s="28"/>
      <c r="F192" s="28"/>
      <c r="G192" s="28"/>
      <c r="H192" s="28" t="s">
        <v>348</v>
      </c>
      <c r="I192" s="28"/>
    </row>
    <row r="193" spans="1:9" ht="26.4" x14ac:dyDescent="0.3">
      <c r="A193" s="10" t="s">
        <v>598</v>
      </c>
      <c r="B193" s="36">
        <f>COUNTIFS('Seasons Data'!G:G,A193,'Seasons Data'!E:E,"Y")</f>
        <v>1</v>
      </c>
      <c r="C193" s="48" t="s">
        <v>123</v>
      </c>
      <c r="D193" s="28" t="s">
        <v>191</v>
      </c>
      <c r="E193" s="28"/>
      <c r="F193" s="28"/>
      <c r="G193" s="28"/>
      <c r="H193" s="28" t="s">
        <v>348</v>
      </c>
      <c r="I193" s="28"/>
    </row>
    <row r="194" spans="1:9" ht="26.4" x14ac:dyDescent="0.3">
      <c r="A194" s="10" t="s">
        <v>599</v>
      </c>
      <c r="B194" s="36">
        <f>COUNTIFS('Seasons Data'!G:G,A194,'Seasons Data'!E:E,"Y")</f>
        <v>1</v>
      </c>
      <c r="C194" s="48" t="s">
        <v>123</v>
      </c>
      <c r="D194" s="28" t="s">
        <v>191</v>
      </c>
      <c r="E194" s="28"/>
      <c r="F194" s="28"/>
      <c r="G194" s="28"/>
      <c r="H194" s="28" t="s">
        <v>348</v>
      </c>
      <c r="I194" s="28"/>
    </row>
    <row r="195" spans="1:9" ht="26.4" x14ac:dyDescent="0.3">
      <c r="A195" s="10" t="s">
        <v>600</v>
      </c>
      <c r="B195" s="36">
        <f>COUNTIFS('Seasons Data'!G:G,A195,'Seasons Data'!E:E,"Y")</f>
        <v>1</v>
      </c>
      <c r="C195" s="48" t="s">
        <v>123</v>
      </c>
      <c r="D195" s="28" t="s">
        <v>190</v>
      </c>
      <c r="E195" s="28"/>
      <c r="F195" s="28"/>
      <c r="G195" s="28"/>
      <c r="H195" s="28" t="s">
        <v>348</v>
      </c>
      <c r="I195" s="28"/>
    </row>
    <row r="196" spans="1:9" ht="26.4" x14ac:dyDescent="0.3">
      <c r="A196" s="10" t="s">
        <v>601</v>
      </c>
      <c r="B196" s="36">
        <f>COUNTIFS('Seasons Data'!G:G,A196,'Seasons Data'!E:E,"Y")</f>
        <v>1</v>
      </c>
      <c r="C196" s="48" t="s">
        <v>123</v>
      </c>
      <c r="D196" s="28" t="s">
        <v>193</v>
      </c>
      <c r="E196" s="28"/>
      <c r="F196" s="28"/>
      <c r="G196" s="28"/>
      <c r="H196" s="28" t="s">
        <v>348</v>
      </c>
      <c r="I196" s="28"/>
    </row>
    <row r="197" spans="1:9" ht="26.4" x14ac:dyDescent="0.3">
      <c r="A197" s="10" t="s">
        <v>602</v>
      </c>
      <c r="B197" s="36">
        <f>COUNTIFS('Seasons Data'!G:G,A197,'Seasons Data'!E:E,"Y")</f>
        <v>1</v>
      </c>
      <c r="C197" s="48" t="s">
        <v>123</v>
      </c>
      <c r="D197" s="28" t="s">
        <v>190</v>
      </c>
      <c r="E197" s="28"/>
      <c r="F197" s="28"/>
      <c r="G197" s="28"/>
      <c r="H197" s="28" t="s">
        <v>348</v>
      </c>
      <c r="I197" s="28"/>
    </row>
    <row r="198" spans="1:9" ht="26.4" x14ac:dyDescent="0.3">
      <c r="A198" s="10" t="s">
        <v>603</v>
      </c>
      <c r="B198" s="36">
        <f>COUNTIFS('Seasons Data'!G:G,A198,'Seasons Data'!E:E,"Y")</f>
        <v>1</v>
      </c>
      <c r="C198" s="48" t="s">
        <v>123</v>
      </c>
      <c r="D198" s="28" t="s">
        <v>195</v>
      </c>
      <c r="E198" s="28"/>
      <c r="F198" s="28"/>
      <c r="G198" s="28"/>
      <c r="H198" s="28" t="s">
        <v>348</v>
      </c>
      <c r="I198" s="28"/>
    </row>
    <row r="199" spans="1:9" ht="39.6" x14ac:dyDescent="0.3">
      <c r="A199" s="10" t="s">
        <v>604</v>
      </c>
      <c r="B199" s="36">
        <f>COUNTIFS('Seasons Data'!G:G,A199,'Seasons Data'!E:E,"Y")</f>
        <v>1</v>
      </c>
      <c r="C199" s="48" t="s">
        <v>123</v>
      </c>
      <c r="D199" s="28" t="s">
        <v>197</v>
      </c>
      <c r="E199" s="28" t="s">
        <v>605</v>
      </c>
      <c r="F199" s="28" t="s">
        <v>606</v>
      </c>
      <c r="G199" s="28" t="s">
        <v>607</v>
      </c>
      <c r="H199" s="28" t="s">
        <v>294</v>
      </c>
      <c r="I199" s="28" t="s">
        <v>608</v>
      </c>
    </row>
    <row r="200" spans="1:9" ht="26.4" x14ac:dyDescent="0.3">
      <c r="A200" s="10" t="s">
        <v>609</v>
      </c>
      <c r="B200" s="36">
        <f>COUNTIFS('Seasons Data'!G:G,A200,'Seasons Data'!E:E,"Y")</f>
        <v>1</v>
      </c>
      <c r="C200" s="48" t="s">
        <v>123</v>
      </c>
      <c r="D200" s="28" t="s">
        <v>190</v>
      </c>
      <c r="E200" s="28"/>
      <c r="F200" s="28"/>
      <c r="G200" s="28"/>
      <c r="H200" s="28" t="s">
        <v>348</v>
      </c>
      <c r="I200" s="28"/>
    </row>
    <row r="201" spans="1:9" ht="26.4" x14ac:dyDescent="0.3">
      <c r="A201" s="10" t="s">
        <v>610</v>
      </c>
      <c r="B201" s="36">
        <f>COUNTIFS('Seasons Data'!G:G,A201,'Seasons Data'!E:E,"Y")</f>
        <v>1</v>
      </c>
      <c r="C201" s="48" t="s">
        <v>123</v>
      </c>
      <c r="D201" s="28" t="s">
        <v>190</v>
      </c>
      <c r="E201" s="28"/>
      <c r="F201" s="28"/>
      <c r="G201" s="28"/>
      <c r="H201" s="28" t="s">
        <v>348</v>
      </c>
      <c r="I201" s="28"/>
    </row>
    <row r="202" spans="1:9" ht="26.4" x14ac:dyDescent="0.3">
      <c r="A202" s="10" t="s">
        <v>611</v>
      </c>
      <c r="B202" s="36">
        <f>COUNTIFS('Seasons Data'!G:G,A202,'Seasons Data'!E:E,"Y")</f>
        <v>1</v>
      </c>
      <c r="C202" s="48" t="s">
        <v>123</v>
      </c>
      <c r="D202" s="28" t="s">
        <v>191</v>
      </c>
      <c r="E202" s="28"/>
      <c r="F202" s="28"/>
      <c r="G202" s="28"/>
      <c r="H202" s="28" t="s">
        <v>348</v>
      </c>
      <c r="I202" s="28"/>
    </row>
    <row r="203" spans="1:9" x14ac:dyDescent="0.3">
      <c r="A203" s="10" t="s">
        <v>612</v>
      </c>
      <c r="B203" s="36">
        <f>COUNTIFS('Seasons Data'!G:G,A203,'Seasons Data'!E:E,"Y")</f>
        <v>1</v>
      </c>
      <c r="C203" s="48" t="s">
        <v>123</v>
      </c>
      <c r="D203" s="28" t="s">
        <v>197</v>
      </c>
      <c r="E203" s="28"/>
      <c r="F203" s="28"/>
      <c r="G203" s="28"/>
      <c r="H203" s="28" t="s">
        <v>366</v>
      </c>
      <c r="I203" s="28"/>
    </row>
    <row r="204" spans="1:9" ht="26.4" x14ac:dyDescent="0.3">
      <c r="A204" s="10" t="s">
        <v>613</v>
      </c>
      <c r="B204" s="36">
        <f>COUNTIFS('Seasons Data'!G:G,A204,'Seasons Data'!E:E,"Y")</f>
        <v>1</v>
      </c>
      <c r="C204" s="48" t="s">
        <v>123</v>
      </c>
      <c r="D204" s="28" t="s">
        <v>192</v>
      </c>
      <c r="E204" s="28"/>
      <c r="F204" s="28"/>
      <c r="G204" s="28"/>
      <c r="H204" s="28" t="s">
        <v>348</v>
      </c>
      <c r="I204" s="28"/>
    </row>
    <row r="205" spans="1:9" ht="26.4" x14ac:dyDescent="0.3">
      <c r="A205" s="10" t="s">
        <v>614</v>
      </c>
      <c r="B205" s="36">
        <f>COUNTIFS('Seasons Data'!G:G,A205,'Seasons Data'!E:E,"Y")</f>
        <v>1</v>
      </c>
      <c r="C205" s="48" t="s">
        <v>123</v>
      </c>
      <c r="D205" s="28" t="s">
        <v>191</v>
      </c>
      <c r="E205" s="28"/>
      <c r="F205" s="28"/>
      <c r="G205" s="28"/>
      <c r="H205" s="28" t="s">
        <v>348</v>
      </c>
      <c r="I205" s="28"/>
    </row>
    <row r="206" spans="1:9" ht="26.4" x14ac:dyDescent="0.3">
      <c r="A206" s="10" t="s">
        <v>615</v>
      </c>
      <c r="B206" s="36">
        <f>COUNTIFS('Seasons Data'!G:G,A206,'Seasons Data'!E:E,"Y")</f>
        <v>1</v>
      </c>
      <c r="C206" s="48" t="s">
        <v>123</v>
      </c>
      <c r="D206" s="28" t="s">
        <v>190</v>
      </c>
      <c r="E206" s="28"/>
      <c r="F206" s="28"/>
      <c r="G206" s="28"/>
      <c r="H206" s="28" t="s">
        <v>348</v>
      </c>
      <c r="I206" s="28"/>
    </row>
    <row r="207" spans="1:9" ht="26.4" x14ac:dyDescent="0.3">
      <c r="A207" s="10" t="s">
        <v>616</v>
      </c>
      <c r="B207" s="36">
        <f>COUNTIFS('Seasons Data'!G:G,A207,'Seasons Data'!E:E,"Y")</f>
        <v>1</v>
      </c>
      <c r="C207" s="48" t="s">
        <v>123</v>
      </c>
      <c r="D207" s="28" t="s">
        <v>191</v>
      </c>
      <c r="E207" s="28"/>
      <c r="F207" s="28"/>
      <c r="G207" s="28"/>
      <c r="H207" s="28" t="s">
        <v>348</v>
      </c>
      <c r="I207" s="28"/>
    </row>
    <row r="208" spans="1:9" ht="26.4" x14ac:dyDescent="0.3">
      <c r="A208" s="10" t="s">
        <v>617</v>
      </c>
      <c r="B208" s="36">
        <f>COUNTIFS('Seasons Data'!G:G,A208,'Seasons Data'!E:E,"Y")</f>
        <v>1</v>
      </c>
      <c r="C208" s="48" t="s">
        <v>123</v>
      </c>
      <c r="D208" s="28" t="s">
        <v>203</v>
      </c>
      <c r="E208" s="28"/>
      <c r="F208" s="28"/>
      <c r="G208" s="28"/>
      <c r="H208" s="28" t="s">
        <v>348</v>
      </c>
      <c r="I208" s="28"/>
    </row>
    <row r="209" spans="1:9" ht="26.4" x14ac:dyDescent="0.3">
      <c r="A209" s="10" t="s">
        <v>618</v>
      </c>
      <c r="B209" s="36">
        <f>COUNTIFS('Seasons Data'!G:G,A209,'Seasons Data'!E:E,"Y")</f>
        <v>1</v>
      </c>
      <c r="C209" s="48" t="s">
        <v>123</v>
      </c>
      <c r="D209" s="28" t="s">
        <v>205</v>
      </c>
      <c r="E209" s="28"/>
      <c r="F209" s="28"/>
      <c r="G209" s="28"/>
      <c r="H209" s="28" t="s">
        <v>348</v>
      </c>
      <c r="I209" s="28"/>
    </row>
    <row r="210" spans="1:9" ht="26.4" x14ac:dyDescent="0.3">
      <c r="A210" s="10" t="s">
        <v>619</v>
      </c>
      <c r="B210" s="36">
        <f>COUNTIFS('Seasons Data'!G:G,A210,'Seasons Data'!E:E,"Y")</f>
        <v>1</v>
      </c>
      <c r="C210" s="48" t="s">
        <v>123</v>
      </c>
      <c r="D210" s="28" t="s">
        <v>191</v>
      </c>
      <c r="E210" s="28"/>
      <c r="F210" s="28"/>
      <c r="G210" s="28"/>
      <c r="H210" s="28" t="s">
        <v>348</v>
      </c>
      <c r="I210" s="28"/>
    </row>
    <row r="211" spans="1:9" x14ac:dyDescent="0.3">
      <c r="A211" s="10" t="s">
        <v>620</v>
      </c>
      <c r="B211" s="36">
        <f>COUNTIFS('Seasons Data'!G:G,A211,'Seasons Data'!E:E,"Y")</f>
        <v>1</v>
      </c>
      <c r="C211" s="48" t="s">
        <v>123</v>
      </c>
      <c r="D211" s="28" t="s">
        <v>197</v>
      </c>
      <c r="E211" s="28"/>
      <c r="F211" s="28"/>
      <c r="G211" s="28"/>
      <c r="H211" s="28" t="s">
        <v>366</v>
      </c>
      <c r="I211" s="28"/>
    </row>
    <row r="212" spans="1:9" ht="26.4" x14ac:dyDescent="0.3">
      <c r="A212" s="10" t="s">
        <v>621</v>
      </c>
      <c r="B212" s="36">
        <f>COUNTIFS('Seasons Data'!G:G,A212,'Seasons Data'!E:E,"Y")</f>
        <v>1</v>
      </c>
      <c r="C212" s="48" t="s">
        <v>123</v>
      </c>
      <c r="D212" s="28" t="s">
        <v>201</v>
      </c>
      <c r="E212" s="28"/>
      <c r="F212" s="28"/>
      <c r="G212" s="28"/>
      <c r="H212" s="28" t="s">
        <v>348</v>
      </c>
      <c r="I212" s="28"/>
    </row>
    <row r="213" spans="1:9" ht="26.4" x14ac:dyDescent="0.3">
      <c r="A213" s="10" t="s">
        <v>622</v>
      </c>
      <c r="B213" s="36">
        <f>COUNTIFS('Seasons Data'!G:G,A213,'Seasons Data'!E:E,"Y")</f>
        <v>1</v>
      </c>
      <c r="C213" s="48" t="s">
        <v>123</v>
      </c>
      <c r="D213" s="28" t="s">
        <v>190</v>
      </c>
      <c r="E213" s="28"/>
      <c r="F213" s="28"/>
      <c r="G213" s="28"/>
      <c r="H213" s="28" t="s">
        <v>348</v>
      </c>
      <c r="I213" s="28"/>
    </row>
    <row r="214" spans="1:9" ht="26.4" x14ac:dyDescent="0.3">
      <c r="A214" s="10" t="s">
        <v>623</v>
      </c>
      <c r="B214" s="36">
        <f>COUNTIFS('Seasons Data'!G:G,A214,'Seasons Data'!E:E,"Y")</f>
        <v>1</v>
      </c>
      <c r="C214" s="48" t="s">
        <v>123</v>
      </c>
      <c r="D214" s="28" t="s">
        <v>191</v>
      </c>
      <c r="E214" s="28"/>
      <c r="F214" s="28"/>
      <c r="G214" s="28"/>
      <c r="H214" s="28" t="s">
        <v>348</v>
      </c>
      <c r="I214" s="28"/>
    </row>
    <row r="215" spans="1:9" ht="26.4" x14ac:dyDescent="0.3">
      <c r="A215" s="10" t="s">
        <v>624</v>
      </c>
      <c r="B215" s="36">
        <f>COUNTIFS('Seasons Data'!G:G,A215,'Seasons Data'!E:E,"Y")</f>
        <v>1</v>
      </c>
      <c r="C215" s="48" t="s">
        <v>123</v>
      </c>
      <c r="D215" s="28" t="s">
        <v>199</v>
      </c>
      <c r="E215" s="28"/>
      <c r="F215" s="28"/>
      <c r="G215" s="28"/>
      <c r="H215" s="28" t="s">
        <v>348</v>
      </c>
      <c r="I215" s="28"/>
    </row>
    <row r="216" spans="1:9" ht="39.6" x14ac:dyDescent="0.3">
      <c r="A216" s="10" t="s">
        <v>625</v>
      </c>
      <c r="B216" s="36">
        <f>COUNTIFS('Seasons Data'!G:G,A216,'Seasons Data'!E:E,"Y")</f>
        <v>1</v>
      </c>
      <c r="C216" s="48" t="s">
        <v>123</v>
      </c>
      <c r="D216" s="28" t="s">
        <v>204</v>
      </c>
      <c r="E216" s="28" t="s">
        <v>626</v>
      </c>
      <c r="F216" s="28" t="s">
        <v>627</v>
      </c>
      <c r="G216" s="28" t="s">
        <v>628</v>
      </c>
      <c r="H216" s="28" t="s">
        <v>366</v>
      </c>
      <c r="I216" s="28" t="s">
        <v>178</v>
      </c>
    </row>
    <row r="217" spans="1:9" ht="26.4" x14ac:dyDescent="0.3">
      <c r="A217" s="10" t="s">
        <v>629</v>
      </c>
      <c r="B217" s="36">
        <f>COUNTIFS('Seasons Data'!G:G,A217,'Seasons Data'!E:E,"Y")</f>
        <v>1</v>
      </c>
      <c r="C217" s="48" t="s">
        <v>123</v>
      </c>
      <c r="D217" s="28" t="s">
        <v>197</v>
      </c>
      <c r="E217" s="28"/>
      <c r="F217" s="28"/>
      <c r="G217" s="28"/>
      <c r="H217" s="28" t="s">
        <v>348</v>
      </c>
      <c r="I217" s="28"/>
    </row>
    <row r="218" spans="1:9" ht="26.4" x14ac:dyDescent="0.3">
      <c r="A218" s="10" t="s">
        <v>630</v>
      </c>
      <c r="B218" s="36">
        <f>COUNTIFS('Seasons Data'!G:G,A218,'Seasons Data'!E:E,"Y")</f>
        <v>1</v>
      </c>
      <c r="C218" s="48" t="s">
        <v>123</v>
      </c>
      <c r="D218" s="28" t="s">
        <v>197</v>
      </c>
      <c r="E218" s="28" t="s">
        <v>631</v>
      </c>
      <c r="F218" s="28" t="s">
        <v>632</v>
      </c>
      <c r="G218" s="28" t="s">
        <v>633</v>
      </c>
      <c r="H218" s="28" t="s">
        <v>287</v>
      </c>
      <c r="I218" s="28" t="s">
        <v>178</v>
      </c>
    </row>
    <row r="219" spans="1:9" ht="26.4" x14ac:dyDescent="0.3">
      <c r="A219" s="10" t="s">
        <v>634</v>
      </c>
      <c r="B219" s="36">
        <f>COUNTIFS('Seasons Data'!G:G,A219,'Seasons Data'!E:E,"Y")</f>
        <v>1</v>
      </c>
      <c r="C219" s="48" t="s">
        <v>123</v>
      </c>
      <c r="D219" s="28" t="s">
        <v>192</v>
      </c>
      <c r="E219" s="28"/>
      <c r="F219" s="28"/>
      <c r="G219" s="28"/>
      <c r="H219" s="28" t="s">
        <v>348</v>
      </c>
      <c r="I219" s="28"/>
    </row>
    <row r="220" spans="1:9" ht="26.4" x14ac:dyDescent="0.3">
      <c r="A220" s="10" t="s">
        <v>635</v>
      </c>
      <c r="B220" s="36">
        <f>COUNTIFS('Seasons Data'!G:G,A220,'Seasons Data'!E:E,"Y")</f>
        <v>1</v>
      </c>
      <c r="C220" s="48" t="s">
        <v>123</v>
      </c>
      <c r="D220" s="28" t="s">
        <v>202</v>
      </c>
      <c r="E220" s="28"/>
      <c r="F220" s="28"/>
      <c r="G220" s="28"/>
      <c r="H220" s="28" t="s">
        <v>348</v>
      </c>
      <c r="I220" s="28"/>
    </row>
    <row r="221" spans="1:9" ht="26.4" x14ac:dyDescent="0.3">
      <c r="A221" s="10" t="s">
        <v>636</v>
      </c>
      <c r="B221" s="36">
        <f>COUNTIFS('Seasons Data'!G:G,A221,'Seasons Data'!E:E,"Y")</f>
        <v>1</v>
      </c>
      <c r="C221" s="48" t="s">
        <v>123</v>
      </c>
      <c r="D221" s="28" t="s">
        <v>197</v>
      </c>
      <c r="E221" s="28"/>
      <c r="F221" s="28"/>
      <c r="G221" s="28"/>
      <c r="H221" s="28" t="s">
        <v>348</v>
      </c>
      <c r="I221" s="28"/>
    </row>
    <row r="222" spans="1:9" ht="26.4" x14ac:dyDescent="0.3">
      <c r="A222" s="10" t="s">
        <v>637</v>
      </c>
      <c r="B222" s="36">
        <f>COUNTIFS('Seasons Data'!G:G,A222,'Seasons Data'!E:E,"Y")</f>
        <v>1</v>
      </c>
      <c r="C222" s="48" t="s">
        <v>123</v>
      </c>
      <c r="D222" s="28" t="s">
        <v>190</v>
      </c>
      <c r="E222" s="28"/>
      <c r="F222" s="28"/>
      <c r="G222" s="28"/>
      <c r="H222" s="28" t="s">
        <v>348</v>
      </c>
      <c r="I222" s="28"/>
    </row>
    <row r="223" spans="1:9" ht="26.4" x14ac:dyDescent="0.3">
      <c r="A223" s="10" t="s">
        <v>638</v>
      </c>
      <c r="B223" s="36">
        <f>COUNTIFS('Seasons Data'!G:G,A223,'Seasons Data'!E:E,"Y")</f>
        <v>1</v>
      </c>
      <c r="C223" s="48" t="s">
        <v>123</v>
      </c>
      <c r="D223" s="28" t="s">
        <v>191</v>
      </c>
      <c r="E223" s="28"/>
      <c r="F223" s="28"/>
      <c r="G223" s="28"/>
      <c r="H223" s="28" t="s">
        <v>348</v>
      </c>
      <c r="I223" s="28"/>
    </row>
    <row r="224" spans="1:9" ht="26.4" x14ac:dyDescent="0.3">
      <c r="A224" s="10" t="s">
        <v>639</v>
      </c>
      <c r="B224" s="36">
        <f>COUNTIFS('Seasons Data'!G:G,A224,'Seasons Data'!E:E,"Y")</f>
        <v>1</v>
      </c>
      <c r="C224" s="48" t="s">
        <v>123</v>
      </c>
      <c r="D224" s="28" t="s">
        <v>191</v>
      </c>
      <c r="E224" s="28"/>
      <c r="F224" s="28"/>
      <c r="G224" s="28"/>
      <c r="H224" s="28" t="s">
        <v>348</v>
      </c>
      <c r="I224" s="28"/>
    </row>
    <row r="225" spans="1:9" ht="26.4" x14ac:dyDescent="0.3">
      <c r="A225" s="10" t="s">
        <v>640</v>
      </c>
      <c r="B225" s="36">
        <f>COUNTIFS('Seasons Data'!G:G,A225,'Seasons Data'!E:E,"Y")</f>
        <v>1</v>
      </c>
      <c r="C225" s="48" t="s">
        <v>123</v>
      </c>
      <c r="D225" s="28" t="s">
        <v>194</v>
      </c>
      <c r="E225" s="28"/>
      <c r="F225" s="28"/>
      <c r="G225" s="28"/>
      <c r="H225" s="28" t="s">
        <v>348</v>
      </c>
      <c r="I225" s="28"/>
    </row>
    <row r="226" spans="1:9" ht="26.4" x14ac:dyDescent="0.3">
      <c r="A226" s="10" t="s">
        <v>641</v>
      </c>
      <c r="B226" s="36">
        <f>COUNTIFS('Seasons Data'!G:G,A226,'Seasons Data'!E:E,"Y")</f>
        <v>1</v>
      </c>
      <c r="C226" s="48" t="s">
        <v>123</v>
      </c>
      <c r="D226" s="28" t="s">
        <v>197</v>
      </c>
      <c r="E226" s="28"/>
      <c r="F226" s="28"/>
      <c r="G226" s="28"/>
      <c r="H226" s="28" t="s">
        <v>348</v>
      </c>
      <c r="I226" s="28"/>
    </row>
    <row r="227" spans="1:9" x14ac:dyDescent="0.3">
      <c r="A227" s="10" t="s">
        <v>642</v>
      </c>
      <c r="B227" s="36">
        <f>COUNTIFS('Seasons Data'!G:G,A227,'Seasons Data'!E:E,"Y")</f>
        <v>1</v>
      </c>
      <c r="C227" s="48" t="s">
        <v>123</v>
      </c>
      <c r="D227" s="28" t="s">
        <v>196</v>
      </c>
      <c r="E227" s="28"/>
      <c r="F227" s="28"/>
      <c r="G227" s="28"/>
      <c r="H227" s="28" t="s">
        <v>366</v>
      </c>
      <c r="I227" s="28"/>
    </row>
    <row r="228" spans="1:9" ht="26.4" x14ac:dyDescent="0.3">
      <c r="A228" s="10" t="s">
        <v>643</v>
      </c>
      <c r="B228" s="36">
        <f>COUNTIFS('Seasons Data'!G:G,A228,'Seasons Data'!E:E,"Y")</f>
        <v>1</v>
      </c>
      <c r="C228" s="48" t="s">
        <v>123</v>
      </c>
      <c r="D228" s="28" t="s">
        <v>191</v>
      </c>
      <c r="E228" s="28"/>
      <c r="F228" s="28"/>
      <c r="G228" s="28"/>
      <c r="H228" s="28" t="s">
        <v>348</v>
      </c>
      <c r="I228" s="28"/>
    </row>
    <row r="229" spans="1:9" x14ac:dyDescent="0.3">
      <c r="A229" s="10" t="s">
        <v>644</v>
      </c>
      <c r="B229" s="36">
        <f>COUNTIFS('Seasons Data'!G:G,A229,'Seasons Data'!E:E,"Y")</f>
        <v>1</v>
      </c>
      <c r="C229" s="48" t="s">
        <v>123</v>
      </c>
      <c r="D229" s="28" t="s">
        <v>199</v>
      </c>
      <c r="E229" s="28"/>
      <c r="F229" s="28"/>
      <c r="G229" s="28"/>
      <c r="H229" s="28" t="s">
        <v>366</v>
      </c>
      <c r="I229" s="28"/>
    </row>
    <row r="230" spans="1:9" x14ac:dyDescent="0.3">
      <c r="A230" s="10" t="s">
        <v>645</v>
      </c>
      <c r="B230" s="36">
        <f>COUNTIFS('Seasons Data'!G:G,A230,'Seasons Data'!E:E,"Y")</f>
        <v>1</v>
      </c>
      <c r="C230" s="48" t="s">
        <v>123</v>
      </c>
      <c r="D230" s="28" t="s">
        <v>194</v>
      </c>
      <c r="E230" s="28"/>
      <c r="F230" s="28"/>
      <c r="G230" s="28"/>
      <c r="H230" s="28" t="s">
        <v>366</v>
      </c>
      <c r="I230" s="28"/>
    </row>
    <row r="231" spans="1:9" ht="39.6" x14ac:dyDescent="0.3">
      <c r="A231" s="10" t="s">
        <v>646</v>
      </c>
      <c r="B231" s="36">
        <f>COUNTIFS('Seasons Data'!G:G,A231,'Seasons Data'!E:E,"Y")</f>
        <v>1</v>
      </c>
      <c r="C231" s="48" t="s">
        <v>123</v>
      </c>
      <c r="D231" s="28" t="s">
        <v>194</v>
      </c>
      <c r="E231" s="28" t="s">
        <v>647</v>
      </c>
      <c r="F231" s="28" t="s">
        <v>648</v>
      </c>
      <c r="G231" s="28" t="s">
        <v>649</v>
      </c>
      <c r="H231" s="28" t="s">
        <v>348</v>
      </c>
      <c r="I231" s="28" t="s">
        <v>650</v>
      </c>
    </row>
    <row r="232" spans="1:9" ht="26.4" x14ac:dyDescent="0.3">
      <c r="A232" s="10" t="s">
        <v>651</v>
      </c>
      <c r="B232" s="36">
        <f>COUNTIFS('Seasons Data'!G:G,A232,'Seasons Data'!E:E,"Y")</f>
        <v>1</v>
      </c>
      <c r="C232" s="48" t="s">
        <v>123</v>
      </c>
      <c r="D232" s="28" t="s">
        <v>202</v>
      </c>
      <c r="E232" s="28"/>
      <c r="F232" s="28"/>
      <c r="G232" s="28"/>
      <c r="H232" s="28" t="s">
        <v>348</v>
      </c>
      <c r="I232" s="28"/>
    </row>
    <row r="233" spans="1:9" ht="26.4" x14ac:dyDescent="0.3">
      <c r="A233" s="10" t="s">
        <v>652</v>
      </c>
      <c r="B233" s="36">
        <f>COUNTIFS('Seasons Data'!G:G,A233,'Seasons Data'!E:E,"Y")</f>
        <v>1</v>
      </c>
      <c r="C233" s="48" t="s">
        <v>123</v>
      </c>
      <c r="D233" s="28" t="s">
        <v>194</v>
      </c>
      <c r="E233" s="28"/>
      <c r="F233" s="28"/>
      <c r="G233" s="28"/>
      <c r="H233" s="28" t="s">
        <v>348</v>
      </c>
      <c r="I233" s="28"/>
    </row>
    <row r="234" spans="1:9" ht="26.4" x14ac:dyDescent="0.3">
      <c r="A234" s="10" t="s">
        <v>653</v>
      </c>
      <c r="B234" s="36">
        <f>COUNTIFS('Seasons Data'!G:G,A234,'Seasons Data'!E:E,"Y")</f>
        <v>1</v>
      </c>
      <c r="C234" s="48" t="s">
        <v>123</v>
      </c>
      <c r="D234" s="28" t="s">
        <v>198</v>
      </c>
      <c r="E234" s="28"/>
      <c r="F234" s="28"/>
      <c r="G234" s="28"/>
      <c r="H234" s="28" t="s">
        <v>348</v>
      </c>
      <c r="I234" s="28"/>
    </row>
    <row r="235" spans="1:9" x14ac:dyDescent="0.3">
      <c r="A235" s="10" t="s">
        <v>654</v>
      </c>
      <c r="B235" s="36">
        <f>COUNTIFS('Seasons Data'!G:G,A235,'Seasons Data'!E:E,"Y")</f>
        <v>1</v>
      </c>
      <c r="C235" s="48" t="s">
        <v>123</v>
      </c>
      <c r="D235" s="28" t="s">
        <v>195</v>
      </c>
      <c r="E235" s="28"/>
      <c r="F235" s="28"/>
      <c r="G235" s="28"/>
      <c r="H235" s="28" t="s">
        <v>366</v>
      </c>
      <c r="I235" s="28"/>
    </row>
    <row r="236" spans="1:9" x14ac:dyDescent="0.3">
      <c r="A236" s="10" t="s">
        <v>655</v>
      </c>
      <c r="B236" s="36">
        <f>COUNTIFS('Seasons Data'!G:G,A236,'Seasons Data'!E:E,"Y")</f>
        <v>1</v>
      </c>
      <c r="C236" s="48" t="s">
        <v>123</v>
      </c>
      <c r="D236" s="28" t="s">
        <v>196</v>
      </c>
      <c r="E236" s="28"/>
      <c r="F236" s="28"/>
      <c r="G236" s="28"/>
      <c r="H236" s="28" t="s">
        <v>366</v>
      </c>
      <c r="I236" s="28"/>
    </row>
    <row r="237" spans="1:9" ht="26.4" x14ac:dyDescent="0.3">
      <c r="A237" s="10" t="s">
        <v>656</v>
      </c>
      <c r="B237" s="36">
        <f>COUNTIFS('Seasons Data'!G:G,A237,'Seasons Data'!E:E,"Y")</f>
        <v>1</v>
      </c>
      <c r="C237" s="48" t="s">
        <v>123</v>
      </c>
      <c r="D237" s="28" t="s">
        <v>198</v>
      </c>
      <c r="E237" s="28"/>
      <c r="F237" s="28"/>
      <c r="G237" s="28"/>
      <c r="H237" s="28" t="s">
        <v>348</v>
      </c>
      <c r="I237" s="28"/>
    </row>
    <row r="238" spans="1:9" ht="26.4" x14ac:dyDescent="0.3">
      <c r="A238" s="10" t="s">
        <v>657</v>
      </c>
      <c r="B238" s="36">
        <f>COUNTIFS('Seasons Data'!G:G,A238,'Seasons Data'!E:E,"Y")</f>
        <v>1</v>
      </c>
      <c r="C238" s="48" t="s">
        <v>123</v>
      </c>
      <c r="D238" s="28" t="s">
        <v>198</v>
      </c>
      <c r="E238" s="28"/>
      <c r="F238" s="28"/>
      <c r="G238" s="28"/>
      <c r="H238" s="28" t="s">
        <v>348</v>
      </c>
      <c r="I238" s="28"/>
    </row>
    <row r="239" spans="1:9" ht="26.4" x14ac:dyDescent="0.3">
      <c r="A239" s="10" t="s">
        <v>658</v>
      </c>
      <c r="B239" s="36">
        <f>COUNTIFS('Seasons Data'!G:G,A239,'Seasons Data'!E:E,"Y")</f>
        <v>1</v>
      </c>
      <c r="C239" s="48" t="s">
        <v>123</v>
      </c>
      <c r="D239" s="28" t="s">
        <v>195</v>
      </c>
      <c r="E239" s="28"/>
      <c r="F239" s="28"/>
      <c r="G239" s="28"/>
      <c r="H239" s="28" t="s">
        <v>348</v>
      </c>
      <c r="I239" s="28"/>
    </row>
    <row r="240" spans="1:9" ht="39.6" x14ac:dyDescent="0.3">
      <c r="A240" s="10" t="s">
        <v>659</v>
      </c>
      <c r="B240" s="36">
        <f>COUNTIFS('Seasons Data'!G:G,A240,'Seasons Data'!E:E,"Y")</f>
        <v>1</v>
      </c>
      <c r="C240" s="48" t="s">
        <v>123</v>
      </c>
      <c r="D240" s="28" t="s">
        <v>194</v>
      </c>
      <c r="E240" s="28" t="s">
        <v>660</v>
      </c>
      <c r="F240" s="28" t="s">
        <v>661</v>
      </c>
      <c r="G240" s="28" t="s">
        <v>662</v>
      </c>
      <c r="H240" s="28" t="s">
        <v>294</v>
      </c>
      <c r="I240" s="28" t="s">
        <v>663</v>
      </c>
    </row>
    <row r="241" spans="1:9" ht="26.4" x14ac:dyDescent="0.3">
      <c r="A241" s="10" t="s">
        <v>664</v>
      </c>
      <c r="B241" s="36">
        <f>COUNTIFS('Seasons Data'!G:G,A241,'Seasons Data'!E:E,"Y")</f>
        <v>1</v>
      </c>
      <c r="C241" s="48" t="s">
        <v>123</v>
      </c>
      <c r="D241" s="28" t="s">
        <v>201</v>
      </c>
      <c r="E241" s="28"/>
      <c r="F241" s="28"/>
      <c r="G241" s="28"/>
      <c r="H241" s="28" t="s">
        <v>348</v>
      </c>
      <c r="I241" s="28"/>
    </row>
    <row r="242" spans="1:9" ht="26.4" x14ac:dyDescent="0.3">
      <c r="A242" s="10" t="s">
        <v>665</v>
      </c>
      <c r="B242" s="36">
        <f>COUNTIFS('Seasons Data'!G:G,A242,'Seasons Data'!E:E,"Y")</f>
        <v>1</v>
      </c>
      <c r="C242" s="48" t="s">
        <v>123</v>
      </c>
      <c r="D242" s="28" t="s">
        <v>190</v>
      </c>
      <c r="E242" s="28"/>
      <c r="F242" s="28"/>
      <c r="G242" s="28"/>
      <c r="H242" s="28" t="s">
        <v>348</v>
      </c>
      <c r="I242" s="28"/>
    </row>
    <row r="243" spans="1:9" ht="26.4" x14ac:dyDescent="0.3">
      <c r="A243" s="10" t="s">
        <v>666</v>
      </c>
      <c r="B243" s="36">
        <f>COUNTIFS('Seasons Data'!G:G,A243,'Seasons Data'!E:E,"Y")</f>
        <v>1</v>
      </c>
      <c r="C243" s="48" t="s">
        <v>123</v>
      </c>
      <c r="D243" s="28" t="s">
        <v>191</v>
      </c>
      <c r="E243" s="28"/>
      <c r="F243" s="28"/>
      <c r="G243" s="28"/>
      <c r="H243" s="28" t="s">
        <v>348</v>
      </c>
      <c r="I243" s="28"/>
    </row>
    <row r="244" spans="1:9" x14ac:dyDescent="0.3">
      <c r="A244" s="10" t="s">
        <v>667</v>
      </c>
      <c r="B244" s="36">
        <f>COUNTIFS('Seasons Data'!G:G,A244,'Seasons Data'!E:E,"Y")</f>
        <v>1</v>
      </c>
      <c r="C244" s="48" t="s">
        <v>123</v>
      </c>
      <c r="D244" s="28" t="s">
        <v>196</v>
      </c>
      <c r="E244" s="28"/>
      <c r="F244" s="28"/>
      <c r="G244" s="28"/>
      <c r="H244" s="28" t="s">
        <v>366</v>
      </c>
      <c r="I244" s="28"/>
    </row>
    <row r="245" spans="1:9" ht="26.4" x14ac:dyDescent="0.3">
      <c r="A245" s="10" t="s">
        <v>668</v>
      </c>
      <c r="B245" s="36">
        <f>COUNTIFS('Seasons Data'!G:G,A245,'Seasons Data'!E:E,"Y")</f>
        <v>1</v>
      </c>
      <c r="C245" s="48" t="s">
        <v>123</v>
      </c>
      <c r="D245" s="28" t="s">
        <v>190</v>
      </c>
      <c r="E245" s="28"/>
      <c r="F245" s="28"/>
      <c r="G245" s="28"/>
      <c r="H245" s="28" t="s">
        <v>348</v>
      </c>
      <c r="I245" s="28"/>
    </row>
    <row r="246" spans="1:9" ht="26.4" x14ac:dyDescent="0.3">
      <c r="A246" s="10" t="s">
        <v>669</v>
      </c>
      <c r="B246" s="36">
        <f>COUNTIFS('Seasons Data'!G:G,A246,'Seasons Data'!E:E,"Y")</f>
        <v>1</v>
      </c>
      <c r="C246" s="48" t="s">
        <v>123</v>
      </c>
      <c r="D246" s="28" t="s">
        <v>199</v>
      </c>
      <c r="E246" s="28"/>
      <c r="F246" s="28"/>
      <c r="G246" s="28"/>
      <c r="H246" s="28" t="s">
        <v>348</v>
      </c>
      <c r="I246" s="28"/>
    </row>
    <row r="247" spans="1:9" ht="26.4" x14ac:dyDescent="0.3">
      <c r="A247" s="10" t="s">
        <v>670</v>
      </c>
      <c r="B247" s="36">
        <f>COUNTIFS('Seasons Data'!G:G,A247,'Seasons Data'!E:E,"Y")</f>
        <v>1</v>
      </c>
      <c r="C247" s="48" t="s">
        <v>123</v>
      </c>
      <c r="D247" s="28" t="s">
        <v>190</v>
      </c>
      <c r="E247" s="28"/>
      <c r="F247" s="28"/>
      <c r="G247" s="28"/>
      <c r="H247" s="28" t="s">
        <v>348</v>
      </c>
      <c r="I247" s="28"/>
    </row>
    <row r="248" spans="1:9" ht="26.4" x14ac:dyDescent="0.3">
      <c r="A248" s="10" t="s">
        <v>671</v>
      </c>
      <c r="B248" s="36">
        <f>COUNTIFS('Seasons Data'!G:G,A248,'Seasons Data'!E:E,"Y")</f>
        <v>1</v>
      </c>
      <c r="C248" s="48" t="s">
        <v>123</v>
      </c>
      <c r="D248" s="28" t="s">
        <v>191</v>
      </c>
      <c r="E248" s="28"/>
      <c r="F248" s="28"/>
      <c r="G248" s="28"/>
      <c r="H248" s="28" t="s">
        <v>348</v>
      </c>
      <c r="I248" s="28"/>
    </row>
    <row r="249" spans="1:9" ht="26.4" x14ac:dyDescent="0.3">
      <c r="A249" s="10" t="s">
        <v>672</v>
      </c>
      <c r="B249" s="36">
        <f>COUNTIFS('Seasons Data'!G:G,A249,'Seasons Data'!E:E,"Y")</f>
        <v>1</v>
      </c>
      <c r="C249" s="48" t="s">
        <v>123</v>
      </c>
      <c r="D249" s="28" t="s">
        <v>189</v>
      </c>
      <c r="E249" s="28"/>
      <c r="F249" s="28"/>
      <c r="G249" s="28"/>
      <c r="H249" s="28" t="s">
        <v>348</v>
      </c>
      <c r="I249" s="28"/>
    </row>
    <row r="250" spans="1:9" ht="26.4" x14ac:dyDescent="0.3">
      <c r="A250" s="10" t="s">
        <v>673</v>
      </c>
      <c r="B250" s="36">
        <f>COUNTIFS('Seasons Data'!G:G,A250,'Seasons Data'!E:E,"Y")</f>
        <v>1</v>
      </c>
      <c r="C250" s="48" t="s">
        <v>123</v>
      </c>
      <c r="D250" s="28" t="s">
        <v>203</v>
      </c>
      <c r="E250" s="28"/>
      <c r="F250" s="28"/>
      <c r="G250" s="28"/>
      <c r="H250" s="28" t="s">
        <v>348</v>
      </c>
      <c r="I250" s="28"/>
    </row>
    <row r="251" spans="1:9" ht="26.4" x14ac:dyDescent="0.3">
      <c r="A251" s="10" t="s">
        <v>674</v>
      </c>
      <c r="B251" s="36">
        <f>COUNTIFS('Seasons Data'!G:G,A251,'Seasons Data'!E:E,"Y")</f>
        <v>1</v>
      </c>
      <c r="C251" s="48" t="s">
        <v>123</v>
      </c>
      <c r="D251" s="28" t="s">
        <v>199</v>
      </c>
      <c r="E251" s="28"/>
      <c r="F251" s="28"/>
      <c r="G251" s="28"/>
      <c r="H251" s="28" t="s">
        <v>348</v>
      </c>
      <c r="I251" s="28"/>
    </row>
    <row r="252" spans="1:9" ht="26.4" x14ac:dyDescent="0.3">
      <c r="A252" s="10" t="s">
        <v>675</v>
      </c>
      <c r="B252" s="36">
        <f>COUNTIFS('Seasons Data'!G:G,A252,'Seasons Data'!E:E,"Y")</f>
        <v>1</v>
      </c>
      <c r="C252" s="48" t="s">
        <v>123</v>
      </c>
      <c r="D252" s="28" t="s">
        <v>205</v>
      </c>
      <c r="E252" s="28"/>
      <c r="F252" s="28"/>
      <c r="G252" s="28"/>
      <c r="H252" s="28" t="s">
        <v>348</v>
      </c>
      <c r="I252" s="28"/>
    </row>
    <row r="253" spans="1:9" ht="26.4" x14ac:dyDescent="0.3">
      <c r="A253" s="10" t="s">
        <v>676</v>
      </c>
      <c r="B253" s="36">
        <f>COUNTIFS('Seasons Data'!G:G,A253,'Seasons Data'!E:E,"Y")</f>
        <v>1</v>
      </c>
      <c r="C253" s="48" t="s">
        <v>123</v>
      </c>
      <c r="D253" s="28" t="s">
        <v>191</v>
      </c>
      <c r="E253" s="28"/>
      <c r="F253" s="28"/>
      <c r="G253" s="28"/>
      <c r="H253" s="28" t="s">
        <v>348</v>
      </c>
      <c r="I253" s="28"/>
    </row>
    <row r="254" spans="1:9" ht="26.4" x14ac:dyDescent="0.3">
      <c r="A254" s="10" t="s">
        <v>677</v>
      </c>
      <c r="B254" s="36">
        <f>COUNTIFS('Seasons Data'!G:G,A254,'Seasons Data'!E:E,"Y")</f>
        <v>1</v>
      </c>
      <c r="C254" s="48" t="s">
        <v>123</v>
      </c>
      <c r="D254" s="28" t="s">
        <v>191</v>
      </c>
      <c r="E254" s="28"/>
      <c r="F254" s="28"/>
      <c r="G254" s="28"/>
      <c r="H254" s="28" t="s">
        <v>348</v>
      </c>
      <c r="I254" s="28"/>
    </row>
    <row r="255" spans="1:9" ht="26.4" x14ac:dyDescent="0.3">
      <c r="A255" s="10" t="s">
        <v>678</v>
      </c>
      <c r="B255" s="36">
        <f>COUNTIFS('Seasons Data'!G:G,A255,'Seasons Data'!E:E,"Y")</f>
        <v>1</v>
      </c>
      <c r="C255" s="48" t="s">
        <v>123</v>
      </c>
      <c r="D255" s="28" t="s">
        <v>193</v>
      </c>
      <c r="E255" s="28"/>
      <c r="F255" s="28"/>
      <c r="G255" s="28"/>
      <c r="H255" s="28" t="s">
        <v>348</v>
      </c>
      <c r="I255" s="28"/>
    </row>
    <row r="256" spans="1:9" ht="39.6" x14ac:dyDescent="0.3">
      <c r="A256" s="10" t="s">
        <v>679</v>
      </c>
      <c r="B256" s="36">
        <f>COUNTIFS('Seasons Data'!G:G,A256,'Seasons Data'!E:E,"Y")</f>
        <v>1</v>
      </c>
      <c r="C256" s="48" t="s">
        <v>123</v>
      </c>
      <c r="D256" s="28" t="s">
        <v>200</v>
      </c>
      <c r="E256" s="28" t="s">
        <v>680</v>
      </c>
      <c r="F256" s="28" t="s">
        <v>681</v>
      </c>
      <c r="G256" s="28" t="s">
        <v>682</v>
      </c>
      <c r="H256" s="28" t="s">
        <v>366</v>
      </c>
      <c r="I256" s="28" t="s">
        <v>178</v>
      </c>
    </row>
    <row r="257" spans="1:9" ht="26.4" x14ac:dyDescent="0.3">
      <c r="A257" s="10" t="s">
        <v>683</v>
      </c>
      <c r="B257" s="36">
        <f>COUNTIFS('Seasons Data'!G:G,A257,'Seasons Data'!E:E,"Y")</f>
        <v>1</v>
      </c>
      <c r="C257" s="48" t="s">
        <v>123</v>
      </c>
      <c r="D257" s="28" t="s">
        <v>190</v>
      </c>
      <c r="E257" s="28"/>
      <c r="F257" s="28"/>
      <c r="G257" s="28"/>
      <c r="H257" s="28" t="s">
        <v>348</v>
      </c>
      <c r="I257" s="28"/>
    </row>
    <row r="258" spans="1:9" ht="26.4" x14ac:dyDescent="0.3">
      <c r="A258" s="10" t="s">
        <v>684</v>
      </c>
      <c r="B258" s="36">
        <f>COUNTIFS('Seasons Data'!G:G,A258,'Seasons Data'!E:E,"Y")</f>
        <v>1</v>
      </c>
      <c r="C258" s="48" t="s">
        <v>123</v>
      </c>
      <c r="D258" s="28" t="s">
        <v>194</v>
      </c>
      <c r="E258" s="28"/>
      <c r="F258" s="28"/>
      <c r="G258" s="28"/>
      <c r="H258" s="28" t="s">
        <v>348</v>
      </c>
      <c r="I258" s="28"/>
    </row>
    <row r="259" spans="1:9" ht="26.4" x14ac:dyDescent="0.3">
      <c r="A259" s="10" t="s">
        <v>685</v>
      </c>
      <c r="B259" s="36">
        <f>COUNTIFS('Seasons Data'!G:G,A259,'Seasons Data'!E:E,"Y")</f>
        <v>1</v>
      </c>
      <c r="C259" s="48" t="s">
        <v>123</v>
      </c>
      <c r="D259" s="28" t="s">
        <v>194</v>
      </c>
      <c r="E259" s="28"/>
      <c r="F259" s="28"/>
      <c r="G259" s="28"/>
      <c r="H259" s="28" t="s">
        <v>348</v>
      </c>
      <c r="I259" s="28"/>
    </row>
    <row r="260" spans="1:9" ht="26.4" x14ac:dyDescent="0.3">
      <c r="A260" s="10" t="s">
        <v>686</v>
      </c>
      <c r="B260" s="36">
        <f>COUNTIFS('Seasons Data'!G:G,A260,'Seasons Data'!E:E,"Y")</f>
        <v>1</v>
      </c>
      <c r="C260" s="48" t="s">
        <v>123</v>
      </c>
      <c r="D260" s="28" t="s">
        <v>192</v>
      </c>
      <c r="E260" s="28"/>
      <c r="F260" s="28"/>
      <c r="G260" s="28"/>
      <c r="H260" s="28" t="s">
        <v>348</v>
      </c>
      <c r="I260" s="28"/>
    </row>
    <row r="261" spans="1:9" ht="26.4" x14ac:dyDescent="0.3">
      <c r="A261" s="10" t="s">
        <v>687</v>
      </c>
      <c r="B261" s="36">
        <f>COUNTIFS('Seasons Data'!G:G,A261,'Seasons Data'!E:E,"Y")</f>
        <v>1</v>
      </c>
      <c r="C261" s="48" t="s">
        <v>123</v>
      </c>
      <c r="D261" s="28" t="s">
        <v>199</v>
      </c>
      <c r="E261" s="28"/>
      <c r="F261" s="28"/>
      <c r="G261" s="28"/>
      <c r="H261" s="28" t="s">
        <v>348</v>
      </c>
      <c r="I261" s="28"/>
    </row>
    <row r="262" spans="1:9" ht="26.4" x14ac:dyDescent="0.3">
      <c r="A262" s="10" t="s">
        <v>688</v>
      </c>
      <c r="B262" s="36">
        <f>COUNTIFS('Seasons Data'!G:G,A262,'Seasons Data'!E:E,"Y")</f>
        <v>1</v>
      </c>
      <c r="C262" s="48" t="s">
        <v>123</v>
      </c>
      <c r="D262" s="28" t="s">
        <v>193</v>
      </c>
      <c r="E262" s="28"/>
      <c r="F262" s="28"/>
      <c r="G262" s="28"/>
      <c r="H262" s="28" t="s">
        <v>348</v>
      </c>
      <c r="I262" s="28"/>
    </row>
    <row r="263" spans="1:9" ht="26.4" x14ac:dyDescent="0.3">
      <c r="A263" s="10" t="s">
        <v>689</v>
      </c>
      <c r="B263" s="36">
        <f>COUNTIFS('Seasons Data'!G:G,A263,'Seasons Data'!E:E,"Y")</f>
        <v>1</v>
      </c>
      <c r="C263" s="48" t="s">
        <v>123</v>
      </c>
      <c r="D263" s="28" t="s">
        <v>191</v>
      </c>
      <c r="E263" s="28"/>
      <c r="F263" s="28"/>
      <c r="G263" s="28"/>
      <c r="H263" s="28" t="s">
        <v>348</v>
      </c>
      <c r="I263" s="28"/>
    </row>
    <row r="264" spans="1:9" ht="26.4" x14ac:dyDescent="0.3">
      <c r="A264" s="10" t="s">
        <v>690</v>
      </c>
      <c r="B264" s="36">
        <f>COUNTIFS('Seasons Data'!G:G,A264,'Seasons Data'!E:E,"Y")</f>
        <v>1</v>
      </c>
      <c r="C264" s="48" t="s">
        <v>123</v>
      </c>
      <c r="D264" s="28" t="s">
        <v>190</v>
      </c>
      <c r="E264" s="28"/>
      <c r="F264" s="28"/>
      <c r="G264" s="28"/>
      <c r="H264" s="28" t="s">
        <v>348</v>
      </c>
      <c r="I264" s="28"/>
    </row>
    <row r="265" spans="1:9" ht="26.4" x14ac:dyDescent="0.3">
      <c r="A265" s="10" t="s">
        <v>691</v>
      </c>
      <c r="B265" s="36">
        <f>COUNTIFS('Seasons Data'!G:G,A265,'Seasons Data'!E:E,"Y")</f>
        <v>1</v>
      </c>
      <c r="C265" s="48" t="s">
        <v>123</v>
      </c>
      <c r="D265" s="28" t="s">
        <v>194</v>
      </c>
      <c r="E265" s="28"/>
      <c r="F265" s="28"/>
      <c r="G265" s="28"/>
      <c r="H265" s="28" t="s">
        <v>348</v>
      </c>
      <c r="I265" s="28"/>
    </row>
    <row r="266" spans="1:9" ht="26.4" x14ac:dyDescent="0.3">
      <c r="A266" s="10" t="s">
        <v>692</v>
      </c>
      <c r="B266" s="36">
        <f>COUNTIFS('Seasons Data'!G:G,A266,'Seasons Data'!E:E,"Y")</f>
        <v>1</v>
      </c>
      <c r="C266" s="48" t="s">
        <v>123</v>
      </c>
      <c r="D266" s="28" t="s">
        <v>195</v>
      </c>
      <c r="E266" s="28" t="s">
        <v>693</v>
      </c>
      <c r="F266" s="28" t="s">
        <v>694</v>
      </c>
      <c r="G266" s="28" t="s">
        <v>695</v>
      </c>
      <c r="H266" s="28" t="s">
        <v>348</v>
      </c>
      <c r="I266" s="28" t="s">
        <v>696</v>
      </c>
    </row>
    <row r="267" spans="1:9" ht="26.4" x14ac:dyDescent="0.3">
      <c r="A267" s="10" t="s">
        <v>697</v>
      </c>
      <c r="B267" s="36">
        <f>COUNTIFS('Seasons Data'!G:G,A267,'Seasons Data'!E:E,"Y")</f>
        <v>1</v>
      </c>
      <c r="C267" s="48" t="s">
        <v>123</v>
      </c>
      <c r="D267" s="28" t="s">
        <v>194</v>
      </c>
      <c r="E267" s="28"/>
      <c r="F267" s="28"/>
      <c r="G267" s="28"/>
      <c r="H267" s="28" t="s">
        <v>348</v>
      </c>
      <c r="I267" s="28"/>
    </row>
    <row r="268" spans="1:9" ht="26.4" x14ac:dyDescent="0.3">
      <c r="A268" s="10" t="s">
        <v>698</v>
      </c>
      <c r="B268" s="36">
        <f>COUNTIFS('Seasons Data'!G:G,A268,'Seasons Data'!E:E,"Y")</f>
        <v>1</v>
      </c>
      <c r="C268" s="48" t="s">
        <v>123</v>
      </c>
      <c r="D268" s="28" t="s">
        <v>194</v>
      </c>
      <c r="E268" s="28"/>
      <c r="F268" s="28"/>
      <c r="G268" s="28"/>
      <c r="H268" s="28" t="s">
        <v>348</v>
      </c>
      <c r="I268" s="28"/>
    </row>
    <row r="269" spans="1:9" ht="26.4" x14ac:dyDescent="0.3">
      <c r="A269" s="10" t="s">
        <v>699</v>
      </c>
      <c r="B269" s="36">
        <f>COUNTIFS('Seasons Data'!G:G,A269,'Seasons Data'!E:E,"Y")</f>
        <v>1</v>
      </c>
      <c r="C269" s="48" t="s">
        <v>123</v>
      </c>
      <c r="D269" s="28" t="s">
        <v>191</v>
      </c>
      <c r="E269" s="28"/>
      <c r="F269" s="28"/>
      <c r="G269" s="28"/>
      <c r="H269" s="28" t="s">
        <v>348</v>
      </c>
      <c r="I269" s="28"/>
    </row>
    <row r="270" spans="1:9" ht="26.4" x14ac:dyDescent="0.3">
      <c r="A270" s="10" t="s">
        <v>700</v>
      </c>
      <c r="B270" s="36">
        <f>COUNTIFS('Seasons Data'!G:G,A270,'Seasons Data'!E:E,"Y")</f>
        <v>1</v>
      </c>
      <c r="C270" s="48" t="s">
        <v>123</v>
      </c>
      <c r="D270" s="28" t="s">
        <v>194</v>
      </c>
      <c r="E270" s="28"/>
      <c r="F270" s="28"/>
      <c r="G270" s="28"/>
      <c r="H270" s="28" t="s">
        <v>348</v>
      </c>
      <c r="I270" s="28"/>
    </row>
    <row r="271" spans="1:9" ht="26.4" x14ac:dyDescent="0.3">
      <c r="A271" s="10" t="s">
        <v>701</v>
      </c>
      <c r="B271" s="36">
        <f>COUNTIFS('Seasons Data'!G:G,A271,'Seasons Data'!E:E,"Y")</f>
        <v>1</v>
      </c>
      <c r="C271" s="48" t="s">
        <v>123</v>
      </c>
      <c r="D271" s="28" t="s">
        <v>191</v>
      </c>
      <c r="E271" s="28"/>
      <c r="F271" s="28"/>
      <c r="G271" s="28"/>
      <c r="H271" s="28" t="s">
        <v>348</v>
      </c>
      <c r="I271" s="28"/>
    </row>
    <row r="272" spans="1:9" ht="26.4" x14ac:dyDescent="0.3">
      <c r="A272" s="10" t="s">
        <v>702</v>
      </c>
      <c r="B272" s="36">
        <f>COUNTIFS('Seasons Data'!G:G,A272,'Seasons Data'!E:E,"Y")</f>
        <v>1</v>
      </c>
      <c r="C272" s="48" t="s">
        <v>123</v>
      </c>
      <c r="D272" s="28" t="s">
        <v>190</v>
      </c>
      <c r="E272" s="28"/>
      <c r="F272" s="28"/>
      <c r="G272" s="28"/>
      <c r="H272" s="28" t="s">
        <v>348</v>
      </c>
      <c r="I272" s="28"/>
    </row>
    <row r="273" spans="1:9" ht="26.4" x14ac:dyDescent="0.3">
      <c r="A273" s="10" t="s">
        <v>703</v>
      </c>
      <c r="B273" s="36">
        <f>COUNTIFS('Seasons Data'!G:G,A273,'Seasons Data'!E:E,"Y")</f>
        <v>1</v>
      </c>
      <c r="C273" s="48" t="s">
        <v>123</v>
      </c>
      <c r="D273" s="28" t="s">
        <v>197</v>
      </c>
      <c r="E273" s="28"/>
      <c r="F273" s="28"/>
      <c r="G273" s="28"/>
      <c r="H273" s="28" t="s">
        <v>348</v>
      </c>
      <c r="I273" s="28"/>
    </row>
    <row r="274" spans="1:9" ht="26.4" x14ac:dyDescent="0.3">
      <c r="A274" s="10" t="s">
        <v>704</v>
      </c>
      <c r="B274" s="36">
        <f>COUNTIFS('Seasons Data'!G:G,A274,'Seasons Data'!E:E,"Y")</f>
        <v>1</v>
      </c>
      <c r="C274" s="48" t="s">
        <v>123</v>
      </c>
      <c r="D274" s="28" t="s">
        <v>190</v>
      </c>
      <c r="E274" s="28"/>
      <c r="F274" s="28"/>
      <c r="G274" s="28"/>
      <c r="H274" s="28" t="s">
        <v>348</v>
      </c>
      <c r="I274" s="28"/>
    </row>
    <row r="275" spans="1:9" x14ac:dyDescent="0.3">
      <c r="A275" s="10" t="s">
        <v>705</v>
      </c>
      <c r="B275" s="36">
        <f>COUNTIFS('Seasons Data'!G:G,A275,'Seasons Data'!E:E,"Y")</f>
        <v>1</v>
      </c>
      <c r="C275" s="48" t="s">
        <v>123</v>
      </c>
      <c r="D275" s="28" t="s">
        <v>195</v>
      </c>
      <c r="E275" s="28"/>
      <c r="F275" s="28"/>
      <c r="G275" s="28"/>
      <c r="H275" s="28" t="s">
        <v>366</v>
      </c>
      <c r="I275" s="28"/>
    </row>
    <row r="276" spans="1:9" ht="26.4" x14ac:dyDescent="0.3">
      <c r="A276" s="10" t="s">
        <v>706</v>
      </c>
      <c r="B276" s="36">
        <f>COUNTIFS('Seasons Data'!G:G,A276,'Seasons Data'!E:E,"Y")</f>
        <v>1</v>
      </c>
      <c r="C276" s="48" t="s">
        <v>123</v>
      </c>
      <c r="D276" s="28" t="s">
        <v>197</v>
      </c>
      <c r="E276" s="28" t="s">
        <v>707</v>
      </c>
      <c r="F276" s="28" t="s">
        <v>708</v>
      </c>
      <c r="G276" s="28" t="s">
        <v>709</v>
      </c>
      <c r="H276" s="28" t="s">
        <v>348</v>
      </c>
      <c r="I276" s="28" t="s">
        <v>710</v>
      </c>
    </row>
    <row r="277" spans="1:9" ht="26.4" x14ac:dyDescent="0.3">
      <c r="A277" s="10" t="s">
        <v>711</v>
      </c>
      <c r="B277" s="36">
        <f>COUNTIFS('Seasons Data'!G:G,A277,'Seasons Data'!E:E,"Y")</f>
        <v>1</v>
      </c>
      <c r="C277" s="48" t="s">
        <v>123</v>
      </c>
      <c r="D277" s="28" t="s">
        <v>191</v>
      </c>
      <c r="E277" s="28"/>
      <c r="F277" s="28"/>
      <c r="G277" s="28"/>
      <c r="H277" s="28" t="s">
        <v>348</v>
      </c>
      <c r="I277" s="28"/>
    </row>
    <row r="278" spans="1:9" ht="26.4" x14ac:dyDescent="0.3">
      <c r="A278" s="10" t="s">
        <v>712</v>
      </c>
      <c r="B278" s="36">
        <f>COUNTIFS('Seasons Data'!G:G,A278,'Seasons Data'!E:E,"Y")</f>
        <v>1</v>
      </c>
      <c r="C278" s="48" t="s">
        <v>123</v>
      </c>
      <c r="D278" s="28" t="s">
        <v>191</v>
      </c>
      <c r="E278" s="28"/>
      <c r="F278" s="28"/>
      <c r="G278" s="28"/>
      <c r="H278" s="28" t="s">
        <v>348</v>
      </c>
      <c r="I278" s="28"/>
    </row>
    <row r="279" spans="1:9" ht="26.4" x14ac:dyDescent="0.3">
      <c r="A279" s="10" t="s">
        <v>713</v>
      </c>
      <c r="B279" s="36">
        <f>COUNTIFS('Seasons Data'!G:G,A279,'Seasons Data'!E:E,"Y")</f>
        <v>1</v>
      </c>
      <c r="C279" s="48" t="s">
        <v>123</v>
      </c>
      <c r="D279" s="28" t="s">
        <v>191</v>
      </c>
      <c r="E279" s="28"/>
      <c r="F279" s="28"/>
      <c r="G279" s="28"/>
      <c r="H279" s="28" t="s">
        <v>348</v>
      </c>
      <c r="I279" s="28"/>
    </row>
    <row r="280" spans="1:9" ht="26.4" x14ac:dyDescent="0.3">
      <c r="A280" s="10" t="s">
        <v>714</v>
      </c>
      <c r="B280" s="36">
        <f>COUNTIFS('Seasons Data'!G:G,A280,'Seasons Data'!E:E,"Y")</f>
        <v>1</v>
      </c>
      <c r="C280" s="48" t="s">
        <v>123</v>
      </c>
      <c r="D280" s="28" t="s">
        <v>201</v>
      </c>
      <c r="E280" s="28"/>
      <c r="F280" s="28"/>
      <c r="G280" s="28"/>
      <c r="H280" s="28" t="s">
        <v>348</v>
      </c>
      <c r="I280" s="28"/>
    </row>
    <row r="281" spans="1:9" ht="26.4" x14ac:dyDescent="0.3">
      <c r="A281" s="10" t="s">
        <v>715</v>
      </c>
      <c r="B281" s="36">
        <f>COUNTIFS('Seasons Data'!G:G,A281,'Seasons Data'!E:E,"Y")</f>
        <v>1</v>
      </c>
      <c r="C281" s="48" t="s">
        <v>123</v>
      </c>
      <c r="D281" s="28" t="s">
        <v>197</v>
      </c>
      <c r="E281" s="28" t="s">
        <v>716</v>
      </c>
      <c r="F281" s="28" t="s">
        <v>717</v>
      </c>
      <c r="G281" s="28" t="s">
        <v>718</v>
      </c>
      <c r="H281" s="28" t="s">
        <v>366</v>
      </c>
      <c r="I281" s="28" t="s">
        <v>719</v>
      </c>
    </row>
    <row r="282" spans="1:9" ht="26.4" x14ac:dyDescent="0.3">
      <c r="A282" s="10" t="s">
        <v>720</v>
      </c>
      <c r="B282" s="36">
        <f>COUNTIFS('Seasons Data'!G:G,A282,'Seasons Data'!E:E,"Y")</f>
        <v>1</v>
      </c>
      <c r="C282" s="48" t="s">
        <v>123</v>
      </c>
      <c r="D282" s="28" t="s">
        <v>190</v>
      </c>
      <c r="E282" s="28"/>
      <c r="F282" s="28"/>
      <c r="G282" s="28"/>
      <c r="H282" s="28" t="s">
        <v>348</v>
      </c>
      <c r="I282" s="28"/>
    </row>
    <row r="283" spans="1:9" ht="26.4" x14ac:dyDescent="0.3">
      <c r="A283" s="10" t="s">
        <v>721</v>
      </c>
      <c r="B283" s="36">
        <f>COUNTIFS('Seasons Data'!G:G,A283,'Seasons Data'!E:E,"Y")</f>
        <v>1</v>
      </c>
      <c r="C283" s="48" t="s">
        <v>123</v>
      </c>
      <c r="D283" s="28" t="s">
        <v>192</v>
      </c>
      <c r="E283" s="28"/>
      <c r="F283" s="28"/>
      <c r="G283" s="28"/>
      <c r="H283" s="28" t="s">
        <v>348</v>
      </c>
      <c r="I283" s="28"/>
    </row>
    <row r="284" spans="1:9" x14ac:dyDescent="0.3">
      <c r="A284" s="10" t="s">
        <v>722</v>
      </c>
      <c r="B284" s="36">
        <f>COUNTIFS('Seasons Data'!G:G,A284,'Seasons Data'!E:E,"Y")</f>
        <v>1</v>
      </c>
      <c r="C284" s="48" t="s">
        <v>123</v>
      </c>
      <c r="D284" s="28" t="s">
        <v>195</v>
      </c>
      <c r="E284" s="28"/>
      <c r="F284" s="28"/>
      <c r="G284" s="28"/>
      <c r="H284" s="28" t="s">
        <v>366</v>
      </c>
      <c r="I284" s="28"/>
    </row>
    <row r="285" spans="1:9" ht="26.4" x14ac:dyDescent="0.3">
      <c r="A285" s="10" t="s">
        <v>723</v>
      </c>
      <c r="B285" s="36">
        <f>COUNTIFS('Seasons Data'!G:G,A285,'Seasons Data'!E:E,"Y")</f>
        <v>1</v>
      </c>
      <c r="C285" s="48" t="s">
        <v>123</v>
      </c>
      <c r="D285" s="28" t="s">
        <v>189</v>
      </c>
      <c r="E285" s="28"/>
      <c r="F285" s="28"/>
      <c r="G285" s="28"/>
      <c r="H285" s="28" t="s">
        <v>348</v>
      </c>
      <c r="I285" s="28"/>
    </row>
    <row r="286" spans="1:9" ht="26.4" x14ac:dyDescent="0.3">
      <c r="A286" s="10" t="s">
        <v>724</v>
      </c>
      <c r="B286" s="36">
        <f>COUNTIFS('Seasons Data'!G:G,A286,'Seasons Data'!E:E,"Y")</f>
        <v>1</v>
      </c>
      <c r="C286" s="48" t="s">
        <v>123</v>
      </c>
      <c r="D286" s="28" t="s">
        <v>189</v>
      </c>
      <c r="E286" s="28"/>
      <c r="F286" s="28"/>
      <c r="G286" s="28"/>
      <c r="H286" s="28" t="s">
        <v>348</v>
      </c>
      <c r="I286" s="28"/>
    </row>
    <row r="287" spans="1:9" ht="26.4" x14ac:dyDescent="0.3">
      <c r="A287" s="10" t="s">
        <v>725</v>
      </c>
      <c r="B287" s="36">
        <f>COUNTIFS('Seasons Data'!G:G,A287,'Seasons Data'!E:E,"Y")</f>
        <v>1</v>
      </c>
      <c r="C287" s="48" t="s">
        <v>123</v>
      </c>
      <c r="D287" s="28" t="s">
        <v>189</v>
      </c>
      <c r="E287" s="28"/>
      <c r="F287" s="28"/>
      <c r="G287" s="28"/>
      <c r="H287" s="28" t="s">
        <v>348</v>
      </c>
      <c r="I287" s="28"/>
    </row>
    <row r="288" spans="1:9" ht="26.4" x14ac:dyDescent="0.3">
      <c r="A288" s="10" t="s">
        <v>726</v>
      </c>
      <c r="B288" s="36">
        <f>COUNTIFS('Seasons Data'!G:G,A288,'Seasons Data'!E:E,"Y")</f>
        <v>1</v>
      </c>
      <c r="C288" s="48" t="s">
        <v>123</v>
      </c>
      <c r="D288" s="28" t="s">
        <v>189</v>
      </c>
      <c r="E288" s="28"/>
      <c r="F288" s="28"/>
      <c r="G288" s="28"/>
      <c r="H288" s="28" t="s">
        <v>348</v>
      </c>
      <c r="I288" s="28"/>
    </row>
    <row r="289" spans="1:9" ht="26.4" x14ac:dyDescent="0.3">
      <c r="A289" s="10" t="s">
        <v>727</v>
      </c>
      <c r="B289" s="36">
        <f>COUNTIFS('Seasons Data'!G:G,A289,'Seasons Data'!E:E,"Y")</f>
        <v>1</v>
      </c>
      <c r="C289" s="48" t="s">
        <v>123</v>
      </c>
      <c r="D289" s="28" t="s">
        <v>189</v>
      </c>
      <c r="E289" s="28"/>
      <c r="F289" s="28"/>
      <c r="G289" s="28"/>
      <c r="H289" s="28" t="s">
        <v>348</v>
      </c>
      <c r="I289" s="28"/>
    </row>
    <row r="290" spans="1:9" ht="26.4" x14ac:dyDescent="0.3">
      <c r="A290" s="10" t="s">
        <v>728</v>
      </c>
      <c r="B290" s="36">
        <f>COUNTIFS('Seasons Data'!G:G,A290,'Seasons Data'!E:E,"Y")</f>
        <v>1</v>
      </c>
      <c r="C290" s="48" t="s">
        <v>123</v>
      </c>
      <c r="D290" s="28" t="s">
        <v>194</v>
      </c>
      <c r="E290" s="28"/>
      <c r="F290" s="28"/>
      <c r="G290" s="28"/>
      <c r="H290" s="28" t="s">
        <v>348</v>
      </c>
      <c r="I290" s="28"/>
    </row>
    <row r="291" spans="1:9" ht="39.6" x14ac:dyDescent="0.3">
      <c r="A291" s="10" t="s">
        <v>729</v>
      </c>
      <c r="B291" s="36">
        <f>COUNTIFS('Seasons Data'!G:G,A291,'Seasons Data'!E:E,"Y")</f>
        <v>1</v>
      </c>
      <c r="C291" s="48" t="s">
        <v>123</v>
      </c>
      <c r="D291" s="28" t="s">
        <v>202</v>
      </c>
      <c r="E291" s="28" t="s">
        <v>730</v>
      </c>
      <c r="F291" s="28" t="s">
        <v>731</v>
      </c>
      <c r="G291" s="28" t="s">
        <v>732</v>
      </c>
      <c r="H291" s="28" t="s">
        <v>348</v>
      </c>
      <c r="I291" s="28" t="s">
        <v>733</v>
      </c>
    </row>
    <row r="292" spans="1:9" ht="26.4" x14ac:dyDescent="0.3">
      <c r="A292" s="10" t="s">
        <v>734</v>
      </c>
      <c r="B292" s="36">
        <f>COUNTIFS('Seasons Data'!G:G,A292,'Seasons Data'!E:E,"Y")</f>
        <v>1</v>
      </c>
      <c r="C292" s="48" t="s">
        <v>123</v>
      </c>
      <c r="D292" s="28" t="s">
        <v>190</v>
      </c>
      <c r="E292" s="28"/>
      <c r="F292" s="28"/>
      <c r="G292" s="28"/>
      <c r="H292" s="28" t="s">
        <v>348</v>
      </c>
      <c r="I292" s="28"/>
    </row>
    <row r="293" spans="1:9" ht="26.4" x14ac:dyDescent="0.3">
      <c r="A293" s="10" t="s">
        <v>735</v>
      </c>
      <c r="B293" s="36">
        <f>COUNTIFS('Seasons Data'!G:G,A293,'Seasons Data'!E:E,"Y")</f>
        <v>1</v>
      </c>
      <c r="C293" s="48" t="s">
        <v>123</v>
      </c>
      <c r="D293" s="28" t="s">
        <v>195</v>
      </c>
      <c r="E293" s="28"/>
      <c r="F293" s="28"/>
      <c r="G293" s="28"/>
      <c r="H293" s="28" t="s">
        <v>348</v>
      </c>
      <c r="I293" s="28"/>
    </row>
    <row r="294" spans="1:9" ht="26.4" x14ac:dyDescent="0.3">
      <c r="A294" s="10" t="s">
        <v>736</v>
      </c>
      <c r="B294" s="36">
        <f>COUNTIFS('Seasons Data'!G:G,A294,'Seasons Data'!E:E,"Y")</f>
        <v>1</v>
      </c>
      <c r="C294" s="48" t="s">
        <v>123</v>
      </c>
      <c r="D294" s="28" t="s">
        <v>197</v>
      </c>
      <c r="E294" s="28"/>
      <c r="F294" s="28"/>
      <c r="G294" s="28"/>
      <c r="H294" s="28" t="s">
        <v>348</v>
      </c>
      <c r="I294" s="28"/>
    </row>
    <row r="295" spans="1:9" ht="26.4" x14ac:dyDescent="0.3">
      <c r="A295" s="10" t="s">
        <v>737</v>
      </c>
      <c r="B295" s="36">
        <f>COUNTIFS('Seasons Data'!G:G,A295,'Seasons Data'!E:E,"Y")</f>
        <v>1</v>
      </c>
      <c r="C295" s="48" t="s">
        <v>123</v>
      </c>
      <c r="D295" s="28" t="s">
        <v>197</v>
      </c>
      <c r="E295" s="28"/>
      <c r="F295" s="28"/>
      <c r="G295" s="28"/>
      <c r="H295" s="28" t="s">
        <v>348</v>
      </c>
      <c r="I295" s="28"/>
    </row>
    <row r="296" spans="1:9" ht="26.4" x14ac:dyDescent="0.3">
      <c r="A296" s="10" t="s">
        <v>738</v>
      </c>
      <c r="B296" s="36">
        <f>COUNTIFS('Seasons Data'!G:G,A296,'Seasons Data'!E:E,"Y")</f>
        <v>1</v>
      </c>
      <c r="C296" s="48" t="s">
        <v>123</v>
      </c>
      <c r="D296" s="28" t="s">
        <v>192</v>
      </c>
      <c r="E296" s="28"/>
      <c r="F296" s="28"/>
      <c r="G296" s="28"/>
      <c r="H296" s="28" t="s">
        <v>348</v>
      </c>
      <c r="I296" s="28"/>
    </row>
    <row r="297" spans="1:9" ht="26.4" x14ac:dyDescent="0.3">
      <c r="A297" s="10" t="s">
        <v>739</v>
      </c>
      <c r="B297" s="36">
        <f>COUNTIFS('Seasons Data'!G:G,A297,'Seasons Data'!E:E,"Y")</f>
        <v>1</v>
      </c>
      <c r="C297" s="48" t="s">
        <v>123</v>
      </c>
      <c r="D297" s="28" t="s">
        <v>199</v>
      </c>
      <c r="E297" s="28"/>
      <c r="F297" s="28"/>
      <c r="G297" s="28"/>
      <c r="H297" s="28" t="s">
        <v>348</v>
      </c>
      <c r="I297" s="28"/>
    </row>
    <row r="298" spans="1:9" ht="39.6" x14ac:dyDescent="0.3">
      <c r="A298" s="10" t="s">
        <v>740</v>
      </c>
      <c r="B298" s="36">
        <f>COUNTIFS('Seasons Data'!G:G,A298,'Seasons Data'!E:E,"Y")</f>
        <v>1</v>
      </c>
      <c r="C298" s="48" t="s">
        <v>123</v>
      </c>
      <c r="D298" s="28" t="s">
        <v>194</v>
      </c>
      <c r="E298" s="28" t="s">
        <v>741</v>
      </c>
      <c r="F298" s="28" t="s">
        <v>742</v>
      </c>
      <c r="G298" s="28" t="s">
        <v>743</v>
      </c>
      <c r="H298" s="28" t="s">
        <v>294</v>
      </c>
      <c r="I298" s="28" t="s">
        <v>744</v>
      </c>
    </row>
    <row r="299" spans="1:9" ht="39.6" x14ac:dyDescent="0.3">
      <c r="A299" s="10" t="s">
        <v>745</v>
      </c>
      <c r="B299" s="36">
        <f>COUNTIFS('Seasons Data'!G:G,A299,'Seasons Data'!E:E,"Y")</f>
        <v>1</v>
      </c>
      <c r="C299" s="48" t="s">
        <v>123</v>
      </c>
      <c r="D299" s="28" t="s">
        <v>193</v>
      </c>
      <c r="E299" s="28" t="s">
        <v>746</v>
      </c>
      <c r="F299" s="28" t="s">
        <v>747</v>
      </c>
      <c r="G299" s="28" t="s">
        <v>748</v>
      </c>
      <c r="H299" s="28" t="s">
        <v>366</v>
      </c>
      <c r="I299" s="28" t="s">
        <v>749</v>
      </c>
    </row>
    <row r="300" spans="1:9" ht="26.4" x14ac:dyDescent="0.3">
      <c r="A300" s="10" t="s">
        <v>750</v>
      </c>
      <c r="B300" s="36">
        <f>COUNTIFS('Seasons Data'!G:G,A300,'Seasons Data'!E:E,"Y")</f>
        <v>1</v>
      </c>
      <c r="C300" s="48" t="s">
        <v>123</v>
      </c>
      <c r="D300" s="28" t="s">
        <v>189</v>
      </c>
      <c r="E300" s="28"/>
      <c r="F300" s="28"/>
      <c r="G300" s="28"/>
      <c r="H300" s="28" t="s">
        <v>348</v>
      </c>
      <c r="I300" s="28"/>
    </row>
    <row r="301" spans="1:9" ht="26.4" x14ac:dyDescent="0.3">
      <c r="A301" s="10" t="s">
        <v>751</v>
      </c>
      <c r="B301" s="36">
        <f>COUNTIFS('Seasons Data'!G:G,A301,'Seasons Data'!E:E,"Y")</f>
        <v>1</v>
      </c>
      <c r="C301" s="48" t="s">
        <v>123</v>
      </c>
      <c r="D301" s="28" t="s">
        <v>203</v>
      </c>
      <c r="E301" s="28"/>
      <c r="F301" s="28"/>
      <c r="G301" s="28"/>
      <c r="H301" s="28" t="s">
        <v>348</v>
      </c>
      <c r="I301" s="28"/>
    </row>
    <row r="302" spans="1:9" ht="26.4" x14ac:dyDescent="0.3">
      <c r="A302" s="10" t="s">
        <v>752</v>
      </c>
      <c r="B302" s="36">
        <f>COUNTIFS('Seasons Data'!G:G,A302,'Seasons Data'!E:E,"Y")</f>
        <v>1</v>
      </c>
      <c r="C302" s="48" t="s">
        <v>123</v>
      </c>
      <c r="D302" s="28" t="s">
        <v>191</v>
      </c>
      <c r="E302" s="28"/>
      <c r="F302" s="28"/>
      <c r="G302" s="28"/>
      <c r="H302" s="28" t="s">
        <v>348</v>
      </c>
      <c r="I302" s="28"/>
    </row>
    <row r="303" spans="1:9" ht="26.4" x14ac:dyDescent="0.3">
      <c r="A303" s="10" t="s">
        <v>753</v>
      </c>
      <c r="B303" s="36">
        <f>COUNTIFS('Seasons Data'!G:G,A303,'Seasons Data'!E:E,"Y")</f>
        <v>1</v>
      </c>
      <c r="C303" s="48" t="s">
        <v>123</v>
      </c>
      <c r="D303" s="28" t="s">
        <v>191</v>
      </c>
      <c r="E303" s="28"/>
      <c r="F303" s="28"/>
      <c r="G303" s="28"/>
      <c r="H303" s="28" t="s">
        <v>348</v>
      </c>
      <c r="I303" s="28"/>
    </row>
    <row r="304" spans="1:9" ht="26.4" x14ac:dyDescent="0.3">
      <c r="A304" s="10" t="s">
        <v>754</v>
      </c>
      <c r="B304" s="36">
        <f>COUNTIFS('Seasons Data'!G:G,A304,'Seasons Data'!E:E,"Y")</f>
        <v>1</v>
      </c>
      <c r="C304" s="48" t="s">
        <v>123</v>
      </c>
      <c r="D304" s="28" t="s">
        <v>190</v>
      </c>
      <c r="E304" s="28"/>
      <c r="F304" s="28"/>
      <c r="G304" s="28"/>
      <c r="H304" s="28" t="s">
        <v>348</v>
      </c>
      <c r="I304" s="28"/>
    </row>
    <row r="305" spans="1:9" ht="26.4" x14ac:dyDescent="0.3">
      <c r="A305" s="10" t="s">
        <v>755</v>
      </c>
      <c r="B305" s="36">
        <f>COUNTIFS('Seasons Data'!G:G,A305,'Seasons Data'!E:E,"Y")</f>
        <v>1</v>
      </c>
      <c r="C305" s="48" t="s">
        <v>123</v>
      </c>
      <c r="D305" s="28" t="s">
        <v>194</v>
      </c>
      <c r="E305" s="28"/>
      <c r="F305" s="28"/>
      <c r="G305" s="28"/>
      <c r="H305" s="28" t="s">
        <v>348</v>
      </c>
      <c r="I305" s="28"/>
    </row>
    <row r="306" spans="1:9" ht="26.4" x14ac:dyDescent="0.3">
      <c r="A306" s="10" t="s">
        <v>756</v>
      </c>
      <c r="B306" s="36">
        <f>COUNTIFS('Seasons Data'!G:G,A306,'Seasons Data'!E:E,"Y")</f>
        <v>1</v>
      </c>
      <c r="C306" s="48" t="s">
        <v>123</v>
      </c>
      <c r="D306" s="28" t="s">
        <v>197</v>
      </c>
      <c r="E306" s="28" t="s">
        <v>757</v>
      </c>
      <c r="F306" s="28" t="s">
        <v>758</v>
      </c>
      <c r="G306" s="28" t="s">
        <v>759</v>
      </c>
      <c r="H306" s="28" t="s">
        <v>294</v>
      </c>
      <c r="I306" s="28" t="s">
        <v>760</v>
      </c>
    </row>
    <row r="307" spans="1:9" ht="26.4" x14ac:dyDescent="0.3">
      <c r="A307" s="10" t="s">
        <v>761</v>
      </c>
      <c r="B307" s="36">
        <f>COUNTIFS('Seasons Data'!G:G,A307,'Seasons Data'!E:E,"Y")</f>
        <v>1</v>
      </c>
      <c r="C307" s="48" t="s">
        <v>123</v>
      </c>
      <c r="D307" s="28" t="s">
        <v>195</v>
      </c>
      <c r="E307" s="28"/>
      <c r="F307" s="28"/>
      <c r="G307" s="28"/>
      <c r="H307" s="28" t="s">
        <v>348</v>
      </c>
      <c r="I307" s="28"/>
    </row>
    <row r="308" spans="1:9" ht="26.4" x14ac:dyDescent="0.3">
      <c r="A308" s="10" t="s">
        <v>762</v>
      </c>
      <c r="B308" s="36">
        <f>COUNTIFS('Seasons Data'!G:G,A308,'Seasons Data'!E:E,"Y")</f>
        <v>1</v>
      </c>
      <c r="C308" s="48" t="s">
        <v>123</v>
      </c>
      <c r="D308" s="28" t="s">
        <v>207</v>
      </c>
      <c r="E308" s="28"/>
      <c r="F308" s="28"/>
      <c r="G308" s="28"/>
      <c r="H308" s="28" t="s">
        <v>348</v>
      </c>
      <c r="I308" s="28"/>
    </row>
    <row r="309" spans="1:9" ht="39.6" x14ac:dyDescent="0.3">
      <c r="A309" s="10" t="s">
        <v>763</v>
      </c>
      <c r="B309" s="36">
        <f>COUNTIFS('Seasons Data'!G:G,A309,'Seasons Data'!E:E,"Y")</f>
        <v>1</v>
      </c>
      <c r="C309" s="48" t="s">
        <v>123</v>
      </c>
      <c r="D309" s="28" t="s">
        <v>202</v>
      </c>
      <c r="E309" s="28" t="s">
        <v>764</v>
      </c>
      <c r="F309" s="28" t="s">
        <v>765</v>
      </c>
      <c r="G309" s="28" t="s">
        <v>766</v>
      </c>
      <c r="H309" s="28" t="s">
        <v>348</v>
      </c>
      <c r="I309" s="28" t="s">
        <v>767</v>
      </c>
    </row>
    <row r="310" spans="1:9" ht="26.4" x14ac:dyDescent="0.3">
      <c r="A310" s="10" t="s">
        <v>770</v>
      </c>
      <c r="B310" s="36">
        <f>COUNTIFS('Seasons Data'!G:G,A310,'Seasons Data'!E:E,"Y")</f>
        <v>1</v>
      </c>
      <c r="C310" s="48" t="s">
        <v>178</v>
      </c>
      <c r="D310" s="28" t="s">
        <v>769</v>
      </c>
      <c r="E310" s="28"/>
      <c r="F310" s="28"/>
      <c r="G310" s="28"/>
      <c r="H310" s="28" t="s">
        <v>348</v>
      </c>
      <c r="I310" s="28"/>
    </row>
    <row r="311" spans="1:9" ht="26.4" x14ac:dyDescent="0.3">
      <c r="A311" s="10" t="s">
        <v>771</v>
      </c>
      <c r="B311" s="36">
        <f>COUNTIFS('Seasons Data'!G:G,A311,'Seasons Data'!E:E,"Y")</f>
        <v>1</v>
      </c>
      <c r="C311" s="48" t="s">
        <v>178</v>
      </c>
      <c r="D311" s="28" t="s">
        <v>769</v>
      </c>
      <c r="E311" s="28"/>
      <c r="F311" s="28"/>
      <c r="G311" s="28"/>
      <c r="H311" s="28" t="s">
        <v>348</v>
      </c>
      <c r="I311" s="28"/>
    </row>
    <row r="312" spans="1:9" ht="26.4" x14ac:dyDescent="0.3">
      <c r="A312" s="10" t="s">
        <v>772</v>
      </c>
      <c r="B312" s="36">
        <f>COUNTIFS('Seasons Data'!G:G,A312,'Seasons Data'!E:E,"Y")</f>
        <v>1</v>
      </c>
      <c r="C312" s="48" t="s">
        <v>178</v>
      </c>
      <c r="D312" s="28" t="s">
        <v>769</v>
      </c>
      <c r="E312" s="28"/>
      <c r="F312" s="28"/>
      <c r="G312" s="28"/>
      <c r="H312" s="28" t="s">
        <v>348</v>
      </c>
      <c r="I312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I155"/>
  <sheetViews>
    <sheetView showGridLines="0" zoomScaleNormal="100" workbookViewId="0">
      <pane ySplit="4" topLeftCell="A5" activePane="bottomLeft" state="frozen"/>
      <selection pane="bottomLeft" activeCell="A4" sqref="A4:D14"/>
    </sheetView>
  </sheetViews>
  <sheetFormatPr defaultColWidth="8.5546875" defaultRowHeight="14.4" x14ac:dyDescent="0.3"/>
  <cols>
    <col min="1" max="1" width="34" customWidth="1"/>
    <col min="2" max="2" width="12.77734375" style="33" customWidth="1"/>
    <col min="3" max="3" width="6" style="33" customWidth="1"/>
    <col min="4" max="4" width="30" customWidth="1"/>
    <col min="5" max="5" width="44" customWidth="1"/>
    <col min="6" max="6" width="32" customWidth="1"/>
    <col min="7" max="7" width="52" customWidth="1"/>
    <col min="8" max="8" width="15" customWidth="1"/>
    <col min="9" max="9" width="24" customWidth="1"/>
  </cols>
  <sheetData>
    <row r="1" spans="1:9" ht="15.6" x14ac:dyDescent="0.3">
      <c r="A1" s="15" t="s">
        <v>773</v>
      </c>
    </row>
    <row r="2" spans="1:9" x14ac:dyDescent="0.3">
      <c r="A2" s="7" t="s">
        <v>774</v>
      </c>
    </row>
    <row r="4" spans="1:9" x14ac:dyDescent="0.3">
      <c r="A4" s="16" t="s">
        <v>4909</v>
      </c>
      <c r="B4" s="45" t="s">
        <v>310</v>
      </c>
      <c r="C4" s="45" t="s">
        <v>108</v>
      </c>
      <c r="D4" s="16" t="s">
        <v>775</v>
      </c>
      <c r="E4" s="16" t="s">
        <v>311</v>
      </c>
      <c r="F4" s="16" t="s">
        <v>312</v>
      </c>
      <c r="G4" s="16" t="s">
        <v>244</v>
      </c>
      <c r="H4" s="16" t="s">
        <v>243</v>
      </c>
      <c r="I4" s="16" t="s">
        <v>313</v>
      </c>
    </row>
    <row r="5" spans="1:9" ht="15" customHeight="1" x14ac:dyDescent="0.3">
      <c r="A5" s="30" t="s">
        <v>245</v>
      </c>
      <c r="B5" s="47">
        <v>89</v>
      </c>
      <c r="C5" s="47" t="s">
        <v>113</v>
      </c>
      <c r="D5" s="30" t="s">
        <v>114</v>
      </c>
      <c r="E5" s="30" t="s">
        <v>776</v>
      </c>
      <c r="F5" s="30" t="s">
        <v>777</v>
      </c>
      <c r="G5" s="30" t="s">
        <v>778</v>
      </c>
      <c r="H5" s="30" t="s">
        <v>249</v>
      </c>
      <c r="I5" s="30" t="s">
        <v>779</v>
      </c>
    </row>
    <row r="6" spans="1:9" ht="15" customHeight="1" x14ac:dyDescent="0.3">
      <c r="A6" s="30" t="s">
        <v>276</v>
      </c>
      <c r="B6" s="47">
        <v>12</v>
      </c>
      <c r="C6" s="47" t="s">
        <v>115</v>
      </c>
      <c r="D6" s="30" t="s">
        <v>116</v>
      </c>
      <c r="E6" s="30" t="s">
        <v>780</v>
      </c>
      <c r="F6" s="30" t="s">
        <v>781</v>
      </c>
      <c r="G6" s="30" t="s">
        <v>782</v>
      </c>
      <c r="H6" s="30" t="s">
        <v>273</v>
      </c>
      <c r="I6" s="30" t="s">
        <v>783</v>
      </c>
    </row>
    <row r="7" spans="1:9" ht="15" customHeight="1" x14ac:dyDescent="0.3">
      <c r="A7" s="30" t="s">
        <v>784</v>
      </c>
      <c r="B7" s="47">
        <v>10</v>
      </c>
      <c r="C7" s="47" t="s">
        <v>115</v>
      </c>
      <c r="D7" s="30" t="s">
        <v>116</v>
      </c>
      <c r="E7" s="30" t="s">
        <v>785</v>
      </c>
      <c r="F7" s="30" t="s">
        <v>786</v>
      </c>
      <c r="G7" s="30" t="s">
        <v>787</v>
      </c>
      <c r="H7" s="30" t="s">
        <v>273</v>
      </c>
      <c r="I7" s="30" t="s">
        <v>788</v>
      </c>
    </row>
    <row r="8" spans="1:9" ht="15" customHeight="1" x14ac:dyDescent="0.3">
      <c r="A8" s="30" t="s">
        <v>789</v>
      </c>
      <c r="B8" s="47">
        <v>10</v>
      </c>
      <c r="C8" s="47" t="s">
        <v>115</v>
      </c>
      <c r="D8" s="30" t="s">
        <v>116</v>
      </c>
      <c r="E8" s="30" t="s">
        <v>790</v>
      </c>
      <c r="F8" s="30" t="s">
        <v>791</v>
      </c>
      <c r="G8" s="30" t="s">
        <v>792</v>
      </c>
      <c r="H8" s="30" t="s">
        <v>273</v>
      </c>
      <c r="I8" s="30" t="s">
        <v>793</v>
      </c>
    </row>
    <row r="9" spans="1:9" ht="15" customHeight="1" x14ac:dyDescent="0.3">
      <c r="A9" s="30" t="s">
        <v>278</v>
      </c>
      <c r="B9" s="47">
        <v>9</v>
      </c>
      <c r="C9" s="47" t="s">
        <v>115</v>
      </c>
      <c r="D9" s="30" t="s">
        <v>116</v>
      </c>
      <c r="E9" s="30" t="s">
        <v>794</v>
      </c>
      <c r="F9" s="30" t="s">
        <v>795</v>
      </c>
      <c r="G9" s="30" t="s">
        <v>796</v>
      </c>
      <c r="H9" s="30" t="s">
        <v>273</v>
      </c>
      <c r="I9" s="30" t="s">
        <v>797</v>
      </c>
    </row>
    <row r="10" spans="1:9" ht="15" customHeight="1" x14ac:dyDescent="0.3">
      <c r="A10" s="30" t="s">
        <v>269</v>
      </c>
      <c r="B10" s="47">
        <v>8</v>
      </c>
      <c r="C10" s="47" t="s">
        <v>115</v>
      </c>
      <c r="D10" s="30" t="s">
        <v>116</v>
      </c>
      <c r="E10" s="30" t="s">
        <v>798</v>
      </c>
      <c r="F10" s="30" t="s">
        <v>799</v>
      </c>
      <c r="G10" s="30" t="s">
        <v>800</v>
      </c>
      <c r="H10" s="30" t="s">
        <v>249</v>
      </c>
      <c r="I10" s="30" t="s">
        <v>801</v>
      </c>
    </row>
    <row r="11" spans="1:9" ht="15" customHeight="1" x14ac:dyDescent="0.3">
      <c r="A11" s="30" t="s">
        <v>802</v>
      </c>
      <c r="B11" s="47">
        <v>8</v>
      </c>
      <c r="C11" s="47" t="s">
        <v>115</v>
      </c>
      <c r="D11" s="30" t="s">
        <v>116</v>
      </c>
      <c r="E11" s="30" t="s">
        <v>803</v>
      </c>
      <c r="F11" s="30" t="s">
        <v>804</v>
      </c>
      <c r="G11" s="30" t="s">
        <v>805</v>
      </c>
      <c r="H11" s="30" t="s">
        <v>294</v>
      </c>
      <c r="I11" s="30" t="s">
        <v>178</v>
      </c>
    </row>
    <row r="12" spans="1:9" ht="15" customHeight="1" x14ac:dyDescent="0.3">
      <c r="A12" s="28" t="s">
        <v>1115</v>
      </c>
      <c r="B12" s="48">
        <v>7</v>
      </c>
      <c r="C12" s="48" t="s">
        <v>123</v>
      </c>
      <c r="D12" s="28" t="s">
        <v>124</v>
      </c>
      <c r="E12" s="28" t="s">
        <v>1116</v>
      </c>
      <c r="F12" s="28" t="s">
        <v>1117</v>
      </c>
      <c r="G12" s="28" t="s">
        <v>1118</v>
      </c>
      <c r="H12" s="28" t="s">
        <v>348</v>
      </c>
      <c r="I12" s="28" t="s">
        <v>1119</v>
      </c>
    </row>
    <row r="13" spans="1:9" ht="15" customHeight="1" x14ac:dyDescent="0.3">
      <c r="A13" s="30" t="s">
        <v>274</v>
      </c>
      <c r="B13" s="47">
        <v>4</v>
      </c>
      <c r="C13" s="47" t="s">
        <v>115</v>
      </c>
      <c r="D13" s="30" t="s">
        <v>116</v>
      </c>
      <c r="E13" s="30" t="s">
        <v>806</v>
      </c>
      <c r="F13" s="30" t="s">
        <v>807</v>
      </c>
      <c r="G13" s="30" t="s">
        <v>808</v>
      </c>
      <c r="H13" s="30" t="s">
        <v>249</v>
      </c>
      <c r="I13" s="30" t="s">
        <v>809</v>
      </c>
    </row>
    <row r="14" spans="1:9" ht="15" customHeight="1" x14ac:dyDescent="0.3">
      <c r="A14" s="30" t="s">
        <v>810</v>
      </c>
      <c r="B14" s="47">
        <v>4</v>
      </c>
      <c r="C14" s="47" t="s">
        <v>115</v>
      </c>
      <c r="D14" s="30" t="s">
        <v>116</v>
      </c>
      <c r="E14" s="30" t="s">
        <v>811</v>
      </c>
      <c r="F14" s="30" t="s">
        <v>812</v>
      </c>
      <c r="G14" s="30" t="s">
        <v>813</v>
      </c>
      <c r="H14" s="30" t="s">
        <v>273</v>
      </c>
      <c r="I14" s="30" t="s">
        <v>814</v>
      </c>
    </row>
    <row r="15" spans="1:9" ht="15" customHeight="1" x14ac:dyDescent="0.3">
      <c r="A15" s="30" t="s">
        <v>815</v>
      </c>
      <c r="B15" s="47">
        <v>4</v>
      </c>
      <c r="C15" s="47" t="s">
        <v>115</v>
      </c>
      <c r="D15" s="30" t="s">
        <v>116</v>
      </c>
      <c r="E15" s="30" t="s">
        <v>816</v>
      </c>
      <c r="F15" s="30" t="s">
        <v>817</v>
      </c>
      <c r="G15" s="30" t="s">
        <v>818</v>
      </c>
      <c r="H15" s="30" t="s">
        <v>273</v>
      </c>
      <c r="I15" s="30" t="s">
        <v>819</v>
      </c>
    </row>
    <row r="16" spans="1:9" ht="15" customHeight="1" x14ac:dyDescent="0.3">
      <c r="A16" s="28" t="s">
        <v>354</v>
      </c>
      <c r="B16" s="48">
        <v>4</v>
      </c>
      <c r="C16" s="48" t="s">
        <v>123</v>
      </c>
      <c r="D16" s="28" t="s">
        <v>124</v>
      </c>
      <c r="E16" s="28" t="s">
        <v>1120</v>
      </c>
      <c r="F16" s="28" t="s">
        <v>859</v>
      </c>
      <c r="G16" s="28" t="s">
        <v>1121</v>
      </c>
      <c r="H16" s="28" t="s">
        <v>348</v>
      </c>
      <c r="I16" s="28" t="s">
        <v>1122</v>
      </c>
    </row>
    <row r="17" spans="1:9" ht="15" customHeight="1" x14ac:dyDescent="0.3">
      <c r="A17" s="30" t="s">
        <v>820</v>
      </c>
      <c r="B17" s="47">
        <v>3</v>
      </c>
      <c r="C17" s="47" t="s">
        <v>115</v>
      </c>
      <c r="D17" s="30" t="s">
        <v>116</v>
      </c>
      <c r="E17" s="30" t="s">
        <v>821</v>
      </c>
      <c r="F17" s="30" t="s">
        <v>822</v>
      </c>
      <c r="G17" s="30" t="s">
        <v>823</v>
      </c>
      <c r="H17" s="30" t="s">
        <v>249</v>
      </c>
      <c r="I17" s="30" t="s">
        <v>824</v>
      </c>
    </row>
    <row r="18" spans="1:9" ht="15" customHeight="1" x14ac:dyDescent="0.3">
      <c r="A18" s="30" t="s">
        <v>825</v>
      </c>
      <c r="B18" s="47">
        <v>3</v>
      </c>
      <c r="C18" s="47" t="s">
        <v>115</v>
      </c>
      <c r="D18" s="30" t="s">
        <v>116</v>
      </c>
      <c r="E18" s="30" t="s">
        <v>826</v>
      </c>
      <c r="F18" s="30" t="s">
        <v>827</v>
      </c>
      <c r="G18" s="30" t="s">
        <v>828</v>
      </c>
      <c r="H18" s="30" t="s">
        <v>273</v>
      </c>
      <c r="I18" s="30" t="s">
        <v>829</v>
      </c>
    </row>
    <row r="19" spans="1:9" ht="15" customHeight="1" x14ac:dyDescent="0.3">
      <c r="A19" s="30" t="s">
        <v>986</v>
      </c>
      <c r="B19" s="47">
        <v>3</v>
      </c>
      <c r="C19" s="47" t="s">
        <v>117</v>
      </c>
      <c r="D19" s="30" t="s">
        <v>118</v>
      </c>
      <c r="E19" s="30" t="s">
        <v>335</v>
      </c>
      <c r="F19" s="30" t="s">
        <v>987</v>
      </c>
      <c r="G19" s="30" t="s">
        <v>988</v>
      </c>
      <c r="H19" s="30" t="s">
        <v>287</v>
      </c>
      <c r="I19" s="30" t="s">
        <v>337</v>
      </c>
    </row>
    <row r="20" spans="1:9" ht="52.8" x14ac:dyDescent="0.3">
      <c r="A20" s="30" t="s">
        <v>989</v>
      </c>
      <c r="B20" s="47">
        <v>3</v>
      </c>
      <c r="C20" s="47" t="s">
        <v>117</v>
      </c>
      <c r="D20" s="30" t="s">
        <v>118</v>
      </c>
      <c r="E20" s="30" t="s">
        <v>990</v>
      </c>
      <c r="F20" s="30" t="s">
        <v>991</v>
      </c>
      <c r="G20" s="30" t="s">
        <v>992</v>
      </c>
      <c r="H20" s="30" t="s">
        <v>249</v>
      </c>
      <c r="I20" s="30" t="s">
        <v>993</v>
      </c>
    </row>
    <row r="21" spans="1:9" ht="52.8" x14ac:dyDescent="0.3">
      <c r="A21" s="28" t="s">
        <v>1100</v>
      </c>
      <c r="B21" s="48">
        <v>3</v>
      </c>
      <c r="C21" s="48" t="s">
        <v>121</v>
      </c>
      <c r="D21" s="28" t="s">
        <v>122</v>
      </c>
      <c r="E21" s="28" t="s">
        <v>1101</v>
      </c>
      <c r="F21" s="28" t="s">
        <v>1102</v>
      </c>
      <c r="G21" s="28" t="s">
        <v>1103</v>
      </c>
      <c r="H21" s="28" t="s">
        <v>348</v>
      </c>
      <c r="I21" s="28" t="s">
        <v>1104</v>
      </c>
    </row>
    <row r="22" spans="1:9" ht="39.6" x14ac:dyDescent="0.3">
      <c r="A22" s="30" t="s">
        <v>830</v>
      </c>
      <c r="B22" s="47">
        <v>2</v>
      </c>
      <c r="C22" s="47" t="s">
        <v>115</v>
      </c>
      <c r="D22" s="30" t="s">
        <v>116</v>
      </c>
      <c r="E22" s="30" t="s">
        <v>831</v>
      </c>
      <c r="F22" s="30" t="s">
        <v>832</v>
      </c>
      <c r="G22" s="30" t="s">
        <v>833</v>
      </c>
      <c r="H22" s="30" t="s">
        <v>294</v>
      </c>
      <c r="I22" s="30" t="s">
        <v>834</v>
      </c>
    </row>
    <row r="23" spans="1:9" ht="39.6" x14ac:dyDescent="0.3">
      <c r="A23" s="30" t="s">
        <v>835</v>
      </c>
      <c r="B23" s="47">
        <v>2</v>
      </c>
      <c r="C23" s="47" t="s">
        <v>115</v>
      </c>
      <c r="D23" s="30" t="s">
        <v>116</v>
      </c>
      <c r="E23" s="30" t="s">
        <v>836</v>
      </c>
      <c r="F23" s="30" t="s">
        <v>837</v>
      </c>
      <c r="G23" s="30" t="s">
        <v>838</v>
      </c>
      <c r="H23" s="30" t="s">
        <v>273</v>
      </c>
      <c r="I23" s="30" t="s">
        <v>839</v>
      </c>
    </row>
    <row r="24" spans="1:9" ht="26.4" x14ac:dyDescent="0.3">
      <c r="A24" s="30" t="s">
        <v>840</v>
      </c>
      <c r="B24" s="47">
        <v>2</v>
      </c>
      <c r="C24" s="47" t="s">
        <v>115</v>
      </c>
      <c r="D24" s="30" t="s">
        <v>116</v>
      </c>
      <c r="E24" s="30" t="s">
        <v>841</v>
      </c>
      <c r="F24" s="30" t="s">
        <v>842</v>
      </c>
      <c r="G24" s="30" t="s">
        <v>843</v>
      </c>
      <c r="H24" s="30" t="s">
        <v>249</v>
      </c>
      <c r="I24" s="30" t="s">
        <v>178</v>
      </c>
    </row>
    <row r="25" spans="1:9" ht="26.4" x14ac:dyDescent="0.3">
      <c r="A25" s="30" t="s">
        <v>844</v>
      </c>
      <c r="B25" s="47">
        <v>2</v>
      </c>
      <c r="C25" s="47" t="s">
        <v>115</v>
      </c>
      <c r="D25" s="30" t="s">
        <v>116</v>
      </c>
      <c r="E25" s="30" t="s">
        <v>845</v>
      </c>
      <c r="F25" s="30" t="s">
        <v>846</v>
      </c>
      <c r="G25" s="30" t="s">
        <v>847</v>
      </c>
      <c r="H25" s="30" t="s">
        <v>273</v>
      </c>
      <c r="I25" s="30" t="s">
        <v>178</v>
      </c>
    </row>
    <row r="26" spans="1:9" ht="39.6" x14ac:dyDescent="0.3">
      <c r="A26" s="30" t="s">
        <v>848</v>
      </c>
      <c r="B26" s="47">
        <v>2</v>
      </c>
      <c r="C26" s="47" t="s">
        <v>115</v>
      </c>
      <c r="D26" s="30" t="s">
        <v>116</v>
      </c>
      <c r="E26" s="30" t="s">
        <v>849</v>
      </c>
      <c r="F26" s="30" t="s">
        <v>786</v>
      </c>
      <c r="G26" s="30" t="s">
        <v>850</v>
      </c>
      <c r="H26" s="30" t="s">
        <v>273</v>
      </c>
      <c r="I26" s="30" t="s">
        <v>851</v>
      </c>
    </row>
    <row r="27" spans="1:9" ht="39.6" x14ac:dyDescent="0.3">
      <c r="A27" s="30" t="s">
        <v>852</v>
      </c>
      <c r="B27" s="47">
        <v>2</v>
      </c>
      <c r="C27" s="47" t="s">
        <v>115</v>
      </c>
      <c r="D27" s="30" t="s">
        <v>116</v>
      </c>
      <c r="E27" s="30" t="s">
        <v>853</v>
      </c>
      <c r="F27" s="30" t="s">
        <v>854</v>
      </c>
      <c r="G27" s="30" t="s">
        <v>855</v>
      </c>
      <c r="H27" s="30" t="s">
        <v>294</v>
      </c>
      <c r="I27" s="30" t="s">
        <v>856</v>
      </c>
    </row>
    <row r="28" spans="1:9" ht="26.4" x14ac:dyDescent="0.3">
      <c r="A28" s="30" t="s">
        <v>857</v>
      </c>
      <c r="B28" s="47">
        <v>2</v>
      </c>
      <c r="C28" s="47" t="s">
        <v>115</v>
      </c>
      <c r="D28" s="30" t="s">
        <v>116</v>
      </c>
      <c r="E28" s="30" t="s">
        <v>858</v>
      </c>
      <c r="F28" s="30" t="s">
        <v>859</v>
      </c>
      <c r="G28" s="30" t="s">
        <v>860</v>
      </c>
      <c r="H28" s="30" t="s">
        <v>249</v>
      </c>
      <c r="I28" s="30" t="s">
        <v>861</v>
      </c>
    </row>
    <row r="29" spans="1:9" ht="26.4" x14ac:dyDescent="0.3">
      <c r="A29" s="30" t="s">
        <v>862</v>
      </c>
      <c r="B29" s="47">
        <v>2</v>
      </c>
      <c r="C29" s="47" t="s">
        <v>115</v>
      </c>
      <c r="D29" s="30" t="s">
        <v>116</v>
      </c>
      <c r="E29" s="30" t="s">
        <v>863</v>
      </c>
      <c r="F29" s="30" t="s">
        <v>864</v>
      </c>
      <c r="G29" s="30" t="s">
        <v>865</v>
      </c>
      <c r="H29" s="30" t="s">
        <v>249</v>
      </c>
      <c r="I29" s="30" t="s">
        <v>866</v>
      </c>
    </row>
    <row r="30" spans="1:9" ht="26.4" x14ac:dyDescent="0.3">
      <c r="A30" s="30" t="s">
        <v>867</v>
      </c>
      <c r="B30" s="47">
        <v>2</v>
      </c>
      <c r="C30" s="47" t="s">
        <v>115</v>
      </c>
      <c r="D30" s="30" t="s">
        <v>116</v>
      </c>
      <c r="E30" s="30" t="s">
        <v>868</v>
      </c>
      <c r="F30" s="30" t="s">
        <v>869</v>
      </c>
      <c r="G30" s="30" t="s">
        <v>870</v>
      </c>
      <c r="H30" s="30" t="s">
        <v>287</v>
      </c>
      <c r="I30" s="30" t="s">
        <v>871</v>
      </c>
    </row>
    <row r="31" spans="1:9" ht="39.6" x14ac:dyDescent="0.3">
      <c r="A31" s="30" t="s">
        <v>1049</v>
      </c>
      <c r="B31" s="47">
        <v>2</v>
      </c>
      <c r="C31" s="47" t="s">
        <v>119</v>
      </c>
      <c r="D31" s="30" t="s">
        <v>1050</v>
      </c>
      <c r="E31" s="30" t="s">
        <v>1051</v>
      </c>
      <c r="F31" s="30" t="s">
        <v>1052</v>
      </c>
      <c r="G31" s="30" t="s">
        <v>1053</v>
      </c>
      <c r="H31" s="30" t="s">
        <v>249</v>
      </c>
      <c r="I31" s="30" t="s">
        <v>1054</v>
      </c>
    </row>
    <row r="32" spans="1:9" ht="39.6" x14ac:dyDescent="0.3">
      <c r="A32" s="30" t="s">
        <v>1055</v>
      </c>
      <c r="B32" s="47">
        <v>2</v>
      </c>
      <c r="C32" s="47" t="s">
        <v>119</v>
      </c>
      <c r="D32" s="30" t="s">
        <v>1050</v>
      </c>
      <c r="E32" s="30" t="s">
        <v>1056</v>
      </c>
      <c r="F32" s="30" t="s">
        <v>1057</v>
      </c>
      <c r="G32" s="30" t="s">
        <v>1058</v>
      </c>
      <c r="H32" s="30" t="s">
        <v>273</v>
      </c>
      <c r="I32" s="30" t="s">
        <v>1059</v>
      </c>
    </row>
    <row r="33" spans="1:9" ht="39.6" x14ac:dyDescent="0.3">
      <c r="A33" s="30" t="s">
        <v>1060</v>
      </c>
      <c r="B33" s="47">
        <v>2</v>
      </c>
      <c r="C33" s="47" t="s">
        <v>119</v>
      </c>
      <c r="D33" s="30" t="s">
        <v>1050</v>
      </c>
      <c r="E33" s="30" t="s">
        <v>1061</v>
      </c>
      <c r="F33" s="30" t="s">
        <v>1062</v>
      </c>
      <c r="G33" s="30" t="s">
        <v>1063</v>
      </c>
      <c r="H33" s="30" t="s">
        <v>249</v>
      </c>
      <c r="I33" s="30" t="s">
        <v>1064</v>
      </c>
    </row>
    <row r="34" spans="1:9" ht="26.4" x14ac:dyDescent="0.3">
      <c r="A34" s="28" t="s">
        <v>397</v>
      </c>
      <c r="B34" s="48">
        <v>2</v>
      </c>
      <c r="C34" s="48" t="s">
        <v>123</v>
      </c>
      <c r="D34" s="28" t="s">
        <v>124</v>
      </c>
      <c r="E34" s="28" t="s">
        <v>1123</v>
      </c>
      <c r="F34" s="28" t="s">
        <v>859</v>
      </c>
      <c r="G34" s="28" t="s">
        <v>1124</v>
      </c>
      <c r="H34" s="28" t="s">
        <v>348</v>
      </c>
      <c r="I34" s="28" t="s">
        <v>1125</v>
      </c>
    </row>
    <row r="35" spans="1:9" ht="26.4" x14ac:dyDescent="0.3">
      <c r="A35" s="28" t="s">
        <v>1126</v>
      </c>
      <c r="B35" s="48">
        <v>2</v>
      </c>
      <c r="C35" s="48" t="s">
        <v>123</v>
      </c>
      <c r="D35" s="28" t="s">
        <v>124</v>
      </c>
      <c r="E35" s="28" t="s">
        <v>1127</v>
      </c>
      <c r="F35" s="28" t="s">
        <v>1128</v>
      </c>
      <c r="G35" s="28" t="s">
        <v>1129</v>
      </c>
      <c r="H35" s="28" t="s">
        <v>348</v>
      </c>
      <c r="I35" s="28" t="s">
        <v>1130</v>
      </c>
    </row>
    <row r="36" spans="1:9" ht="26.4" x14ac:dyDescent="0.3">
      <c r="A36" s="28" t="s">
        <v>1131</v>
      </c>
      <c r="B36" s="48">
        <v>2</v>
      </c>
      <c r="C36" s="48" t="s">
        <v>123</v>
      </c>
      <c r="D36" s="28" t="s">
        <v>124</v>
      </c>
      <c r="E36" s="28" t="s">
        <v>1132</v>
      </c>
      <c r="F36" s="28" t="s">
        <v>859</v>
      </c>
      <c r="G36" s="28" t="s">
        <v>1133</v>
      </c>
      <c r="H36" s="28" t="s">
        <v>348</v>
      </c>
      <c r="I36" s="28" t="s">
        <v>1134</v>
      </c>
    </row>
    <row r="37" spans="1:9" ht="26.4" x14ac:dyDescent="0.3">
      <c r="A37" s="28" t="s">
        <v>1135</v>
      </c>
      <c r="B37" s="48">
        <v>2</v>
      </c>
      <c r="C37" s="48" t="s">
        <v>123</v>
      </c>
      <c r="D37" s="28" t="s">
        <v>124</v>
      </c>
      <c r="E37" s="28" t="s">
        <v>1136</v>
      </c>
      <c r="F37" s="28" t="s">
        <v>1137</v>
      </c>
      <c r="G37" s="28" t="s">
        <v>1129</v>
      </c>
      <c r="H37" s="28" t="s">
        <v>348</v>
      </c>
      <c r="I37" s="28" t="s">
        <v>1138</v>
      </c>
    </row>
    <row r="38" spans="1:9" ht="26.4" x14ac:dyDescent="0.3">
      <c r="A38" s="28" t="s">
        <v>1139</v>
      </c>
      <c r="B38" s="48">
        <v>2</v>
      </c>
      <c r="C38" s="48" t="s">
        <v>123</v>
      </c>
      <c r="D38" s="28" t="s">
        <v>124</v>
      </c>
      <c r="E38" s="28" t="s">
        <v>1140</v>
      </c>
      <c r="F38" s="28" t="s">
        <v>1141</v>
      </c>
      <c r="G38" s="28" t="s">
        <v>1118</v>
      </c>
      <c r="H38" s="28" t="s">
        <v>348</v>
      </c>
      <c r="I38" s="28" t="s">
        <v>1142</v>
      </c>
    </row>
    <row r="39" spans="1:9" ht="26.4" x14ac:dyDescent="0.3">
      <c r="A39" s="28" t="s">
        <v>1143</v>
      </c>
      <c r="B39" s="48">
        <v>2</v>
      </c>
      <c r="C39" s="48" t="s">
        <v>123</v>
      </c>
      <c r="D39" s="28" t="s">
        <v>124</v>
      </c>
      <c r="E39" s="28" t="s">
        <v>1144</v>
      </c>
      <c r="F39" s="28" t="s">
        <v>1145</v>
      </c>
      <c r="G39" s="28" t="s">
        <v>1118</v>
      </c>
      <c r="H39" s="28" t="s">
        <v>348</v>
      </c>
      <c r="I39" s="28" t="s">
        <v>1146</v>
      </c>
    </row>
    <row r="40" spans="1:9" x14ac:dyDescent="0.3">
      <c r="A40" s="28" t="s">
        <v>1147</v>
      </c>
      <c r="B40" s="48">
        <v>2</v>
      </c>
      <c r="C40" s="48" t="s">
        <v>123</v>
      </c>
      <c r="D40" s="28" t="s">
        <v>124</v>
      </c>
      <c r="E40" s="28" t="s">
        <v>1148</v>
      </c>
      <c r="F40" s="28" t="s">
        <v>1149</v>
      </c>
      <c r="G40" s="28" t="s">
        <v>1150</v>
      </c>
      <c r="H40" s="28" t="s">
        <v>356</v>
      </c>
      <c r="I40" s="28" t="s">
        <v>178</v>
      </c>
    </row>
    <row r="41" spans="1:9" ht="39.6" x14ac:dyDescent="0.3">
      <c r="A41" s="30" t="s">
        <v>872</v>
      </c>
      <c r="B41" s="47">
        <v>1</v>
      </c>
      <c r="C41" s="47" t="s">
        <v>115</v>
      </c>
      <c r="D41" s="30" t="s">
        <v>116</v>
      </c>
      <c r="E41" s="30" t="s">
        <v>873</v>
      </c>
      <c r="F41" s="30" t="s">
        <v>874</v>
      </c>
      <c r="G41" s="30" t="s">
        <v>875</v>
      </c>
      <c r="H41" s="30" t="s">
        <v>287</v>
      </c>
      <c r="I41" s="30" t="s">
        <v>876</v>
      </c>
    </row>
    <row r="42" spans="1:9" ht="39.6" x14ac:dyDescent="0.3">
      <c r="A42" s="30" t="s">
        <v>877</v>
      </c>
      <c r="B42" s="47">
        <v>1</v>
      </c>
      <c r="C42" s="47" t="s">
        <v>115</v>
      </c>
      <c r="D42" s="30" t="s">
        <v>116</v>
      </c>
      <c r="E42" s="30" t="s">
        <v>878</v>
      </c>
      <c r="F42" s="30" t="s">
        <v>879</v>
      </c>
      <c r="G42" s="30" t="s">
        <v>880</v>
      </c>
      <c r="H42" s="30" t="s">
        <v>294</v>
      </c>
      <c r="I42" s="30" t="s">
        <v>881</v>
      </c>
    </row>
    <row r="43" spans="1:9" ht="26.4" x14ac:dyDescent="0.3">
      <c r="A43" s="30" t="s">
        <v>882</v>
      </c>
      <c r="B43" s="47">
        <v>1</v>
      </c>
      <c r="C43" s="47" t="s">
        <v>115</v>
      </c>
      <c r="D43" s="30" t="s">
        <v>116</v>
      </c>
      <c r="E43" s="30" t="s">
        <v>883</v>
      </c>
      <c r="F43" s="30" t="s">
        <v>842</v>
      </c>
      <c r="G43" s="30" t="s">
        <v>884</v>
      </c>
      <c r="H43" s="30" t="s">
        <v>287</v>
      </c>
      <c r="I43" s="30" t="s">
        <v>178</v>
      </c>
    </row>
    <row r="44" spans="1:9" ht="26.4" x14ac:dyDescent="0.3">
      <c r="A44" s="30" t="s">
        <v>885</v>
      </c>
      <c r="B44" s="47">
        <v>1</v>
      </c>
      <c r="C44" s="47" t="s">
        <v>115</v>
      </c>
      <c r="D44" s="30" t="s">
        <v>116</v>
      </c>
      <c r="E44" s="30" t="s">
        <v>841</v>
      </c>
      <c r="F44" s="30" t="s">
        <v>886</v>
      </c>
      <c r="G44" s="30" t="s">
        <v>887</v>
      </c>
      <c r="H44" s="30" t="s">
        <v>294</v>
      </c>
      <c r="I44" s="30" t="s">
        <v>178</v>
      </c>
    </row>
    <row r="45" spans="1:9" ht="39.6" x14ac:dyDescent="0.3">
      <c r="A45" s="30" t="s">
        <v>888</v>
      </c>
      <c r="B45" s="47">
        <v>1</v>
      </c>
      <c r="C45" s="47" t="s">
        <v>115</v>
      </c>
      <c r="D45" s="30" t="s">
        <v>116</v>
      </c>
      <c r="E45" s="30" t="s">
        <v>889</v>
      </c>
      <c r="F45" s="30" t="s">
        <v>890</v>
      </c>
      <c r="G45" s="30" t="s">
        <v>891</v>
      </c>
      <c r="H45" s="30" t="s">
        <v>294</v>
      </c>
      <c r="I45" s="30" t="s">
        <v>892</v>
      </c>
    </row>
    <row r="46" spans="1:9" ht="26.4" x14ac:dyDescent="0.3">
      <c r="A46" s="30" t="s">
        <v>893</v>
      </c>
      <c r="B46" s="47">
        <v>1</v>
      </c>
      <c r="C46" s="47" t="s">
        <v>115</v>
      </c>
      <c r="D46" s="30" t="s">
        <v>116</v>
      </c>
      <c r="E46" s="30" t="s">
        <v>894</v>
      </c>
      <c r="F46" s="30" t="s">
        <v>895</v>
      </c>
      <c r="G46" s="30" t="s">
        <v>896</v>
      </c>
      <c r="H46" s="30" t="s">
        <v>287</v>
      </c>
      <c r="I46" s="30" t="s">
        <v>897</v>
      </c>
    </row>
    <row r="47" spans="1:9" ht="26.4" x14ac:dyDescent="0.3">
      <c r="A47" s="30" t="s">
        <v>898</v>
      </c>
      <c r="B47" s="47">
        <v>1</v>
      </c>
      <c r="C47" s="47" t="s">
        <v>115</v>
      </c>
      <c r="D47" s="30" t="s">
        <v>116</v>
      </c>
      <c r="E47" s="30" t="s">
        <v>899</v>
      </c>
      <c r="F47" s="30" t="s">
        <v>900</v>
      </c>
      <c r="G47" s="30" t="s">
        <v>901</v>
      </c>
      <c r="H47" s="30" t="s">
        <v>287</v>
      </c>
      <c r="I47" s="30" t="s">
        <v>178</v>
      </c>
    </row>
    <row r="48" spans="1:9" ht="39.6" x14ac:dyDescent="0.3">
      <c r="A48" s="30" t="s">
        <v>902</v>
      </c>
      <c r="B48" s="47">
        <v>1</v>
      </c>
      <c r="C48" s="47" t="s">
        <v>115</v>
      </c>
      <c r="D48" s="30" t="s">
        <v>116</v>
      </c>
      <c r="E48" s="30" t="s">
        <v>903</v>
      </c>
      <c r="F48" s="30" t="s">
        <v>904</v>
      </c>
      <c r="G48" s="30" t="s">
        <v>905</v>
      </c>
      <c r="H48" s="30" t="s">
        <v>249</v>
      </c>
      <c r="I48" s="30" t="s">
        <v>801</v>
      </c>
    </row>
    <row r="49" spans="1:9" ht="26.4" x14ac:dyDescent="0.3">
      <c r="A49" s="30" t="s">
        <v>906</v>
      </c>
      <c r="B49" s="47">
        <v>1</v>
      </c>
      <c r="C49" s="47" t="s">
        <v>115</v>
      </c>
      <c r="D49" s="30" t="s">
        <v>116</v>
      </c>
      <c r="E49" s="30" t="s">
        <v>907</v>
      </c>
      <c r="F49" s="30" t="s">
        <v>908</v>
      </c>
      <c r="G49" s="30" t="s">
        <v>909</v>
      </c>
      <c r="H49" s="30" t="s">
        <v>294</v>
      </c>
      <c r="I49" s="30" t="s">
        <v>910</v>
      </c>
    </row>
    <row r="50" spans="1:9" ht="26.4" x14ac:dyDescent="0.3">
      <c r="A50" s="30" t="s">
        <v>911</v>
      </c>
      <c r="B50" s="47">
        <v>1</v>
      </c>
      <c r="C50" s="47" t="s">
        <v>115</v>
      </c>
      <c r="D50" s="30" t="s">
        <v>116</v>
      </c>
      <c r="E50" s="30" t="s">
        <v>912</v>
      </c>
      <c r="F50" s="30" t="s">
        <v>900</v>
      </c>
      <c r="G50" s="30" t="s">
        <v>913</v>
      </c>
      <c r="H50" s="30" t="s">
        <v>287</v>
      </c>
      <c r="I50" s="30" t="s">
        <v>178</v>
      </c>
    </row>
    <row r="51" spans="1:9" ht="26.4" x14ac:dyDescent="0.3">
      <c r="A51" s="30" t="s">
        <v>266</v>
      </c>
      <c r="B51" s="47">
        <v>1</v>
      </c>
      <c r="C51" s="47" t="s">
        <v>115</v>
      </c>
      <c r="D51" s="30" t="s">
        <v>116</v>
      </c>
      <c r="E51" s="30" t="s">
        <v>914</v>
      </c>
      <c r="F51" s="30" t="s">
        <v>915</v>
      </c>
      <c r="G51" s="30" t="s">
        <v>916</v>
      </c>
      <c r="H51" s="30" t="s">
        <v>249</v>
      </c>
      <c r="I51" s="30" t="s">
        <v>917</v>
      </c>
    </row>
    <row r="52" spans="1:9" ht="39.6" x14ac:dyDescent="0.3">
      <c r="A52" s="30" t="s">
        <v>918</v>
      </c>
      <c r="B52" s="47">
        <v>1</v>
      </c>
      <c r="C52" s="47" t="s">
        <v>115</v>
      </c>
      <c r="D52" s="30" t="s">
        <v>116</v>
      </c>
      <c r="E52" s="30" t="s">
        <v>919</v>
      </c>
      <c r="F52" s="30" t="s">
        <v>920</v>
      </c>
      <c r="G52" s="30" t="s">
        <v>921</v>
      </c>
      <c r="H52" s="30" t="s">
        <v>273</v>
      </c>
      <c r="I52" s="30" t="s">
        <v>922</v>
      </c>
    </row>
    <row r="53" spans="1:9" ht="39.6" x14ac:dyDescent="0.3">
      <c r="A53" s="30" t="s">
        <v>923</v>
      </c>
      <c r="B53" s="47">
        <v>1</v>
      </c>
      <c r="C53" s="47" t="s">
        <v>115</v>
      </c>
      <c r="D53" s="30" t="s">
        <v>116</v>
      </c>
      <c r="E53" s="30" t="s">
        <v>924</v>
      </c>
      <c r="F53" s="30" t="s">
        <v>925</v>
      </c>
      <c r="G53" s="30" t="s">
        <v>926</v>
      </c>
      <c r="H53" s="30" t="s">
        <v>287</v>
      </c>
      <c r="I53" s="30" t="s">
        <v>178</v>
      </c>
    </row>
    <row r="54" spans="1:9" ht="26.4" x14ac:dyDescent="0.3">
      <c r="A54" s="30" t="s">
        <v>927</v>
      </c>
      <c r="B54" s="47">
        <v>1</v>
      </c>
      <c r="C54" s="47" t="s">
        <v>115</v>
      </c>
      <c r="D54" s="30" t="s">
        <v>116</v>
      </c>
      <c r="E54" s="30" t="s">
        <v>928</v>
      </c>
      <c r="F54" s="30" t="s">
        <v>929</v>
      </c>
      <c r="G54" s="30" t="s">
        <v>930</v>
      </c>
      <c r="H54" s="30" t="s">
        <v>294</v>
      </c>
      <c r="I54" s="30" t="s">
        <v>931</v>
      </c>
    </row>
    <row r="55" spans="1:9" ht="39.6" x14ac:dyDescent="0.3">
      <c r="A55" s="30" t="s">
        <v>932</v>
      </c>
      <c r="B55" s="47">
        <v>1</v>
      </c>
      <c r="C55" s="47" t="s">
        <v>115</v>
      </c>
      <c r="D55" s="30" t="s">
        <v>116</v>
      </c>
      <c r="E55" s="30" t="s">
        <v>933</v>
      </c>
      <c r="F55" s="30" t="s">
        <v>846</v>
      </c>
      <c r="G55" s="30" t="s">
        <v>934</v>
      </c>
      <c r="H55" s="30" t="s">
        <v>287</v>
      </c>
      <c r="I55" s="30" t="s">
        <v>178</v>
      </c>
    </row>
    <row r="56" spans="1:9" ht="39.6" x14ac:dyDescent="0.3">
      <c r="A56" s="30" t="s">
        <v>935</v>
      </c>
      <c r="B56" s="47">
        <v>1</v>
      </c>
      <c r="C56" s="47" t="s">
        <v>115</v>
      </c>
      <c r="D56" s="30" t="s">
        <v>116</v>
      </c>
      <c r="E56" s="30" t="s">
        <v>936</v>
      </c>
      <c r="F56" s="30" t="s">
        <v>937</v>
      </c>
      <c r="G56" s="30" t="s">
        <v>938</v>
      </c>
      <c r="H56" s="30" t="s">
        <v>294</v>
      </c>
      <c r="I56" s="30" t="s">
        <v>939</v>
      </c>
    </row>
    <row r="57" spans="1:9" ht="26.4" x14ac:dyDescent="0.3">
      <c r="A57" s="30" t="s">
        <v>940</v>
      </c>
      <c r="B57" s="47">
        <v>1</v>
      </c>
      <c r="C57" s="47" t="s">
        <v>115</v>
      </c>
      <c r="D57" s="30" t="s">
        <v>116</v>
      </c>
      <c r="E57" s="30" t="s">
        <v>941</v>
      </c>
      <c r="F57" s="30" t="s">
        <v>859</v>
      </c>
      <c r="G57" s="30" t="s">
        <v>942</v>
      </c>
      <c r="H57" s="30" t="s">
        <v>273</v>
      </c>
      <c r="I57" s="30" t="s">
        <v>943</v>
      </c>
    </row>
    <row r="58" spans="1:9" ht="26.4" x14ac:dyDescent="0.3">
      <c r="A58" s="30" t="s">
        <v>944</v>
      </c>
      <c r="B58" s="47">
        <v>1</v>
      </c>
      <c r="C58" s="47" t="s">
        <v>115</v>
      </c>
      <c r="D58" s="30" t="s">
        <v>116</v>
      </c>
      <c r="E58" s="30" t="s">
        <v>945</v>
      </c>
      <c r="F58" s="30" t="s">
        <v>859</v>
      </c>
      <c r="G58" s="30" t="s">
        <v>946</v>
      </c>
      <c r="H58" s="30" t="s">
        <v>273</v>
      </c>
      <c r="I58" s="30" t="s">
        <v>178</v>
      </c>
    </row>
    <row r="59" spans="1:9" ht="39.6" x14ac:dyDescent="0.3">
      <c r="A59" s="30" t="s">
        <v>947</v>
      </c>
      <c r="B59" s="47">
        <v>1</v>
      </c>
      <c r="C59" s="47" t="s">
        <v>115</v>
      </c>
      <c r="D59" s="30" t="s">
        <v>116</v>
      </c>
      <c r="E59" s="30" t="s">
        <v>948</v>
      </c>
      <c r="F59" s="30" t="s">
        <v>859</v>
      </c>
      <c r="G59" s="30" t="s">
        <v>949</v>
      </c>
      <c r="H59" s="30" t="s">
        <v>249</v>
      </c>
      <c r="I59" s="30" t="s">
        <v>950</v>
      </c>
    </row>
    <row r="60" spans="1:9" ht="26.4" x14ac:dyDescent="0.3">
      <c r="A60" s="30" t="s">
        <v>951</v>
      </c>
      <c r="B60" s="47">
        <v>1</v>
      </c>
      <c r="C60" s="47" t="s">
        <v>115</v>
      </c>
      <c r="D60" s="30" t="s">
        <v>116</v>
      </c>
      <c r="E60" s="30" t="s">
        <v>952</v>
      </c>
      <c r="F60" s="30" t="s">
        <v>842</v>
      </c>
      <c r="G60" s="30" t="s">
        <v>953</v>
      </c>
      <c r="H60" s="30" t="s">
        <v>287</v>
      </c>
      <c r="I60" s="30" t="s">
        <v>178</v>
      </c>
    </row>
    <row r="61" spans="1:9" ht="26.4" x14ac:dyDescent="0.3">
      <c r="A61" s="30" t="s">
        <v>954</v>
      </c>
      <c r="B61" s="47">
        <v>1</v>
      </c>
      <c r="C61" s="47" t="s">
        <v>115</v>
      </c>
      <c r="D61" s="30" t="s">
        <v>116</v>
      </c>
      <c r="E61" s="30" t="s">
        <v>955</v>
      </c>
      <c r="F61" s="30" t="s">
        <v>842</v>
      </c>
      <c r="G61" s="30" t="s">
        <v>956</v>
      </c>
      <c r="H61" s="30" t="s">
        <v>287</v>
      </c>
      <c r="I61" s="30" t="s">
        <v>178</v>
      </c>
    </row>
    <row r="62" spans="1:9" ht="26.4" x14ac:dyDescent="0.3">
      <c r="A62" s="30" t="s">
        <v>957</v>
      </c>
      <c r="B62" s="47">
        <v>1</v>
      </c>
      <c r="C62" s="47" t="s">
        <v>115</v>
      </c>
      <c r="D62" s="30" t="s">
        <v>116</v>
      </c>
      <c r="E62" s="30" t="s">
        <v>958</v>
      </c>
      <c r="F62" s="30" t="s">
        <v>959</v>
      </c>
      <c r="G62" s="30" t="s">
        <v>960</v>
      </c>
      <c r="H62" s="30" t="s">
        <v>287</v>
      </c>
      <c r="I62" s="30" t="s">
        <v>961</v>
      </c>
    </row>
    <row r="63" spans="1:9" ht="26.4" x14ac:dyDescent="0.3">
      <c r="A63" s="30" t="s">
        <v>962</v>
      </c>
      <c r="B63" s="47">
        <v>1</v>
      </c>
      <c r="C63" s="47" t="s">
        <v>115</v>
      </c>
      <c r="D63" s="30" t="s">
        <v>116</v>
      </c>
      <c r="E63" s="30" t="s">
        <v>963</v>
      </c>
      <c r="F63" s="30" t="s">
        <v>842</v>
      </c>
      <c r="G63" s="30" t="s">
        <v>964</v>
      </c>
      <c r="H63" s="30" t="s">
        <v>287</v>
      </c>
      <c r="I63" s="30" t="s">
        <v>178</v>
      </c>
    </row>
    <row r="64" spans="1:9" ht="39.6" x14ac:dyDescent="0.3">
      <c r="A64" s="30" t="s">
        <v>965</v>
      </c>
      <c r="B64" s="47">
        <v>1</v>
      </c>
      <c r="C64" s="47" t="s">
        <v>115</v>
      </c>
      <c r="D64" s="30" t="s">
        <v>116</v>
      </c>
      <c r="E64" s="30" t="s">
        <v>966</v>
      </c>
      <c r="F64" s="30" t="s">
        <v>967</v>
      </c>
      <c r="G64" s="30" t="s">
        <v>968</v>
      </c>
      <c r="H64" s="30" t="s">
        <v>969</v>
      </c>
      <c r="I64" s="30" t="s">
        <v>970</v>
      </c>
    </row>
    <row r="65" spans="1:9" ht="26.4" x14ac:dyDescent="0.3">
      <c r="A65" s="30" t="s">
        <v>971</v>
      </c>
      <c r="B65" s="47">
        <v>1</v>
      </c>
      <c r="C65" s="47" t="s">
        <v>115</v>
      </c>
      <c r="D65" s="30" t="s">
        <v>116</v>
      </c>
      <c r="E65" s="30" t="s">
        <v>972</v>
      </c>
      <c r="F65" s="30" t="s">
        <v>842</v>
      </c>
      <c r="G65" s="30" t="s">
        <v>973</v>
      </c>
      <c r="H65" s="30" t="s">
        <v>287</v>
      </c>
      <c r="I65" s="30" t="s">
        <v>178</v>
      </c>
    </row>
    <row r="66" spans="1:9" ht="26.4" x14ac:dyDescent="0.3">
      <c r="A66" s="30" t="s">
        <v>974</v>
      </c>
      <c r="B66" s="47">
        <v>1</v>
      </c>
      <c r="C66" s="47" t="s">
        <v>115</v>
      </c>
      <c r="D66" s="30" t="s">
        <v>116</v>
      </c>
      <c r="E66" s="30" t="s">
        <v>975</v>
      </c>
      <c r="F66" s="30" t="s">
        <v>900</v>
      </c>
      <c r="G66" s="30" t="s">
        <v>976</v>
      </c>
      <c r="H66" s="30" t="s">
        <v>287</v>
      </c>
      <c r="I66" s="30" t="s">
        <v>178</v>
      </c>
    </row>
    <row r="67" spans="1:9" ht="26.4" x14ac:dyDescent="0.3">
      <c r="A67" s="30" t="s">
        <v>977</v>
      </c>
      <c r="B67" s="47">
        <v>1</v>
      </c>
      <c r="C67" s="47" t="s">
        <v>115</v>
      </c>
      <c r="D67" s="30" t="s">
        <v>116</v>
      </c>
      <c r="E67" s="30" t="s">
        <v>978</v>
      </c>
      <c r="F67" s="30" t="s">
        <v>842</v>
      </c>
      <c r="G67" s="30" t="s">
        <v>979</v>
      </c>
      <c r="H67" s="30" t="s">
        <v>294</v>
      </c>
      <c r="I67" s="30" t="s">
        <v>178</v>
      </c>
    </row>
    <row r="68" spans="1:9" ht="26.4" x14ac:dyDescent="0.3">
      <c r="A68" s="30" t="s">
        <v>980</v>
      </c>
      <c r="B68" s="47">
        <v>1</v>
      </c>
      <c r="C68" s="47" t="s">
        <v>115</v>
      </c>
      <c r="D68" s="30" t="s">
        <v>116</v>
      </c>
      <c r="E68" s="30" t="s">
        <v>981</v>
      </c>
      <c r="F68" s="30" t="s">
        <v>842</v>
      </c>
      <c r="G68" s="30" t="s">
        <v>982</v>
      </c>
      <c r="H68" s="30" t="s">
        <v>287</v>
      </c>
      <c r="I68" s="30" t="s">
        <v>178</v>
      </c>
    </row>
    <row r="69" spans="1:9" ht="26.4" x14ac:dyDescent="0.3">
      <c r="A69" s="30" t="s">
        <v>983</v>
      </c>
      <c r="B69" s="47">
        <v>1</v>
      </c>
      <c r="C69" s="47" t="s">
        <v>115</v>
      </c>
      <c r="D69" s="30" t="s">
        <v>116</v>
      </c>
      <c r="E69" s="30" t="s">
        <v>984</v>
      </c>
      <c r="F69" s="30" t="s">
        <v>842</v>
      </c>
      <c r="G69" s="30" t="s">
        <v>985</v>
      </c>
      <c r="H69" s="30" t="s">
        <v>294</v>
      </c>
      <c r="I69" s="30" t="s">
        <v>178</v>
      </c>
    </row>
    <row r="70" spans="1:9" ht="39.6" x14ac:dyDescent="0.3">
      <c r="A70" s="30" t="s">
        <v>994</v>
      </c>
      <c r="B70" s="47">
        <v>1</v>
      </c>
      <c r="C70" s="47" t="s">
        <v>117</v>
      </c>
      <c r="D70" s="30" t="s">
        <v>118</v>
      </c>
      <c r="E70" s="30" t="s">
        <v>995</v>
      </c>
      <c r="F70" s="30" t="s">
        <v>996</v>
      </c>
      <c r="G70" s="30" t="s">
        <v>997</v>
      </c>
      <c r="H70" s="30" t="s">
        <v>294</v>
      </c>
      <c r="I70" s="30" t="s">
        <v>998</v>
      </c>
    </row>
    <row r="71" spans="1:9" ht="26.4" x14ac:dyDescent="0.3">
      <c r="A71" s="30" t="s">
        <v>999</v>
      </c>
      <c r="B71" s="47">
        <v>1</v>
      </c>
      <c r="C71" s="47" t="s">
        <v>117</v>
      </c>
      <c r="D71" s="30" t="s">
        <v>118</v>
      </c>
      <c r="E71" s="30" t="s">
        <v>1000</v>
      </c>
      <c r="F71" s="30" t="s">
        <v>1001</v>
      </c>
      <c r="G71" s="30" t="s">
        <v>1002</v>
      </c>
      <c r="H71" s="30" t="s">
        <v>294</v>
      </c>
      <c r="I71" s="30" t="s">
        <v>1003</v>
      </c>
    </row>
    <row r="72" spans="1:9" ht="26.4" x14ac:dyDescent="0.3">
      <c r="A72" s="30" t="s">
        <v>1004</v>
      </c>
      <c r="B72" s="47">
        <v>1</v>
      </c>
      <c r="C72" s="47" t="s">
        <v>117</v>
      </c>
      <c r="D72" s="30" t="s">
        <v>118</v>
      </c>
      <c r="E72" s="30" t="s">
        <v>1005</v>
      </c>
      <c r="F72" s="30" t="s">
        <v>1006</v>
      </c>
      <c r="G72" s="30" t="s">
        <v>1007</v>
      </c>
      <c r="H72" s="30" t="s">
        <v>287</v>
      </c>
      <c r="I72" s="30" t="s">
        <v>1008</v>
      </c>
    </row>
    <row r="73" spans="1:9" ht="26.4" x14ac:dyDescent="0.3">
      <c r="A73" s="30" t="s">
        <v>1009</v>
      </c>
      <c r="B73" s="47">
        <v>1</v>
      </c>
      <c r="C73" s="47" t="s">
        <v>117</v>
      </c>
      <c r="D73" s="30" t="s">
        <v>118</v>
      </c>
      <c r="E73" s="30" t="s">
        <v>1010</v>
      </c>
      <c r="F73" s="30" t="s">
        <v>1011</v>
      </c>
      <c r="G73" s="30" t="s">
        <v>1012</v>
      </c>
      <c r="H73" s="30" t="s">
        <v>294</v>
      </c>
      <c r="I73" s="30" t="s">
        <v>1013</v>
      </c>
    </row>
    <row r="74" spans="1:9" ht="39.6" x14ac:dyDescent="0.3">
      <c r="A74" s="30" t="s">
        <v>1014</v>
      </c>
      <c r="B74" s="47">
        <v>1</v>
      </c>
      <c r="C74" s="47" t="s">
        <v>117</v>
      </c>
      <c r="D74" s="30" t="s">
        <v>118</v>
      </c>
      <c r="E74" s="30" t="s">
        <v>1015</v>
      </c>
      <c r="F74" s="30" t="s">
        <v>1016</v>
      </c>
      <c r="G74" s="30" t="s">
        <v>1017</v>
      </c>
      <c r="H74" s="30" t="s">
        <v>287</v>
      </c>
      <c r="I74" s="30" t="s">
        <v>1018</v>
      </c>
    </row>
    <row r="75" spans="1:9" ht="26.4" x14ac:dyDescent="0.3">
      <c r="A75" s="30" t="s">
        <v>1019</v>
      </c>
      <c r="B75" s="47">
        <v>1</v>
      </c>
      <c r="C75" s="47" t="s">
        <v>117</v>
      </c>
      <c r="D75" s="30" t="s">
        <v>118</v>
      </c>
      <c r="E75" s="30" t="s">
        <v>1020</v>
      </c>
      <c r="F75" s="30" t="s">
        <v>1021</v>
      </c>
      <c r="G75" s="30" t="s">
        <v>1022</v>
      </c>
      <c r="H75" s="30" t="s">
        <v>287</v>
      </c>
      <c r="I75" s="30" t="s">
        <v>1023</v>
      </c>
    </row>
    <row r="76" spans="1:9" ht="26.4" x14ac:dyDescent="0.3">
      <c r="A76" s="30" t="s">
        <v>1024</v>
      </c>
      <c r="B76" s="47">
        <v>1</v>
      </c>
      <c r="C76" s="47" t="s">
        <v>117</v>
      </c>
      <c r="D76" s="30" t="s">
        <v>118</v>
      </c>
      <c r="E76" s="30" t="s">
        <v>1025</v>
      </c>
      <c r="F76" s="30" t="s">
        <v>1026</v>
      </c>
      <c r="G76" s="30" t="s">
        <v>1027</v>
      </c>
      <c r="H76" s="30" t="s">
        <v>287</v>
      </c>
      <c r="I76" s="30" t="s">
        <v>1028</v>
      </c>
    </row>
    <row r="77" spans="1:9" ht="39.6" x14ac:dyDescent="0.3">
      <c r="A77" s="30" t="s">
        <v>1029</v>
      </c>
      <c r="B77" s="47">
        <v>1</v>
      </c>
      <c r="C77" s="47" t="s">
        <v>117</v>
      </c>
      <c r="D77" s="30" t="s">
        <v>118</v>
      </c>
      <c r="E77" s="30" t="s">
        <v>1030</v>
      </c>
      <c r="F77" s="30" t="s">
        <v>1031</v>
      </c>
      <c r="G77" s="30" t="s">
        <v>1032</v>
      </c>
      <c r="H77" s="30" t="s">
        <v>294</v>
      </c>
      <c r="I77" s="30" t="s">
        <v>1033</v>
      </c>
    </row>
    <row r="78" spans="1:9" ht="39.6" x14ac:dyDescent="0.3">
      <c r="A78" s="30" t="s">
        <v>1034</v>
      </c>
      <c r="B78" s="47">
        <v>1</v>
      </c>
      <c r="C78" s="47" t="s">
        <v>117</v>
      </c>
      <c r="D78" s="30" t="s">
        <v>118</v>
      </c>
      <c r="E78" s="30" t="s">
        <v>1035</v>
      </c>
      <c r="F78" s="30" t="s">
        <v>1036</v>
      </c>
      <c r="G78" s="30" t="s">
        <v>1037</v>
      </c>
      <c r="H78" s="30" t="s">
        <v>287</v>
      </c>
      <c r="I78" s="30" t="s">
        <v>1038</v>
      </c>
    </row>
    <row r="79" spans="1:9" ht="26.4" x14ac:dyDescent="0.3">
      <c r="A79" s="30" t="s">
        <v>1039</v>
      </c>
      <c r="B79" s="47">
        <v>1</v>
      </c>
      <c r="C79" s="47" t="s">
        <v>117</v>
      </c>
      <c r="D79" s="30" t="s">
        <v>118</v>
      </c>
      <c r="E79" s="30" t="s">
        <v>1040</v>
      </c>
      <c r="F79" s="30" t="s">
        <v>1041</v>
      </c>
      <c r="G79" s="30" t="s">
        <v>1042</v>
      </c>
      <c r="H79" s="30" t="s">
        <v>287</v>
      </c>
      <c r="I79" s="30" t="s">
        <v>1043</v>
      </c>
    </row>
    <row r="80" spans="1:9" ht="26.4" x14ac:dyDescent="0.3">
      <c r="A80" s="30" t="s">
        <v>1044</v>
      </c>
      <c r="B80" s="47">
        <v>1</v>
      </c>
      <c r="C80" s="47" t="s">
        <v>117</v>
      </c>
      <c r="D80" s="30" t="s">
        <v>118</v>
      </c>
      <c r="E80" s="30" t="s">
        <v>1045</v>
      </c>
      <c r="F80" s="30" t="s">
        <v>1046</v>
      </c>
      <c r="G80" s="30" t="s">
        <v>1047</v>
      </c>
      <c r="H80" s="30" t="s">
        <v>287</v>
      </c>
      <c r="I80" s="30" t="s">
        <v>1048</v>
      </c>
    </row>
    <row r="81" spans="1:9" ht="39.6" x14ac:dyDescent="0.3">
      <c r="A81" s="30" t="s">
        <v>1065</v>
      </c>
      <c r="B81" s="47">
        <v>1</v>
      </c>
      <c r="C81" s="47" t="s">
        <v>119</v>
      </c>
      <c r="D81" s="30" t="s">
        <v>1050</v>
      </c>
      <c r="E81" s="30" t="s">
        <v>1066</v>
      </c>
      <c r="F81" s="30" t="s">
        <v>1067</v>
      </c>
      <c r="G81" s="30" t="s">
        <v>1068</v>
      </c>
      <c r="H81" s="30" t="s">
        <v>969</v>
      </c>
      <c r="I81" s="30" t="s">
        <v>1069</v>
      </c>
    </row>
    <row r="82" spans="1:9" ht="39.6" x14ac:dyDescent="0.3">
      <c r="A82" s="30" t="s">
        <v>1070</v>
      </c>
      <c r="B82" s="47">
        <v>1</v>
      </c>
      <c r="C82" s="47" t="s">
        <v>119</v>
      </c>
      <c r="D82" s="30" t="s">
        <v>1050</v>
      </c>
      <c r="E82" s="30" t="s">
        <v>1071</v>
      </c>
      <c r="F82" s="30" t="s">
        <v>1072</v>
      </c>
      <c r="G82" s="30" t="s">
        <v>1073</v>
      </c>
      <c r="H82" s="30" t="s">
        <v>273</v>
      </c>
      <c r="I82" s="30" t="s">
        <v>1074</v>
      </c>
    </row>
    <row r="83" spans="1:9" ht="39.6" x14ac:dyDescent="0.3">
      <c r="A83" s="30" t="s">
        <v>1075</v>
      </c>
      <c r="B83" s="47">
        <v>1</v>
      </c>
      <c r="C83" s="47" t="s">
        <v>119</v>
      </c>
      <c r="D83" s="30" t="s">
        <v>1050</v>
      </c>
      <c r="E83" s="30" t="s">
        <v>1076</v>
      </c>
      <c r="F83" s="30" t="s">
        <v>1077</v>
      </c>
      <c r="G83" s="30" t="s">
        <v>1078</v>
      </c>
      <c r="H83" s="30" t="s">
        <v>249</v>
      </c>
      <c r="I83" s="30" t="s">
        <v>1079</v>
      </c>
    </row>
    <row r="84" spans="1:9" ht="39.6" x14ac:dyDescent="0.3">
      <c r="A84" s="30" t="s">
        <v>1080</v>
      </c>
      <c r="B84" s="47">
        <v>1</v>
      </c>
      <c r="C84" s="47" t="s">
        <v>119</v>
      </c>
      <c r="D84" s="30" t="s">
        <v>1050</v>
      </c>
      <c r="E84" s="30" t="s">
        <v>1081</v>
      </c>
      <c r="F84" s="30" t="s">
        <v>1082</v>
      </c>
      <c r="G84" s="30" t="s">
        <v>1083</v>
      </c>
      <c r="H84" s="30" t="s">
        <v>969</v>
      </c>
      <c r="I84" s="30" t="s">
        <v>1084</v>
      </c>
    </row>
    <row r="85" spans="1:9" ht="39.6" x14ac:dyDescent="0.3">
      <c r="A85" s="30" t="s">
        <v>1085</v>
      </c>
      <c r="B85" s="47">
        <v>1</v>
      </c>
      <c r="C85" s="47" t="s">
        <v>119</v>
      </c>
      <c r="D85" s="30" t="s">
        <v>1050</v>
      </c>
      <c r="E85" s="30" t="s">
        <v>1086</v>
      </c>
      <c r="F85" s="30" t="s">
        <v>1087</v>
      </c>
      <c r="G85" s="30" t="s">
        <v>1088</v>
      </c>
      <c r="H85" s="30" t="s">
        <v>294</v>
      </c>
      <c r="I85" s="30" t="s">
        <v>1089</v>
      </c>
    </row>
    <row r="86" spans="1:9" ht="39.6" x14ac:dyDescent="0.3">
      <c r="A86" s="30" t="s">
        <v>1090</v>
      </c>
      <c r="B86" s="47">
        <v>1</v>
      </c>
      <c r="C86" s="47" t="s">
        <v>119</v>
      </c>
      <c r="D86" s="30" t="s">
        <v>1050</v>
      </c>
      <c r="E86" s="30" t="s">
        <v>1091</v>
      </c>
      <c r="F86" s="30" t="s">
        <v>1092</v>
      </c>
      <c r="G86" s="30" t="s">
        <v>1093</v>
      </c>
      <c r="H86" s="30" t="s">
        <v>249</v>
      </c>
      <c r="I86" s="30" t="s">
        <v>1094</v>
      </c>
    </row>
    <row r="87" spans="1:9" ht="39.6" x14ac:dyDescent="0.3">
      <c r="A87" s="30" t="s">
        <v>1095</v>
      </c>
      <c r="B87" s="47">
        <v>1</v>
      </c>
      <c r="C87" s="47" t="s">
        <v>119</v>
      </c>
      <c r="D87" s="30" t="s">
        <v>1050</v>
      </c>
      <c r="E87" s="30" t="s">
        <v>1096</v>
      </c>
      <c r="F87" s="30" t="s">
        <v>1097</v>
      </c>
      <c r="G87" s="30" t="s">
        <v>1098</v>
      </c>
      <c r="H87" s="30" t="s">
        <v>287</v>
      </c>
      <c r="I87" s="30" t="s">
        <v>1099</v>
      </c>
    </row>
    <row r="88" spans="1:9" ht="39.6" x14ac:dyDescent="0.3">
      <c r="A88" s="28" t="s">
        <v>1105</v>
      </c>
      <c r="B88" s="48">
        <v>1</v>
      </c>
      <c r="C88" s="48" t="s">
        <v>121</v>
      </c>
      <c r="D88" s="28" t="s">
        <v>122</v>
      </c>
      <c r="E88" s="28" t="s">
        <v>1106</v>
      </c>
      <c r="F88" s="28" t="s">
        <v>1107</v>
      </c>
      <c r="G88" s="28" t="s">
        <v>1108</v>
      </c>
      <c r="H88" s="28" t="s">
        <v>348</v>
      </c>
      <c r="I88" s="28" t="s">
        <v>1109</v>
      </c>
    </row>
    <row r="89" spans="1:9" ht="26.4" x14ac:dyDescent="0.3">
      <c r="A89" s="28" t="s">
        <v>1110</v>
      </c>
      <c r="B89" s="48">
        <v>1</v>
      </c>
      <c r="C89" s="48" t="s">
        <v>121</v>
      </c>
      <c r="D89" s="28" t="s">
        <v>122</v>
      </c>
      <c r="E89" s="28" t="s">
        <v>1111</v>
      </c>
      <c r="F89" s="28" t="s">
        <v>1112</v>
      </c>
      <c r="G89" s="28" t="s">
        <v>1113</v>
      </c>
      <c r="H89" s="28" t="s">
        <v>348</v>
      </c>
      <c r="I89" s="28" t="s">
        <v>1114</v>
      </c>
    </row>
    <row r="90" spans="1:9" ht="26.4" x14ac:dyDescent="0.3">
      <c r="A90" s="28" t="s">
        <v>1151</v>
      </c>
      <c r="B90" s="48">
        <v>1</v>
      </c>
      <c r="C90" s="48" t="s">
        <v>123</v>
      </c>
      <c r="D90" s="28" t="s">
        <v>124</v>
      </c>
      <c r="E90" s="28" t="s">
        <v>1152</v>
      </c>
      <c r="F90" s="28" t="s">
        <v>1153</v>
      </c>
      <c r="G90" s="28" t="s">
        <v>1154</v>
      </c>
      <c r="H90" s="28" t="s">
        <v>348</v>
      </c>
      <c r="I90" s="28" t="s">
        <v>1155</v>
      </c>
    </row>
    <row r="91" spans="1:9" ht="26.4" x14ac:dyDescent="0.3">
      <c r="A91" s="28" t="s">
        <v>1156</v>
      </c>
      <c r="B91" s="48">
        <v>1</v>
      </c>
      <c r="C91" s="48" t="s">
        <v>123</v>
      </c>
      <c r="D91" s="28" t="s">
        <v>124</v>
      </c>
      <c r="E91" s="28" t="s">
        <v>1157</v>
      </c>
      <c r="F91" s="28" t="s">
        <v>859</v>
      </c>
      <c r="G91" s="28" t="s">
        <v>1158</v>
      </c>
      <c r="H91" s="28" t="s">
        <v>348</v>
      </c>
      <c r="I91" s="28" t="s">
        <v>1159</v>
      </c>
    </row>
    <row r="92" spans="1:9" ht="26.4" x14ac:dyDescent="0.3">
      <c r="A92" s="28" t="s">
        <v>1160</v>
      </c>
      <c r="B92" s="48">
        <v>1</v>
      </c>
      <c r="C92" s="48" t="s">
        <v>123</v>
      </c>
      <c r="D92" s="28" t="s">
        <v>124</v>
      </c>
      <c r="E92" s="28" t="s">
        <v>1161</v>
      </c>
      <c r="F92" s="28" t="s">
        <v>1162</v>
      </c>
      <c r="G92" s="28" t="s">
        <v>1163</v>
      </c>
      <c r="H92" s="28" t="s">
        <v>348</v>
      </c>
      <c r="I92" s="28" t="s">
        <v>1164</v>
      </c>
    </row>
    <row r="93" spans="1:9" x14ac:dyDescent="0.3">
      <c r="A93" s="28" t="s">
        <v>1165</v>
      </c>
      <c r="B93" s="48">
        <v>1</v>
      </c>
      <c r="C93" s="48" t="s">
        <v>123</v>
      </c>
      <c r="D93" s="28" t="s">
        <v>124</v>
      </c>
      <c r="E93" s="28" t="s">
        <v>1166</v>
      </c>
      <c r="F93" s="28" t="s">
        <v>1149</v>
      </c>
      <c r="G93" s="28" t="s">
        <v>1167</v>
      </c>
      <c r="H93" s="28" t="s">
        <v>356</v>
      </c>
      <c r="I93" s="28" t="s">
        <v>178</v>
      </c>
    </row>
    <row r="94" spans="1:9" ht="26.4" x14ac:dyDescent="0.3">
      <c r="A94" s="28" t="s">
        <v>1168</v>
      </c>
      <c r="B94" s="48">
        <v>1</v>
      </c>
      <c r="C94" s="48" t="s">
        <v>123</v>
      </c>
      <c r="D94" s="28" t="s">
        <v>124</v>
      </c>
      <c r="E94" s="28" t="s">
        <v>1169</v>
      </c>
      <c r="F94" s="28" t="s">
        <v>1170</v>
      </c>
      <c r="G94" s="28" t="s">
        <v>1171</v>
      </c>
      <c r="H94" s="28" t="s">
        <v>348</v>
      </c>
      <c r="I94" s="28" t="s">
        <v>1172</v>
      </c>
    </row>
    <row r="95" spans="1:9" ht="26.4" x14ac:dyDescent="0.3">
      <c r="A95" s="28" t="s">
        <v>1173</v>
      </c>
      <c r="B95" s="48">
        <v>1</v>
      </c>
      <c r="C95" s="48" t="s">
        <v>123</v>
      </c>
      <c r="D95" s="28" t="s">
        <v>124</v>
      </c>
      <c r="E95" s="28" t="s">
        <v>1174</v>
      </c>
      <c r="F95" s="28" t="s">
        <v>859</v>
      </c>
      <c r="G95" s="28" t="s">
        <v>1175</v>
      </c>
      <c r="H95" s="28" t="s">
        <v>287</v>
      </c>
      <c r="I95" s="28" t="s">
        <v>1176</v>
      </c>
    </row>
    <row r="96" spans="1:9" ht="26.4" x14ac:dyDescent="0.3">
      <c r="A96" s="28" t="s">
        <v>1177</v>
      </c>
      <c r="B96" s="48">
        <v>1</v>
      </c>
      <c r="C96" s="48" t="s">
        <v>123</v>
      </c>
      <c r="D96" s="28" t="s">
        <v>124</v>
      </c>
      <c r="E96" s="28" t="s">
        <v>1178</v>
      </c>
      <c r="F96" s="28" t="s">
        <v>1179</v>
      </c>
      <c r="G96" s="28" t="s">
        <v>1180</v>
      </c>
      <c r="H96" s="28" t="s">
        <v>348</v>
      </c>
      <c r="I96" s="28" t="s">
        <v>1181</v>
      </c>
    </row>
    <row r="97" spans="1:9" ht="26.4" x14ac:dyDescent="0.3">
      <c r="A97" s="28" t="s">
        <v>1182</v>
      </c>
      <c r="B97" s="48">
        <v>1</v>
      </c>
      <c r="C97" s="48" t="s">
        <v>123</v>
      </c>
      <c r="D97" s="28" t="s">
        <v>124</v>
      </c>
      <c r="E97" s="28" t="s">
        <v>1183</v>
      </c>
      <c r="F97" s="28" t="s">
        <v>1184</v>
      </c>
      <c r="G97" s="28" t="s">
        <v>1185</v>
      </c>
      <c r="H97" s="28" t="s">
        <v>348</v>
      </c>
      <c r="I97" s="28" t="s">
        <v>1186</v>
      </c>
    </row>
    <row r="98" spans="1:9" ht="26.4" x14ac:dyDescent="0.3">
      <c r="A98" s="28" t="s">
        <v>1187</v>
      </c>
      <c r="B98" s="48">
        <v>1</v>
      </c>
      <c r="C98" s="48" t="s">
        <v>123</v>
      </c>
      <c r="D98" s="28" t="s">
        <v>124</v>
      </c>
      <c r="E98" s="28" t="s">
        <v>1188</v>
      </c>
      <c r="F98" s="28" t="s">
        <v>1189</v>
      </c>
      <c r="G98" s="28" t="s">
        <v>1190</v>
      </c>
      <c r="H98" s="28" t="s">
        <v>348</v>
      </c>
      <c r="I98" s="28" t="s">
        <v>1191</v>
      </c>
    </row>
    <row r="99" spans="1:9" ht="26.4" x14ac:dyDescent="0.3">
      <c r="A99" s="28" t="s">
        <v>1192</v>
      </c>
      <c r="B99" s="48">
        <v>1</v>
      </c>
      <c r="C99" s="48" t="s">
        <v>123</v>
      </c>
      <c r="D99" s="28" t="s">
        <v>124</v>
      </c>
      <c r="E99" s="28" t="s">
        <v>1193</v>
      </c>
      <c r="F99" s="28" t="s">
        <v>859</v>
      </c>
      <c r="G99" s="28" t="s">
        <v>1194</v>
      </c>
      <c r="H99" s="28" t="s">
        <v>348</v>
      </c>
      <c r="I99" s="28" t="s">
        <v>1195</v>
      </c>
    </row>
    <row r="100" spans="1:9" ht="26.4" x14ac:dyDescent="0.3">
      <c r="A100" s="28" t="s">
        <v>1196</v>
      </c>
      <c r="B100" s="48">
        <v>1</v>
      </c>
      <c r="C100" s="48" t="s">
        <v>123</v>
      </c>
      <c r="D100" s="28" t="s">
        <v>124</v>
      </c>
      <c r="E100" s="28" t="s">
        <v>1197</v>
      </c>
      <c r="F100" s="28" t="s">
        <v>1198</v>
      </c>
      <c r="G100" s="28" t="s">
        <v>1129</v>
      </c>
      <c r="H100" s="28" t="s">
        <v>348</v>
      </c>
      <c r="I100" s="28" t="s">
        <v>1199</v>
      </c>
    </row>
    <row r="101" spans="1:9" ht="26.4" x14ac:dyDescent="0.3">
      <c r="A101" s="28" t="s">
        <v>1200</v>
      </c>
      <c r="B101" s="48">
        <v>1</v>
      </c>
      <c r="C101" s="48" t="s">
        <v>123</v>
      </c>
      <c r="D101" s="28" t="s">
        <v>124</v>
      </c>
      <c r="E101" s="28" t="s">
        <v>1201</v>
      </c>
      <c r="F101" s="28" t="s">
        <v>1202</v>
      </c>
      <c r="G101" s="28" t="s">
        <v>1203</v>
      </c>
      <c r="H101" s="28" t="s">
        <v>348</v>
      </c>
      <c r="I101" s="28" t="s">
        <v>1204</v>
      </c>
    </row>
    <row r="102" spans="1:9" ht="26.4" x14ac:dyDescent="0.3">
      <c r="A102" s="28" t="s">
        <v>1205</v>
      </c>
      <c r="B102" s="48">
        <v>1</v>
      </c>
      <c r="C102" s="48" t="s">
        <v>123</v>
      </c>
      <c r="D102" s="28" t="s">
        <v>124</v>
      </c>
      <c r="E102" s="28" t="s">
        <v>1206</v>
      </c>
      <c r="F102" s="28" t="s">
        <v>859</v>
      </c>
      <c r="G102" s="28" t="s">
        <v>1121</v>
      </c>
      <c r="H102" s="28" t="s">
        <v>348</v>
      </c>
      <c r="I102" s="28" t="s">
        <v>1207</v>
      </c>
    </row>
    <row r="103" spans="1:9" ht="26.4" x14ac:dyDescent="0.3">
      <c r="A103" s="28" t="s">
        <v>1208</v>
      </c>
      <c r="B103" s="48">
        <v>1</v>
      </c>
      <c r="C103" s="48" t="s">
        <v>123</v>
      </c>
      <c r="D103" s="28" t="s">
        <v>124</v>
      </c>
      <c r="E103" s="28" t="s">
        <v>1209</v>
      </c>
      <c r="F103" s="28" t="s">
        <v>1210</v>
      </c>
      <c r="G103" s="28" t="s">
        <v>1211</v>
      </c>
      <c r="H103" s="28" t="s">
        <v>348</v>
      </c>
      <c r="I103" s="28" t="s">
        <v>1212</v>
      </c>
    </row>
    <row r="104" spans="1:9" ht="26.4" x14ac:dyDescent="0.3">
      <c r="A104" s="28" t="s">
        <v>1213</v>
      </c>
      <c r="B104" s="48">
        <v>1</v>
      </c>
      <c r="C104" s="48" t="s">
        <v>123</v>
      </c>
      <c r="D104" s="28" t="s">
        <v>124</v>
      </c>
      <c r="E104" s="28" t="s">
        <v>1214</v>
      </c>
      <c r="F104" s="28" t="s">
        <v>1215</v>
      </c>
      <c r="G104" s="28" t="s">
        <v>1216</v>
      </c>
      <c r="H104" s="28" t="s">
        <v>348</v>
      </c>
      <c r="I104" s="28" t="s">
        <v>1217</v>
      </c>
    </row>
    <row r="105" spans="1:9" ht="26.4" x14ac:dyDescent="0.3">
      <c r="A105" s="28" t="s">
        <v>1218</v>
      </c>
      <c r="B105" s="48">
        <v>1</v>
      </c>
      <c r="C105" s="48" t="s">
        <v>123</v>
      </c>
      <c r="D105" s="28" t="s">
        <v>124</v>
      </c>
      <c r="E105" s="28" t="s">
        <v>1219</v>
      </c>
      <c r="F105" s="28" t="s">
        <v>859</v>
      </c>
      <c r="G105" s="28" t="s">
        <v>1171</v>
      </c>
      <c r="H105" s="28" t="s">
        <v>348</v>
      </c>
      <c r="I105" s="28" t="s">
        <v>1220</v>
      </c>
    </row>
    <row r="106" spans="1:9" ht="26.4" x14ac:dyDescent="0.3">
      <c r="A106" s="28" t="s">
        <v>1221</v>
      </c>
      <c r="B106" s="48">
        <v>1</v>
      </c>
      <c r="C106" s="48" t="s">
        <v>123</v>
      </c>
      <c r="D106" s="28" t="s">
        <v>124</v>
      </c>
      <c r="E106" s="28" t="s">
        <v>1222</v>
      </c>
      <c r="F106" s="28" t="s">
        <v>1223</v>
      </c>
      <c r="G106" s="28" t="s">
        <v>1224</v>
      </c>
      <c r="H106" s="28" t="s">
        <v>348</v>
      </c>
      <c r="I106" s="28" t="s">
        <v>1225</v>
      </c>
    </row>
    <row r="107" spans="1:9" ht="26.4" x14ac:dyDescent="0.3">
      <c r="A107" s="28" t="s">
        <v>1226</v>
      </c>
      <c r="B107" s="48">
        <v>1</v>
      </c>
      <c r="C107" s="48" t="s">
        <v>123</v>
      </c>
      <c r="D107" s="28" t="s">
        <v>124</v>
      </c>
      <c r="E107" s="28" t="s">
        <v>1227</v>
      </c>
      <c r="F107" s="28" t="s">
        <v>859</v>
      </c>
      <c r="G107" s="28" t="s">
        <v>1228</v>
      </c>
      <c r="H107" s="28" t="s">
        <v>348</v>
      </c>
      <c r="I107" s="28" t="s">
        <v>1229</v>
      </c>
    </row>
    <row r="108" spans="1:9" x14ac:dyDescent="0.3">
      <c r="A108" s="28" t="s">
        <v>1230</v>
      </c>
      <c r="B108" s="48">
        <v>1</v>
      </c>
      <c r="C108" s="48" t="s">
        <v>123</v>
      </c>
      <c r="D108" s="28" t="s">
        <v>124</v>
      </c>
      <c r="E108" s="28" t="s">
        <v>1231</v>
      </c>
      <c r="F108" s="28" t="s">
        <v>859</v>
      </c>
      <c r="G108" s="28" t="s">
        <v>1232</v>
      </c>
      <c r="H108" s="28" t="s">
        <v>1233</v>
      </c>
      <c r="I108" s="28" t="s">
        <v>178</v>
      </c>
    </row>
    <row r="109" spans="1:9" ht="26.4" x14ac:dyDescent="0.3">
      <c r="A109" s="28" t="s">
        <v>1234</v>
      </c>
      <c r="B109" s="48">
        <v>1</v>
      </c>
      <c r="C109" s="48" t="s">
        <v>123</v>
      </c>
      <c r="D109" s="28" t="s">
        <v>124</v>
      </c>
      <c r="E109" s="28" t="s">
        <v>1235</v>
      </c>
      <c r="F109" s="28" t="s">
        <v>859</v>
      </c>
      <c r="G109" s="28" t="s">
        <v>1236</v>
      </c>
      <c r="H109" s="28" t="s">
        <v>348</v>
      </c>
      <c r="I109" s="28" t="s">
        <v>178</v>
      </c>
    </row>
    <row r="110" spans="1:9" ht="26.4" x14ac:dyDescent="0.3">
      <c r="A110" s="28" t="s">
        <v>1237</v>
      </c>
      <c r="B110" s="48">
        <v>1</v>
      </c>
      <c r="C110" s="48" t="s">
        <v>123</v>
      </c>
      <c r="D110" s="28" t="s">
        <v>124</v>
      </c>
      <c r="E110" s="28" t="s">
        <v>1193</v>
      </c>
      <c r="F110" s="28" t="s">
        <v>1238</v>
      </c>
      <c r="G110" s="28" t="s">
        <v>1194</v>
      </c>
      <c r="H110" s="28" t="s">
        <v>348</v>
      </c>
      <c r="I110" s="28" t="s">
        <v>178</v>
      </c>
    </row>
    <row r="111" spans="1:9" ht="26.4" x14ac:dyDescent="0.3">
      <c r="A111" s="28" t="s">
        <v>1239</v>
      </c>
      <c r="B111" s="48">
        <v>1</v>
      </c>
      <c r="C111" s="48" t="s">
        <v>123</v>
      </c>
      <c r="D111" s="28" t="s">
        <v>124</v>
      </c>
      <c r="E111" s="28" t="s">
        <v>1240</v>
      </c>
      <c r="F111" s="28" t="s">
        <v>1241</v>
      </c>
      <c r="G111" s="28" t="s">
        <v>1242</v>
      </c>
      <c r="H111" s="28" t="s">
        <v>348</v>
      </c>
      <c r="I111" s="28" t="s">
        <v>1243</v>
      </c>
    </row>
    <row r="112" spans="1:9" ht="26.4" x14ac:dyDescent="0.3">
      <c r="A112" s="28" t="s">
        <v>1244</v>
      </c>
      <c r="B112" s="48">
        <v>1</v>
      </c>
      <c r="C112" s="48" t="s">
        <v>123</v>
      </c>
      <c r="D112" s="28" t="s">
        <v>124</v>
      </c>
      <c r="E112" s="28" t="s">
        <v>1245</v>
      </c>
      <c r="F112" s="28" t="s">
        <v>1246</v>
      </c>
      <c r="G112" s="28" t="s">
        <v>1247</v>
      </c>
      <c r="H112" s="28" t="s">
        <v>348</v>
      </c>
      <c r="I112" s="28" t="s">
        <v>1248</v>
      </c>
    </row>
    <row r="113" spans="1:9" ht="26.4" x14ac:dyDescent="0.3">
      <c r="A113" s="28" t="s">
        <v>1249</v>
      </c>
      <c r="B113" s="48">
        <v>1</v>
      </c>
      <c r="C113" s="48" t="s">
        <v>123</v>
      </c>
      <c r="D113" s="28" t="s">
        <v>124</v>
      </c>
      <c r="E113" s="28" t="s">
        <v>1250</v>
      </c>
      <c r="F113" s="28" t="s">
        <v>859</v>
      </c>
      <c r="G113" s="28" t="s">
        <v>1251</v>
      </c>
      <c r="H113" s="28" t="s">
        <v>348</v>
      </c>
      <c r="I113" s="28" t="s">
        <v>1252</v>
      </c>
    </row>
    <row r="114" spans="1:9" ht="26.4" x14ac:dyDescent="0.3">
      <c r="A114" s="28" t="s">
        <v>1253</v>
      </c>
      <c r="B114" s="48">
        <v>1</v>
      </c>
      <c r="C114" s="48" t="s">
        <v>123</v>
      </c>
      <c r="D114" s="28" t="s">
        <v>124</v>
      </c>
      <c r="E114" s="28" t="s">
        <v>1254</v>
      </c>
      <c r="F114" s="28" t="s">
        <v>1255</v>
      </c>
      <c r="G114" s="28" t="s">
        <v>1256</v>
      </c>
      <c r="H114" s="28" t="s">
        <v>348</v>
      </c>
      <c r="I114" s="28" t="s">
        <v>1257</v>
      </c>
    </row>
    <row r="115" spans="1:9" x14ac:dyDescent="0.3">
      <c r="A115" s="28" t="s">
        <v>1258</v>
      </c>
      <c r="B115" s="48">
        <v>1</v>
      </c>
      <c r="C115" s="48" t="s">
        <v>123</v>
      </c>
      <c r="D115" s="28" t="s">
        <v>124</v>
      </c>
      <c r="E115" s="28" t="s">
        <v>1259</v>
      </c>
      <c r="F115" s="28" t="s">
        <v>1260</v>
      </c>
      <c r="G115" s="28" t="s">
        <v>1261</v>
      </c>
      <c r="H115" s="28" t="s">
        <v>1233</v>
      </c>
      <c r="I115" s="28" t="s">
        <v>178</v>
      </c>
    </row>
    <row r="116" spans="1:9" ht="26.4" x14ac:dyDescent="0.3">
      <c r="A116" s="28" t="s">
        <v>1262</v>
      </c>
      <c r="B116" s="48">
        <v>1</v>
      </c>
      <c r="C116" s="48" t="s">
        <v>123</v>
      </c>
      <c r="D116" s="28" t="s">
        <v>124</v>
      </c>
      <c r="E116" s="28" t="s">
        <v>1263</v>
      </c>
      <c r="F116" s="28" t="s">
        <v>859</v>
      </c>
      <c r="G116" s="28" t="s">
        <v>1264</v>
      </c>
      <c r="H116" s="28" t="s">
        <v>348</v>
      </c>
      <c r="I116" s="28" t="s">
        <v>1265</v>
      </c>
    </row>
    <row r="117" spans="1:9" ht="26.4" x14ac:dyDescent="0.3">
      <c r="A117" s="28" t="s">
        <v>1266</v>
      </c>
      <c r="B117" s="48">
        <v>1</v>
      </c>
      <c r="C117" s="48" t="s">
        <v>123</v>
      </c>
      <c r="D117" s="28" t="s">
        <v>124</v>
      </c>
      <c r="E117" s="28" t="s">
        <v>1267</v>
      </c>
      <c r="F117" s="28" t="s">
        <v>1268</v>
      </c>
      <c r="G117" s="28" t="s">
        <v>1269</v>
      </c>
      <c r="H117" s="28" t="s">
        <v>348</v>
      </c>
      <c r="I117" s="28" t="s">
        <v>1270</v>
      </c>
    </row>
    <row r="118" spans="1:9" ht="26.4" x14ac:dyDescent="0.3">
      <c r="A118" s="28" t="s">
        <v>1271</v>
      </c>
      <c r="B118" s="48">
        <v>1</v>
      </c>
      <c r="C118" s="48" t="s">
        <v>123</v>
      </c>
      <c r="D118" s="28" t="s">
        <v>124</v>
      </c>
      <c r="E118" s="28" t="s">
        <v>1272</v>
      </c>
      <c r="F118" s="28" t="s">
        <v>1273</v>
      </c>
      <c r="G118" s="28" t="s">
        <v>1274</v>
      </c>
      <c r="H118" s="28" t="s">
        <v>348</v>
      </c>
      <c r="I118" s="28" t="s">
        <v>1275</v>
      </c>
    </row>
    <row r="119" spans="1:9" x14ac:dyDescent="0.3">
      <c r="A119" s="28" t="s">
        <v>1276</v>
      </c>
      <c r="B119" s="48">
        <v>1</v>
      </c>
      <c r="C119" s="48" t="s">
        <v>123</v>
      </c>
      <c r="D119" s="28" t="s">
        <v>124</v>
      </c>
      <c r="E119" s="28" t="s">
        <v>1277</v>
      </c>
      <c r="F119" s="28" t="s">
        <v>1149</v>
      </c>
      <c r="G119" s="28" t="s">
        <v>1167</v>
      </c>
      <c r="H119" s="28" t="s">
        <v>356</v>
      </c>
      <c r="I119" s="28" t="s">
        <v>178</v>
      </c>
    </row>
    <row r="120" spans="1:9" ht="39.6" x14ac:dyDescent="0.3">
      <c r="A120" s="28" t="s">
        <v>1278</v>
      </c>
      <c r="B120" s="48">
        <v>1</v>
      </c>
      <c r="C120" s="48" t="s">
        <v>123</v>
      </c>
      <c r="D120" s="28" t="s">
        <v>124</v>
      </c>
      <c r="E120" s="28" t="s">
        <v>1279</v>
      </c>
      <c r="F120" s="28" t="s">
        <v>1149</v>
      </c>
      <c r="G120" s="28" t="s">
        <v>1280</v>
      </c>
      <c r="H120" s="28" t="s">
        <v>1281</v>
      </c>
      <c r="I120" s="28" t="s">
        <v>178</v>
      </c>
    </row>
    <row r="121" spans="1:9" ht="26.4" x14ac:dyDescent="0.3">
      <c r="A121" s="28" t="s">
        <v>1282</v>
      </c>
      <c r="B121" s="48">
        <v>1</v>
      </c>
      <c r="C121" s="48" t="s">
        <v>123</v>
      </c>
      <c r="D121" s="28" t="s">
        <v>124</v>
      </c>
      <c r="E121" s="28" t="s">
        <v>1283</v>
      </c>
      <c r="F121" s="28" t="s">
        <v>1284</v>
      </c>
      <c r="G121" s="28" t="s">
        <v>1285</v>
      </c>
      <c r="H121" s="28" t="s">
        <v>348</v>
      </c>
      <c r="I121" s="28" t="s">
        <v>1286</v>
      </c>
    </row>
    <row r="122" spans="1:9" ht="39.6" x14ac:dyDescent="0.3">
      <c r="A122" s="28" t="s">
        <v>1287</v>
      </c>
      <c r="B122" s="48">
        <v>1</v>
      </c>
      <c r="C122" s="48" t="s">
        <v>123</v>
      </c>
      <c r="D122" s="28" t="s">
        <v>124</v>
      </c>
      <c r="E122" s="28" t="s">
        <v>1288</v>
      </c>
      <c r="F122" s="28" t="s">
        <v>1289</v>
      </c>
      <c r="G122" s="28" t="s">
        <v>1290</v>
      </c>
      <c r="H122" s="28" t="s">
        <v>348</v>
      </c>
      <c r="I122" s="28" t="s">
        <v>1291</v>
      </c>
    </row>
    <row r="123" spans="1:9" x14ac:dyDescent="0.3">
      <c r="A123" s="28" t="s">
        <v>1292</v>
      </c>
      <c r="B123" s="48">
        <v>1</v>
      </c>
      <c r="C123" s="48" t="s">
        <v>123</v>
      </c>
      <c r="D123" s="28" t="s">
        <v>124</v>
      </c>
      <c r="E123" s="28" t="s">
        <v>1293</v>
      </c>
      <c r="F123" s="28" t="s">
        <v>1149</v>
      </c>
      <c r="G123" s="28" t="s">
        <v>1294</v>
      </c>
      <c r="H123" s="28" t="s">
        <v>1233</v>
      </c>
      <c r="I123" s="28" t="s">
        <v>178</v>
      </c>
    </row>
    <row r="124" spans="1:9" ht="26.4" x14ac:dyDescent="0.3">
      <c r="A124" s="28" t="s">
        <v>1295</v>
      </c>
      <c r="B124" s="48">
        <v>1</v>
      </c>
      <c r="C124" s="48" t="s">
        <v>123</v>
      </c>
      <c r="D124" s="28" t="s">
        <v>124</v>
      </c>
      <c r="E124" s="28" t="s">
        <v>1296</v>
      </c>
      <c r="F124" s="28" t="s">
        <v>1297</v>
      </c>
      <c r="G124" s="28" t="s">
        <v>1121</v>
      </c>
      <c r="H124" s="28" t="s">
        <v>348</v>
      </c>
      <c r="I124" s="28" t="s">
        <v>1298</v>
      </c>
    </row>
    <row r="125" spans="1:9" ht="26.4" x14ac:dyDescent="0.3">
      <c r="A125" s="28" t="s">
        <v>1299</v>
      </c>
      <c r="B125" s="48">
        <v>1</v>
      </c>
      <c r="C125" s="48" t="s">
        <v>123</v>
      </c>
      <c r="D125" s="28" t="s">
        <v>124</v>
      </c>
      <c r="E125" s="28" t="s">
        <v>1300</v>
      </c>
      <c r="F125" s="28" t="s">
        <v>1301</v>
      </c>
      <c r="G125" s="28" t="s">
        <v>1302</v>
      </c>
      <c r="H125" s="28" t="s">
        <v>348</v>
      </c>
      <c r="I125" s="28" t="s">
        <v>1303</v>
      </c>
    </row>
    <row r="126" spans="1:9" ht="26.4" x14ac:dyDescent="0.3">
      <c r="A126" s="28" t="s">
        <v>1304</v>
      </c>
      <c r="B126" s="48">
        <v>1</v>
      </c>
      <c r="C126" s="48" t="s">
        <v>123</v>
      </c>
      <c r="D126" s="28" t="s">
        <v>124</v>
      </c>
      <c r="E126" s="28" t="s">
        <v>1305</v>
      </c>
      <c r="F126" s="28" t="s">
        <v>1306</v>
      </c>
      <c r="G126" s="28" t="s">
        <v>1307</v>
      </c>
      <c r="H126" s="28" t="s">
        <v>348</v>
      </c>
      <c r="I126" s="28" t="s">
        <v>1308</v>
      </c>
    </row>
    <row r="127" spans="1:9" ht="26.4" x14ac:dyDescent="0.3">
      <c r="A127" s="28" t="s">
        <v>1309</v>
      </c>
      <c r="B127" s="48">
        <v>1</v>
      </c>
      <c r="C127" s="48" t="s">
        <v>123</v>
      </c>
      <c r="D127" s="28" t="s">
        <v>124</v>
      </c>
      <c r="E127" s="28" t="s">
        <v>1310</v>
      </c>
      <c r="F127" s="28" t="s">
        <v>1311</v>
      </c>
      <c r="G127" s="28" t="s">
        <v>1236</v>
      </c>
      <c r="H127" s="28" t="s">
        <v>348</v>
      </c>
      <c r="I127" s="28" t="s">
        <v>1312</v>
      </c>
    </row>
    <row r="128" spans="1:9" ht="26.4" x14ac:dyDescent="0.3">
      <c r="A128" s="28" t="s">
        <v>1313</v>
      </c>
      <c r="B128" s="48">
        <v>1</v>
      </c>
      <c r="C128" s="48" t="s">
        <v>123</v>
      </c>
      <c r="D128" s="28" t="s">
        <v>124</v>
      </c>
      <c r="E128" s="28" t="s">
        <v>1222</v>
      </c>
      <c r="F128" s="28" t="s">
        <v>1314</v>
      </c>
      <c r="G128" s="28" t="s">
        <v>1224</v>
      </c>
      <c r="H128" s="28" t="s">
        <v>348</v>
      </c>
      <c r="I128" s="28" t="s">
        <v>1315</v>
      </c>
    </row>
    <row r="129" spans="1:9" ht="26.4" x14ac:dyDescent="0.3">
      <c r="A129" s="28" t="s">
        <v>1316</v>
      </c>
      <c r="B129" s="48">
        <v>1</v>
      </c>
      <c r="C129" s="48" t="s">
        <v>123</v>
      </c>
      <c r="D129" s="28" t="s">
        <v>124</v>
      </c>
      <c r="E129" s="28" t="s">
        <v>1317</v>
      </c>
      <c r="F129" s="28" t="s">
        <v>859</v>
      </c>
      <c r="G129" s="28" t="s">
        <v>1318</v>
      </c>
      <c r="H129" s="28" t="s">
        <v>348</v>
      </c>
      <c r="I129" s="28" t="s">
        <v>1319</v>
      </c>
    </row>
    <row r="130" spans="1:9" ht="39.6" x14ac:dyDescent="0.3">
      <c r="A130" s="28" t="s">
        <v>1320</v>
      </c>
      <c r="B130" s="48">
        <v>1</v>
      </c>
      <c r="C130" s="48" t="s">
        <v>123</v>
      </c>
      <c r="D130" s="28" t="s">
        <v>124</v>
      </c>
      <c r="E130" s="28" t="s">
        <v>1321</v>
      </c>
      <c r="F130" s="28" t="s">
        <v>1322</v>
      </c>
      <c r="G130" s="28" t="s">
        <v>1323</v>
      </c>
      <c r="H130" s="28" t="s">
        <v>348</v>
      </c>
      <c r="I130" s="28" t="s">
        <v>1324</v>
      </c>
    </row>
    <row r="131" spans="1:9" x14ac:dyDescent="0.3">
      <c r="A131" s="28" t="s">
        <v>1325</v>
      </c>
      <c r="B131" s="48">
        <v>1</v>
      </c>
      <c r="C131" s="48" t="s">
        <v>123</v>
      </c>
      <c r="D131" s="28" t="s">
        <v>124</v>
      </c>
      <c r="E131" s="28" t="s">
        <v>1326</v>
      </c>
      <c r="F131" s="28" t="s">
        <v>1327</v>
      </c>
      <c r="G131" s="28" t="s">
        <v>1224</v>
      </c>
      <c r="H131" s="28" t="s">
        <v>1233</v>
      </c>
      <c r="I131" s="28" t="s">
        <v>178</v>
      </c>
    </row>
    <row r="132" spans="1:9" ht="26.4" x14ac:dyDescent="0.3">
      <c r="A132" s="28" t="s">
        <v>1328</v>
      </c>
      <c r="B132" s="48">
        <v>1</v>
      </c>
      <c r="C132" s="48" t="s">
        <v>123</v>
      </c>
      <c r="D132" s="28" t="s">
        <v>124</v>
      </c>
      <c r="E132" s="28" t="s">
        <v>1329</v>
      </c>
      <c r="F132" s="28" t="s">
        <v>1330</v>
      </c>
      <c r="G132" s="28" t="s">
        <v>1331</v>
      </c>
      <c r="H132" s="28" t="s">
        <v>348</v>
      </c>
      <c r="I132" s="28" t="s">
        <v>1332</v>
      </c>
    </row>
    <row r="133" spans="1:9" ht="26.4" x14ac:dyDescent="0.3">
      <c r="A133" s="28" t="s">
        <v>1333</v>
      </c>
      <c r="B133" s="48">
        <v>1</v>
      </c>
      <c r="C133" s="48" t="s">
        <v>123</v>
      </c>
      <c r="D133" s="28" t="s">
        <v>124</v>
      </c>
      <c r="E133" s="28" t="s">
        <v>1334</v>
      </c>
      <c r="F133" s="28" t="s">
        <v>1335</v>
      </c>
      <c r="G133" s="28" t="s">
        <v>1129</v>
      </c>
      <c r="H133" s="28" t="s">
        <v>348</v>
      </c>
      <c r="I133" s="28" t="s">
        <v>1336</v>
      </c>
    </row>
    <row r="134" spans="1:9" ht="26.4" x14ac:dyDescent="0.3">
      <c r="A134" s="28" t="s">
        <v>1337</v>
      </c>
      <c r="B134" s="48">
        <v>1</v>
      </c>
      <c r="C134" s="48" t="s">
        <v>123</v>
      </c>
      <c r="D134" s="28" t="s">
        <v>124</v>
      </c>
      <c r="E134" s="28" t="s">
        <v>1338</v>
      </c>
      <c r="F134" s="28" t="s">
        <v>1339</v>
      </c>
      <c r="G134" s="28" t="s">
        <v>1236</v>
      </c>
      <c r="H134" s="28" t="s">
        <v>348</v>
      </c>
      <c r="I134" s="28" t="s">
        <v>1340</v>
      </c>
    </row>
    <row r="135" spans="1:9" ht="26.4" x14ac:dyDescent="0.3">
      <c r="A135" s="28" t="s">
        <v>1341</v>
      </c>
      <c r="B135" s="48">
        <v>1</v>
      </c>
      <c r="C135" s="48" t="s">
        <v>123</v>
      </c>
      <c r="D135" s="28" t="s">
        <v>124</v>
      </c>
      <c r="E135" s="28" t="s">
        <v>1342</v>
      </c>
      <c r="F135" s="28" t="s">
        <v>1343</v>
      </c>
      <c r="G135" s="28" t="s">
        <v>1211</v>
      </c>
      <c r="H135" s="28" t="s">
        <v>348</v>
      </c>
      <c r="I135" s="28" t="s">
        <v>1344</v>
      </c>
    </row>
    <row r="136" spans="1:9" x14ac:dyDescent="0.3">
      <c r="A136" s="28" t="s">
        <v>1345</v>
      </c>
      <c r="B136" s="48">
        <v>1</v>
      </c>
      <c r="C136" s="48" t="s">
        <v>123</v>
      </c>
      <c r="D136" s="28" t="s">
        <v>124</v>
      </c>
      <c r="E136" s="28" t="s">
        <v>1346</v>
      </c>
      <c r="F136" s="28" t="s">
        <v>900</v>
      </c>
      <c r="G136" s="28" t="s">
        <v>1347</v>
      </c>
      <c r="H136" s="28" t="s">
        <v>1233</v>
      </c>
      <c r="I136" s="28" t="s">
        <v>178</v>
      </c>
    </row>
    <row r="137" spans="1:9" ht="26.4" x14ac:dyDescent="0.3">
      <c r="A137" s="28" t="s">
        <v>1348</v>
      </c>
      <c r="B137" s="48">
        <v>1</v>
      </c>
      <c r="C137" s="48" t="s">
        <v>123</v>
      </c>
      <c r="D137" s="28" t="s">
        <v>124</v>
      </c>
      <c r="E137" s="28" t="s">
        <v>1349</v>
      </c>
      <c r="F137" s="28" t="s">
        <v>1350</v>
      </c>
      <c r="G137" s="28" t="s">
        <v>1242</v>
      </c>
      <c r="H137" s="28" t="s">
        <v>348</v>
      </c>
      <c r="I137" s="28" t="s">
        <v>1351</v>
      </c>
    </row>
    <row r="138" spans="1:9" ht="26.4" x14ac:dyDescent="0.3">
      <c r="A138" s="28" t="s">
        <v>1352</v>
      </c>
      <c r="B138" s="48">
        <v>1</v>
      </c>
      <c r="C138" s="48" t="s">
        <v>123</v>
      </c>
      <c r="D138" s="28" t="s">
        <v>124</v>
      </c>
      <c r="E138" s="28" t="s">
        <v>1353</v>
      </c>
      <c r="F138" s="28" t="s">
        <v>1354</v>
      </c>
      <c r="G138" s="28" t="s">
        <v>1355</v>
      </c>
      <c r="H138" s="28" t="s">
        <v>348</v>
      </c>
      <c r="I138" s="28" t="s">
        <v>1356</v>
      </c>
    </row>
    <row r="139" spans="1:9" ht="26.4" x14ac:dyDescent="0.3">
      <c r="A139" s="28" t="s">
        <v>1357</v>
      </c>
      <c r="B139" s="48">
        <v>1</v>
      </c>
      <c r="C139" s="48" t="s">
        <v>123</v>
      </c>
      <c r="D139" s="28" t="s">
        <v>124</v>
      </c>
      <c r="E139" s="28" t="s">
        <v>1358</v>
      </c>
      <c r="F139" s="28" t="s">
        <v>859</v>
      </c>
      <c r="G139" s="28" t="s">
        <v>1121</v>
      </c>
      <c r="H139" s="28" t="s">
        <v>348</v>
      </c>
      <c r="I139" s="28" t="s">
        <v>1359</v>
      </c>
    </row>
    <row r="140" spans="1:9" ht="26.4" x14ac:dyDescent="0.3">
      <c r="A140" s="28" t="s">
        <v>1360</v>
      </c>
      <c r="B140" s="48">
        <v>1</v>
      </c>
      <c r="C140" s="48" t="s">
        <v>123</v>
      </c>
      <c r="D140" s="28" t="s">
        <v>124</v>
      </c>
      <c r="E140" s="28" t="s">
        <v>1361</v>
      </c>
      <c r="F140" s="28" t="s">
        <v>1362</v>
      </c>
      <c r="G140" s="28" t="s">
        <v>1363</v>
      </c>
      <c r="H140" s="28" t="s">
        <v>348</v>
      </c>
      <c r="I140" s="28" t="s">
        <v>1364</v>
      </c>
    </row>
    <row r="141" spans="1:9" ht="26.4" x14ac:dyDescent="0.3">
      <c r="A141" s="28" t="s">
        <v>1365</v>
      </c>
      <c r="B141" s="48">
        <v>1</v>
      </c>
      <c r="C141" s="48" t="s">
        <v>123</v>
      </c>
      <c r="D141" s="28" t="s">
        <v>124</v>
      </c>
      <c r="E141" s="28" t="s">
        <v>1366</v>
      </c>
      <c r="F141" s="28" t="s">
        <v>1149</v>
      </c>
      <c r="G141" s="28" t="s">
        <v>1367</v>
      </c>
      <c r="H141" s="28" t="s">
        <v>356</v>
      </c>
      <c r="I141" s="28" t="s">
        <v>178</v>
      </c>
    </row>
    <row r="142" spans="1:9" ht="26.4" x14ac:dyDescent="0.3">
      <c r="A142" s="28" t="s">
        <v>430</v>
      </c>
      <c r="B142" s="48">
        <v>1</v>
      </c>
      <c r="C142" s="48" t="s">
        <v>123</v>
      </c>
      <c r="D142" s="28" t="s">
        <v>124</v>
      </c>
      <c r="E142" s="28" t="s">
        <v>1368</v>
      </c>
      <c r="F142" s="28" t="s">
        <v>1369</v>
      </c>
      <c r="G142" s="28" t="s">
        <v>1370</v>
      </c>
      <c r="H142" s="28" t="s">
        <v>348</v>
      </c>
      <c r="I142" s="28" t="s">
        <v>1371</v>
      </c>
    </row>
    <row r="143" spans="1:9" ht="26.4" x14ac:dyDescent="0.3">
      <c r="A143" s="28" t="s">
        <v>1372</v>
      </c>
      <c r="B143" s="48">
        <v>1</v>
      </c>
      <c r="C143" s="48" t="s">
        <v>123</v>
      </c>
      <c r="D143" s="28" t="s">
        <v>124</v>
      </c>
      <c r="E143" s="28" t="s">
        <v>1373</v>
      </c>
      <c r="F143" s="28" t="s">
        <v>1374</v>
      </c>
      <c r="G143" s="28" t="s">
        <v>1375</v>
      </c>
      <c r="H143" s="28" t="s">
        <v>348</v>
      </c>
      <c r="I143" s="28" t="s">
        <v>1376</v>
      </c>
    </row>
    <row r="144" spans="1:9" ht="26.4" x14ac:dyDescent="0.3">
      <c r="A144" s="28" t="s">
        <v>1377</v>
      </c>
      <c r="B144" s="48">
        <v>1</v>
      </c>
      <c r="C144" s="48" t="s">
        <v>123</v>
      </c>
      <c r="D144" s="28" t="s">
        <v>124</v>
      </c>
      <c r="E144" s="28" t="s">
        <v>1378</v>
      </c>
      <c r="F144" s="28" t="s">
        <v>859</v>
      </c>
      <c r="G144" s="28" t="s">
        <v>1379</v>
      </c>
      <c r="H144" s="28" t="s">
        <v>348</v>
      </c>
      <c r="I144" s="28" t="s">
        <v>1380</v>
      </c>
    </row>
    <row r="145" spans="1:9" ht="26.4" x14ac:dyDescent="0.3">
      <c r="A145" s="28" t="s">
        <v>1381</v>
      </c>
      <c r="B145" s="48">
        <v>1</v>
      </c>
      <c r="C145" s="48" t="s">
        <v>123</v>
      </c>
      <c r="D145" s="28" t="s">
        <v>124</v>
      </c>
      <c r="E145" s="28" t="s">
        <v>1382</v>
      </c>
      <c r="F145" s="28" t="s">
        <v>1383</v>
      </c>
      <c r="G145" s="28" t="s">
        <v>1384</v>
      </c>
      <c r="H145" s="28" t="s">
        <v>348</v>
      </c>
      <c r="I145" s="28" t="s">
        <v>1385</v>
      </c>
    </row>
    <row r="146" spans="1:9" ht="26.4" x14ac:dyDescent="0.3">
      <c r="A146" s="28" t="s">
        <v>1386</v>
      </c>
      <c r="B146" s="48">
        <v>1</v>
      </c>
      <c r="C146" s="48" t="s">
        <v>123</v>
      </c>
      <c r="D146" s="28" t="s">
        <v>124</v>
      </c>
      <c r="E146" s="28" t="s">
        <v>1263</v>
      </c>
      <c r="F146" s="28" t="s">
        <v>859</v>
      </c>
      <c r="G146" s="28" t="s">
        <v>1387</v>
      </c>
      <c r="H146" s="28" t="s">
        <v>348</v>
      </c>
      <c r="I146" s="28" t="s">
        <v>1388</v>
      </c>
    </row>
    <row r="147" spans="1:9" ht="26.4" x14ac:dyDescent="0.3">
      <c r="A147" s="28" t="s">
        <v>1389</v>
      </c>
      <c r="B147" s="48">
        <v>1</v>
      </c>
      <c r="C147" s="48" t="s">
        <v>123</v>
      </c>
      <c r="D147" s="28" t="s">
        <v>124</v>
      </c>
      <c r="E147" s="28" t="s">
        <v>1390</v>
      </c>
      <c r="F147" s="28" t="s">
        <v>1391</v>
      </c>
      <c r="G147" s="28" t="s">
        <v>1392</v>
      </c>
      <c r="H147" s="28" t="s">
        <v>348</v>
      </c>
      <c r="I147" s="28" t="s">
        <v>1393</v>
      </c>
    </row>
    <row r="148" spans="1:9" ht="26.4" x14ac:dyDescent="0.3">
      <c r="A148" s="28" t="s">
        <v>1394</v>
      </c>
      <c r="B148" s="48">
        <v>1</v>
      </c>
      <c r="C148" s="48" t="s">
        <v>123</v>
      </c>
      <c r="D148" s="28" t="s">
        <v>124</v>
      </c>
      <c r="E148" s="28" t="s">
        <v>1272</v>
      </c>
      <c r="F148" s="28" t="s">
        <v>1395</v>
      </c>
      <c r="G148" s="28" t="s">
        <v>1274</v>
      </c>
      <c r="H148" s="28" t="s">
        <v>348</v>
      </c>
      <c r="I148" s="28" t="s">
        <v>1396</v>
      </c>
    </row>
    <row r="149" spans="1:9" ht="26.4" x14ac:dyDescent="0.3">
      <c r="A149" s="28" t="s">
        <v>1397</v>
      </c>
      <c r="B149" s="48">
        <v>1</v>
      </c>
      <c r="C149" s="48" t="s">
        <v>123</v>
      </c>
      <c r="D149" s="28" t="s">
        <v>124</v>
      </c>
      <c r="E149" s="28" t="s">
        <v>1398</v>
      </c>
      <c r="F149" s="28" t="s">
        <v>178</v>
      </c>
      <c r="G149" s="28" t="s">
        <v>1118</v>
      </c>
      <c r="H149" s="28" t="s">
        <v>348</v>
      </c>
      <c r="I149" s="28" t="s">
        <v>178</v>
      </c>
    </row>
    <row r="150" spans="1:9" ht="26.4" x14ac:dyDescent="0.3">
      <c r="A150" s="28" t="s">
        <v>1399</v>
      </c>
      <c r="B150" s="48">
        <v>1</v>
      </c>
      <c r="C150" s="48" t="s">
        <v>123</v>
      </c>
      <c r="D150" s="28" t="s">
        <v>124</v>
      </c>
      <c r="E150" s="28" t="s">
        <v>1123</v>
      </c>
      <c r="F150" s="28" t="s">
        <v>1400</v>
      </c>
      <c r="G150" s="28" t="s">
        <v>1401</v>
      </c>
      <c r="H150" s="28" t="s">
        <v>348</v>
      </c>
      <c r="I150" s="28" t="s">
        <v>1402</v>
      </c>
    </row>
    <row r="151" spans="1:9" ht="26.4" x14ac:dyDescent="0.3">
      <c r="A151" s="28" t="s">
        <v>1403</v>
      </c>
      <c r="B151" s="48">
        <v>1</v>
      </c>
      <c r="C151" s="48" t="s">
        <v>123</v>
      </c>
      <c r="D151" s="28" t="s">
        <v>124</v>
      </c>
      <c r="E151" s="28" t="s">
        <v>1404</v>
      </c>
      <c r="F151" s="28" t="s">
        <v>1311</v>
      </c>
      <c r="G151" s="28" t="s">
        <v>1294</v>
      </c>
      <c r="H151" s="28" t="s">
        <v>348</v>
      </c>
      <c r="I151" s="28" t="s">
        <v>1405</v>
      </c>
    </row>
    <row r="152" spans="1:9" x14ac:dyDescent="0.3">
      <c r="A152" s="28" t="s">
        <v>1406</v>
      </c>
      <c r="B152" s="48">
        <v>1</v>
      </c>
      <c r="C152" s="48" t="s">
        <v>123</v>
      </c>
      <c r="D152" s="28" t="s">
        <v>124</v>
      </c>
      <c r="E152" s="28" t="s">
        <v>1407</v>
      </c>
      <c r="F152" s="28" t="s">
        <v>1408</v>
      </c>
      <c r="G152" s="28" t="s">
        <v>1242</v>
      </c>
      <c r="H152" s="28" t="s">
        <v>1233</v>
      </c>
      <c r="I152" s="28" t="s">
        <v>1409</v>
      </c>
    </row>
    <row r="153" spans="1:9" ht="26.4" x14ac:dyDescent="0.3">
      <c r="A153" s="28" t="s">
        <v>393</v>
      </c>
      <c r="B153" s="48">
        <v>1</v>
      </c>
      <c r="C153" s="48" t="s">
        <v>123</v>
      </c>
      <c r="D153" s="28" t="s">
        <v>124</v>
      </c>
      <c r="E153" s="28" t="s">
        <v>1410</v>
      </c>
      <c r="F153" s="28" t="s">
        <v>1297</v>
      </c>
      <c r="G153" s="28" t="s">
        <v>1194</v>
      </c>
      <c r="H153" s="28" t="s">
        <v>348</v>
      </c>
      <c r="I153" s="28" t="s">
        <v>1411</v>
      </c>
    </row>
    <row r="154" spans="1:9" ht="26.4" x14ac:dyDescent="0.3">
      <c r="A154" s="28" t="s">
        <v>1412</v>
      </c>
      <c r="B154" s="48">
        <v>1</v>
      </c>
      <c r="C154" s="48" t="s">
        <v>123</v>
      </c>
      <c r="D154" s="28" t="s">
        <v>124</v>
      </c>
      <c r="E154" s="28" t="s">
        <v>1413</v>
      </c>
      <c r="F154" s="28" t="s">
        <v>1414</v>
      </c>
      <c r="G154" s="28" t="s">
        <v>1415</v>
      </c>
      <c r="H154" s="28" t="s">
        <v>348</v>
      </c>
      <c r="I154" s="28" t="s">
        <v>1416</v>
      </c>
    </row>
    <row r="155" spans="1:9" ht="26.4" x14ac:dyDescent="0.3">
      <c r="A155" s="28" t="s">
        <v>1417</v>
      </c>
      <c r="B155" s="48">
        <v>1</v>
      </c>
      <c r="C155" s="48" t="s">
        <v>123</v>
      </c>
      <c r="D155" s="28" t="s">
        <v>124</v>
      </c>
      <c r="E155" s="28" t="s">
        <v>1418</v>
      </c>
      <c r="F155" s="28" t="s">
        <v>1419</v>
      </c>
      <c r="G155" s="28" t="s">
        <v>1224</v>
      </c>
      <c r="H155" s="28" t="s">
        <v>348</v>
      </c>
      <c r="I155" s="28" t="s">
        <v>1420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9D18E"/>
  </sheetPr>
  <dimension ref="A1:H59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1" width="14" customWidth="1"/>
    <col min="2" max="2" width="9" customWidth="1"/>
    <col min="3" max="4" width="13" customWidth="1"/>
    <col min="5" max="5" width="12" customWidth="1"/>
    <col min="6" max="6" width="9" customWidth="1"/>
    <col min="7" max="7" width="14" customWidth="1"/>
    <col min="8" max="8" width="13" customWidth="1"/>
  </cols>
  <sheetData>
    <row r="1" spans="1:8" ht="15.6" x14ac:dyDescent="0.3">
      <c r="A1" s="15" t="s">
        <v>1421</v>
      </c>
    </row>
    <row r="2" spans="1:8" x14ac:dyDescent="0.3">
      <c r="A2" s="7" t="s">
        <v>1422</v>
      </c>
    </row>
    <row r="4" spans="1:8" ht="26.4" x14ac:dyDescent="0.3">
      <c r="A4" s="16" t="s">
        <v>1423</v>
      </c>
      <c r="B4" s="16" t="s">
        <v>239</v>
      </c>
      <c r="C4" s="16" t="s">
        <v>1424</v>
      </c>
      <c r="D4" s="16" t="s">
        <v>1425</v>
      </c>
      <c r="E4" s="16" t="s">
        <v>1426</v>
      </c>
      <c r="F4" s="16" t="s">
        <v>1427</v>
      </c>
      <c r="G4" s="16" t="s">
        <v>1428</v>
      </c>
      <c r="H4" s="16" t="s">
        <v>1429</v>
      </c>
    </row>
    <row r="5" spans="1:8" x14ac:dyDescent="0.3">
      <c r="A5" s="10" t="s">
        <v>6</v>
      </c>
      <c r="B5" s="10" t="s">
        <v>1430</v>
      </c>
      <c r="C5" s="31">
        <v>105000</v>
      </c>
      <c r="D5" s="31">
        <v>1725</v>
      </c>
      <c r="E5" s="32">
        <f t="shared" ref="E5:E68" si="0">IF(AND(ISNUMBER(C5),ISNUMBER(D5)),C5/(12*D5),"")</f>
        <v>5.0724637681159424</v>
      </c>
      <c r="F5" s="10" t="str">
        <f t="shared" ref="F5:F68" si="1">IF(E5="","",IF(E5&gt;=3,"Y","N"))</f>
        <v>Y</v>
      </c>
      <c r="G5" s="10" t="s">
        <v>1431</v>
      </c>
      <c r="H5" s="10" t="s">
        <v>1431</v>
      </c>
    </row>
    <row r="6" spans="1:8" x14ac:dyDescent="0.3">
      <c r="A6" s="10" t="s">
        <v>6</v>
      </c>
      <c r="B6" s="10" t="s">
        <v>1432</v>
      </c>
      <c r="C6" s="31">
        <v>8310000</v>
      </c>
      <c r="D6" s="31">
        <v>2560</v>
      </c>
      <c r="E6" s="32">
        <f t="shared" si="0"/>
        <v>270.5078125</v>
      </c>
      <c r="F6" s="10" t="str">
        <f t="shared" si="1"/>
        <v>Y</v>
      </c>
      <c r="G6" s="10" t="s">
        <v>1431</v>
      </c>
      <c r="H6" s="10" t="s">
        <v>1433</v>
      </c>
    </row>
    <row r="7" spans="1:8" x14ac:dyDescent="0.3">
      <c r="A7" s="10" t="s">
        <v>6</v>
      </c>
      <c r="B7" s="10" t="s">
        <v>1434</v>
      </c>
      <c r="C7" s="31">
        <v>391820</v>
      </c>
      <c r="D7" s="31">
        <v>2375</v>
      </c>
      <c r="E7" s="32">
        <f t="shared" si="0"/>
        <v>13.748070175438597</v>
      </c>
      <c r="F7" s="10" t="str">
        <f t="shared" si="1"/>
        <v>Y</v>
      </c>
      <c r="G7" s="10" t="s">
        <v>1431</v>
      </c>
      <c r="H7" s="10" t="s">
        <v>1433</v>
      </c>
    </row>
    <row r="8" spans="1:8" x14ac:dyDescent="0.3">
      <c r="A8" s="10" t="s">
        <v>6</v>
      </c>
      <c r="B8" s="10" t="s">
        <v>1435</v>
      </c>
      <c r="C8" s="31">
        <v>182500</v>
      </c>
      <c r="D8" s="31">
        <v>1840</v>
      </c>
      <c r="E8" s="32">
        <f t="shared" si="0"/>
        <v>8.2653985507246368</v>
      </c>
      <c r="F8" s="10" t="str">
        <f t="shared" si="1"/>
        <v>Y</v>
      </c>
      <c r="G8" s="10" t="s">
        <v>1431</v>
      </c>
      <c r="H8" s="10" t="s">
        <v>1431</v>
      </c>
    </row>
    <row r="9" spans="1:8" x14ac:dyDescent="0.3">
      <c r="A9" s="10" t="s">
        <v>6</v>
      </c>
      <c r="B9" s="10" t="s">
        <v>1436</v>
      </c>
      <c r="C9" s="31">
        <v>216000</v>
      </c>
      <c r="D9" s="31">
        <v>2115</v>
      </c>
      <c r="E9" s="32">
        <f t="shared" si="0"/>
        <v>8.5106382978723403</v>
      </c>
      <c r="F9" s="10" t="str">
        <f t="shared" si="1"/>
        <v>Y</v>
      </c>
      <c r="G9" s="10" t="s">
        <v>1431</v>
      </c>
      <c r="H9" s="10" t="s">
        <v>1433</v>
      </c>
    </row>
    <row r="10" spans="1:8" x14ac:dyDescent="0.3">
      <c r="A10" s="10" t="s">
        <v>6</v>
      </c>
      <c r="B10" s="10" t="s">
        <v>1437</v>
      </c>
      <c r="C10" s="31"/>
      <c r="D10" s="31">
        <v>1842</v>
      </c>
      <c r="E10" s="32" t="str">
        <f t="shared" si="0"/>
        <v/>
      </c>
      <c r="F10" s="10" t="str">
        <f t="shared" si="1"/>
        <v/>
      </c>
      <c r="G10" s="10" t="s">
        <v>1433</v>
      </c>
      <c r="H10" s="10" t="s">
        <v>1433</v>
      </c>
    </row>
    <row r="11" spans="1:8" x14ac:dyDescent="0.3">
      <c r="A11" s="10" t="s">
        <v>6</v>
      </c>
      <c r="B11" s="10" t="s">
        <v>1438</v>
      </c>
      <c r="C11" s="31">
        <v>146000</v>
      </c>
      <c r="D11" s="31">
        <v>1525</v>
      </c>
      <c r="E11" s="32">
        <f t="shared" si="0"/>
        <v>7.9781420765027322</v>
      </c>
      <c r="F11" s="10" t="str">
        <f t="shared" si="1"/>
        <v>Y</v>
      </c>
      <c r="G11" s="10" t="s">
        <v>1431</v>
      </c>
      <c r="H11" s="10" t="s">
        <v>1433</v>
      </c>
    </row>
    <row r="12" spans="1:8" x14ac:dyDescent="0.3">
      <c r="A12" s="10" t="s">
        <v>6</v>
      </c>
      <c r="B12" s="10" t="s">
        <v>1439</v>
      </c>
      <c r="C12" s="31"/>
      <c r="D12" s="31">
        <v>1868</v>
      </c>
      <c r="E12" s="32" t="str">
        <f t="shared" si="0"/>
        <v/>
      </c>
      <c r="F12" s="10" t="str">
        <f t="shared" si="1"/>
        <v/>
      </c>
      <c r="G12" s="10" t="s">
        <v>1433</v>
      </c>
      <c r="H12" s="10" t="s">
        <v>1433</v>
      </c>
    </row>
    <row r="13" spans="1:8" x14ac:dyDescent="0.3">
      <c r="A13" s="10" t="s">
        <v>6</v>
      </c>
      <c r="B13" s="10" t="s">
        <v>1440</v>
      </c>
      <c r="C13" s="31">
        <v>144600</v>
      </c>
      <c r="D13" s="31">
        <v>1740</v>
      </c>
      <c r="E13" s="32">
        <f t="shared" si="0"/>
        <v>6.9252873563218387</v>
      </c>
      <c r="F13" s="10" t="str">
        <f t="shared" si="1"/>
        <v>Y</v>
      </c>
      <c r="G13" s="10" t="s">
        <v>1431</v>
      </c>
      <c r="H13" s="10" t="s">
        <v>1433</v>
      </c>
    </row>
    <row r="14" spans="1:8" x14ac:dyDescent="0.3">
      <c r="A14" s="10" t="s">
        <v>6</v>
      </c>
      <c r="B14" s="10" t="s">
        <v>1441</v>
      </c>
      <c r="C14" s="31">
        <v>65000</v>
      </c>
      <c r="D14" s="31">
        <v>2250</v>
      </c>
      <c r="E14" s="32">
        <f t="shared" si="0"/>
        <v>2.4074074074074074</v>
      </c>
      <c r="F14" s="10" t="str">
        <f t="shared" si="1"/>
        <v>N</v>
      </c>
      <c r="G14" s="10" t="s">
        <v>1433</v>
      </c>
      <c r="H14" s="10" t="s">
        <v>1433</v>
      </c>
    </row>
    <row r="15" spans="1:8" x14ac:dyDescent="0.3">
      <c r="A15" s="10" t="s">
        <v>6</v>
      </c>
      <c r="B15" s="10" t="s">
        <v>1442</v>
      </c>
      <c r="C15" s="31">
        <v>62000</v>
      </c>
      <c r="D15" s="31">
        <v>1895</v>
      </c>
      <c r="E15" s="32">
        <f t="shared" si="0"/>
        <v>2.7264731750219875</v>
      </c>
      <c r="F15" s="10" t="str">
        <f t="shared" si="1"/>
        <v>N</v>
      </c>
      <c r="G15" s="10" t="s">
        <v>1433</v>
      </c>
      <c r="H15" s="10" t="s">
        <v>1433</v>
      </c>
    </row>
    <row r="16" spans="1:8" x14ac:dyDescent="0.3">
      <c r="A16" s="10" t="s">
        <v>6</v>
      </c>
      <c r="B16" s="10" t="s">
        <v>1443</v>
      </c>
      <c r="C16" s="31">
        <v>401000</v>
      </c>
      <c r="D16" s="31">
        <v>2610</v>
      </c>
      <c r="E16" s="32">
        <f t="shared" si="0"/>
        <v>12.803320561941252</v>
      </c>
      <c r="F16" s="10" t="str">
        <f t="shared" si="1"/>
        <v>Y</v>
      </c>
      <c r="G16" s="10" t="s">
        <v>1431</v>
      </c>
      <c r="H16" s="10" t="s">
        <v>1433</v>
      </c>
    </row>
    <row r="17" spans="1:8" x14ac:dyDescent="0.3">
      <c r="A17" s="10" t="s">
        <v>6</v>
      </c>
      <c r="B17" s="10" t="s">
        <v>1444</v>
      </c>
      <c r="C17" s="31">
        <v>87312</v>
      </c>
      <c r="D17" s="31">
        <v>1865</v>
      </c>
      <c r="E17" s="32">
        <f t="shared" si="0"/>
        <v>3.9013404825737266</v>
      </c>
      <c r="F17" s="10" t="str">
        <f t="shared" si="1"/>
        <v>Y</v>
      </c>
      <c r="G17" s="10" t="s">
        <v>1433</v>
      </c>
      <c r="H17" s="10" t="s">
        <v>1433</v>
      </c>
    </row>
    <row r="18" spans="1:8" x14ac:dyDescent="0.3">
      <c r="A18" s="10" t="s">
        <v>6</v>
      </c>
      <c r="B18" s="10" t="s">
        <v>1445</v>
      </c>
      <c r="C18" s="31">
        <v>129380.2</v>
      </c>
      <c r="D18" s="31">
        <v>2285</v>
      </c>
      <c r="E18" s="32">
        <f t="shared" si="0"/>
        <v>4.7184609773887676</v>
      </c>
      <c r="F18" s="10" t="str">
        <f t="shared" si="1"/>
        <v>Y</v>
      </c>
      <c r="G18" s="10" t="s">
        <v>1433</v>
      </c>
      <c r="H18" s="10" t="s">
        <v>1433</v>
      </c>
    </row>
    <row r="19" spans="1:8" x14ac:dyDescent="0.3">
      <c r="A19" s="10" t="s">
        <v>6</v>
      </c>
      <c r="B19" s="10" t="s">
        <v>1446</v>
      </c>
      <c r="C19" s="31"/>
      <c r="D19" s="31">
        <v>2185</v>
      </c>
      <c r="E19" s="32" t="str">
        <f t="shared" si="0"/>
        <v/>
      </c>
      <c r="F19" s="10" t="str">
        <f t="shared" si="1"/>
        <v/>
      </c>
      <c r="G19" s="10" t="s">
        <v>1433</v>
      </c>
      <c r="H19" s="10" t="s">
        <v>1433</v>
      </c>
    </row>
    <row r="20" spans="1:8" x14ac:dyDescent="0.3">
      <c r="A20" s="10" t="s">
        <v>6</v>
      </c>
      <c r="B20" s="10" t="s">
        <v>1447</v>
      </c>
      <c r="C20" s="31"/>
      <c r="D20" s="31">
        <v>1975</v>
      </c>
      <c r="E20" s="32" t="str">
        <f t="shared" si="0"/>
        <v/>
      </c>
      <c r="F20" s="10" t="str">
        <f t="shared" si="1"/>
        <v/>
      </c>
      <c r="G20" s="10" t="s">
        <v>1433</v>
      </c>
      <c r="H20" s="10" t="s">
        <v>1433</v>
      </c>
    </row>
    <row r="21" spans="1:8" x14ac:dyDescent="0.3">
      <c r="A21" s="10" t="s">
        <v>6</v>
      </c>
      <c r="B21" s="10" t="s">
        <v>1448</v>
      </c>
      <c r="C21" s="31">
        <v>180000</v>
      </c>
      <c r="D21" s="31">
        <v>2345</v>
      </c>
      <c r="E21" s="32">
        <f t="shared" si="0"/>
        <v>6.3965884861407245</v>
      </c>
      <c r="F21" s="10" t="str">
        <f t="shared" si="1"/>
        <v>Y</v>
      </c>
      <c r="G21" s="10" t="s">
        <v>1433</v>
      </c>
      <c r="H21" s="10" t="s">
        <v>1433</v>
      </c>
    </row>
    <row r="22" spans="1:8" x14ac:dyDescent="0.3">
      <c r="A22" s="10" t="s">
        <v>6</v>
      </c>
      <c r="B22" s="10" t="s">
        <v>1449</v>
      </c>
      <c r="C22" s="31">
        <v>81608.039999999994</v>
      </c>
      <c r="D22" s="31">
        <v>1795</v>
      </c>
      <c r="E22" s="32">
        <f t="shared" si="0"/>
        <v>3.7886740947075208</v>
      </c>
      <c r="F22" s="10" t="str">
        <f t="shared" si="1"/>
        <v>Y</v>
      </c>
      <c r="G22" s="10" t="s">
        <v>1433</v>
      </c>
      <c r="H22" s="10" t="s">
        <v>1433</v>
      </c>
    </row>
    <row r="23" spans="1:8" x14ac:dyDescent="0.3">
      <c r="A23" s="10" t="s">
        <v>6</v>
      </c>
      <c r="B23" s="10" t="s">
        <v>1450</v>
      </c>
      <c r="C23" s="31">
        <v>130000</v>
      </c>
      <c r="D23" s="31">
        <v>1895</v>
      </c>
      <c r="E23" s="32">
        <f t="shared" si="0"/>
        <v>5.7167985927880389</v>
      </c>
      <c r="F23" s="10" t="str">
        <f t="shared" si="1"/>
        <v>Y</v>
      </c>
      <c r="G23" s="10" t="s">
        <v>1431</v>
      </c>
      <c r="H23" s="10" t="s">
        <v>1433</v>
      </c>
    </row>
    <row r="24" spans="1:8" x14ac:dyDescent="0.3">
      <c r="A24" s="10" t="s">
        <v>6</v>
      </c>
      <c r="B24" s="10" t="s">
        <v>1451</v>
      </c>
      <c r="C24" s="31">
        <v>168400</v>
      </c>
      <c r="D24" s="31">
        <v>1850</v>
      </c>
      <c r="E24" s="32">
        <f t="shared" si="0"/>
        <v>7.5855855855855854</v>
      </c>
      <c r="F24" s="10" t="str">
        <f t="shared" si="1"/>
        <v>Y</v>
      </c>
      <c r="G24" s="10" t="s">
        <v>1433</v>
      </c>
      <c r="H24" s="10" t="s">
        <v>1433</v>
      </c>
    </row>
    <row r="25" spans="1:8" x14ac:dyDescent="0.3">
      <c r="A25" s="10" t="s">
        <v>6</v>
      </c>
      <c r="B25" s="10" t="s">
        <v>1452</v>
      </c>
      <c r="C25" s="31"/>
      <c r="D25" s="31">
        <v>1863</v>
      </c>
      <c r="E25" s="32" t="str">
        <f t="shared" si="0"/>
        <v/>
      </c>
      <c r="F25" s="10" t="str">
        <f t="shared" si="1"/>
        <v/>
      </c>
      <c r="G25" s="10" t="s">
        <v>1433</v>
      </c>
      <c r="H25" s="10" t="s">
        <v>1433</v>
      </c>
    </row>
    <row r="26" spans="1:8" x14ac:dyDescent="0.3">
      <c r="A26" s="10" t="s">
        <v>6</v>
      </c>
      <c r="B26" s="10" t="s">
        <v>1453</v>
      </c>
      <c r="C26" s="31">
        <v>78250</v>
      </c>
      <c r="D26" s="31">
        <v>1495</v>
      </c>
      <c r="E26" s="32">
        <f t="shared" si="0"/>
        <v>4.3617614269788181</v>
      </c>
      <c r="F26" s="10" t="str">
        <f t="shared" si="1"/>
        <v>Y</v>
      </c>
      <c r="G26" s="10" t="s">
        <v>1431</v>
      </c>
      <c r="H26" s="10" t="s">
        <v>1433</v>
      </c>
    </row>
    <row r="27" spans="1:8" x14ac:dyDescent="0.3">
      <c r="A27" s="10" t="s">
        <v>6</v>
      </c>
      <c r="B27" s="10" t="s">
        <v>1454</v>
      </c>
      <c r="C27" s="31"/>
      <c r="D27" s="31">
        <v>1850</v>
      </c>
      <c r="E27" s="32" t="str">
        <f t="shared" si="0"/>
        <v/>
      </c>
      <c r="F27" s="10" t="str">
        <f t="shared" si="1"/>
        <v/>
      </c>
      <c r="G27" s="10" t="s">
        <v>1433</v>
      </c>
      <c r="H27" s="10" t="s">
        <v>1433</v>
      </c>
    </row>
    <row r="28" spans="1:8" x14ac:dyDescent="0.3">
      <c r="A28" s="10" t="s">
        <v>6</v>
      </c>
      <c r="B28" s="10" t="s">
        <v>1455</v>
      </c>
      <c r="C28" s="31"/>
      <c r="D28" s="31">
        <v>2000</v>
      </c>
      <c r="E28" s="32" t="str">
        <f t="shared" si="0"/>
        <v/>
      </c>
      <c r="F28" s="10" t="str">
        <f t="shared" si="1"/>
        <v/>
      </c>
      <c r="G28" s="10" t="s">
        <v>1433</v>
      </c>
      <c r="H28" s="10" t="s">
        <v>1433</v>
      </c>
    </row>
    <row r="29" spans="1:8" x14ac:dyDescent="0.3">
      <c r="A29" s="10" t="s">
        <v>6</v>
      </c>
      <c r="B29" s="10" t="s">
        <v>1456</v>
      </c>
      <c r="C29" s="31">
        <v>328000</v>
      </c>
      <c r="D29" s="31">
        <v>1895</v>
      </c>
      <c r="E29" s="32">
        <f t="shared" si="0"/>
        <v>14.423922603342129</v>
      </c>
      <c r="F29" s="10" t="str">
        <f t="shared" si="1"/>
        <v>Y</v>
      </c>
      <c r="G29" s="10" t="s">
        <v>1431</v>
      </c>
      <c r="H29" s="10" t="s">
        <v>1431</v>
      </c>
    </row>
    <row r="30" spans="1:8" x14ac:dyDescent="0.3">
      <c r="A30" s="10" t="s">
        <v>6</v>
      </c>
      <c r="B30" s="10" t="s">
        <v>1457</v>
      </c>
      <c r="C30" s="31">
        <v>50000</v>
      </c>
      <c r="D30" s="31">
        <v>2155</v>
      </c>
      <c r="E30" s="32">
        <f t="shared" si="0"/>
        <v>1.9334880123743232</v>
      </c>
      <c r="F30" s="10" t="str">
        <f t="shared" si="1"/>
        <v>N</v>
      </c>
      <c r="G30" s="10" t="s">
        <v>1433</v>
      </c>
      <c r="H30" s="10" t="s">
        <v>1433</v>
      </c>
    </row>
    <row r="31" spans="1:8" x14ac:dyDescent="0.3">
      <c r="A31" s="10" t="s">
        <v>6</v>
      </c>
      <c r="B31" s="10" t="s">
        <v>1458</v>
      </c>
      <c r="C31" s="31">
        <v>206000</v>
      </c>
      <c r="D31" s="31">
        <v>1995</v>
      </c>
      <c r="E31" s="32">
        <f t="shared" si="0"/>
        <v>8.6048454469507103</v>
      </c>
      <c r="F31" s="10" t="str">
        <f t="shared" si="1"/>
        <v>Y</v>
      </c>
      <c r="G31" s="10" t="s">
        <v>1431</v>
      </c>
      <c r="H31" s="10" t="s">
        <v>1431</v>
      </c>
    </row>
    <row r="32" spans="1:8" x14ac:dyDescent="0.3">
      <c r="A32" s="10" t="s">
        <v>6</v>
      </c>
      <c r="B32" s="10" t="s">
        <v>1459</v>
      </c>
      <c r="C32" s="31">
        <v>176800</v>
      </c>
      <c r="D32" s="31">
        <v>2495</v>
      </c>
      <c r="E32" s="32">
        <f t="shared" si="0"/>
        <v>5.9051436205744823</v>
      </c>
      <c r="F32" s="10" t="str">
        <f t="shared" si="1"/>
        <v>Y</v>
      </c>
      <c r="G32" s="10" t="s">
        <v>1431</v>
      </c>
      <c r="H32" s="10" t="s">
        <v>1433</v>
      </c>
    </row>
    <row r="33" spans="1:8" x14ac:dyDescent="0.3">
      <c r="A33" s="10" t="s">
        <v>6</v>
      </c>
      <c r="B33" s="10" t="s">
        <v>1460</v>
      </c>
      <c r="C33" s="31">
        <v>432000</v>
      </c>
      <c r="D33" s="31">
        <v>2410</v>
      </c>
      <c r="E33" s="32">
        <f t="shared" si="0"/>
        <v>14.937759336099585</v>
      </c>
      <c r="F33" s="10" t="str">
        <f t="shared" si="1"/>
        <v>Y</v>
      </c>
      <c r="G33" s="10" t="s">
        <v>1431</v>
      </c>
      <c r="H33" s="10" t="s">
        <v>1433</v>
      </c>
    </row>
    <row r="34" spans="1:8" x14ac:dyDescent="0.3">
      <c r="A34" s="10" t="s">
        <v>6</v>
      </c>
      <c r="B34" s="10" t="s">
        <v>1461</v>
      </c>
      <c r="C34" s="31">
        <v>183000</v>
      </c>
      <c r="D34" s="31">
        <v>2325</v>
      </c>
      <c r="E34" s="32">
        <f t="shared" si="0"/>
        <v>6.559139784946237</v>
      </c>
      <c r="F34" s="10" t="str">
        <f t="shared" si="1"/>
        <v>Y</v>
      </c>
      <c r="G34" s="10" t="s">
        <v>1431</v>
      </c>
      <c r="H34" s="10" t="s">
        <v>1431</v>
      </c>
    </row>
    <row r="35" spans="1:8" x14ac:dyDescent="0.3">
      <c r="A35" s="10" t="s">
        <v>6</v>
      </c>
      <c r="B35" s="10" t="s">
        <v>1462</v>
      </c>
      <c r="C35" s="31">
        <v>143000</v>
      </c>
      <c r="D35" s="31">
        <v>2275</v>
      </c>
      <c r="E35" s="32">
        <f t="shared" si="0"/>
        <v>5.2380952380952381</v>
      </c>
      <c r="F35" s="10" t="str">
        <f t="shared" si="1"/>
        <v>Y</v>
      </c>
      <c r="G35" s="10" t="s">
        <v>1431</v>
      </c>
      <c r="H35" s="10" t="s">
        <v>1433</v>
      </c>
    </row>
    <row r="36" spans="1:8" x14ac:dyDescent="0.3">
      <c r="A36" s="10" t="s">
        <v>6</v>
      </c>
      <c r="B36" s="10" t="s">
        <v>1463</v>
      </c>
      <c r="C36" s="31">
        <v>125000</v>
      </c>
      <c r="D36" s="31">
        <v>1925</v>
      </c>
      <c r="E36" s="32">
        <f t="shared" si="0"/>
        <v>5.4112554112554117</v>
      </c>
      <c r="F36" s="10" t="str">
        <f t="shared" si="1"/>
        <v>Y</v>
      </c>
      <c r="G36" s="10" t="s">
        <v>1431</v>
      </c>
      <c r="H36" s="10" t="s">
        <v>1433</v>
      </c>
    </row>
    <row r="37" spans="1:8" x14ac:dyDescent="0.3">
      <c r="A37" s="10" t="s">
        <v>6</v>
      </c>
      <c r="B37" s="10" t="s">
        <v>1464</v>
      </c>
      <c r="C37" s="31"/>
      <c r="D37" s="31">
        <v>2520</v>
      </c>
      <c r="E37" s="32" t="str">
        <f t="shared" si="0"/>
        <v/>
      </c>
      <c r="F37" s="10" t="str">
        <f t="shared" si="1"/>
        <v/>
      </c>
      <c r="G37" s="10" t="s">
        <v>1433</v>
      </c>
      <c r="H37" s="10" t="s">
        <v>1433</v>
      </c>
    </row>
    <row r="38" spans="1:8" x14ac:dyDescent="0.3">
      <c r="A38" s="10" t="s">
        <v>6</v>
      </c>
      <c r="B38" s="10" t="s">
        <v>1465</v>
      </c>
      <c r="C38" s="31">
        <v>290000</v>
      </c>
      <c r="D38" s="31">
        <v>2510</v>
      </c>
      <c r="E38" s="32">
        <f t="shared" si="0"/>
        <v>9.6281540504648078</v>
      </c>
      <c r="F38" s="10" t="str">
        <f t="shared" si="1"/>
        <v>Y</v>
      </c>
      <c r="G38" s="10" t="s">
        <v>1431</v>
      </c>
      <c r="H38" s="10" t="s">
        <v>1433</v>
      </c>
    </row>
    <row r="39" spans="1:8" x14ac:dyDescent="0.3">
      <c r="A39" s="10" t="s">
        <v>6</v>
      </c>
      <c r="B39" s="10" t="s">
        <v>1466</v>
      </c>
      <c r="C39" s="31">
        <v>321500</v>
      </c>
      <c r="D39" s="31">
        <v>2170</v>
      </c>
      <c r="E39" s="32">
        <f t="shared" si="0"/>
        <v>12.346390168970814</v>
      </c>
      <c r="F39" s="10" t="str">
        <f t="shared" si="1"/>
        <v>Y</v>
      </c>
      <c r="G39" s="10" t="s">
        <v>1431</v>
      </c>
      <c r="H39" s="10" t="s">
        <v>1431</v>
      </c>
    </row>
    <row r="40" spans="1:8" x14ac:dyDescent="0.3">
      <c r="A40" s="10" t="s">
        <v>6</v>
      </c>
      <c r="B40" s="10" t="s">
        <v>1467</v>
      </c>
      <c r="C40" s="31">
        <v>80400</v>
      </c>
      <c r="D40" s="31">
        <v>2185</v>
      </c>
      <c r="E40" s="32">
        <f t="shared" si="0"/>
        <v>3.0663615560640731</v>
      </c>
      <c r="F40" s="10" t="str">
        <f t="shared" si="1"/>
        <v>Y</v>
      </c>
      <c r="G40" s="10" t="s">
        <v>1431</v>
      </c>
      <c r="H40" s="10" t="s">
        <v>1431</v>
      </c>
    </row>
    <row r="41" spans="1:8" x14ac:dyDescent="0.3">
      <c r="A41" s="10" t="s">
        <v>6</v>
      </c>
      <c r="B41" s="10" t="s">
        <v>1468</v>
      </c>
      <c r="C41" s="31"/>
      <c r="D41" s="31">
        <v>1885</v>
      </c>
      <c r="E41" s="32" t="str">
        <f t="shared" si="0"/>
        <v/>
      </c>
      <c r="F41" s="10" t="str">
        <f t="shared" si="1"/>
        <v/>
      </c>
      <c r="G41" s="10" t="s">
        <v>1433</v>
      </c>
      <c r="H41" s="10" t="s">
        <v>1433</v>
      </c>
    </row>
    <row r="42" spans="1:8" x14ac:dyDescent="0.3">
      <c r="A42" s="10" t="s">
        <v>6</v>
      </c>
      <c r="B42" s="10" t="s">
        <v>1469</v>
      </c>
      <c r="C42" s="31">
        <v>83000</v>
      </c>
      <c r="D42" s="31">
        <v>1650</v>
      </c>
      <c r="E42" s="32">
        <f t="shared" si="0"/>
        <v>4.191919191919192</v>
      </c>
      <c r="F42" s="10" t="str">
        <f t="shared" si="1"/>
        <v>Y</v>
      </c>
      <c r="G42" s="10" t="s">
        <v>1431</v>
      </c>
      <c r="H42" s="10" t="s">
        <v>1431</v>
      </c>
    </row>
    <row r="43" spans="1:8" x14ac:dyDescent="0.3">
      <c r="A43" s="10" t="s">
        <v>6</v>
      </c>
      <c r="B43" s="10" t="s">
        <v>1470</v>
      </c>
      <c r="C43" s="31"/>
      <c r="D43" s="31">
        <v>1905</v>
      </c>
      <c r="E43" s="32" t="str">
        <f t="shared" si="0"/>
        <v/>
      </c>
      <c r="F43" s="10" t="str">
        <f t="shared" si="1"/>
        <v/>
      </c>
      <c r="G43" s="10" t="s">
        <v>1433</v>
      </c>
      <c r="H43" s="10" t="s">
        <v>1433</v>
      </c>
    </row>
    <row r="44" spans="1:8" x14ac:dyDescent="0.3">
      <c r="A44" s="10" t="s">
        <v>6</v>
      </c>
      <c r="B44" s="10" t="s">
        <v>1471</v>
      </c>
      <c r="C44" s="31">
        <v>406000</v>
      </c>
      <c r="D44" s="31">
        <v>2050</v>
      </c>
      <c r="E44" s="32">
        <f t="shared" si="0"/>
        <v>16.504065040650406</v>
      </c>
      <c r="F44" s="10" t="str">
        <f t="shared" si="1"/>
        <v>Y</v>
      </c>
      <c r="G44" s="10" t="s">
        <v>1431</v>
      </c>
      <c r="H44" s="10" t="s">
        <v>1431</v>
      </c>
    </row>
    <row r="45" spans="1:8" x14ac:dyDescent="0.3">
      <c r="A45" s="10" t="s">
        <v>6</v>
      </c>
      <c r="B45" s="10" t="s">
        <v>1472</v>
      </c>
      <c r="C45" s="31">
        <v>230000</v>
      </c>
      <c r="D45" s="31">
        <v>1920</v>
      </c>
      <c r="E45" s="32">
        <f t="shared" si="0"/>
        <v>9.9826388888888893</v>
      </c>
      <c r="F45" s="10" t="str">
        <f t="shared" si="1"/>
        <v>Y</v>
      </c>
      <c r="G45" s="10" t="s">
        <v>1431</v>
      </c>
      <c r="H45" s="10" t="s">
        <v>1431</v>
      </c>
    </row>
    <row r="46" spans="1:8" x14ac:dyDescent="0.3">
      <c r="A46" s="10" t="s">
        <v>6</v>
      </c>
      <c r="B46" s="10" t="s">
        <v>1473</v>
      </c>
      <c r="C46" s="31">
        <v>350000</v>
      </c>
      <c r="D46" s="31">
        <v>2000</v>
      </c>
      <c r="E46" s="32">
        <f t="shared" si="0"/>
        <v>14.583333333333334</v>
      </c>
      <c r="F46" s="10" t="str">
        <f t="shared" si="1"/>
        <v>Y</v>
      </c>
      <c r="G46" s="10" t="s">
        <v>1431</v>
      </c>
      <c r="H46" s="10" t="s">
        <v>1431</v>
      </c>
    </row>
    <row r="47" spans="1:8" x14ac:dyDescent="0.3">
      <c r="A47" s="10" t="s">
        <v>6</v>
      </c>
      <c r="B47" s="10" t="s">
        <v>1474</v>
      </c>
      <c r="C47" s="31">
        <v>96000</v>
      </c>
      <c r="D47" s="31">
        <v>1850</v>
      </c>
      <c r="E47" s="32">
        <f t="shared" si="0"/>
        <v>4.3243243243243246</v>
      </c>
      <c r="F47" s="10" t="str">
        <f t="shared" si="1"/>
        <v>Y</v>
      </c>
      <c r="G47" s="10" t="s">
        <v>1431</v>
      </c>
      <c r="H47" s="10" t="s">
        <v>1431</v>
      </c>
    </row>
    <row r="48" spans="1:8" x14ac:dyDescent="0.3">
      <c r="A48" s="10" t="s">
        <v>6</v>
      </c>
      <c r="B48" s="10" t="s">
        <v>1475</v>
      </c>
      <c r="C48" s="31">
        <v>296400</v>
      </c>
      <c r="D48" s="31">
        <v>2495</v>
      </c>
      <c r="E48" s="32">
        <f t="shared" si="0"/>
        <v>9.8997995991983974</v>
      </c>
      <c r="F48" s="10" t="str">
        <f t="shared" si="1"/>
        <v>Y</v>
      </c>
      <c r="G48" s="10" t="s">
        <v>1431</v>
      </c>
      <c r="H48" s="10" t="s">
        <v>1433</v>
      </c>
    </row>
    <row r="49" spans="1:8" x14ac:dyDescent="0.3">
      <c r="A49" s="10" t="s">
        <v>6</v>
      </c>
      <c r="B49" s="10" t="s">
        <v>1476</v>
      </c>
      <c r="C49" s="31">
        <v>120000</v>
      </c>
      <c r="D49" s="31">
        <v>1945</v>
      </c>
      <c r="E49" s="32">
        <f t="shared" si="0"/>
        <v>5.1413881748071981</v>
      </c>
      <c r="F49" s="10" t="str">
        <f t="shared" si="1"/>
        <v>Y</v>
      </c>
      <c r="G49" s="10" t="s">
        <v>1431</v>
      </c>
      <c r="H49" s="10" t="s">
        <v>1431</v>
      </c>
    </row>
    <row r="50" spans="1:8" x14ac:dyDescent="0.3">
      <c r="A50" s="10" t="s">
        <v>6</v>
      </c>
      <c r="B50" s="10" t="s">
        <v>1477</v>
      </c>
      <c r="C50" s="31">
        <v>90000</v>
      </c>
      <c r="D50" s="31">
        <v>2375</v>
      </c>
      <c r="E50" s="32">
        <f t="shared" si="0"/>
        <v>3.1578947368421053</v>
      </c>
      <c r="F50" s="10" t="str">
        <f t="shared" si="1"/>
        <v>Y</v>
      </c>
      <c r="G50" s="10" t="s">
        <v>1431</v>
      </c>
      <c r="H50" s="10" t="s">
        <v>1431</v>
      </c>
    </row>
    <row r="51" spans="1:8" x14ac:dyDescent="0.3">
      <c r="A51" s="10" t="s">
        <v>6</v>
      </c>
      <c r="B51" s="10" t="s">
        <v>1478</v>
      </c>
      <c r="C51" s="31">
        <v>63000</v>
      </c>
      <c r="D51" s="31">
        <v>2160</v>
      </c>
      <c r="E51" s="32">
        <f t="shared" si="0"/>
        <v>2.4305555555555554</v>
      </c>
      <c r="F51" s="10" t="str">
        <f t="shared" si="1"/>
        <v>N</v>
      </c>
      <c r="G51" s="10" t="s">
        <v>1431</v>
      </c>
      <c r="H51" s="10" t="s">
        <v>1433</v>
      </c>
    </row>
    <row r="52" spans="1:8" x14ac:dyDescent="0.3">
      <c r="A52" s="10" t="s">
        <v>6</v>
      </c>
      <c r="B52" s="10" t="s">
        <v>1479</v>
      </c>
      <c r="C52" s="31">
        <v>258000</v>
      </c>
      <c r="D52" s="31">
        <v>2330</v>
      </c>
      <c r="E52" s="32">
        <f t="shared" si="0"/>
        <v>9.2274678111587978</v>
      </c>
      <c r="F52" s="10" t="str">
        <f t="shared" si="1"/>
        <v>Y</v>
      </c>
      <c r="G52" s="10" t="s">
        <v>1431</v>
      </c>
      <c r="H52" s="10" t="s">
        <v>1431</v>
      </c>
    </row>
    <row r="53" spans="1:8" x14ac:dyDescent="0.3">
      <c r="A53" s="10" t="s">
        <v>6</v>
      </c>
      <c r="B53" s="10" t="s">
        <v>1480</v>
      </c>
      <c r="C53" s="31">
        <v>72000</v>
      </c>
      <c r="D53" s="31">
        <v>2105</v>
      </c>
      <c r="E53" s="32">
        <f t="shared" si="0"/>
        <v>2.8503562945368173</v>
      </c>
      <c r="F53" s="10" t="str">
        <f t="shared" si="1"/>
        <v>N</v>
      </c>
      <c r="G53" s="10" t="s">
        <v>1433</v>
      </c>
      <c r="H53" s="10" t="s">
        <v>1433</v>
      </c>
    </row>
    <row r="54" spans="1:8" x14ac:dyDescent="0.3">
      <c r="A54" s="10" t="s">
        <v>6</v>
      </c>
      <c r="B54" s="10" t="s">
        <v>1481</v>
      </c>
      <c r="C54" s="31">
        <v>71616</v>
      </c>
      <c r="D54" s="31">
        <v>2175</v>
      </c>
      <c r="E54" s="32">
        <f t="shared" si="0"/>
        <v>2.7439080459770113</v>
      </c>
      <c r="F54" s="10" t="str">
        <f t="shared" si="1"/>
        <v>N</v>
      </c>
      <c r="G54" s="10" t="s">
        <v>1433</v>
      </c>
      <c r="H54" s="10" t="s">
        <v>1433</v>
      </c>
    </row>
    <row r="55" spans="1:8" x14ac:dyDescent="0.3">
      <c r="A55" s="10" t="s">
        <v>6</v>
      </c>
      <c r="B55" s="10" t="s">
        <v>1482</v>
      </c>
      <c r="C55" s="31">
        <v>100440</v>
      </c>
      <c r="D55" s="31">
        <v>1875</v>
      </c>
      <c r="E55" s="32">
        <f t="shared" si="0"/>
        <v>4.4640000000000004</v>
      </c>
      <c r="F55" s="10" t="str">
        <f t="shared" si="1"/>
        <v>Y</v>
      </c>
      <c r="G55" s="10" t="s">
        <v>1433</v>
      </c>
      <c r="H55" s="10" t="s">
        <v>1433</v>
      </c>
    </row>
    <row r="56" spans="1:8" x14ac:dyDescent="0.3">
      <c r="A56" s="10" t="s">
        <v>6</v>
      </c>
      <c r="B56" s="10" t="s">
        <v>1483</v>
      </c>
      <c r="C56" s="31">
        <v>120000</v>
      </c>
      <c r="D56" s="31">
        <v>1725</v>
      </c>
      <c r="E56" s="32">
        <f t="shared" si="0"/>
        <v>5.7971014492753623</v>
      </c>
      <c r="F56" s="10" t="str">
        <f t="shared" si="1"/>
        <v>Y</v>
      </c>
      <c r="G56" s="10" t="s">
        <v>1431</v>
      </c>
      <c r="H56" s="10" t="s">
        <v>1431</v>
      </c>
    </row>
    <row r="57" spans="1:8" x14ac:dyDescent="0.3">
      <c r="A57" s="10" t="s">
        <v>6</v>
      </c>
      <c r="B57" s="10" t="s">
        <v>1484</v>
      </c>
      <c r="C57" s="31">
        <v>95000</v>
      </c>
      <c r="D57" s="31">
        <v>1655</v>
      </c>
      <c r="E57" s="32">
        <f t="shared" si="0"/>
        <v>4.7834843907351461</v>
      </c>
      <c r="F57" s="10" t="str">
        <f t="shared" si="1"/>
        <v>Y</v>
      </c>
      <c r="G57" s="10" t="s">
        <v>1431</v>
      </c>
      <c r="H57" s="10" t="s">
        <v>1431</v>
      </c>
    </row>
    <row r="58" spans="1:8" x14ac:dyDescent="0.3">
      <c r="A58" s="10" t="s">
        <v>6</v>
      </c>
      <c r="B58" s="10" t="s">
        <v>1485</v>
      </c>
      <c r="C58" s="31">
        <v>80000</v>
      </c>
      <c r="D58" s="31">
        <v>1775</v>
      </c>
      <c r="E58" s="32">
        <f t="shared" si="0"/>
        <v>3.755868544600939</v>
      </c>
      <c r="F58" s="10" t="str">
        <f t="shared" si="1"/>
        <v>Y</v>
      </c>
      <c r="G58" s="10" t="s">
        <v>1431</v>
      </c>
      <c r="H58" s="10" t="s">
        <v>1431</v>
      </c>
    </row>
    <row r="59" spans="1:8" x14ac:dyDescent="0.3">
      <c r="A59" s="10" t="s">
        <v>6</v>
      </c>
      <c r="B59" s="10" t="s">
        <v>1486</v>
      </c>
      <c r="C59" s="31">
        <v>150000</v>
      </c>
      <c r="D59" s="31">
        <v>2005</v>
      </c>
      <c r="E59" s="32">
        <f t="shared" si="0"/>
        <v>6.2344139650872821</v>
      </c>
      <c r="F59" s="10" t="str">
        <f t="shared" si="1"/>
        <v>Y</v>
      </c>
      <c r="G59" s="10" t="s">
        <v>1431</v>
      </c>
      <c r="H59" s="10" t="s">
        <v>1433</v>
      </c>
    </row>
    <row r="60" spans="1:8" x14ac:dyDescent="0.3">
      <c r="A60" s="10" t="s">
        <v>6</v>
      </c>
      <c r="B60" s="10" t="s">
        <v>1487</v>
      </c>
      <c r="C60" s="31">
        <v>284070</v>
      </c>
      <c r="D60" s="31">
        <v>2300</v>
      </c>
      <c r="E60" s="32">
        <f t="shared" si="0"/>
        <v>10.292391304347825</v>
      </c>
      <c r="F60" s="10" t="str">
        <f t="shared" si="1"/>
        <v>Y</v>
      </c>
      <c r="G60" s="10" t="s">
        <v>1431</v>
      </c>
      <c r="H60" s="10" t="s">
        <v>1431</v>
      </c>
    </row>
    <row r="61" spans="1:8" x14ac:dyDescent="0.3">
      <c r="A61" s="10" t="s">
        <v>6</v>
      </c>
      <c r="B61" s="10" t="s">
        <v>1488</v>
      </c>
      <c r="C61" s="31">
        <v>112000</v>
      </c>
      <c r="D61" s="31">
        <v>1925</v>
      </c>
      <c r="E61" s="32">
        <f t="shared" si="0"/>
        <v>4.8484848484848486</v>
      </c>
      <c r="F61" s="10" t="str">
        <f t="shared" si="1"/>
        <v>Y</v>
      </c>
      <c r="G61" s="10" t="s">
        <v>1431</v>
      </c>
      <c r="H61" s="10" t="s">
        <v>1431</v>
      </c>
    </row>
    <row r="62" spans="1:8" x14ac:dyDescent="0.3">
      <c r="A62" s="10" t="s">
        <v>6</v>
      </c>
      <c r="B62" s="10" t="s">
        <v>1489</v>
      </c>
      <c r="C62" s="31">
        <v>553600</v>
      </c>
      <c r="D62" s="31">
        <v>2300</v>
      </c>
      <c r="E62" s="32">
        <f t="shared" si="0"/>
        <v>20.057971014492754</v>
      </c>
      <c r="F62" s="10" t="str">
        <f t="shared" si="1"/>
        <v>Y</v>
      </c>
      <c r="G62" s="10" t="s">
        <v>1431</v>
      </c>
      <c r="H62" s="10" t="s">
        <v>1433</v>
      </c>
    </row>
    <row r="63" spans="1:8" x14ac:dyDescent="0.3">
      <c r="A63" s="10" t="s">
        <v>6</v>
      </c>
      <c r="B63" s="10" t="s">
        <v>1490</v>
      </c>
      <c r="C63" s="31"/>
      <c r="D63" s="31">
        <v>2500</v>
      </c>
      <c r="E63" s="32" t="str">
        <f t="shared" si="0"/>
        <v/>
      </c>
      <c r="F63" s="10" t="str">
        <f t="shared" si="1"/>
        <v/>
      </c>
      <c r="G63" s="10" t="s">
        <v>1433</v>
      </c>
      <c r="H63" s="10" t="s">
        <v>1433</v>
      </c>
    </row>
    <row r="64" spans="1:8" x14ac:dyDescent="0.3">
      <c r="A64" s="10" t="s">
        <v>6</v>
      </c>
      <c r="B64" s="10" t="s">
        <v>1491</v>
      </c>
      <c r="C64" s="31">
        <v>98404.800000000003</v>
      </c>
      <c r="D64" s="31">
        <v>2065</v>
      </c>
      <c r="E64" s="32">
        <f t="shared" si="0"/>
        <v>3.971138014527845</v>
      </c>
      <c r="F64" s="10" t="str">
        <f t="shared" si="1"/>
        <v>Y</v>
      </c>
      <c r="G64" s="10" t="s">
        <v>1431</v>
      </c>
      <c r="H64" s="10" t="s">
        <v>1433</v>
      </c>
    </row>
    <row r="65" spans="1:8" x14ac:dyDescent="0.3">
      <c r="A65" s="10" t="s">
        <v>6</v>
      </c>
      <c r="B65" s="10" t="s">
        <v>1492</v>
      </c>
      <c r="C65" s="31">
        <v>90000</v>
      </c>
      <c r="D65" s="31">
        <v>2180</v>
      </c>
      <c r="E65" s="32">
        <f t="shared" si="0"/>
        <v>3.4403669724770642</v>
      </c>
      <c r="F65" s="10" t="str">
        <f t="shared" si="1"/>
        <v>Y</v>
      </c>
      <c r="G65" s="10" t="s">
        <v>1433</v>
      </c>
      <c r="H65" s="10" t="s">
        <v>1433</v>
      </c>
    </row>
    <row r="66" spans="1:8" x14ac:dyDescent="0.3">
      <c r="A66" s="10" t="s">
        <v>6</v>
      </c>
      <c r="B66" s="10" t="s">
        <v>1493</v>
      </c>
      <c r="C66" s="31">
        <v>228800</v>
      </c>
      <c r="D66" s="31">
        <v>2340</v>
      </c>
      <c r="E66" s="32">
        <f t="shared" si="0"/>
        <v>8.1481481481481488</v>
      </c>
      <c r="F66" s="10" t="str">
        <f t="shared" si="1"/>
        <v>Y</v>
      </c>
      <c r="G66" s="10" t="s">
        <v>1431</v>
      </c>
      <c r="H66" s="10" t="s">
        <v>1433</v>
      </c>
    </row>
    <row r="67" spans="1:8" x14ac:dyDescent="0.3">
      <c r="A67" s="10" t="s">
        <v>6</v>
      </c>
      <c r="B67" s="10" t="s">
        <v>1494</v>
      </c>
      <c r="C67" s="31">
        <v>156000</v>
      </c>
      <c r="D67" s="31">
        <v>2400</v>
      </c>
      <c r="E67" s="32">
        <f t="shared" si="0"/>
        <v>5.416666666666667</v>
      </c>
      <c r="F67" s="10" t="str">
        <f t="shared" si="1"/>
        <v>Y</v>
      </c>
      <c r="G67" s="10" t="s">
        <v>1431</v>
      </c>
      <c r="H67" s="10" t="s">
        <v>1433</v>
      </c>
    </row>
    <row r="68" spans="1:8" x14ac:dyDescent="0.3">
      <c r="A68" s="10" t="s">
        <v>6</v>
      </c>
      <c r="B68" s="10" t="s">
        <v>1495</v>
      </c>
      <c r="C68" s="31">
        <v>147000</v>
      </c>
      <c r="D68" s="31">
        <v>2280</v>
      </c>
      <c r="E68" s="32">
        <f t="shared" si="0"/>
        <v>5.3728070175438596</v>
      </c>
      <c r="F68" s="10" t="str">
        <f t="shared" si="1"/>
        <v>Y</v>
      </c>
      <c r="G68" s="10" t="s">
        <v>1431</v>
      </c>
      <c r="H68" s="10" t="s">
        <v>1431</v>
      </c>
    </row>
    <row r="69" spans="1:8" x14ac:dyDescent="0.3">
      <c r="A69" s="10" t="s">
        <v>6</v>
      </c>
      <c r="B69" s="10" t="s">
        <v>1496</v>
      </c>
      <c r="C69" s="31">
        <v>72000</v>
      </c>
      <c r="D69" s="31">
        <v>2005</v>
      </c>
      <c r="E69" s="32">
        <f t="shared" ref="E69:E132" si="2">IF(AND(ISNUMBER(C69),ISNUMBER(D69)),C69/(12*D69),"")</f>
        <v>2.9925187032418954</v>
      </c>
      <c r="F69" s="10" t="str">
        <f t="shared" ref="F69:F132" si="3">IF(E69="","",IF(E69&gt;=3,"Y","N"))</f>
        <v>N</v>
      </c>
      <c r="G69" s="10" t="s">
        <v>1431</v>
      </c>
      <c r="H69" s="10" t="s">
        <v>1433</v>
      </c>
    </row>
    <row r="70" spans="1:8" x14ac:dyDescent="0.3">
      <c r="A70" s="10" t="s">
        <v>6</v>
      </c>
      <c r="B70" s="10" t="s">
        <v>1497</v>
      </c>
      <c r="C70" s="31"/>
      <c r="D70" s="31">
        <v>1855</v>
      </c>
      <c r="E70" s="32" t="str">
        <f t="shared" si="2"/>
        <v/>
      </c>
      <c r="F70" s="10" t="str">
        <f t="shared" si="3"/>
        <v/>
      </c>
      <c r="G70" s="10" t="s">
        <v>1433</v>
      </c>
      <c r="H70" s="10" t="s">
        <v>1433</v>
      </c>
    </row>
    <row r="71" spans="1:8" x14ac:dyDescent="0.3">
      <c r="A71" s="10" t="s">
        <v>6</v>
      </c>
      <c r="B71" s="10" t="s">
        <v>1498</v>
      </c>
      <c r="C71" s="31"/>
      <c r="D71" s="31">
        <v>1855</v>
      </c>
      <c r="E71" s="32" t="str">
        <f t="shared" si="2"/>
        <v/>
      </c>
      <c r="F71" s="10" t="str">
        <f t="shared" si="3"/>
        <v/>
      </c>
      <c r="G71" s="10" t="s">
        <v>1433</v>
      </c>
      <c r="H71" s="10" t="s">
        <v>1433</v>
      </c>
    </row>
    <row r="72" spans="1:8" x14ac:dyDescent="0.3">
      <c r="A72" s="10" t="s">
        <v>6</v>
      </c>
      <c r="B72" s="10" t="s">
        <v>1499</v>
      </c>
      <c r="C72" s="31">
        <v>130000</v>
      </c>
      <c r="D72" s="31">
        <v>2005</v>
      </c>
      <c r="E72" s="32">
        <f t="shared" si="2"/>
        <v>5.4031587697423111</v>
      </c>
      <c r="F72" s="10" t="str">
        <f t="shared" si="3"/>
        <v>Y</v>
      </c>
      <c r="G72" s="10" t="s">
        <v>1431</v>
      </c>
      <c r="H72" s="10" t="s">
        <v>1431</v>
      </c>
    </row>
    <row r="73" spans="1:8" x14ac:dyDescent="0.3">
      <c r="A73" s="10" t="s">
        <v>6</v>
      </c>
      <c r="B73" s="10" t="s">
        <v>1500</v>
      </c>
      <c r="C73" s="31"/>
      <c r="D73" s="31">
        <v>2105</v>
      </c>
      <c r="E73" s="32" t="str">
        <f t="shared" si="2"/>
        <v/>
      </c>
      <c r="F73" s="10" t="str">
        <f t="shared" si="3"/>
        <v/>
      </c>
      <c r="G73" s="10" t="s">
        <v>1433</v>
      </c>
      <c r="H73" s="10" t="s">
        <v>1433</v>
      </c>
    </row>
    <row r="74" spans="1:8" x14ac:dyDescent="0.3">
      <c r="A74" s="10" t="s">
        <v>6</v>
      </c>
      <c r="B74" s="10" t="s">
        <v>1501</v>
      </c>
      <c r="C74" s="31">
        <v>108000</v>
      </c>
      <c r="D74" s="31">
        <v>2355</v>
      </c>
      <c r="E74" s="32">
        <f t="shared" si="2"/>
        <v>3.8216560509554141</v>
      </c>
      <c r="F74" s="10" t="str">
        <f t="shared" si="3"/>
        <v>Y</v>
      </c>
      <c r="G74" s="10" t="s">
        <v>1431</v>
      </c>
      <c r="H74" s="10" t="s">
        <v>1431</v>
      </c>
    </row>
    <row r="75" spans="1:8" x14ac:dyDescent="0.3">
      <c r="A75" s="10" t="s">
        <v>6</v>
      </c>
      <c r="B75" s="10" t="s">
        <v>1502</v>
      </c>
      <c r="C75" s="31">
        <v>240000</v>
      </c>
      <c r="D75" s="31">
        <v>2240</v>
      </c>
      <c r="E75" s="32">
        <f t="shared" si="2"/>
        <v>8.9285714285714288</v>
      </c>
      <c r="F75" s="10" t="str">
        <f t="shared" si="3"/>
        <v>Y</v>
      </c>
      <c r="G75" s="10" t="s">
        <v>1431</v>
      </c>
      <c r="H75" s="10" t="s">
        <v>1433</v>
      </c>
    </row>
    <row r="76" spans="1:8" x14ac:dyDescent="0.3">
      <c r="A76" s="10" t="s">
        <v>6</v>
      </c>
      <c r="B76" s="10" t="s">
        <v>1503</v>
      </c>
      <c r="C76" s="31">
        <v>376804</v>
      </c>
      <c r="D76" s="31">
        <v>1895</v>
      </c>
      <c r="E76" s="32">
        <f t="shared" si="2"/>
        <v>16.57009674582234</v>
      </c>
      <c r="F76" s="10" t="str">
        <f t="shared" si="3"/>
        <v>Y</v>
      </c>
      <c r="G76" s="10" t="s">
        <v>1431</v>
      </c>
      <c r="H76" s="10" t="s">
        <v>1433</v>
      </c>
    </row>
    <row r="77" spans="1:8" x14ac:dyDescent="0.3">
      <c r="A77" s="10" t="s">
        <v>6</v>
      </c>
      <c r="B77" s="10" t="s">
        <v>1504</v>
      </c>
      <c r="C77" s="31"/>
      <c r="D77" s="31">
        <v>1855</v>
      </c>
      <c r="E77" s="32" t="str">
        <f t="shared" si="2"/>
        <v/>
      </c>
      <c r="F77" s="10" t="str">
        <f t="shared" si="3"/>
        <v/>
      </c>
      <c r="G77" s="10" t="s">
        <v>1433</v>
      </c>
      <c r="H77" s="10" t="s">
        <v>1433</v>
      </c>
    </row>
    <row r="78" spans="1:8" x14ac:dyDescent="0.3">
      <c r="A78" s="10" t="s">
        <v>6</v>
      </c>
      <c r="B78" s="10" t="s">
        <v>1505</v>
      </c>
      <c r="C78" s="31">
        <v>53790</v>
      </c>
      <c r="D78" s="31">
        <v>1785</v>
      </c>
      <c r="E78" s="32">
        <f t="shared" si="2"/>
        <v>2.511204481792717</v>
      </c>
      <c r="F78" s="10" t="str">
        <f t="shared" si="3"/>
        <v>N</v>
      </c>
      <c r="G78" s="10" t="s">
        <v>1433</v>
      </c>
      <c r="H78" s="10" t="s">
        <v>1433</v>
      </c>
    </row>
    <row r="79" spans="1:8" x14ac:dyDescent="0.3">
      <c r="A79" s="10" t="s">
        <v>6</v>
      </c>
      <c r="B79" s="10" t="s">
        <v>1506</v>
      </c>
      <c r="C79" s="31">
        <v>302900</v>
      </c>
      <c r="D79" s="31">
        <v>2005</v>
      </c>
      <c r="E79" s="32">
        <f t="shared" si="2"/>
        <v>12.589359933499585</v>
      </c>
      <c r="F79" s="10" t="str">
        <f t="shared" si="3"/>
        <v>Y</v>
      </c>
      <c r="G79" s="10" t="s">
        <v>1431</v>
      </c>
      <c r="H79" s="10" t="s">
        <v>1433</v>
      </c>
    </row>
    <row r="80" spans="1:8" x14ac:dyDescent="0.3">
      <c r="A80" s="10" t="s">
        <v>6</v>
      </c>
      <c r="B80" s="10" t="s">
        <v>1507</v>
      </c>
      <c r="C80" s="31">
        <v>117000</v>
      </c>
      <c r="D80" s="31">
        <v>2010</v>
      </c>
      <c r="E80" s="32">
        <f t="shared" si="2"/>
        <v>4.8507462686567164</v>
      </c>
      <c r="F80" s="10" t="str">
        <f t="shared" si="3"/>
        <v>Y</v>
      </c>
      <c r="G80" s="10" t="s">
        <v>1431</v>
      </c>
      <c r="H80" s="10" t="s">
        <v>1433</v>
      </c>
    </row>
    <row r="81" spans="1:8" x14ac:dyDescent="0.3">
      <c r="A81" s="10" t="s">
        <v>6</v>
      </c>
      <c r="B81" s="10" t="s">
        <v>1508</v>
      </c>
      <c r="C81" s="31">
        <v>110000</v>
      </c>
      <c r="D81" s="31">
        <v>2005</v>
      </c>
      <c r="E81" s="32">
        <f t="shared" si="2"/>
        <v>4.5719035743973402</v>
      </c>
      <c r="F81" s="10" t="str">
        <f t="shared" si="3"/>
        <v>Y</v>
      </c>
      <c r="G81" s="10" t="s">
        <v>1431</v>
      </c>
      <c r="H81" s="10" t="s">
        <v>1433</v>
      </c>
    </row>
    <row r="82" spans="1:8" x14ac:dyDescent="0.3">
      <c r="A82" s="10" t="s">
        <v>6</v>
      </c>
      <c r="B82" s="10" t="s">
        <v>1509</v>
      </c>
      <c r="C82" s="31">
        <v>127000</v>
      </c>
      <c r="D82" s="31">
        <v>2070</v>
      </c>
      <c r="E82" s="32">
        <f t="shared" si="2"/>
        <v>5.1127214170692428</v>
      </c>
      <c r="F82" s="10" t="str">
        <f t="shared" si="3"/>
        <v>Y</v>
      </c>
      <c r="G82" s="10" t="s">
        <v>1433</v>
      </c>
      <c r="H82" s="10" t="s">
        <v>1433</v>
      </c>
    </row>
    <row r="83" spans="1:8" x14ac:dyDescent="0.3">
      <c r="A83" s="10" t="s">
        <v>6</v>
      </c>
      <c r="B83" s="10" t="s">
        <v>1510</v>
      </c>
      <c r="C83" s="31">
        <v>87300</v>
      </c>
      <c r="D83" s="31">
        <v>1670</v>
      </c>
      <c r="E83" s="32">
        <f t="shared" si="2"/>
        <v>4.3562874251497004</v>
      </c>
      <c r="F83" s="10" t="str">
        <f t="shared" si="3"/>
        <v>Y</v>
      </c>
      <c r="G83" s="10" t="s">
        <v>1431</v>
      </c>
      <c r="H83" s="10" t="s">
        <v>1431</v>
      </c>
    </row>
    <row r="84" spans="1:8" x14ac:dyDescent="0.3">
      <c r="A84" s="10" t="s">
        <v>6</v>
      </c>
      <c r="B84" s="10" t="s">
        <v>1511</v>
      </c>
      <c r="C84" s="31">
        <v>249600</v>
      </c>
      <c r="D84" s="31">
        <v>2005</v>
      </c>
      <c r="E84" s="32">
        <f t="shared" si="2"/>
        <v>10.374064837905237</v>
      </c>
      <c r="F84" s="10" t="str">
        <f t="shared" si="3"/>
        <v>Y</v>
      </c>
      <c r="G84" s="10" t="s">
        <v>1431</v>
      </c>
      <c r="H84" s="10" t="s">
        <v>1433</v>
      </c>
    </row>
    <row r="85" spans="1:8" x14ac:dyDescent="0.3">
      <c r="A85" s="10" t="s">
        <v>6</v>
      </c>
      <c r="B85" s="10" t="s">
        <v>1512</v>
      </c>
      <c r="C85" s="31">
        <v>153448</v>
      </c>
      <c r="D85" s="31">
        <v>2380</v>
      </c>
      <c r="E85" s="32">
        <f t="shared" si="2"/>
        <v>5.3728291316526606</v>
      </c>
      <c r="F85" s="10" t="str">
        <f t="shared" si="3"/>
        <v>Y</v>
      </c>
      <c r="G85" s="10" t="s">
        <v>1431</v>
      </c>
      <c r="H85" s="10" t="s">
        <v>1433</v>
      </c>
    </row>
    <row r="86" spans="1:8" x14ac:dyDescent="0.3">
      <c r="A86" s="10" t="s">
        <v>6</v>
      </c>
      <c r="B86" s="10" t="s">
        <v>1513</v>
      </c>
      <c r="C86" s="31">
        <v>3350000</v>
      </c>
      <c r="D86" s="31">
        <v>1570</v>
      </c>
      <c r="E86" s="32">
        <f t="shared" si="2"/>
        <v>177.8131634819533</v>
      </c>
      <c r="F86" s="10" t="str">
        <f t="shared" si="3"/>
        <v>Y</v>
      </c>
      <c r="G86" s="10" t="s">
        <v>1431</v>
      </c>
      <c r="H86" s="10" t="s">
        <v>1431</v>
      </c>
    </row>
    <row r="87" spans="1:8" x14ac:dyDescent="0.3">
      <c r="A87" s="10" t="s">
        <v>6</v>
      </c>
      <c r="B87" s="10" t="s">
        <v>1514</v>
      </c>
      <c r="C87" s="31">
        <v>107000</v>
      </c>
      <c r="D87" s="31">
        <v>1880</v>
      </c>
      <c r="E87" s="32">
        <f t="shared" si="2"/>
        <v>4.7429078014184398</v>
      </c>
      <c r="F87" s="10" t="str">
        <f t="shared" si="3"/>
        <v>Y</v>
      </c>
      <c r="G87" s="10" t="s">
        <v>1431</v>
      </c>
      <c r="H87" s="10" t="s">
        <v>1433</v>
      </c>
    </row>
    <row r="88" spans="1:8" x14ac:dyDescent="0.3">
      <c r="A88" s="10" t="s">
        <v>6</v>
      </c>
      <c r="B88" s="10" t="s">
        <v>1515</v>
      </c>
      <c r="C88" s="31"/>
      <c r="D88" s="31">
        <v>2380</v>
      </c>
      <c r="E88" s="32" t="str">
        <f t="shared" si="2"/>
        <v/>
      </c>
      <c r="F88" s="10" t="str">
        <f t="shared" si="3"/>
        <v/>
      </c>
      <c r="G88" s="10" t="s">
        <v>1433</v>
      </c>
      <c r="H88" s="10" t="s">
        <v>1433</v>
      </c>
    </row>
    <row r="89" spans="1:8" x14ac:dyDescent="0.3">
      <c r="A89" s="10" t="s">
        <v>6</v>
      </c>
      <c r="B89" s="10" t="s">
        <v>1516</v>
      </c>
      <c r="C89" s="31">
        <v>200000</v>
      </c>
      <c r="D89" s="31">
        <v>2570</v>
      </c>
      <c r="E89" s="32">
        <f t="shared" si="2"/>
        <v>6.4850843060959793</v>
      </c>
      <c r="F89" s="10" t="str">
        <f t="shared" si="3"/>
        <v>Y</v>
      </c>
      <c r="G89" s="10" t="s">
        <v>1431</v>
      </c>
      <c r="H89" s="10" t="s">
        <v>1433</v>
      </c>
    </row>
    <row r="90" spans="1:8" x14ac:dyDescent="0.3">
      <c r="A90" s="10" t="s">
        <v>6</v>
      </c>
      <c r="B90" s="10" t="s">
        <v>1517</v>
      </c>
      <c r="C90" s="31">
        <v>131382</v>
      </c>
      <c r="D90" s="31">
        <v>2275</v>
      </c>
      <c r="E90" s="32">
        <f t="shared" si="2"/>
        <v>4.8125274725274725</v>
      </c>
      <c r="F90" s="10" t="str">
        <f t="shared" si="3"/>
        <v>Y</v>
      </c>
      <c r="G90" s="10" t="s">
        <v>1431</v>
      </c>
      <c r="H90" s="10" t="s">
        <v>1433</v>
      </c>
    </row>
    <row r="91" spans="1:8" x14ac:dyDescent="0.3">
      <c r="A91" s="10" t="s">
        <v>6</v>
      </c>
      <c r="B91" s="10" t="s">
        <v>1518</v>
      </c>
      <c r="C91" s="31">
        <v>78000</v>
      </c>
      <c r="D91" s="31">
        <v>2050</v>
      </c>
      <c r="E91" s="32">
        <f t="shared" si="2"/>
        <v>3.1707317073170733</v>
      </c>
      <c r="F91" s="10" t="str">
        <f t="shared" si="3"/>
        <v>Y</v>
      </c>
      <c r="G91" s="10" t="s">
        <v>1433</v>
      </c>
      <c r="H91" s="10" t="s">
        <v>1433</v>
      </c>
    </row>
    <row r="92" spans="1:8" x14ac:dyDescent="0.3">
      <c r="A92" s="10" t="s">
        <v>6</v>
      </c>
      <c r="B92" s="10" t="s">
        <v>1519</v>
      </c>
      <c r="C92" s="31"/>
      <c r="D92" s="31">
        <v>1845</v>
      </c>
      <c r="E92" s="32" t="str">
        <f t="shared" si="2"/>
        <v/>
      </c>
      <c r="F92" s="10" t="str">
        <f t="shared" si="3"/>
        <v/>
      </c>
      <c r="G92" s="10" t="s">
        <v>1433</v>
      </c>
      <c r="H92" s="10" t="s">
        <v>1433</v>
      </c>
    </row>
    <row r="93" spans="1:8" x14ac:dyDescent="0.3">
      <c r="A93" s="10" t="s">
        <v>6</v>
      </c>
      <c r="B93" s="10" t="s">
        <v>1520</v>
      </c>
      <c r="C93" s="31"/>
      <c r="D93" s="31">
        <v>1845</v>
      </c>
      <c r="E93" s="32" t="str">
        <f t="shared" si="2"/>
        <v/>
      </c>
      <c r="F93" s="10" t="str">
        <f t="shared" si="3"/>
        <v/>
      </c>
      <c r="G93" s="10" t="s">
        <v>1433</v>
      </c>
      <c r="H93" s="10" t="s">
        <v>1433</v>
      </c>
    </row>
    <row r="94" spans="1:8" x14ac:dyDescent="0.3">
      <c r="A94" s="10" t="s">
        <v>6</v>
      </c>
      <c r="B94" s="10" t="s">
        <v>1521</v>
      </c>
      <c r="C94" s="31">
        <v>138000</v>
      </c>
      <c r="D94" s="31">
        <v>1895</v>
      </c>
      <c r="E94" s="32">
        <f t="shared" si="2"/>
        <v>6.0686015831134563</v>
      </c>
      <c r="F94" s="10" t="str">
        <f t="shared" si="3"/>
        <v>Y</v>
      </c>
      <c r="G94" s="10" t="s">
        <v>1431</v>
      </c>
      <c r="H94" s="10" t="s">
        <v>1433</v>
      </c>
    </row>
    <row r="95" spans="1:8" x14ac:dyDescent="0.3">
      <c r="A95" s="10" t="s">
        <v>6</v>
      </c>
      <c r="B95" s="10" t="s">
        <v>1522</v>
      </c>
      <c r="C95" s="31">
        <v>96000</v>
      </c>
      <c r="D95" s="31">
        <v>2050</v>
      </c>
      <c r="E95" s="32">
        <f t="shared" si="2"/>
        <v>3.9024390243902438</v>
      </c>
      <c r="F95" s="10" t="str">
        <f t="shared" si="3"/>
        <v>Y</v>
      </c>
      <c r="G95" s="10" t="s">
        <v>1431</v>
      </c>
      <c r="H95" s="10" t="s">
        <v>1433</v>
      </c>
    </row>
    <row r="96" spans="1:8" x14ac:dyDescent="0.3">
      <c r="A96" s="10" t="s">
        <v>6</v>
      </c>
      <c r="B96" s="10" t="s">
        <v>1523</v>
      </c>
      <c r="C96" s="31">
        <v>204000</v>
      </c>
      <c r="D96" s="31">
        <v>1875</v>
      </c>
      <c r="E96" s="32">
        <f t="shared" si="2"/>
        <v>9.0666666666666664</v>
      </c>
      <c r="F96" s="10" t="str">
        <f t="shared" si="3"/>
        <v>Y</v>
      </c>
      <c r="G96" s="10" t="s">
        <v>1431</v>
      </c>
      <c r="H96" s="10" t="s">
        <v>1431</v>
      </c>
    </row>
    <row r="97" spans="1:8" x14ac:dyDescent="0.3">
      <c r="A97" s="10" t="s">
        <v>6</v>
      </c>
      <c r="B97" s="10" t="s">
        <v>1524</v>
      </c>
      <c r="C97" s="31">
        <v>210000</v>
      </c>
      <c r="D97" s="31">
        <v>2050</v>
      </c>
      <c r="E97" s="32">
        <f t="shared" si="2"/>
        <v>8.536585365853659</v>
      </c>
      <c r="F97" s="10" t="str">
        <f t="shared" si="3"/>
        <v>Y</v>
      </c>
      <c r="G97" s="10" t="s">
        <v>1431</v>
      </c>
      <c r="H97" s="10" t="s">
        <v>1431</v>
      </c>
    </row>
    <row r="98" spans="1:8" x14ac:dyDescent="0.3">
      <c r="A98" s="10" t="s">
        <v>6</v>
      </c>
      <c r="B98" s="10" t="s">
        <v>1525</v>
      </c>
      <c r="C98" s="31">
        <v>249398</v>
      </c>
      <c r="D98" s="31">
        <v>1975</v>
      </c>
      <c r="E98" s="32">
        <f t="shared" si="2"/>
        <v>10.523122362869199</v>
      </c>
      <c r="F98" s="10" t="str">
        <f t="shared" si="3"/>
        <v>Y</v>
      </c>
      <c r="G98" s="10" t="s">
        <v>1431</v>
      </c>
      <c r="H98" s="10" t="s">
        <v>1431</v>
      </c>
    </row>
    <row r="99" spans="1:8" x14ac:dyDescent="0.3">
      <c r="A99" s="10" t="s">
        <v>6</v>
      </c>
      <c r="B99" s="10" t="s">
        <v>1526</v>
      </c>
      <c r="C99" s="31"/>
      <c r="D99" s="31">
        <v>1850</v>
      </c>
      <c r="E99" s="32" t="str">
        <f t="shared" si="2"/>
        <v/>
      </c>
      <c r="F99" s="10" t="str">
        <f t="shared" si="3"/>
        <v/>
      </c>
      <c r="G99" s="10" t="s">
        <v>1433</v>
      </c>
      <c r="H99" s="10" t="s">
        <v>1433</v>
      </c>
    </row>
    <row r="100" spans="1:8" x14ac:dyDescent="0.3">
      <c r="A100" s="10" t="s">
        <v>6</v>
      </c>
      <c r="B100" s="10" t="s">
        <v>1527</v>
      </c>
      <c r="C100" s="31"/>
      <c r="D100" s="31">
        <v>1850</v>
      </c>
      <c r="E100" s="32" t="str">
        <f t="shared" si="2"/>
        <v/>
      </c>
      <c r="F100" s="10" t="str">
        <f t="shared" si="3"/>
        <v/>
      </c>
      <c r="G100" s="10" t="s">
        <v>1433</v>
      </c>
      <c r="H100" s="10" t="s">
        <v>1433</v>
      </c>
    </row>
    <row r="101" spans="1:8" x14ac:dyDescent="0.3">
      <c r="A101" s="10" t="s">
        <v>6</v>
      </c>
      <c r="B101" s="10" t="s">
        <v>1528</v>
      </c>
      <c r="C101" s="31">
        <v>126400</v>
      </c>
      <c r="D101" s="31">
        <v>2100</v>
      </c>
      <c r="E101" s="32">
        <f t="shared" si="2"/>
        <v>5.0158730158730158</v>
      </c>
      <c r="F101" s="10" t="str">
        <f t="shared" si="3"/>
        <v>Y</v>
      </c>
      <c r="G101" s="10" t="s">
        <v>1433</v>
      </c>
      <c r="H101" s="10" t="s">
        <v>1433</v>
      </c>
    </row>
    <row r="102" spans="1:8" x14ac:dyDescent="0.3">
      <c r="A102" s="10" t="s">
        <v>6</v>
      </c>
      <c r="B102" s="10" t="s">
        <v>1529</v>
      </c>
      <c r="C102" s="31">
        <v>221000</v>
      </c>
      <c r="D102" s="31">
        <v>1875</v>
      </c>
      <c r="E102" s="32">
        <f t="shared" si="2"/>
        <v>9.8222222222222229</v>
      </c>
      <c r="F102" s="10" t="str">
        <f t="shared" si="3"/>
        <v>Y</v>
      </c>
      <c r="G102" s="10" t="s">
        <v>1431</v>
      </c>
      <c r="H102" s="10" t="s">
        <v>1431</v>
      </c>
    </row>
    <row r="103" spans="1:8" x14ac:dyDescent="0.3">
      <c r="A103" s="10" t="s">
        <v>6</v>
      </c>
      <c r="B103" s="10" t="s">
        <v>1530</v>
      </c>
      <c r="C103" s="31">
        <v>63720</v>
      </c>
      <c r="D103" s="31">
        <v>1795</v>
      </c>
      <c r="E103" s="32">
        <f t="shared" si="2"/>
        <v>2.9582172701949863</v>
      </c>
      <c r="F103" s="10" t="str">
        <f t="shared" si="3"/>
        <v>N</v>
      </c>
      <c r="G103" s="10" t="s">
        <v>1433</v>
      </c>
      <c r="H103" s="10" t="s">
        <v>1433</v>
      </c>
    </row>
    <row r="104" spans="1:8" x14ac:dyDescent="0.3">
      <c r="A104" s="10" t="s">
        <v>6</v>
      </c>
      <c r="B104" s="10" t="s">
        <v>1531</v>
      </c>
      <c r="C104" s="31"/>
      <c r="D104" s="31">
        <v>2250</v>
      </c>
      <c r="E104" s="32" t="str">
        <f t="shared" si="2"/>
        <v/>
      </c>
      <c r="F104" s="10" t="str">
        <f t="shared" si="3"/>
        <v/>
      </c>
      <c r="G104" s="10" t="s">
        <v>1433</v>
      </c>
      <c r="H104" s="10" t="s">
        <v>1433</v>
      </c>
    </row>
    <row r="105" spans="1:8" x14ac:dyDescent="0.3">
      <c r="A105" s="10" t="s">
        <v>6</v>
      </c>
      <c r="B105" s="10" t="s">
        <v>1532</v>
      </c>
      <c r="C105" s="31">
        <v>107000</v>
      </c>
      <c r="D105" s="31">
        <v>1845</v>
      </c>
      <c r="E105" s="32">
        <f t="shared" si="2"/>
        <v>4.8328816621499548</v>
      </c>
      <c r="F105" s="10" t="str">
        <f t="shared" si="3"/>
        <v>Y</v>
      </c>
      <c r="G105" s="10" t="s">
        <v>1431</v>
      </c>
      <c r="H105" s="10" t="s">
        <v>1433</v>
      </c>
    </row>
    <row r="106" spans="1:8" x14ac:dyDescent="0.3">
      <c r="A106" s="10" t="s">
        <v>6</v>
      </c>
      <c r="B106" s="10" t="s">
        <v>1533</v>
      </c>
      <c r="C106" s="31">
        <v>155800</v>
      </c>
      <c r="D106" s="31">
        <v>2110</v>
      </c>
      <c r="E106" s="32">
        <f t="shared" si="2"/>
        <v>6.1532385466034754</v>
      </c>
      <c r="F106" s="10" t="str">
        <f t="shared" si="3"/>
        <v>Y</v>
      </c>
      <c r="G106" s="10" t="s">
        <v>1431</v>
      </c>
      <c r="H106" s="10" t="s">
        <v>1433</v>
      </c>
    </row>
    <row r="107" spans="1:8" x14ac:dyDescent="0.3">
      <c r="A107" s="10" t="s">
        <v>6</v>
      </c>
      <c r="B107" s="10" t="s">
        <v>1534</v>
      </c>
      <c r="C107" s="31">
        <v>288883</v>
      </c>
      <c r="D107" s="31">
        <v>2475</v>
      </c>
      <c r="E107" s="32">
        <f t="shared" si="2"/>
        <v>9.7267003367003362</v>
      </c>
      <c r="F107" s="10" t="str">
        <f t="shared" si="3"/>
        <v>Y</v>
      </c>
      <c r="G107" s="10" t="s">
        <v>1431</v>
      </c>
      <c r="H107" s="10" t="s">
        <v>1433</v>
      </c>
    </row>
    <row r="108" spans="1:8" x14ac:dyDescent="0.3">
      <c r="A108" s="10" t="s">
        <v>6</v>
      </c>
      <c r="B108" s="10" t="s">
        <v>1535</v>
      </c>
      <c r="C108" s="31">
        <v>140000</v>
      </c>
      <c r="D108" s="31">
        <v>1565</v>
      </c>
      <c r="E108" s="32">
        <f t="shared" si="2"/>
        <v>7.4547390841320551</v>
      </c>
      <c r="F108" s="10" t="str">
        <f t="shared" si="3"/>
        <v>Y</v>
      </c>
      <c r="G108" s="10" t="s">
        <v>1431</v>
      </c>
      <c r="H108" s="10" t="s">
        <v>1431</v>
      </c>
    </row>
    <row r="109" spans="1:8" x14ac:dyDescent="0.3">
      <c r="A109" s="10" t="s">
        <v>6</v>
      </c>
      <c r="B109" s="10" t="s">
        <v>1536</v>
      </c>
      <c r="C109" s="31">
        <v>200000</v>
      </c>
      <c r="D109" s="31">
        <v>1875</v>
      </c>
      <c r="E109" s="32">
        <f t="shared" si="2"/>
        <v>8.8888888888888893</v>
      </c>
      <c r="F109" s="10" t="str">
        <f t="shared" si="3"/>
        <v>Y</v>
      </c>
      <c r="G109" s="10" t="s">
        <v>1431</v>
      </c>
      <c r="H109" s="10" t="s">
        <v>1433</v>
      </c>
    </row>
    <row r="110" spans="1:8" x14ac:dyDescent="0.3">
      <c r="A110" s="10" t="s">
        <v>6</v>
      </c>
      <c r="B110" s="10" t="s">
        <v>1537</v>
      </c>
      <c r="C110" s="31"/>
      <c r="D110" s="31">
        <v>2225</v>
      </c>
      <c r="E110" s="32" t="str">
        <f t="shared" si="2"/>
        <v/>
      </c>
      <c r="F110" s="10" t="str">
        <f t="shared" si="3"/>
        <v/>
      </c>
      <c r="G110" s="10" t="s">
        <v>1433</v>
      </c>
      <c r="H110" s="10" t="s">
        <v>1433</v>
      </c>
    </row>
    <row r="111" spans="1:8" x14ac:dyDescent="0.3">
      <c r="A111" s="10" t="s">
        <v>6</v>
      </c>
      <c r="B111" s="10" t="s">
        <v>1538</v>
      </c>
      <c r="C111" s="31">
        <v>220688</v>
      </c>
      <c r="D111" s="31">
        <v>2595</v>
      </c>
      <c r="E111" s="32">
        <f t="shared" si="2"/>
        <v>7.0869621066152861</v>
      </c>
      <c r="F111" s="10" t="str">
        <f t="shared" si="3"/>
        <v>Y</v>
      </c>
      <c r="G111" s="10" t="s">
        <v>1431</v>
      </c>
      <c r="H111" s="10" t="s">
        <v>1433</v>
      </c>
    </row>
    <row r="112" spans="1:8" x14ac:dyDescent="0.3">
      <c r="A112" s="10" t="s">
        <v>6</v>
      </c>
      <c r="B112" s="10" t="s">
        <v>1539</v>
      </c>
      <c r="C112" s="31">
        <v>267000</v>
      </c>
      <c r="D112" s="31">
        <v>2385</v>
      </c>
      <c r="E112" s="32">
        <f t="shared" si="2"/>
        <v>9.3291404612159337</v>
      </c>
      <c r="F112" s="10" t="str">
        <f t="shared" si="3"/>
        <v>Y</v>
      </c>
      <c r="G112" s="10" t="s">
        <v>1431</v>
      </c>
      <c r="H112" s="10" t="s">
        <v>1433</v>
      </c>
    </row>
    <row r="113" spans="1:8" x14ac:dyDescent="0.3">
      <c r="A113" s="10" t="s">
        <v>6</v>
      </c>
      <c r="B113" s="10" t="s">
        <v>1540</v>
      </c>
      <c r="C113" s="31">
        <v>85000</v>
      </c>
      <c r="D113" s="31">
        <v>2100</v>
      </c>
      <c r="E113" s="32">
        <f t="shared" si="2"/>
        <v>3.373015873015873</v>
      </c>
      <c r="F113" s="10" t="str">
        <f t="shared" si="3"/>
        <v>Y</v>
      </c>
      <c r="G113" s="10" t="s">
        <v>1431</v>
      </c>
      <c r="H113" s="10" t="s">
        <v>1433</v>
      </c>
    </row>
    <row r="114" spans="1:8" x14ac:dyDescent="0.3">
      <c r="A114" s="10" t="s">
        <v>6</v>
      </c>
      <c r="B114" s="10" t="s">
        <v>1541</v>
      </c>
      <c r="C114" s="31"/>
      <c r="D114" s="31">
        <v>1800</v>
      </c>
      <c r="E114" s="32" t="str">
        <f t="shared" si="2"/>
        <v/>
      </c>
      <c r="F114" s="10" t="str">
        <f t="shared" si="3"/>
        <v/>
      </c>
      <c r="G114" s="10" t="s">
        <v>1433</v>
      </c>
      <c r="H114" s="10" t="s">
        <v>1433</v>
      </c>
    </row>
    <row r="115" spans="1:8" x14ac:dyDescent="0.3">
      <c r="A115" s="10" t="s">
        <v>6</v>
      </c>
      <c r="B115" s="10" t="s">
        <v>1542</v>
      </c>
      <c r="C115" s="31">
        <v>74880</v>
      </c>
      <c r="D115" s="31">
        <v>1850</v>
      </c>
      <c r="E115" s="32">
        <f t="shared" si="2"/>
        <v>3.3729729729729732</v>
      </c>
      <c r="F115" s="10" t="str">
        <f t="shared" si="3"/>
        <v>Y</v>
      </c>
      <c r="G115" s="10" t="s">
        <v>1433</v>
      </c>
      <c r="H115" s="10" t="s">
        <v>1433</v>
      </c>
    </row>
    <row r="116" spans="1:8" x14ac:dyDescent="0.3">
      <c r="A116" s="10" t="s">
        <v>6</v>
      </c>
      <c r="B116" s="10" t="s">
        <v>1543</v>
      </c>
      <c r="C116" s="31">
        <v>208000</v>
      </c>
      <c r="D116" s="31">
        <v>1975</v>
      </c>
      <c r="E116" s="32">
        <f t="shared" si="2"/>
        <v>8.776371308016877</v>
      </c>
      <c r="F116" s="10" t="str">
        <f t="shared" si="3"/>
        <v>Y</v>
      </c>
      <c r="G116" s="10" t="s">
        <v>1431</v>
      </c>
      <c r="H116" s="10" t="s">
        <v>1431</v>
      </c>
    </row>
    <row r="117" spans="1:8" x14ac:dyDescent="0.3">
      <c r="A117" s="10" t="s">
        <v>6</v>
      </c>
      <c r="B117" s="10" t="s">
        <v>1544</v>
      </c>
      <c r="C117" s="31">
        <v>214600</v>
      </c>
      <c r="D117" s="31">
        <v>2175</v>
      </c>
      <c r="E117" s="32">
        <f t="shared" si="2"/>
        <v>8.2222222222222214</v>
      </c>
      <c r="F117" s="10" t="str">
        <f t="shared" si="3"/>
        <v>Y</v>
      </c>
      <c r="G117" s="10" t="s">
        <v>1431</v>
      </c>
      <c r="H117" s="10" t="s">
        <v>1431</v>
      </c>
    </row>
    <row r="118" spans="1:8" x14ac:dyDescent="0.3">
      <c r="A118" s="10" t="s">
        <v>6</v>
      </c>
      <c r="B118" s="10" t="s">
        <v>1545</v>
      </c>
      <c r="C118" s="31">
        <v>120000</v>
      </c>
      <c r="D118" s="31">
        <v>1975</v>
      </c>
      <c r="E118" s="32">
        <f t="shared" si="2"/>
        <v>5.0632911392405067</v>
      </c>
      <c r="F118" s="10" t="str">
        <f t="shared" si="3"/>
        <v>Y</v>
      </c>
      <c r="G118" s="10" t="s">
        <v>1431</v>
      </c>
      <c r="H118" s="10" t="s">
        <v>1433</v>
      </c>
    </row>
    <row r="119" spans="1:8" x14ac:dyDescent="0.3">
      <c r="A119" s="10" t="s">
        <v>6</v>
      </c>
      <c r="B119" s="10" t="s">
        <v>1546</v>
      </c>
      <c r="C119" s="31">
        <v>273500</v>
      </c>
      <c r="D119" s="31">
        <v>2100</v>
      </c>
      <c r="E119" s="32">
        <f t="shared" si="2"/>
        <v>10.853174603174603</v>
      </c>
      <c r="F119" s="10" t="str">
        <f t="shared" si="3"/>
        <v>Y</v>
      </c>
      <c r="G119" s="10" t="s">
        <v>1431</v>
      </c>
      <c r="H119" s="10" t="s">
        <v>1431</v>
      </c>
    </row>
    <row r="120" spans="1:8" x14ac:dyDescent="0.3">
      <c r="A120" s="10" t="s">
        <v>6</v>
      </c>
      <c r="B120" s="10" t="s">
        <v>1547</v>
      </c>
      <c r="C120" s="31">
        <v>303088.8</v>
      </c>
      <c r="D120" s="31">
        <v>1845</v>
      </c>
      <c r="E120" s="32">
        <f t="shared" si="2"/>
        <v>13.689647696476964</v>
      </c>
      <c r="F120" s="10" t="str">
        <f t="shared" si="3"/>
        <v>Y</v>
      </c>
      <c r="G120" s="10" t="s">
        <v>1431</v>
      </c>
      <c r="H120" s="10" t="s">
        <v>1433</v>
      </c>
    </row>
    <row r="121" spans="1:8" x14ac:dyDescent="0.3">
      <c r="A121" s="10" t="s">
        <v>6</v>
      </c>
      <c r="B121" s="10" t="s">
        <v>1548</v>
      </c>
      <c r="C121" s="31">
        <v>83000</v>
      </c>
      <c r="D121" s="31">
        <v>1875</v>
      </c>
      <c r="E121" s="32">
        <f t="shared" si="2"/>
        <v>3.6888888888888891</v>
      </c>
      <c r="F121" s="10" t="str">
        <f t="shared" si="3"/>
        <v>Y</v>
      </c>
      <c r="G121" s="10" t="s">
        <v>1431</v>
      </c>
      <c r="H121" s="10" t="s">
        <v>1431</v>
      </c>
    </row>
    <row r="122" spans="1:8" x14ac:dyDescent="0.3">
      <c r="A122" s="10" t="s">
        <v>6</v>
      </c>
      <c r="B122" s="10" t="s">
        <v>1549</v>
      </c>
      <c r="C122" s="31"/>
      <c r="D122" s="31">
        <v>1800</v>
      </c>
      <c r="E122" s="32" t="str">
        <f t="shared" si="2"/>
        <v/>
      </c>
      <c r="F122" s="10" t="str">
        <f t="shared" si="3"/>
        <v/>
      </c>
      <c r="G122" s="10" t="s">
        <v>1433</v>
      </c>
      <c r="H122" s="10" t="s">
        <v>1433</v>
      </c>
    </row>
    <row r="123" spans="1:8" x14ac:dyDescent="0.3">
      <c r="A123" s="10" t="s">
        <v>6</v>
      </c>
      <c r="B123" s="10" t="s">
        <v>1550</v>
      </c>
      <c r="C123" s="31">
        <v>130000</v>
      </c>
      <c r="D123" s="31">
        <v>2210</v>
      </c>
      <c r="E123" s="32">
        <f t="shared" si="2"/>
        <v>4.9019607843137258</v>
      </c>
      <c r="F123" s="10" t="str">
        <f t="shared" si="3"/>
        <v>Y</v>
      </c>
      <c r="G123" s="10" t="s">
        <v>1431</v>
      </c>
      <c r="H123" s="10" t="s">
        <v>1433</v>
      </c>
    </row>
    <row r="124" spans="1:8" x14ac:dyDescent="0.3">
      <c r="A124" s="10" t="s">
        <v>6</v>
      </c>
      <c r="B124" s="10" t="s">
        <v>1551</v>
      </c>
      <c r="C124" s="31">
        <v>402000</v>
      </c>
      <c r="D124" s="31">
        <v>1795</v>
      </c>
      <c r="E124" s="32">
        <f t="shared" si="2"/>
        <v>18.662952646239553</v>
      </c>
      <c r="F124" s="10" t="str">
        <f t="shared" si="3"/>
        <v>Y</v>
      </c>
      <c r="G124" s="10" t="s">
        <v>1433</v>
      </c>
      <c r="H124" s="10" t="s">
        <v>1433</v>
      </c>
    </row>
    <row r="125" spans="1:8" x14ac:dyDescent="0.3">
      <c r="A125" s="10" t="s">
        <v>6</v>
      </c>
      <c r="B125" s="10" t="s">
        <v>1552</v>
      </c>
      <c r="C125" s="31">
        <v>229000</v>
      </c>
      <c r="D125" s="31">
        <v>2100</v>
      </c>
      <c r="E125" s="32">
        <f t="shared" si="2"/>
        <v>9.087301587301587</v>
      </c>
      <c r="F125" s="10" t="str">
        <f t="shared" si="3"/>
        <v>Y</v>
      </c>
      <c r="G125" s="10" t="s">
        <v>1431</v>
      </c>
      <c r="H125" s="10" t="s">
        <v>1431</v>
      </c>
    </row>
    <row r="126" spans="1:8" x14ac:dyDescent="0.3">
      <c r="A126" s="10" t="s">
        <v>6</v>
      </c>
      <c r="B126" s="10" t="s">
        <v>1553</v>
      </c>
      <c r="C126" s="31"/>
      <c r="D126" s="31">
        <v>2100</v>
      </c>
      <c r="E126" s="32" t="str">
        <f t="shared" si="2"/>
        <v/>
      </c>
      <c r="F126" s="10" t="str">
        <f t="shared" si="3"/>
        <v/>
      </c>
      <c r="G126" s="10" t="s">
        <v>1433</v>
      </c>
      <c r="H126" s="10" t="s">
        <v>1433</v>
      </c>
    </row>
    <row r="127" spans="1:8" x14ac:dyDescent="0.3">
      <c r="A127" s="10" t="s">
        <v>6</v>
      </c>
      <c r="B127" s="10" t="s">
        <v>1554</v>
      </c>
      <c r="C127" s="31">
        <v>106000</v>
      </c>
      <c r="D127" s="31">
        <v>1700</v>
      </c>
      <c r="E127" s="32">
        <f t="shared" si="2"/>
        <v>5.1960784313725492</v>
      </c>
      <c r="F127" s="10" t="str">
        <f t="shared" si="3"/>
        <v>Y</v>
      </c>
      <c r="G127" s="10" t="s">
        <v>1433</v>
      </c>
      <c r="H127" s="10" t="s">
        <v>1433</v>
      </c>
    </row>
    <row r="128" spans="1:8" x14ac:dyDescent="0.3">
      <c r="A128" s="10" t="s">
        <v>6</v>
      </c>
      <c r="B128" s="10" t="s">
        <v>1555</v>
      </c>
      <c r="C128" s="31">
        <v>127400</v>
      </c>
      <c r="D128" s="31">
        <v>1795</v>
      </c>
      <c r="E128" s="32">
        <f t="shared" si="2"/>
        <v>5.9145775301764161</v>
      </c>
      <c r="F128" s="10" t="str">
        <f t="shared" si="3"/>
        <v>Y</v>
      </c>
      <c r="G128" s="10" t="s">
        <v>1431</v>
      </c>
      <c r="H128" s="10" t="s">
        <v>1433</v>
      </c>
    </row>
    <row r="129" spans="1:8" x14ac:dyDescent="0.3">
      <c r="A129" s="10" t="s">
        <v>6</v>
      </c>
      <c r="B129" s="10" t="s">
        <v>1556</v>
      </c>
      <c r="C129" s="31">
        <v>323400</v>
      </c>
      <c r="D129" s="31">
        <v>2595</v>
      </c>
      <c r="E129" s="32">
        <f t="shared" si="2"/>
        <v>10.385356454720617</v>
      </c>
      <c r="F129" s="10" t="str">
        <f t="shared" si="3"/>
        <v>Y</v>
      </c>
      <c r="G129" s="10" t="s">
        <v>1433</v>
      </c>
      <c r="H129" s="10" t="s">
        <v>1433</v>
      </c>
    </row>
    <row r="130" spans="1:8" x14ac:dyDescent="0.3">
      <c r="A130" s="10" t="s">
        <v>6</v>
      </c>
      <c r="B130" s="10" t="s">
        <v>1557</v>
      </c>
      <c r="C130" s="31">
        <v>96500</v>
      </c>
      <c r="D130" s="31">
        <v>1689</v>
      </c>
      <c r="E130" s="32">
        <f t="shared" si="2"/>
        <v>4.7611999210578251</v>
      </c>
      <c r="F130" s="10" t="str">
        <f t="shared" si="3"/>
        <v>Y</v>
      </c>
      <c r="G130" s="10" t="s">
        <v>1433</v>
      </c>
      <c r="H130" s="10" t="s">
        <v>1433</v>
      </c>
    </row>
    <row r="131" spans="1:8" x14ac:dyDescent="0.3">
      <c r="A131" s="10" t="s">
        <v>6</v>
      </c>
      <c r="B131" s="10" t="s">
        <v>1558</v>
      </c>
      <c r="C131" s="31">
        <v>190000</v>
      </c>
      <c r="D131" s="31">
        <v>2205</v>
      </c>
      <c r="E131" s="32">
        <f t="shared" si="2"/>
        <v>7.180650037792895</v>
      </c>
      <c r="F131" s="10" t="str">
        <f t="shared" si="3"/>
        <v>Y</v>
      </c>
      <c r="G131" s="10" t="s">
        <v>1431</v>
      </c>
      <c r="H131" s="10" t="s">
        <v>1433</v>
      </c>
    </row>
    <row r="132" spans="1:8" x14ac:dyDescent="0.3">
      <c r="A132" s="10" t="s">
        <v>6</v>
      </c>
      <c r="B132" s="10" t="s">
        <v>1559</v>
      </c>
      <c r="C132" s="31">
        <v>466400</v>
      </c>
      <c r="D132" s="31">
        <v>2425</v>
      </c>
      <c r="E132" s="32">
        <f t="shared" si="2"/>
        <v>16.027491408934708</v>
      </c>
      <c r="F132" s="10" t="str">
        <f t="shared" si="3"/>
        <v>Y</v>
      </c>
      <c r="G132" s="10" t="s">
        <v>1431</v>
      </c>
      <c r="H132" s="10" t="s">
        <v>1433</v>
      </c>
    </row>
    <row r="133" spans="1:8" x14ac:dyDescent="0.3">
      <c r="A133" s="10" t="s">
        <v>6</v>
      </c>
      <c r="B133" s="10" t="s">
        <v>1560</v>
      </c>
      <c r="C133" s="31">
        <v>192581.19</v>
      </c>
      <c r="D133" s="31">
        <v>2585</v>
      </c>
      <c r="E133" s="32">
        <f t="shared" ref="E133:E196" si="4">IF(AND(ISNUMBER(C133),ISNUMBER(D133)),C133/(12*D133),"")</f>
        <v>6.2082911025145071</v>
      </c>
      <c r="F133" s="10" t="str">
        <f t="shared" ref="F133:F196" si="5">IF(E133="","",IF(E133&gt;=3,"Y","N"))</f>
        <v>Y</v>
      </c>
      <c r="G133" s="10" t="s">
        <v>1431</v>
      </c>
      <c r="H133" s="10" t="s">
        <v>1433</v>
      </c>
    </row>
    <row r="134" spans="1:8" x14ac:dyDescent="0.3">
      <c r="A134" s="10" t="s">
        <v>6</v>
      </c>
      <c r="B134" s="10" t="s">
        <v>1561</v>
      </c>
      <c r="C134" s="31">
        <v>291000</v>
      </c>
      <c r="D134" s="31">
        <v>2455</v>
      </c>
      <c r="E134" s="32">
        <f t="shared" si="4"/>
        <v>9.877800407331975</v>
      </c>
      <c r="F134" s="10" t="str">
        <f t="shared" si="5"/>
        <v>Y</v>
      </c>
      <c r="G134" s="10" t="s">
        <v>1431</v>
      </c>
      <c r="H134" s="10" t="s">
        <v>1431</v>
      </c>
    </row>
    <row r="135" spans="1:8" x14ac:dyDescent="0.3">
      <c r="A135" s="10" t="s">
        <v>6</v>
      </c>
      <c r="B135" s="10" t="s">
        <v>1562</v>
      </c>
      <c r="C135" s="31">
        <v>106000</v>
      </c>
      <c r="D135" s="31">
        <v>2210</v>
      </c>
      <c r="E135" s="32">
        <f t="shared" si="4"/>
        <v>3.9969834087481146</v>
      </c>
      <c r="F135" s="10" t="str">
        <f t="shared" si="5"/>
        <v>Y</v>
      </c>
      <c r="G135" s="10" t="s">
        <v>1431</v>
      </c>
      <c r="H135" s="10" t="s">
        <v>1433</v>
      </c>
    </row>
    <row r="136" spans="1:8" x14ac:dyDescent="0.3">
      <c r="A136" s="10" t="s">
        <v>6</v>
      </c>
      <c r="B136" s="10" t="s">
        <v>1563</v>
      </c>
      <c r="C136" s="31">
        <v>108600.44</v>
      </c>
      <c r="D136" s="31">
        <v>1770</v>
      </c>
      <c r="E136" s="32">
        <f t="shared" si="4"/>
        <v>5.1130150659133715</v>
      </c>
      <c r="F136" s="10" t="str">
        <f t="shared" si="5"/>
        <v>Y</v>
      </c>
      <c r="G136" s="10" t="s">
        <v>1433</v>
      </c>
      <c r="H136" s="10" t="s">
        <v>1433</v>
      </c>
    </row>
    <row r="137" spans="1:8" x14ac:dyDescent="0.3">
      <c r="A137" s="10" t="s">
        <v>6</v>
      </c>
      <c r="B137" s="10" t="s">
        <v>1564</v>
      </c>
      <c r="C137" s="31">
        <v>150000</v>
      </c>
      <c r="D137" s="31">
        <v>1985</v>
      </c>
      <c r="E137" s="32">
        <f t="shared" si="4"/>
        <v>6.2972292191435768</v>
      </c>
      <c r="F137" s="10" t="str">
        <f t="shared" si="5"/>
        <v>Y</v>
      </c>
      <c r="G137" s="10" t="s">
        <v>1431</v>
      </c>
      <c r="H137" s="10" t="s">
        <v>1433</v>
      </c>
    </row>
    <row r="138" spans="1:8" x14ac:dyDescent="0.3">
      <c r="A138" s="10" t="s">
        <v>6</v>
      </c>
      <c r="B138" s="10" t="s">
        <v>1565</v>
      </c>
      <c r="C138" s="31">
        <v>140400</v>
      </c>
      <c r="D138" s="31">
        <v>2005</v>
      </c>
      <c r="E138" s="32">
        <f t="shared" si="4"/>
        <v>5.835411471321696</v>
      </c>
      <c r="F138" s="10" t="str">
        <f t="shared" si="5"/>
        <v>Y</v>
      </c>
      <c r="G138" s="10" t="s">
        <v>1431</v>
      </c>
      <c r="H138" s="10" t="s">
        <v>1433</v>
      </c>
    </row>
    <row r="139" spans="1:8" x14ac:dyDescent="0.3">
      <c r="A139" s="10" t="s">
        <v>6</v>
      </c>
      <c r="B139" s="10" t="s">
        <v>1566</v>
      </c>
      <c r="C139" s="31">
        <v>572000</v>
      </c>
      <c r="D139" s="31">
        <v>2675</v>
      </c>
      <c r="E139" s="32">
        <f t="shared" si="4"/>
        <v>17.819314641744548</v>
      </c>
      <c r="F139" s="10" t="str">
        <f t="shared" si="5"/>
        <v>Y</v>
      </c>
      <c r="G139" s="10" t="s">
        <v>1431</v>
      </c>
      <c r="H139" s="10" t="s">
        <v>1433</v>
      </c>
    </row>
    <row r="140" spans="1:8" x14ac:dyDescent="0.3">
      <c r="A140" s="10" t="s">
        <v>6</v>
      </c>
      <c r="B140" s="10" t="s">
        <v>1567</v>
      </c>
      <c r="C140" s="31">
        <v>152250</v>
      </c>
      <c r="D140" s="31">
        <v>2005</v>
      </c>
      <c r="E140" s="32">
        <f t="shared" si="4"/>
        <v>6.3279301745635914</v>
      </c>
      <c r="F140" s="10" t="str">
        <f t="shared" si="5"/>
        <v>Y</v>
      </c>
      <c r="G140" s="10" t="s">
        <v>1431</v>
      </c>
      <c r="H140" s="10" t="s">
        <v>1431</v>
      </c>
    </row>
    <row r="141" spans="1:8" x14ac:dyDescent="0.3">
      <c r="A141" s="10" t="s">
        <v>6</v>
      </c>
      <c r="B141" s="10" t="s">
        <v>1568</v>
      </c>
      <c r="C141" s="31">
        <v>227000</v>
      </c>
      <c r="D141" s="31">
        <v>2320</v>
      </c>
      <c r="E141" s="32">
        <f t="shared" si="4"/>
        <v>8.1537356321839081</v>
      </c>
      <c r="F141" s="10" t="str">
        <f t="shared" si="5"/>
        <v>Y</v>
      </c>
      <c r="G141" s="10" t="s">
        <v>1431</v>
      </c>
      <c r="H141" s="10" t="s">
        <v>1433</v>
      </c>
    </row>
    <row r="142" spans="1:8" x14ac:dyDescent="0.3">
      <c r="A142" s="10" t="s">
        <v>6</v>
      </c>
      <c r="B142" s="10" t="s">
        <v>1569</v>
      </c>
      <c r="C142" s="31">
        <v>90500</v>
      </c>
      <c r="D142" s="31">
        <v>2005</v>
      </c>
      <c r="E142" s="32">
        <f t="shared" si="4"/>
        <v>3.7614297589359933</v>
      </c>
      <c r="F142" s="10" t="str">
        <f t="shared" si="5"/>
        <v>Y</v>
      </c>
      <c r="G142" s="10" t="s">
        <v>1431</v>
      </c>
      <c r="H142" s="10" t="s">
        <v>1433</v>
      </c>
    </row>
    <row r="143" spans="1:8" x14ac:dyDescent="0.3">
      <c r="A143" s="10" t="s">
        <v>6</v>
      </c>
      <c r="B143" s="10" t="s">
        <v>1570</v>
      </c>
      <c r="C143" s="31">
        <v>250423</v>
      </c>
      <c r="D143" s="31">
        <v>1860</v>
      </c>
      <c r="E143" s="32">
        <f t="shared" si="4"/>
        <v>11.219668458781362</v>
      </c>
      <c r="F143" s="10" t="str">
        <f t="shared" si="5"/>
        <v>Y</v>
      </c>
      <c r="G143" s="10" t="s">
        <v>1431</v>
      </c>
      <c r="H143" s="10" t="s">
        <v>1431</v>
      </c>
    </row>
    <row r="144" spans="1:8" x14ac:dyDescent="0.3">
      <c r="A144" s="10" t="s">
        <v>6</v>
      </c>
      <c r="B144" s="10" t="s">
        <v>1571</v>
      </c>
      <c r="C144" s="31">
        <v>96500</v>
      </c>
      <c r="D144" s="31">
        <v>1905</v>
      </c>
      <c r="E144" s="32">
        <f t="shared" si="4"/>
        <v>4.2213473315835524</v>
      </c>
      <c r="F144" s="10" t="str">
        <f t="shared" si="5"/>
        <v>Y</v>
      </c>
      <c r="G144" s="10" t="s">
        <v>1431</v>
      </c>
      <c r="H144" s="10" t="s">
        <v>1431</v>
      </c>
    </row>
    <row r="145" spans="1:8" x14ac:dyDescent="0.3">
      <c r="A145" s="10" t="s">
        <v>6</v>
      </c>
      <c r="B145" s="10" t="s">
        <v>1572</v>
      </c>
      <c r="C145" s="31">
        <v>249400</v>
      </c>
      <c r="D145" s="31">
        <v>2110</v>
      </c>
      <c r="E145" s="32">
        <f t="shared" si="4"/>
        <v>9.8499210110584521</v>
      </c>
      <c r="F145" s="10" t="str">
        <f t="shared" si="5"/>
        <v>Y</v>
      </c>
      <c r="G145" s="10" t="s">
        <v>1431</v>
      </c>
      <c r="H145" s="10" t="s">
        <v>1433</v>
      </c>
    </row>
    <row r="146" spans="1:8" x14ac:dyDescent="0.3">
      <c r="A146" s="10" t="s">
        <v>6</v>
      </c>
      <c r="B146" s="10" t="s">
        <v>1573</v>
      </c>
      <c r="C146" s="31">
        <v>115296</v>
      </c>
      <c r="D146" s="31">
        <v>2005</v>
      </c>
      <c r="E146" s="32">
        <f t="shared" si="4"/>
        <v>4.7920199501246881</v>
      </c>
      <c r="F146" s="10" t="str">
        <f t="shared" si="5"/>
        <v>Y</v>
      </c>
      <c r="G146" s="10" t="s">
        <v>1431</v>
      </c>
      <c r="H146" s="10" t="s">
        <v>1431</v>
      </c>
    </row>
    <row r="147" spans="1:8" x14ac:dyDescent="0.3">
      <c r="A147" s="10" t="s">
        <v>6</v>
      </c>
      <c r="B147" s="10" t="s">
        <v>1574</v>
      </c>
      <c r="C147" s="31">
        <v>173010</v>
      </c>
      <c r="D147" s="31">
        <v>2140</v>
      </c>
      <c r="E147" s="32">
        <f t="shared" si="4"/>
        <v>6.7371495327102799</v>
      </c>
      <c r="F147" s="10" t="str">
        <f t="shared" si="5"/>
        <v>Y</v>
      </c>
      <c r="G147" s="10" t="s">
        <v>1431</v>
      </c>
      <c r="H147" s="10" t="s">
        <v>1433</v>
      </c>
    </row>
    <row r="148" spans="1:8" x14ac:dyDescent="0.3">
      <c r="A148" s="10" t="s">
        <v>6</v>
      </c>
      <c r="B148" s="10" t="s">
        <v>1575</v>
      </c>
      <c r="C148" s="31">
        <v>332000</v>
      </c>
      <c r="D148" s="31">
        <v>2005</v>
      </c>
      <c r="E148" s="32">
        <f t="shared" si="4"/>
        <v>13.798836242726518</v>
      </c>
      <c r="F148" s="10" t="str">
        <f t="shared" si="5"/>
        <v>Y</v>
      </c>
      <c r="G148" s="10" t="s">
        <v>1431</v>
      </c>
      <c r="H148" s="10" t="s">
        <v>1433</v>
      </c>
    </row>
    <row r="149" spans="1:8" x14ac:dyDescent="0.3">
      <c r="A149" s="10" t="s">
        <v>6</v>
      </c>
      <c r="B149" s="10" t="s">
        <v>1576</v>
      </c>
      <c r="C149" s="31">
        <v>208984</v>
      </c>
      <c r="D149" s="31">
        <v>1905</v>
      </c>
      <c r="E149" s="32">
        <f t="shared" si="4"/>
        <v>9.1419072615923014</v>
      </c>
      <c r="F149" s="10" t="str">
        <f t="shared" si="5"/>
        <v>Y</v>
      </c>
      <c r="G149" s="10" t="s">
        <v>1431</v>
      </c>
      <c r="H149" s="10" t="s">
        <v>1433</v>
      </c>
    </row>
    <row r="150" spans="1:8" x14ac:dyDescent="0.3">
      <c r="A150" s="10" t="s">
        <v>6</v>
      </c>
      <c r="B150" s="10" t="s">
        <v>1577</v>
      </c>
      <c r="C150" s="31">
        <v>150200</v>
      </c>
      <c r="D150" s="31">
        <v>2005</v>
      </c>
      <c r="E150" s="32">
        <f t="shared" si="4"/>
        <v>6.2427265170407313</v>
      </c>
      <c r="F150" s="10" t="str">
        <f t="shared" si="5"/>
        <v>Y</v>
      </c>
      <c r="G150" s="10" t="s">
        <v>1433</v>
      </c>
      <c r="H150" s="10" t="s">
        <v>1433</v>
      </c>
    </row>
    <row r="151" spans="1:8" x14ac:dyDescent="0.3">
      <c r="A151" s="10" t="s">
        <v>6</v>
      </c>
      <c r="B151" s="10" t="s">
        <v>1578</v>
      </c>
      <c r="C151" s="31"/>
      <c r="D151" s="31">
        <v>2705</v>
      </c>
      <c r="E151" s="32" t="str">
        <f t="shared" si="4"/>
        <v/>
      </c>
      <c r="F151" s="10" t="str">
        <f t="shared" si="5"/>
        <v/>
      </c>
      <c r="G151" s="10" t="s">
        <v>1433</v>
      </c>
      <c r="H151" s="10" t="s">
        <v>1433</v>
      </c>
    </row>
    <row r="152" spans="1:8" x14ac:dyDescent="0.3">
      <c r="A152" s="10" t="s">
        <v>6</v>
      </c>
      <c r="B152" s="10" t="s">
        <v>1579</v>
      </c>
      <c r="C152" s="31">
        <v>94250</v>
      </c>
      <c r="D152" s="31">
        <v>1775</v>
      </c>
      <c r="E152" s="32">
        <f t="shared" si="4"/>
        <v>4.424882629107981</v>
      </c>
      <c r="F152" s="10" t="str">
        <f t="shared" si="5"/>
        <v>Y</v>
      </c>
      <c r="G152" s="10" t="s">
        <v>1431</v>
      </c>
      <c r="H152" s="10" t="s">
        <v>1433</v>
      </c>
    </row>
    <row r="153" spans="1:8" x14ac:dyDescent="0.3">
      <c r="A153" s="10" t="s">
        <v>6</v>
      </c>
      <c r="B153" s="10" t="s">
        <v>1580</v>
      </c>
      <c r="C153" s="31">
        <v>180000</v>
      </c>
      <c r="D153" s="31">
        <v>2245</v>
      </c>
      <c r="E153" s="32">
        <f t="shared" si="4"/>
        <v>6.6815144766146997</v>
      </c>
      <c r="F153" s="10" t="str">
        <f t="shared" si="5"/>
        <v>Y</v>
      </c>
      <c r="G153" s="10" t="s">
        <v>1431</v>
      </c>
      <c r="H153" s="10" t="s">
        <v>1433</v>
      </c>
    </row>
    <row r="154" spans="1:8" x14ac:dyDescent="0.3">
      <c r="A154" s="10" t="s">
        <v>6</v>
      </c>
      <c r="B154" s="10" t="s">
        <v>1581</v>
      </c>
      <c r="C154" s="31">
        <v>32472</v>
      </c>
      <c r="D154" s="31">
        <v>2080</v>
      </c>
      <c r="E154" s="32">
        <f t="shared" si="4"/>
        <v>1.3009615384615385</v>
      </c>
      <c r="F154" s="10" t="str">
        <f t="shared" si="5"/>
        <v>N</v>
      </c>
      <c r="G154" s="10" t="s">
        <v>1433</v>
      </c>
      <c r="H154" s="10" t="s">
        <v>1433</v>
      </c>
    </row>
    <row r="155" spans="1:8" x14ac:dyDescent="0.3">
      <c r="A155" s="10" t="s">
        <v>6</v>
      </c>
      <c r="B155" s="10" t="s">
        <v>1582</v>
      </c>
      <c r="C155" s="31">
        <v>120000</v>
      </c>
      <c r="D155" s="31">
        <v>2180</v>
      </c>
      <c r="E155" s="32">
        <f t="shared" si="4"/>
        <v>4.5871559633027523</v>
      </c>
      <c r="F155" s="10" t="str">
        <f t="shared" si="5"/>
        <v>Y</v>
      </c>
      <c r="G155" s="10" t="s">
        <v>1431</v>
      </c>
      <c r="H155" s="10" t="s">
        <v>1431</v>
      </c>
    </row>
    <row r="156" spans="1:8" x14ac:dyDescent="0.3">
      <c r="A156" s="10" t="s">
        <v>6</v>
      </c>
      <c r="B156" s="10" t="s">
        <v>1583</v>
      </c>
      <c r="C156" s="31">
        <v>156000</v>
      </c>
      <c r="D156" s="31">
        <v>2130</v>
      </c>
      <c r="E156" s="32">
        <f t="shared" si="4"/>
        <v>6.103286384976526</v>
      </c>
      <c r="F156" s="10" t="str">
        <f t="shared" si="5"/>
        <v>Y</v>
      </c>
      <c r="G156" s="10" t="s">
        <v>1431</v>
      </c>
      <c r="H156" s="10" t="s">
        <v>1433</v>
      </c>
    </row>
    <row r="157" spans="1:8" x14ac:dyDescent="0.3">
      <c r="A157" s="10" t="s">
        <v>6</v>
      </c>
      <c r="B157" s="10" t="s">
        <v>1584</v>
      </c>
      <c r="C157" s="31">
        <v>264000</v>
      </c>
      <c r="D157" s="31">
        <v>1595</v>
      </c>
      <c r="E157" s="32">
        <f t="shared" si="4"/>
        <v>13.793103448275861</v>
      </c>
      <c r="F157" s="10" t="str">
        <f t="shared" si="5"/>
        <v>Y</v>
      </c>
      <c r="G157" s="10" t="s">
        <v>1433</v>
      </c>
      <c r="H157" s="10" t="s">
        <v>1433</v>
      </c>
    </row>
    <row r="158" spans="1:8" x14ac:dyDescent="0.3">
      <c r="A158" s="10" t="s">
        <v>6</v>
      </c>
      <c r="B158" s="10" t="s">
        <v>1585</v>
      </c>
      <c r="C158" s="31">
        <v>122000</v>
      </c>
      <c r="D158" s="31">
        <v>1495</v>
      </c>
      <c r="E158" s="32">
        <f t="shared" si="4"/>
        <v>6.8004459308807137</v>
      </c>
      <c r="F158" s="10" t="str">
        <f t="shared" si="5"/>
        <v>Y</v>
      </c>
      <c r="G158" s="10" t="s">
        <v>1431</v>
      </c>
      <c r="H158" s="10" t="s">
        <v>1433</v>
      </c>
    </row>
    <row r="159" spans="1:8" x14ac:dyDescent="0.3">
      <c r="A159" s="10" t="s">
        <v>6</v>
      </c>
      <c r="B159" s="10" t="s">
        <v>1586</v>
      </c>
      <c r="C159" s="31">
        <v>90749</v>
      </c>
      <c r="D159" s="31">
        <v>1595</v>
      </c>
      <c r="E159" s="32">
        <f t="shared" si="4"/>
        <v>4.7413270637408571</v>
      </c>
      <c r="F159" s="10" t="str">
        <f t="shared" si="5"/>
        <v>Y</v>
      </c>
      <c r="G159" s="10" t="s">
        <v>1431</v>
      </c>
      <c r="H159" s="10" t="s">
        <v>1433</v>
      </c>
    </row>
    <row r="160" spans="1:8" x14ac:dyDescent="0.3">
      <c r="A160" s="10" t="s">
        <v>6</v>
      </c>
      <c r="B160" s="10" t="s">
        <v>1587</v>
      </c>
      <c r="C160" s="31">
        <v>55000</v>
      </c>
      <c r="D160" s="31">
        <v>1605</v>
      </c>
      <c r="E160" s="32">
        <f t="shared" si="4"/>
        <v>2.8556593977154723</v>
      </c>
      <c r="F160" s="10" t="str">
        <f t="shared" si="5"/>
        <v>N</v>
      </c>
      <c r="G160" s="10" t="s">
        <v>1433</v>
      </c>
      <c r="H160" s="10" t="s">
        <v>1433</v>
      </c>
    </row>
    <row r="161" spans="1:8" x14ac:dyDescent="0.3">
      <c r="A161" s="10" t="s">
        <v>6</v>
      </c>
      <c r="B161" s="10" t="s">
        <v>1588</v>
      </c>
      <c r="C161" s="31">
        <v>135200</v>
      </c>
      <c r="D161" s="31">
        <v>2045</v>
      </c>
      <c r="E161" s="32">
        <f t="shared" si="4"/>
        <v>5.5093724531377344</v>
      </c>
      <c r="F161" s="10" t="str">
        <f t="shared" si="5"/>
        <v>Y</v>
      </c>
      <c r="G161" s="10" t="s">
        <v>1431</v>
      </c>
      <c r="H161" s="10" t="s">
        <v>1433</v>
      </c>
    </row>
    <row r="162" spans="1:8" x14ac:dyDescent="0.3">
      <c r="A162" s="10" t="s">
        <v>6</v>
      </c>
      <c r="B162" s="10" t="s">
        <v>1589</v>
      </c>
      <c r="C162" s="31">
        <v>96500</v>
      </c>
      <c r="D162" s="31">
        <v>2230</v>
      </c>
      <c r="E162" s="32">
        <f t="shared" si="4"/>
        <v>3.6061285500747382</v>
      </c>
      <c r="F162" s="10" t="str">
        <f t="shared" si="5"/>
        <v>Y</v>
      </c>
      <c r="G162" s="10" t="s">
        <v>1431</v>
      </c>
      <c r="H162" s="10" t="s">
        <v>1431</v>
      </c>
    </row>
    <row r="163" spans="1:8" x14ac:dyDescent="0.3">
      <c r="A163" s="10" t="s">
        <v>6</v>
      </c>
      <c r="B163" s="10" t="s">
        <v>1590</v>
      </c>
      <c r="C163" s="31">
        <v>204400</v>
      </c>
      <c r="D163" s="31">
        <v>2075</v>
      </c>
      <c r="E163" s="32">
        <f t="shared" si="4"/>
        <v>8.2088353413654627</v>
      </c>
      <c r="F163" s="10" t="str">
        <f t="shared" si="5"/>
        <v>Y</v>
      </c>
      <c r="G163" s="10" t="s">
        <v>1431</v>
      </c>
      <c r="H163" s="10" t="s">
        <v>1431</v>
      </c>
    </row>
    <row r="164" spans="1:8" x14ac:dyDescent="0.3">
      <c r="A164" s="10" t="s">
        <v>6</v>
      </c>
      <c r="B164" s="10" t="s">
        <v>1591</v>
      </c>
      <c r="C164" s="31">
        <v>90000</v>
      </c>
      <c r="D164" s="31">
        <v>1955</v>
      </c>
      <c r="E164" s="32">
        <f t="shared" si="4"/>
        <v>3.836317135549872</v>
      </c>
      <c r="F164" s="10" t="str">
        <f t="shared" si="5"/>
        <v>Y</v>
      </c>
      <c r="G164" s="10" t="s">
        <v>1431</v>
      </c>
      <c r="H164" s="10" t="s">
        <v>1433</v>
      </c>
    </row>
    <row r="165" spans="1:8" x14ac:dyDescent="0.3">
      <c r="A165" s="10" t="s">
        <v>6</v>
      </c>
      <c r="B165" s="10" t="s">
        <v>1592</v>
      </c>
      <c r="C165" s="31">
        <v>97650</v>
      </c>
      <c r="D165" s="31">
        <v>1775</v>
      </c>
      <c r="E165" s="32">
        <f t="shared" si="4"/>
        <v>4.584507042253521</v>
      </c>
      <c r="F165" s="10" t="str">
        <f t="shared" si="5"/>
        <v>Y</v>
      </c>
      <c r="G165" s="10" t="s">
        <v>1431</v>
      </c>
      <c r="H165" s="10" t="s">
        <v>1431</v>
      </c>
    </row>
    <row r="166" spans="1:8" x14ac:dyDescent="0.3">
      <c r="A166" s="10" t="s">
        <v>6</v>
      </c>
      <c r="B166" s="10" t="s">
        <v>1593</v>
      </c>
      <c r="C166" s="31">
        <v>150000</v>
      </c>
      <c r="D166" s="31">
        <v>1620</v>
      </c>
      <c r="E166" s="32">
        <f t="shared" si="4"/>
        <v>7.716049382716049</v>
      </c>
      <c r="F166" s="10" t="str">
        <f t="shared" si="5"/>
        <v>Y</v>
      </c>
      <c r="G166" s="10" t="s">
        <v>1431</v>
      </c>
      <c r="H166" s="10" t="s">
        <v>1433</v>
      </c>
    </row>
    <row r="167" spans="1:8" x14ac:dyDescent="0.3">
      <c r="A167" s="10" t="s">
        <v>6</v>
      </c>
      <c r="B167" s="10" t="s">
        <v>1594</v>
      </c>
      <c r="C167" s="31"/>
      <c r="D167" s="31">
        <v>1750</v>
      </c>
      <c r="E167" s="32" t="str">
        <f t="shared" si="4"/>
        <v/>
      </c>
      <c r="F167" s="10" t="str">
        <f t="shared" si="5"/>
        <v/>
      </c>
      <c r="G167" s="10" t="s">
        <v>1433</v>
      </c>
      <c r="H167" s="10" t="s">
        <v>1433</v>
      </c>
    </row>
    <row r="168" spans="1:8" x14ac:dyDescent="0.3">
      <c r="A168" s="10" t="s">
        <v>6</v>
      </c>
      <c r="B168" s="10" t="s">
        <v>1595</v>
      </c>
      <c r="C168" s="31">
        <v>240485</v>
      </c>
      <c r="D168" s="31">
        <v>1640</v>
      </c>
      <c r="E168" s="32">
        <f t="shared" si="4"/>
        <v>12.219766260162602</v>
      </c>
      <c r="F168" s="10" t="str">
        <f t="shared" si="5"/>
        <v>Y</v>
      </c>
      <c r="G168" s="10" t="s">
        <v>1431</v>
      </c>
      <c r="H168" s="10" t="s">
        <v>1431</v>
      </c>
    </row>
    <row r="169" spans="1:8" x14ac:dyDescent="0.3">
      <c r="A169" s="10" t="s">
        <v>6</v>
      </c>
      <c r="B169" s="10" t="s">
        <v>1596</v>
      </c>
      <c r="C169" s="31">
        <v>130000</v>
      </c>
      <c r="D169" s="31">
        <v>1825</v>
      </c>
      <c r="E169" s="32">
        <f t="shared" si="4"/>
        <v>5.9360730593607309</v>
      </c>
      <c r="F169" s="10" t="str">
        <f t="shared" si="5"/>
        <v>Y</v>
      </c>
      <c r="G169" s="10" t="s">
        <v>1433</v>
      </c>
      <c r="H169" s="10" t="s">
        <v>1433</v>
      </c>
    </row>
    <row r="170" spans="1:8" x14ac:dyDescent="0.3">
      <c r="A170" s="10" t="s">
        <v>6</v>
      </c>
      <c r="B170" s="10" t="s">
        <v>1597</v>
      </c>
      <c r="C170" s="31">
        <v>234800</v>
      </c>
      <c r="D170" s="31">
        <v>2175</v>
      </c>
      <c r="E170" s="32">
        <f t="shared" si="4"/>
        <v>8.9961685823754785</v>
      </c>
      <c r="F170" s="10" t="str">
        <f t="shared" si="5"/>
        <v>Y</v>
      </c>
      <c r="G170" s="10" t="s">
        <v>1431</v>
      </c>
      <c r="H170" s="10" t="s">
        <v>1433</v>
      </c>
    </row>
    <row r="171" spans="1:8" x14ac:dyDescent="0.3">
      <c r="A171" s="10" t="s">
        <v>6</v>
      </c>
      <c r="B171" s="10" t="s">
        <v>1598</v>
      </c>
      <c r="C171" s="31">
        <v>255000</v>
      </c>
      <c r="D171" s="31">
        <v>2125</v>
      </c>
      <c r="E171" s="32">
        <f t="shared" si="4"/>
        <v>10</v>
      </c>
      <c r="F171" s="10" t="str">
        <f t="shared" si="5"/>
        <v>Y</v>
      </c>
      <c r="G171" s="10" t="s">
        <v>1431</v>
      </c>
      <c r="H171" s="10" t="s">
        <v>1431</v>
      </c>
    </row>
    <row r="172" spans="1:8" x14ac:dyDescent="0.3">
      <c r="A172" s="10" t="s">
        <v>6</v>
      </c>
      <c r="B172" s="10" t="s">
        <v>1599</v>
      </c>
      <c r="C172" s="31">
        <v>147000</v>
      </c>
      <c r="D172" s="31">
        <v>2200</v>
      </c>
      <c r="E172" s="32">
        <f t="shared" si="4"/>
        <v>5.5681818181818183</v>
      </c>
      <c r="F172" s="10" t="str">
        <f t="shared" si="5"/>
        <v>Y</v>
      </c>
      <c r="G172" s="10" t="s">
        <v>1431</v>
      </c>
      <c r="H172" s="10" t="s">
        <v>1431</v>
      </c>
    </row>
    <row r="173" spans="1:8" x14ac:dyDescent="0.3">
      <c r="A173" s="10" t="s">
        <v>6</v>
      </c>
      <c r="B173" s="10" t="s">
        <v>1600</v>
      </c>
      <c r="C173" s="31">
        <v>120000</v>
      </c>
      <c r="D173" s="31">
        <v>1700</v>
      </c>
      <c r="E173" s="32">
        <f t="shared" si="4"/>
        <v>5.882352941176471</v>
      </c>
      <c r="F173" s="10" t="str">
        <f t="shared" si="5"/>
        <v>Y</v>
      </c>
      <c r="G173" s="10" t="s">
        <v>1431</v>
      </c>
      <c r="H173" s="10" t="s">
        <v>1431</v>
      </c>
    </row>
    <row r="174" spans="1:8" x14ac:dyDescent="0.3">
      <c r="A174" s="10" t="s">
        <v>6</v>
      </c>
      <c r="B174" s="10" t="s">
        <v>1601</v>
      </c>
      <c r="C174" s="31">
        <v>120000</v>
      </c>
      <c r="D174" s="31">
        <v>1700</v>
      </c>
      <c r="E174" s="32">
        <f t="shared" si="4"/>
        <v>5.882352941176471</v>
      </c>
      <c r="F174" s="10" t="str">
        <f t="shared" si="5"/>
        <v>Y</v>
      </c>
      <c r="G174" s="10" t="s">
        <v>1431</v>
      </c>
      <c r="H174" s="10" t="s">
        <v>1431</v>
      </c>
    </row>
    <row r="175" spans="1:8" x14ac:dyDescent="0.3">
      <c r="A175" s="10" t="s">
        <v>6</v>
      </c>
      <c r="B175" s="10" t="s">
        <v>1602</v>
      </c>
      <c r="C175" s="31">
        <v>154445.20000000001</v>
      </c>
      <c r="D175" s="31">
        <v>1775</v>
      </c>
      <c r="E175" s="32">
        <f t="shared" si="4"/>
        <v>7.2509483568075126</v>
      </c>
      <c r="F175" s="10" t="str">
        <f t="shared" si="5"/>
        <v>Y</v>
      </c>
      <c r="G175" s="10" t="s">
        <v>1431</v>
      </c>
      <c r="H175" s="10" t="s">
        <v>1433</v>
      </c>
    </row>
    <row r="176" spans="1:8" x14ac:dyDescent="0.3">
      <c r="A176" s="10" t="s">
        <v>6</v>
      </c>
      <c r="B176" s="10" t="s">
        <v>1603</v>
      </c>
      <c r="C176" s="31">
        <v>55680</v>
      </c>
      <c r="D176" s="31">
        <v>1615</v>
      </c>
      <c r="E176" s="32">
        <f t="shared" si="4"/>
        <v>2.873065015479876</v>
      </c>
      <c r="F176" s="10" t="str">
        <f t="shared" si="5"/>
        <v>N</v>
      </c>
      <c r="G176" s="10" t="s">
        <v>1431</v>
      </c>
      <c r="H176" s="10" t="s">
        <v>1433</v>
      </c>
    </row>
    <row r="177" spans="1:8" x14ac:dyDescent="0.3">
      <c r="A177" s="10" t="s">
        <v>6</v>
      </c>
      <c r="B177" s="10" t="s">
        <v>1604</v>
      </c>
      <c r="C177" s="31">
        <v>72275</v>
      </c>
      <c r="D177" s="31">
        <v>1800</v>
      </c>
      <c r="E177" s="32">
        <f t="shared" si="4"/>
        <v>3.3460648148148149</v>
      </c>
      <c r="F177" s="10" t="str">
        <f t="shared" si="5"/>
        <v>Y</v>
      </c>
      <c r="G177" s="10" t="s">
        <v>1433</v>
      </c>
      <c r="H177" s="10" t="s">
        <v>1433</v>
      </c>
    </row>
    <row r="178" spans="1:8" x14ac:dyDescent="0.3">
      <c r="A178" s="10" t="s">
        <v>6</v>
      </c>
      <c r="B178" s="10" t="s">
        <v>1605</v>
      </c>
      <c r="C178" s="31">
        <v>345600</v>
      </c>
      <c r="D178" s="31">
        <v>2100</v>
      </c>
      <c r="E178" s="32">
        <f t="shared" si="4"/>
        <v>13.714285714285714</v>
      </c>
      <c r="F178" s="10" t="str">
        <f t="shared" si="5"/>
        <v>Y</v>
      </c>
      <c r="G178" s="10" t="s">
        <v>1431</v>
      </c>
      <c r="H178" s="10" t="s">
        <v>1433</v>
      </c>
    </row>
    <row r="179" spans="1:8" x14ac:dyDescent="0.3">
      <c r="A179" s="10" t="s">
        <v>6</v>
      </c>
      <c r="B179" s="10" t="s">
        <v>1606</v>
      </c>
      <c r="C179" s="31">
        <v>98806.34</v>
      </c>
      <c r="D179" s="31">
        <v>2105</v>
      </c>
      <c r="E179" s="32">
        <f t="shared" si="4"/>
        <v>3.9115732383214565</v>
      </c>
      <c r="F179" s="10" t="str">
        <f t="shared" si="5"/>
        <v>Y</v>
      </c>
      <c r="G179" s="10" t="s">
        <v>1431</v>
      </c>
      <c r="H179" s="10" t="s">
        <v>1433</v>
      </c>
    </row>
    <row r="180" spans="1:8" x14ac:dyDescent="0.3">
      <c r="A180" s="10" t="s">
        <v>6</v>
      </c>
      <c r="B180" s="10" t="s">
        <v>1607</v>
      </c>
      <c r="C180" s="31">
        <v>144000</v>
      </c>
      <c r="D180" s="31">
        <v>2255</v>
      </c>
      <c r="E180" s="32">
        <f t="shared" si="4"/>
        <v>5.3215077605321506</v>
      </c>
      <c r="F180" s="10" t="str">
        <f t="shared" si="5"/>
        <v>Y</v>
      </c>
      <c r="G180" s="10" t="s">
        <v>1431</v>
      </c>
      <c r="H180" s="10" t="s">
        <v>1433</v>
      </c>
    </row>
    <row r="181" spans="1:8" x14ac:dyDescent="0.3">
      <c r="A181" s="10" t="s">
        <v>6</v>
      </c>
      <c r="B181" s="10" t="s">
        <v>1608</v>
      </c>
      <c r="C181" s="31">
        <v>204000</v>
      </c>
      <c r="D181" s="31">
        <v>1755</v>
      </c>
      <c r="E181" s="32">
        <f t="shared" si="4"/>
        <v>9.6866096866096871</v>
      </c>
      <c r="F181" s="10" t="str">
        <f t="shared" si="5"/>
        <v>Y</v>
      </c>
      <c r="G181" s="10" t="s">
        <v>1431</v>
      </c>
      <c r="H181" s="10" t="s">
        <v>1433</v>
      </c>
    </row>
    <row r="182" spans="1:8" x14ac:dyDescent="0.3">
      <c r="A182" s="10" t="s">
        <v>6</v>
      </c>
      <c r="B182" s="10" t="s">
        <v>1609</v>
      </c>
      <c r="C182" s="31">
        <v>240000</v>
      </c>
      <c r="D182" s="31">
        <v>1595</v>
      </c>
      <c r="E182" s="32">
        <f t="shared" si="4"/>
        <v>12.539184952978056</v>
      </c>
      <c r="F182" s="10" t="str">
        <f t="shared" si="5"/>
        <v>Y</v>
      </c>
      <c r="G182" s="10" t="s">
        <v>1431</v>
      </c>
      <c r="H182" s="10" t="s">
        <v>1433</v>
      </c>
    </row>
    <row r="183" spans="1:8" x14ac:dyDescent="0.3">
      <c r="A183" s="10" t="s">
        <v>6</v>
      </c>
      <c r="B183" s="10" t="s">
        <v>1610</v>
      </c>
      <c r="C183" s="31">
        <v>182000</v>
      </c>
      <c r="D183" s="31">
        <v>1780</v>
      </c>
      <c r="E183" s="32">
        <f t="shared" si="4"/>
        <v>8.5205992509363302</v>
      </c>
      <c r="F183" s="10" t="str">
        <f t="shared" si="5"/>
        <v>Y</v>
      </c>
      <c r="G183" s="10" t="s">
        <v>1431</v>
      </c>
      <c r="H183" s="10" t="s">
        <v>1433</v>
      </c>
    </row>
    <row r="184" spans="1:8" x14ac:dyDescent="0.3">
      <c r="A184" s="10" t="s">
        <v>6</v>
      </c>
      <c r="B184" s="10" t="s">
        <v>1611</v>
      </c>
      <c r="C184" s="31">
        <v>130000</v>
      </c>
      <c r="D184" s="31">
        <v>1550</v>
      </c>
      <c r="E184" s="32">
        <f t="shared" si="4"/>
        <v>6.989247311827957</v>
      </c>
      <c r="F184" s="10" t="str">
        <f t="shared" si="5"/>
        <v>Y</v>
      </c>
      <c r="G184" s="10" t="s">
        <v>1431</v>
      </c>
      <c r="H184" s="10" t="s">
        <v>1433</v>
      </c>
    </row>
    <row r="185" spans="1:8" x14ac:dyDescent="0.3">
      <c r="A185" s="10" t="s">
        <v>6</v>
      </c>
      <c r="B185" s="10" t="s">
        <v>1612</v>
      </c>
      <c r="C185" s="31">
        <v>130000</v>
      </c>
      <c r="D185" s="31">
        <v>2060</v>
      </c>
      <c r="E185" s="32">
        <f t="shared" si="4"/>
        <v>5.2588996763754041</v>
      </c>
      <c r="F185" s="10" t="str">
        <f t="shared" si="5"/>
        <v>Y</v>
      </c>
      <c r="G185" s="10" t="s">
        <v>1431</v>
      </c>
      <c r="H185" s="10" t="s">
        <v>1433</v>
      </c>
    </row>
    <row r="186" spans="1:8" x14ac:dyDescent="0.3">
      <c r="A186" s="10" t="s">
        <v>6</v>
      </c>
      <c r="B186" s="10" t="s">
        <v>1613</v>
      </c>
      <c r="C186" s="31">
        <v>106000</v>
      </c>
      <c r="D186" s="31"/>
      <c r="E186" s="32" t="str">
        <f t="shared" si="4"/>
        <v/>
      </c>
      <c r="F186" s="10" t="str">
        <f t="shared" si="5"/>
        <v/>
      </c>
      <c r="G186" s="10" t="s">
        <v>1433</v>
      </c>
      <c r="H186" s="10" t="s">
        <v>1433</v>
      </c>
    </row>
    <row r="187" spans="1:8" x14ac:dyDescent="0.3">
      <c r="A187" s="10" t="s">
        <v>6</v>
      </c>
      <c r="B187" s="10" t="s">
        <v>1614</v>
      </c>
      <c r="C187" s="31">
        <v>343000</v>
      </c>
      <c r="D187" s="31">
        <v>2350</v>
      </c>
      <c r="E187" s="32">
        <f t="shared" si="4"/>
        <v>12.163120567375886</v>
      </c>
      <c r="F187" s="10" t="str">
        <f t="shared" si="5"/>
        <v>Y</v>
      </c>
      <c r="G187" s="10" t="s">
        <v>1431</v>
      </c>
      <c r="H187" s="10" t="s">
        <v>1431</v>
      </c>
    </row>
    <row r="188" spans="1:8" x14ac:dyDescent="0.3">
      <c r="A188" s="10" t="s">
        <v>6</v>
      </c>
      <c r="B188" s="10" t="s">
        <v>1615</v>
      </c>
      <c r="C188" s="31">
        <v>146400</v>
      </c>
      <c r="D188" s="31">
        <v>1730</v>
      </c>
      <c r="E188" s="32">
        <f t="shared" si="4"/>
        <v>7.0520231213872835</v>
      </c>
      <c r="F188" s="10" t="str">
        <f t="shared" si="5"/>
        <v>Y</v>
      </c>
      <c r="G188" s="10" t="s">
        <v>1433</v>
      </c>
      <c r="H188" s="10" t="s">
        <v>1433</v>
      </c>
    </row>
    <row r="189" spans="1:8" x14ac:dyDescent="0.3">
      <c r="A189" s="10" t="s">
        <v>6</v>
      </c>
      <c r="B189" s="10" t="s">
        <v>1616</v>
      </c>
      <c r="C189" s="31">
        <v>63600</v>
      </c>
      <c r="D189" s="31">
        <v>1495</v>
      </c>
      <c r="E189" s="32">
        <f t="shared" si="4"/>
        <v>3.5451505016722407</v>
      </c>
      <c r="F189" s="10" t="str">
        <f t="shared" si="5"/>
        <v>Y</v>
      </c>
      <c r="G189" s="10" t="s">
        <v>1433</v>
      </c>
      <c r="H189" s="10" t="s">
        <v>1433</v>
      </c>
    </row>
    <row r="190" spans="1:8" x14ac:dyDescent="0.3">
      <c r="A190" s="10" t="s">
        <v>6</v>
      </c>
      <c r="B190" s="10" t="s">
        <v>1617</v>
      </c>
      <c r="C190" s="31">
        <v>96000</v>
      </c>
      <c r="D190" s="31">
        <v>2005</v>
      </c>
      <c r="E190" s="32">
        <f t="shared" si="4"/>
        <v>3.9900249376558605</v>
      </c>
      <c r="F190" s="10" t="str">
        <f t="shared" si="5"/>
        <v>Y</v>
      </c>
      <c r="G190" s="10" t="s">
        <v>1433</v>
      </c>
      <c r="H190" s="10" t="s">
        <v>1433</v>
      </c>
    </row>
    <row r="191" spans="1:8" x14ac:dyDescent="0.3">
      <c r="A191" s="10" t="s">
        <v>6</v>
      </c>
      <c r="B191" s="10" t="s">
        <v>1618</v>
      </c>
      <c r="C191" s="31">
        <v>194500</v>
      </c>
      <c r="D191" s="31">
        <v>1895</v>
      </c>
      <c r="E191" s="32">
        <f t="shared" si="4"/>
        <v>8.5532102022867189</v>
      </c>
      <c r="F191" s="10" t="str">
        <f t="shared" si="5"/>
        <v>Y</v>
      </c>
      <c r="G191" s="10" t="s">
        <v>1431</v>
      </c>
      <c r="H191" s="10" t="s">
        <v>1433</v>
      </c>
    </row>
    <row r="192" spans="1:8" x14ac:dyDescent="0.3">
      <c r="A192" s="10" t="s">
        <v>6</v>
      </c>
      <c r="B192" s="10" t="s">
        <v>1619</v>
      </c>
      <c r="C192" s="31">
        <v>91000</v>
      </c>
      <c r="D192" s="31">
        <v>1725</v>
      </c>
      <c r="E192" s="32">
        <f t="shared" si="4"/>
        <v>4.3961352657004831</v>
      </c>
      <c r="F192" s="10" t="str">
        <f t="shared" si="5"/>
        <v>Y</v>
      </c>
      <c r="G192" s="10" t="s">
        <v>1431</v>
      </c>
      <c r="H192" s="10" t="s">
        <v>1431</v>
      </c>
    </row>
    <row r="193" spans="1:8" x14ac:dyDescent="0.3">
      <c r="A193" s="10" t="s">
        <v>6</v>
      </c>
      <c r="B193" s="10" t="s">
        <v>1620</v>
      </c>
      <c r="C193" s="31">
        <v>120000</v>
      </c>
      <c r="D193" s="31">
        <v>1725</v>
      </c>
      <c r="E193" s="32">
        <f t="shared" si="4"/>
        <v>5.7971014492753623</v>
      </c>
      <c r="F193" s="10" t="str">
        <f t="shared" si="5"/>
        <v>Y</v>
      </c>
      <c r="G193" s="10" t="s">
        <v>1431</v>
      </c>
      <c r="H193" s="10" t="s">
        <v>1431</v>
      </c>
    </row>
    <row r="194" spans="1:8" x14ac:dyDescent="0.3">
      <c r="A194" s="10" t="s">
        <v>6</v>
      </c>
      <c r="B194" s="10" t="s">
        <v>1621</v>
      </c>
      <c r="C194" s="31">
        <v>316000</v>
      </c>
      <c r="D194" s="31">
        <v>2465</v>
      </c>
      <c r="E194" s="32">
        <f t="shared" si="4"/>
        <v>10.68289384719405</v>
      </c>
      <c r="F194" s="10" t="str">
        <f t="shared" si="5"/>
        <v>Y</v>
      </c>
      <c r="G194" s="10" t="s">
        <v>1431</v>
      </c>
      <c r="H194" s="10" t="s">
        <v>1433</v>
      </c>
    </row>
    <row r="195" spans="1:8" x14ac:dyDescent="0.3">
      <c r="A195" s="10" t="s">
        <v>6</v>
      </c>
      <c r="B195" s="10" t="s">
        <v>1622</v>
      </c>
      <c r="C195" s="31">
        <v>130000</v>
      </c>
      <c r="D195" s="31">
        <v>2345</v>
      </c>
      <c r="E195" s="32">
        <f t="shared" si="4"/>
        <v>4.6197583511016349</v>
      </c>
      <c r="F195" s="10" t="str">
        <f t="shared" si="5"/>
        <v>Y</v>
      </c>
      <c r="G195" s="10" t="s">
        <v>1431</v>
      </c>
      <c r="H195" s="10" t="s">
        <v>1433</v>
      </c>
    </row>
    <row r="196" spans="1:8" x14ac:dyDescent="0.3">
      <c r="A196" s="10" t="s">
        <v>6</v>
      </c>
      <c r="B196" s="10" t="s">
        <v>1623</v>
      </c>
      <c r="C196" s="31">
        <v>220750.4</v>
      </c>
      <c r="D196" s="31">
        <v>2395</v>
      </c>
      <c r="E196" s="32">
        <f t="shared" si="4"/>
        <v>7.6809464161447458</v>
      </c>
      <c r="F196" s="10" t="str">
        <f t="shared" si="5"/>
        <v>Y</v>
      </c>
      <c r="G196" s="10" t="s">
        <v>1431</v>
      </c>
      <c r="H196" s="10" t="s">
        <v>1433</v>
      </c>
    </row>
    <row r="197" spans="1:8" x14ac:dyDescent="0.3">
      <c r="A197" s="10" t="s">
        <v>6</v>
      </c>
      <c r="B197" s="10" t="s">
        <v>1624</v>
      </c>
      <c r="C197" s="31">
        <v>90000</v>
      </c>
      <c r="D197" s="31">
        <v>1725</v>
      </c>
      <c r="E197" s="32">
        <f t="shared" ref="E197:E260" si="6">IF(AND(ISNUMBER(C197),ISNUMBER(D197)),C197/(12*D197),"")</f>
        <v>4.3478260869565215</v>
      </c>
      <c r="F197" s="10" t="str">
        <f t="shared" ref="F197:F260" si="7">IF(E197="","",IF(E197&gt;=3,"Y","N"))</f>
        <v>Y</v>
      </c>
      <c r="G197" s="10" t="s">
        <v>1433</v>
      </c>
      <c r="H197" s="10" t="s">
        <v>1433</v>
      </c>
    </row>
    <row r="198" spans="1:8" x14ac:dyDescent="0.3">
      <c r="A198" s="10" t="s">
        <v>6</v>
      </c>
      <c r="B198" s="10" t="s">
        <v>1625</v>
      </c>
      <c r="C198" s="31">
        <v>197600</v>
      </c>
      <c r="D198" s="31">
        <v>1595</v>
      </c>
      <c r="E198" s="32">
        <f t="shared" si="6"/>
        <v>10.323928944618601</v>
      </c>
      <c r="F198" s="10" t="str">
        <f t="shared" si="7"/>
        <v>Y</v>
      </c>
      <c r="G198" s="10" t="s">
        <v>1431</v>
      </c>
      <c r="H198" s="10" t="s">
        <v>1433</v>
      </c>
    </row>
    <row r="199" spans="1:8" x14ac:dyDescent="0.3">
      <c r="A199" s="10" t="s">
        <v>6</v>
      </c>
      <c r="B199" s="10" t="s">
        <v>1626</v>
      </c>
      <c r="C199" s="31">
        <v>75000</v>
      </c>
      <c r="D199" s="31">
        <v>1595</v>
      </c>
      <c r="E199" s="32">
        <f t="shared" si="6"/>
        <v>3.9184952978056424</v>
      </c>
      <c r="F199" s="10" t="str">
        <f t="shared" si="7"/>
        <v>Y</v>
      </c>
      <c r="G199" s="10" t="s">
        <v>1433</v>
      </c>
      <c r="H199" s="10" t="s">
        <v>1433</v>
      </c>
    </row>
    <row r="200" spans="1:8" x14ac:dyDescent="0.3">
      <c r="A200" s="10" t="s">
        <v>6</v>
      </c>
      <c r="B200" s="10" t="s">
        <v>1627</v>
      </c>
      <c r="C200" s="31">
        <v>105000</v>
      </c>
      <c r="D200" s="31">
        <v>1845</v>
      </c>
      <c r="E200" s="32">
        <f t="shared" si="6"/>
        <v>4.742547425474255</v>
      </c>
      <c r="F200" s="10" t="str">
        <f t="shared" si="7"/>
        <v>Y</v>
      </c>
      <c r="G200" s="10" t="s">
        <v>1431</v>
      </c>
      <c r="H200" s="10" t="s">
        <v>1431</v>
      </c>
    </row>
    <row r="201" spans="1:8" x14ac:dyDescent="0.3">
      <c r="A201" s="10" t="s">
        <v>6</v>
      </c>
      <c r="B201" s="10" t="s">
        <v>1628</v>
      </c>
      <c r="C201" s="31">
        <v>113600</v>
      </c>
      <c r="D201" s="31">
        <v>1895</v>
      </c>
      <c r="E201" s="32">
        <f t="shared" si="6"/>
        <v>4.9956024626209325</v>
      </c>
      <c r="F201" s="10" t="str">
        <f t="shared" si="7"/>
        <v>Y</v>
      </c>
      <c r="G201" s="10" t="s">
        <v>1433</v>
      </c>
      <c r="H201" s="10" t="s">
        <v>1433</v>
      </c>
    </row>
    <row r="202" spans="1:8" x14ac:dyDescent="0.3">
      <c r="A202" s="10" t="s">
        <v>6</v>
      </c>
      <c r="B202" s="10" t="s">
        <v>1629</v>
      </c>
      <c r="C202" s="31">
        <v>125000</v>
      </c>
      <c r="D202" s="31">
        <v>1565</v>
      </c>
      <c r="E202" s="32">
        <f t="shared" si="6"/>
        <v>6.6560170394036211</v>
      </c>
      <c r="F202" s="10" t="str">
        <f t="shared" si="7"/>
        <v>Y</v>
      </c>
      <c r="G202" s="10" t="s">
        <v>1431</v>
      </c>
      <c r="H202" s="10" t="s">
        <v>1431</v>
      </c>
    </row>
    <row r="203" spans="1:8" x14ac:dyDescent="0.3">
      <c r="A203" s="10" t="s">
        <v>6</v>
      </c>
      <c r="B203" s="10" t="s">
        <v>1630</v>
      </c>
      <c r="C203" s="31">
        <v>98000</v>
      </c>
      <c r="D203" s="31">
        <v>1845</v>
      </c>
      <c r="E203" s="32">
        <f t="shared" si="6"/>
        <v>4.4263775971093047</v>
      </c>
      <c r="F203" s="10" t="str">
        <f t="shared" si="7"/>
        <v>Y</v>
      </c>
      <c r="G203" s="10" t="s">
        <v>1433</v>
      </c>
      <c r="H203" s="10" t="s">
        <v>1433</v>
      </c>
    </row>
    <row r="204" spans="1:8" x14ac:dyDescent="0.3">
      <c r="A204" s="10" t="s">
        <v>6</v>
      </c>
      <c r="B204" s="10" t="s">
        <v>1631</v>
      </c>
      <c r="C204" s="31">
        <v>95000</v>
      </c>
      <c r="D204" s="31">
        <v>2000</v>
      </c>
      <c r="E204" s="32">
        <f t="shared" si="6"/>
        <v>3.9583333333333335</v>
      </c>
      <c r="F204" s="10" t="str">
        <f t="shared" si="7"/>
        <v>Y</v>
      </c>
      <c r="G204" s="10" t="s">
        <v>1431</v>
      </c>
      <c r="H204" s="10" t="s">
        <v>1431</v>
      </c>
    </row>
    <row r="205" spans="1:8" x14ac:dyDescent="0.3">
      <c r="A205" s="10" t="s">
        <v>6</v>
      </c>
      <c r="B205" s="10" t="s">
        <v>1632</v>
      </c>
      <c r="C205" s="31">
        <v>150000</v>
      </c>
      <c r="D205" s="31">
        <v>1495</v>
      </c>
      <c r="E205" s="32">
        <f t="shared" si="6"/>
        <v>8.3612040133779271</v>
      </c>
      <c r="F205" s="10" t="str">
        <f t="shared" si="7"/>
        <v>Y</v>
      </c>
      <c r="G205" s="10" t="s">
        <v>1431</v>
      </c>
      <c r="H205" s="10" t="s">
        <v>1433</v>
      </c>
    </row>
    <row r="206" spans="1:8" x14ac:dyDescent="0.3">
      <c r="A206" s="10" t="s">
        <v>6</v>
      </c>
      <c r="B206" s="10" t="s">
        <v>1633</v>
      </c>
      <c r="C206" s="31">
        <v>83200</v>
      </c>
      <c r="D206" s="31">
        <v>1800</v>
      </c>
      <c r="E206" s="32">
        <f t="shared" si="6"/>
        <v>3.8518518518518516</v>
      </c>
      <c r="F206" s="10" t="str">
        <f t="shared" si="7"/>
        <v>Y</v>
      </c>
      <c r="G206" s="10" t="s">
        <v>1431</v>
      </c>
      <c r="H206" s="10" t="s">
        <v>1433</v>
      </c>
    </row>
    <row r="207" spans="1:8" x14ac:dyDescent="0.3">
      <c r="A207" s="10" t="s">
        <v>6</v>
      </c>
      <c r="B207" s="10" t="s">
        <v>1634</v>
      </c>
      <c r="C207" s="31">
        <v>197600</v>
      </c>
      <c r="D207" s="31">
        <v>1720</v>
      </c>
      <c r="E207" s="32">
        <f t="shared" si="6"/>
        <v>9.5736434108527124</v>
      </c>
      <c r="F207" s="10" t="str">
        <f t="shared" si="7"/>
        <v>Y</v>
      </c>
      <c r="G207" s="10" t="s">
        <v>1431</v>
      </c>
      <c r="H207" s="10" t="s">
        <v>1433</v>
      </c>
    </row>
    <row r="208" spans="1:8" x14ac:dyDescent="0.3">
      <c r="A208" s="10" t="s">
        <v>6</v>
      </c>
      <c r="B208" s="10" t="s">
        <v>1635</v>
      </c>
      <c r="C208" s="31">
        <v>227804.79999999999</v>
      </c>
      <c r="D208" s="31">
        <v>1565</v>
      </c>
      <c r="E208" s="32">
        <f t="shared" si="6"/>
        <v>12.130181043663471</v>
      </c>
      <c r="F208" s="10" t="str">
        <f t="shared" si="7"/>
        <v>Y</v>
      </c>
      <c r="G208" s="10" t="s">
        <v>1431</v>
      </c>
      <c r="H208" s="10" t="s">
        <v>1433</v>
      </c>
    </row>
    <row r="209" spans="1:8" x14ac:dyDescent="0.3">
      <c r="A209" s="10" t="s">
        <v>6</v>
      </c>
      <c r="B209" s="10" t="s">
        <v>1636</v>
      </c>
      <c r="C209" s="31">
        <v>182000</v>
      </c>
      <c r="D209" s="31">
        <v>2125</v>
      </c>
      <c r="E209" s="32">
        <f t="shared" si="6"/>
        <v>7.1372549019607847</v>
      </c>
      <c r="F209" s="10" t="str">
        <f t="shared" si="7"/>
        <v>Y</v>
      </c>
      <c r="G209" s="10" t="s">
        <v>1431</v>
      </c>
      <c r="H209" s="10" t="s">
        <v>1431</v>
      </c>
    </row>
    <row r="210" spans="1:8" x14ac:dyDescent="0.3">
      <c r="A210" s="10" t="s">
        <v>6</v>
      </c>
      <c r="B210" s="10" t="s">
        <v>1637</v>
      </c>
      <c r="C210" s="31">
        <v>220000</v>
      </c>
      <c r="D210" s="31">
        <v>1955</v>
      </c>
      <c r="E210" s="32">
        <f t="shared" si="6"/>
        <v>9.3776641091219091</v>
      </c>
      <c r="F210" s="10" t="str">
        <f t="shared" si="7"/>
        <v>Y</v>
      </c>
      <c r="G210" s="10" t="s">
        <v>1431</v>
      </c>
      <c r="H210" s="10" t="s">
        <v>1433</v>
      </c>
    </row>
    <row r="211" spans="1:8" x14ac:dyDescent="0.3">
      <c r="A211" s="10" t="s">
        <v>6</v>
      </c>
      <c r="B211" s="10" t="s">
        <v>1638</v>
      </c>
      <c r="C211" s="31">
        <v>182000</v>
      </c>
      <c r="D211" s="31">
        <v>2595</v>
      </c>
      <c r="E211" s="32">
        <f t="shared" si="6"/>
        <v>5.8445728965960182</v>
      </c>
      <c r="F211" s="10" t="str">
        <f t="shared" si="7"/>
        <v>Y</v>
      </c>
      <c r="G211" s="10" t="s">
        <v>1431</v>
      </c>
      <c r="H211" s="10" t="s">
        <v>1431</v>
      </c>
    </row>
    <row r="212" spans="1:8" x14ac:dyDescent="0.3">
      <c r="A212" s="10" t="s">
        <v>6</v>
      </c>
      <c r="B212" s="10" t="s">
        <v>1639</v>
      </c>
      <c r="C212" s="31">
        <v>151280</v>
      </c>
      <c r="D212" s="31">
        <v>2395</v>
      </c>
      <c r="E212" s="32">
        <f t="shared" si="6"/>
        <v>5.2637439109255393</v>
      </c>
      <c r="F212" s="10" t="str">
        <f t="shared" si="7"/>
        <v>Y</v>
      </c>
      <c r="G212" s="10" t="s">
        <v>1433</v>
      </c>
      <c r="H212" s="10" t="s">
        <v>1433</v>
      </c>
    </row>
    <row r="213" spans="1:8" x14ac:dyDescent="0.3">
      <c r="A213" s="10" t="s">
        <v>6</v>
      </c>
      <c r="B213" s="10" t="s">
        <v>1640</v>
      </c>
      <c r="C213" s="31"/>
      <c r="D213" s="31">
        <v>1875</v>
      </c>
      <c r="E213" s="32" t="str">
        <f t="shared" si="6"/>
        <v/>
      </c>
      <c r="F213" s="10" t="str">
        <f t="shared" si="7"/>
        <v/>
      </c>
      <c r="G213" s="10" t="s">
        <v>1433</v>
      </c>
      <c r="H213" s="10" t="s">
        <v>1433</v>
      </c>
    </row>
    <row r="214" spans="1:8" x14ac:dyDescent="0.3">
      <c r="A214" s="10" t="s">
        <v>6</v>
      </c>
      <c r="B214" s="10" t="s">
        <v>1641</v>
      </c>
      <c r="C214" s="31">
        <v>72000</v>
      </c>
      <c r="D214" s="31">
        <v>1595</v>
      </c>
      <c r="E214" s="32">
        <f t="shared" si="6"/>
        <v>3.761755485893417</v>
      </c>
      <c r="F214" s="10" t="str">
        <f t="shared" si="7"/>
        <v>Y</v>
      </c>
      <c r="G214" s="10" t="s">
        <v>1431</v>
      </c>
      <c r="H214" s="10" t="s">
        <v>1433</v>
      </c>
    </row>
    <row r="215" spans="1:8" x14ac:dyDescent="0.3">
      <c r="A215" s="10" t="s">
        <v>6</v>
      </c>
      <c r="B215" s="10" t="s">
        <v>1642</v>
      </c>
      <c r="C215" s="31"/>
      <c r="D215" s="31">
        <v>1875</v>
      </c>
      <c r="E215" s="32" t="str">
        <f t="shared" si="6"/>
        <v/>
      </c>
      <c r="F215" s="10" t="str">
        <f t="shared" si="7"/>
        <v/>
      </c>
      <c r="G215" s="10" t="s">
        <v>1433</v>
      </c>
      <c r="H215" s="10" t="s">
        <v>1433</v>
      </c>
    </row>
    <row r="216" spans="1:8" x14ac:dyDescent="0.3">
      <c r="A216" s="10" t="s">
        <v>6</v>
      </c>
      <c r="B216" s="10" t="s">
        <v>1643</v>
      </c>
      <c r="C216" s="31">
        <v>150000</v>
      </c>
      <c r="D216" s="31">
        <v>1895</v>
      </c>
      <c r="E216" s="32">
        <f t="shared" si="6"/>
        <v>6.5963060686015833</v>
      </c>
      <c r="F216" s="10" t="str">
        <f t="shared" si="7"/>
        <v>Y</v>
      </c>
      <c r="G216" s="10" t="s">
        <v>1431</v>
      </c>
      <c r="H216" s="10" t="s">
        <v>1433</v>
      </c>
    </row>
    <row r="217" spans="1:8" x14ac:dyDescent="0.3">
      <c r="A217" s="10" t="s">
        <v>6</v>
      </c>
      <c r="B217" s="10" t="s">
        <v>1644</v>
      </c>
      <c r="C217" s="31">
        <v>130000</v>
      </c>
      <c r="D217" s="31">
        <v>2000</v>
      </c>
      <c r="E217" s="32">
        <f t="shared" si="6"/>
        <v>5.416666666666667</v>
      </c>
      <c r="F217" s="10" t="str">
        <f t="shared" si="7"/>
        <v>Y</v>
      </c>
      <c r="G217" s="10" t="s">
        <v>1431</v>
      </c>
      <c r="H217" s="10" t="s">
        <v>1433</v>
      </c>
    </row>
    <row r="218" spans="1:8" x14ac:dyDescent="0.3">
      <c r="A218" s="10" t="s">
        <v>6</v>
      </c>
      <c r="B218" s="10" t="s">
        <v>1645</v>
      </c>
      <c r="C218" s="31">
        <v>132000</v>
      </c>
      <c r="D218" s="31">
        <v>1565</v>
      </c>
      <c r="E218" s="32">
        <f t="shared" si="6"/>
        <v>7.0287539936102235</v>
      </c>
      <c r="F218" s="10" t="str">
        <f t="shared" si="7"/>
        <v>Y</v>
      </c>
      <c r="G218" s="10" t="s">
        <v>1431</v>
      </c>
      <c r="H218" s="10" t="s">
        <v>1431</v>
      </c>
    </row>
    <row r="219" spans="1:8" x14ac:dyDescent="0.3">
      <c r="A219" s="10" t="s">
        <v>6</v>
      </c>
      <c r="B219" s="10" t="s">
        <v>1646</v>
      </c>
      <c r="C219" s="31">
        <v>262400</v>
      </c>
      <c r="D219" s="31">
        <v>2000</v>
      </c>
      <c r="E219" s="32">
        <f t="shared" si="6"/>
        <v>10.933333333333334</v>
      </c>
      <c r="F219" s="10" t="str">
        <f t="shared" si="7"/>
        <v>Y</v>
      </c>
      <c r="G219" s="10" t="s">
        <v>1431</v>
      </c>
      <c r="H219" s="10" t="s">
        <v>1433</v>
      </c>
    </row>
    <row r="220" spans="1:8" x14ac:dyDescent="0.3">
      <c r="A220" s="10" t="s">
        <v>6</v>
      </c>
      <c r="B220" s="10" t="s">
        <v>1647</v>
      </c>
      <c r="C220" s="31">
        <v>73700</v>
      </c>
      <c r="D220" s="31">
        <v>1795</v>
      </c>
      <c r="E220" s="32">
        <f t="shared" si="6"/>
        <v>3.4215413184772516</v>
      </c>
      <c r="F220" s="10" t="str">
        <f t="shared" si="7"/>
        <v>Y</v>
      </c>
      <c r="G220" s="10" t="s">
        <v>1433</v>
      </c>
      <c r="H220" s="10" t="s">
        <v>1433</v>
      </c>
    </row>
    <row r="221" spans="1:8" x14ac:dyDescent="0.3">
      <c r="A221" s="10" t="s">
        <v>6</v>
      </c>
      <c r="B221" s="10" t="s">
        <v>1648</v>
      </c>
      <c r="C221" s="31">
        <v>168000</v>
      </c>
      <c r="D221" s="31">
        <v>1720</v>
      </c>
      <c r="E221" s="32">
        <f t="shared" si="6"/>
        <v>8.1395348837209305</v>
      </c>
      <c r="F221" s="10" t="str">
        <f t="shared" si="7"/>
        <v>Y</v>
      </c>
      <c r="G221" s="10" t="s">
        <v>1431</v>
      </c>
      <c r="H221" s="10" t="s">
        <v>1433</v>
      </c>
    </row>
    <row r="222" spans="1:8" x14ac:dyDescent="0.3">
      <c r="A222" s="10" t="s">
        <v>6</v>
      </c>
      <c r="B222" s="10" t="s">
        <v>1649</v>
      </c>
      <c r="C222" s="31">
        <v>119480</v>
      </c>
      <c r="D222" s="31">
        <v>1675</v>
      </c>
      <c r="E222" s="32">
        <f t="shared" si="6"/>
        <v>5.9442786069651739</v>
      </c>
      <c r="F222" s="10" t="str">
        <f t="shared" si="7"/>
        <v>Y</v>
      </c>
      <c r="G222" s="10" t="s">
        <v>1431</v>
      </c>
      <c r="H222" s="10" t="s">
        <v>1431</v>
      </c>
    </row>
    <row r="223" spans="1:8" x14ac:dyDescent="0.3">
      <c r="A223" s="10" t="s">
        <v>6</v>
      </c>
      <c r="B223" s="10" t="s">
        <v>1650</v>
      </c>
      <c r="C223" s="31">
        <v>51334.400000000001</v>
      </c>
      <c r="D223" s="31">
        <v>1595</v>
      </c>
      <c r="E223" s="32">
        <f t="shared" si="6"/>
        <v>2.682048066875653</v>
      </c>
      <c r="F223" s="10" t="str">
        <f t="shared" si="7"/>
        <v>N</v>
      </c>
      <c r="G223" s="10" t="s">
        <v>1431</v>
      </c>
      <c r="H223" s="10" t="s">
        <v>1433</v>
      </c>
    </row>
    <row r="224" spans="1:8" x14ac:dyDescent="0.3">
      <c r="A224" s="10" t="s">
        <v>6</v>
      </c>
      <c r="B224" s="10" t="s">
        <v>1651</v>
      </c>
      <c r="C224" s="31">
        <v>130000</v>
      </c>
      <c r="D224" s="31">
        <v>1775</v>
      </c>
      <c r="E224" s="32">
        <f t="shared" si="6"/>
        <v>6.103286384976526</v>
      </c>
      <c r="F224" s="10" t="str">
        <f t="shared" si="7"/>
        <v>Y</v>
      </c>
      <c r="G224" s="10" t="s">
        <v>1433</v>
      </c>
      <c r="H224" s="10" t="s">
        <v>1433</v>
      </c>
    </row>
    <row r="225" spans="1:8" x14ac:dyDescent="0.3">
      <c r="A225" s="10" t="s">
        <v>6</v>
      </c>
      <c r="B225" s="10" t="s">
        <v>1652</v>
      </c>
      <c r="C225" s="31">
        <v>72000</v>
      </c>
      <c r="D225" s="31">
        <v>2325</v>
      </c>
      <c r="E225" s="32">
        <f t="shared" si="6"/>
        <v>2.5806451612903225</v>
      </c>
      <c r="F225" s="10" t="str">
        <f t="shared" si="7"/>
        <v>N</v>
      </c>
      <c r="G225" s="10" t="s">
        <v>1431</v>
      </c>
      <c r="H225" s="10" t="s">
        <v>1433</v>
      </c>
    </row>
    <row r="226" spans="1:8" x14ac:dyDescent="0.3">
      <c r="A226" s="10" t="s">
        <v>6</v>
      </c>
      <c r="B226" s="10" t="s">
        <v>1653</v>
      </c>
      <c r="C226" s="31">
        <v>262000</v>
      </c>
      <c r="D226" s="31">
        <v>1955</v>
      </c>
      <c r="E226" s="32">
        <f t="shared" si="6"/>
        <v>11.167945439045184</v>
      </c>
      <c r="F226" s="10" t="str">
        <f t="shared" si="7"/>
        <v>Y</v>
      </c>
      <c r="G226" s="10" t="s">
        <v>1431</v>
      </c>
      <c r="H226" s="10" t="s">
        <v>1431</v>
      </c>
    </row>
    <row r="227" spans="1:8" x14ac:dyDescent="0.3">
      <c r="A227" s="10" t="s">
        <v>6</v>
      </c>
      <c r="B227" s="10" t="s">
        <v>1654</v>
      </c>
      <c r="C227" s="31">
        <v>102028.32</v>
      </c>
      <c r="D227" s="31">
        <v>2345</v>
      </c>
      <c r="E227" s="32">
        <f t="shared" si="6"/>
        <v>3.6257398720682303</v>
      </c>
      <c r="F227" s="10" t="str">
        <f t="shared" si="7"/>
        <v>Y</v>
      </c>
      <c r="G227" s="10" t="s">
        <v>1433</v>
      </c>
      <c r="H227" s="10" t="s">
        <v>1433</v>
      </c>
    </row>
    <row r="228" spans="1:8" x14ac:dyDescent="0.3">
      <c r="A228" s="10" t="s">
        <v>6</v>
      </c>
      <c r="B228" s="10" t="s">
        <v>1655</v>
      </c>
      <c r="C228" s="31">
        <v>107228</v>
      </c>
      <c r="D228" s="31">
        <v>2345</v>
      </c>
      <c r="E228" s="32">
        <f t="shared" si="6"/>
        <v>3.8105188343994314</v>
      </c>
      <c r="F228" s="10" t="str">
        <f t="shared" si="7"/>
        <v>Y</v>
      </c>
      <c r="G228" s="10" t="s">
        <v>1433</v>
      </c>
      <c r="H228" s="10" t="s">
        <v>1433</v>
      </c>
    </row>
    <row r="229" spans="1:8" x14ac:dyDescent="0.3">
      <c r="A229" s="10" t="s">
        <v>6</v>
      </c>
      <c r="B229" s="10" t="s">
        <v>1656</v>
      </c>
      <c r="C229" s="31">
        <v>72000</v>
      </c>
      <c r="D229" s="31">
        <v>1775</v>
      </c>
      <c r="E229" s="32">
        <f t="shared" si="6"/>
        <v>3.380281690140845</v>
      </c>
      <c r="F229" s="10" t="str">
        <f t="shared" si="7"/>
        <v>Y</v>
      </c>
      <c r="G229" s="10" t="s">
        <v>1431</v>
      </c>
      <c r="H229" s="10" t="s">
        <v>1433</v>
      </c>
    </row>
    <row r="230" spans="1:8" x14ac:dyDescent="0.3">
      <c r="A230" s="10" t="s">
        <v>6</v>
      </c>
      <c r="B230" s="10" t="s">
        <v>1657</v>
      </c>
      <c r="C230" s="31">
        <v>200000</v>
      </c>
      <c r="D230" s="31">
        <v>1595</v>
      </c>
      <c r="E230" s="32">
        <f t="shared" si="6"/>
        <v>10.449320794148381</v>
      </c>
      <c r="F230" s="10" t="str">
        <f t="shared" si="7"/>
        <v>Y</v>
      </c>
      <c r="G230" s="10" t="s">
        <v>1431</v>
      </c>
      <c r="H230" s="10" t="s">
        <v>1433</v>
      </c>
    </row>
    <row r="231" spans="1:8" x14ac:dyDescent="0.3">
      <c r="A231" s="10" t="s">
        <v>6</v>
      </c>
      <c r="B231" s="10" t="s">
        <v>1658</v>
      </c>
      <c r="C231" s="31">
        <v>136640</v>
      </c>
      <c r="D231" s="31">
        <v>1775</v>
      </c>
      <c r="E231" s="32">
        <f t="shared" si="6"/>
        <v>6.4150234741784038</v>
      </c>
      <c r="F231" s="10" t="str">
        <f t="shared" si="7"/>
        <v>Y</v>
      </c>
      <c r="G231" s="10" t="s">
        <v>1431</v>
      </c>
      <c r="H231" s="10" t="s">
        <v>1431</v>
      </c>
    </row>
    <row r="232" spans="1:8" x14ac:dyDescent="0.3">
      <c r="A232" s="10" t="s">
        <v>6</v>
      </c>
      <c r="B232" s="10" t="s">
        <v>1659</v>
      </c>
      <c r="C232" s="31">
        <v>271700</v>
      </c>
      <c r="D232" s="31">
        <v>2000</v>
      </c>
      <c r="E232" s="32">
        <f t="shared" si="6"/>
        <v>11.320833333333333</v>
      </c>
      <c r="F232" s="10" t="str">
        <f t="shared" si="7"/>
        <v>Y</v>
      </c>
      <c r="G232" s="10" t="s">
        <v>1431</v>
      </c>
      <c r="H232" s="10" t="s">
        <v>1433</v>
      </c>
    </row>
    <row r="233" spans="1:8" x14ac:dyDescent="0.3">
      <c r="A233" s="10" t="s">
        <v>6</v>
      </c>
      <c r="B233" s="10" t="s">
        <v>1660</v>
      </c>
      <c r="C233" s="31">
        <v>82000</v>
      </c>
      <c r="D233" s="31">
        <v>2000</v>
      </c>
      <c r="E233" s="32">
        <f t="shared" si="6"/>
        <v>3.4166666666666665</v>
      </c>
      <c r="F233" s="10" t="str">
        <f t="shared" si="7"/>
        <v>Y</v>
      </c>
      <c r="G233" s="10" t="s">
        <v>1433</v>
      </c>
      <c r="H233" s="10" t="s">
        <v>1433</v>
      </c>
    </row>
    <row r="234" spans="1:8" x14ac:dyDescent="0.3">
      <c r="A234" s="10" t="s">
        <v>6</v>
      </c>
      <c r="B234" s="10" t="s">
        <v>1661</v>
      </c>
      <c r="C234" s="31">
        <v>83000</v>
      </c>
      <c r="D234" s="31">
        <v>1595</v>
      </c>
      <c r="E234" s="32">
        <f t="shared" si="6"/>
        <v>4.3364681295715775</v>
      </c>
      <c r="F234" s="10" t="str">
        <f t="shared" si="7"/>
        <v>Y</v>
      </c>
      <c r="G234" s="10" t="s">
        <v>1431</v>
      </c>
      <c r="H234" s="10" t="s">
        <v>1431</v>
      </c>
    </row>
    <row r="235" spans="1:8" x14ac:dyDescent="0.3">
      <c r="A235" s="10" t="s">
        <v>6</v>
      </c>
      <c r="B235" s="10" t="s">
        <v>1662</v>
      </c>
      <c r="C235" s="31">
        <v>396000</v>
      </c>
      <c r="D235" s="31">
        <v>2000</v>
      </c>
      <c r="E235" s="32">
        <f t="shared" si="6"/>
        <v>16.5</v>
      </c>
      <c r="F235" s="10" t="str">
        <f t="shared" si="7"/>
        <v>Y</v>
      </c>
      <c r="G235" s="10" t="s">
        <v>1431</v>
      </c>
      <c r="H235" s="10" t="s">
        <v>1433</v>
      </c>
    </row>
    <row r="236" spans="1:8" x14ac:dyDescent="0.3">
      <c r="A236" s="10" t="s">
        <v>6</v>
      </c>
      <c r="B236" s="10" t="s">
        <v>1663</v>
      </c>
      <c r="C236" s="31">
        <v>183239</v>
      </c>
      <c r="D236" s="31">
        <v>2000</v>
      </c>
      <c r="E236" s="32">
        <f t="shared" si="6"/>
        <v>7.6349583333333335</v>
      </c>
      <c r="F236" s="10" t="str">
        <f t="shared" si="7"/>
        <v>Y</v>
      </c>
      <c r="G236" s="10" t="s">
        <v>1431</v>
      </c>
      <c r="H236" s="10" t="s">
        <v>1431</v>
      </c>
    </row>
    <row r="237" spans="1:8" x14ac:dyDescent="0.3">
      <c r="A237" s="10" t="s">
        <v>6</v>
      </c>
      <c r="B237" s="10" t="s">
        <v>1664</v>
      </c>
      <c r="C237" s="31">
        <v>202800</v>
      </c>
      <c r="D237" s="31">
        <v>1920</v>
      </c>
      <c r="E237" s="32">
        <f t="shared" si="6"/>
        <v>8.8020833333333339</v>
      </c>
      <c r="F237" s="10" t="str">
        <f t="shared" si="7"/>
        <v>Y</v>
      </c>
      <c r="G237" s="10" t="s">
        <v>1433</v>
      </c>
      <c r="H237" s="10" t="s">
        <v>1433</v>
      </c>
    </row>
    <row r="238" spans="1:8" x14ac:dyDescent="0.3">
      <c r="A238" s="10" t="s">
        <v>6</v>
      </c>
      <c r="B238" s="10" t="s">
        <v>1665</v>
      </c>
      <c r="C238" s="31">
        <v>72000</v>
      </c>
      <c r="D238" s="31">
        <v>1595</v>
      </c>
      <c r="E238" s="32">
        <f t="shared" si="6"/>
        <v>3.761755485893417</v>
      </c>
      <c r="F238" s="10" t="str">
        <f t="shared" si="7"/>
        <v>Y</v>
      </c>
      <c r="G238" s="10" t="s">
        <v>1433</v>
      </c>
      <c r="H238" s="10" t="s">
        <v>1433</v>
      </c>
    </row>
    <row r="239" spans="1:8" x14ac:dyDescent="0.3">
      <c r="A239" s="10" t="s">
        <v>6</v>
      </c>
      <c r="B239" s="10" t="s">
        <v>1666</v>
      </c>
      <c r="C239" s="31">
        <v>57996</v>
      </c>
      <c r="D239" s="31">
        <v>1820</v>
      </c>
      <c r="E239" s="32">
        <f t="shared" si="6"/>
        <v>2.6554945054945054</v>
      </c>
      <c r="F239" s="10" t="str">
        <f t="shared" si="7"/>
        <v>N</v>
      </c>
      <c r="G239" s="10" t="s">
        <v>1433</v>
      </c>
      <c r="H239" s="10" t="s">
        <v>1433</v>
      </c>
    </row>
    <row r="240" spans="1:8" x14ac:dyDescent="0.3">
      <c r="A240" s="10" t="s">
        <v>6</v>
      </c>
      <c r="B240" s="10" t="s">
        <v>1667</v>
      </c>
      <c r="C240" s="31">
        <v>123200</v>
      </c>
      <c r="D240" s="31">
        <v>1595</v>
      </c>
      <c r="E240" s="32">
        <f t="shared" si="6"/>
        <v>6.4367816091954024</v>
      </c>
      <c r="F240" s="10" t="str">
        <f t="shared" si="7"/>
        <v>Y</v>
      </c>
      <c r="G240" s="10" t="s">
        <v>1431</v>
      </c>
      <c r="H240" s="10" t="s">
        <v>1433</v>
      </c>
    </row>
    <row r="241" spans="1:8" x14ac:dyDescent="0.3">
      <c r="A241" s="10" t="s">
        <v>6</v>
      </c>
      <c r="B241" s="10" t="s">
        <v>1668</v>
      </c>
      <c r="C241" s="31">
        <v>301344</v>
      </c>
      <c r="D241" s="31">
        <v>2375</v>
      </c>
      <c r="E241" s="32">
        <f t="shared" si="6"/>
        <v>10.573473684210526</v>
      </c>
      <c r="F241" s="10" t="str">
        <f t="shared" si="7"/>
        <v>Y</v>
      </c>
      <c r="G241" s="10" t="s">
        <v>1431</v>
      </c>
      <c r="H241" s="10" t="s">
        <v>1433</v>
      </c>
    </row>
    <row r="242" spans="1:8" x14ac:dyDescent="0.3">
      <c r="A242" s="10" t="s">
        <v>6</v>
      </c>
      <c r="B242" s="10" t="s">
        <v>1669</v>
      </c>
      <c r="C242" s="31">
        <v>236000</v>
      </c>
      <c r="D242" s="31">
        <v>2275</v>
      </c>
      <c r="E242" s="32">
        <f t="shared" si="6"/>
        <v>8.6446886446886442</v>
      </c>
      <c r="F242" s="10" t="str">
        <f t="shared" si="7"/>
        <v>Y</v>
      </c>
      <c r="G242" s="10" t="s">
        <v>1431</v>
      </c>
      <c r="H242" s="10" t="s">
        <v>1431</v>
      </c>
    </row>
    <row r="243" spans="1:8" x14ac:dyDescent="0.3">
      <c r="A243" s="10" t="s">
        <v>6</v>
      </c>
      <c r="B243" s="10" t="s">
        <v>1670</v>
      </c>
      <c r="C243" s="31">
        <v>200080</v>
      </c>
      <c r="D243" s="31">
        <v>2450</v>
      </c>
      <c r="E243" s="32">
        <f t="shared" si="6"/>
        <v>6.8054421768707485</v>
      </c>
      <c r="F243" s="10" t="str">
        <f t="shared" si="7"/>
        <v>Y</v>
      </c>
      <c r="G243" s="10" t="s">
        <v>1433</v>
      </c>
      <c r="H243" s="10" t="s">
        <v>1433</v>
      </c>
    </row>
    <row r="244" spans="1:8" x14ac:dyDescent="0.3">
      <c r="A244" s="10" t="s">
        <v>6</v>
      </c>
      <c r="B244" s="10" t="s">
        <v>1671</v>
      </c>
      <c r="C244" s="31">
        <v>100000</v>
      </c>
      <c r="D244" s="31">
        <v>2400</v>
      </c>
      <c r="E244" s="32">
        <f t="shared" si="6"/>
        <v>3.4722222222222223</v>
      </c>
      <c r="F244" s="10" t="str">
        <f t="shared" si="7"/>
        <v>Y</v>
      </c>
      <c r="G244" s="10" t="s">
        <v>1433</v>
      </c>
      <c r="H244" s="10" t="s">
        <v>1433</v>
      </c>
    </row>
    <row r="245" spans="1:8" x14ac:dyDescent="0.3">
      <c r="A245" s="10" t="s">
        <v>6</v>
      </c>
      <c r="B245" s="10" t="s">
        <v>1672</v>
      </c>
      <c r="C245" s="31">
        <v>182400</v>
      </c>
      <c r="D245" s="31">
        <v>1599</v>
      </c>
      <c r="E245" s="32">
        <f t="shared" si="6"/>
        <v>9.5059412132582857</v>
      </c>
      <c r="F245" s="10" t="str">
        <f t="shared" si="7"/>
        <v>Y</v>
      </c>
      <c r="G245" s="10" t="s">
        <v>1431</v>
      </c>
      <c r="H245" s="10" t="s">
        <v>1433</v>
      </c>
    </row>
    <row r="246" spans="1:8" x14ac:dyDescent="0.3">
      <c r="A246" s="10" t="s">
        <v>6</v>
      </c>
      <c r="B246" s="10" t="s">
        <v>1673</v>
      </c>
      <c r="C246" s="31">
        <v>154024</v>
      </c>
      <c r="D246" s="31">
        <v>1745</v>
      </c>
      <c r="E246" s="32">
        <f t="shared" si="6"/>
        <v>7.3554918815663806</v>
      </c>
      <c r="F246" s="10" t="str">
        <f t="shared" si="7"/>
        <v>Y</v>
      </c>
      <c r="G246" s="10" t="s">
        <v>1431</v>
      </c>
      <c r="H246" s="10" t="s">
        <v>1433</v>
      </c>
    </row>
    <row r="247" spans="1:8" x14ac:dyDescent="0.3">
      <c r="A247" s="10" t="s">
        <v>6</v>
      </c>
      <c r="B247" s="10" t="s">
        <v>1674</v>
      </c>
      <c r="C247" s="31">
        <v>119425</v>
      </c>
      <c r="D247" s="31">
        <v>1599</v>
      </c>
      <c r="E247" s="32">
        <f t="shared" si="6"/>
        <v>6.2239420471127787</v>
      </c>
      <c r="F247" s="10" t="str">
        <f t="shared" si="7"/>
        <v>Y</v>
      </c>
      <c r="G247" s="10" t="s">
        <v>1431</v>
      </c>
      <c r="H247" s="10" t="s">
        <v>1431</v>
      </c>
    </row>
    <row r="248" spans="1:8" x14ac:dyDescent="0.3">
      <c r="A248" s="10" t="s">
        <v>6</v>
      </c>
      <c r="B248" s="10" t="s">
        <v>1675</v>
      </c>
      <c r="C248" s="31">
        <v>179624</v>
      </c>
      <c r="D248" s="31">
        <v>2055</v>
      </c>
      <c r="E248" s="32">
        <f t="shared" si="6"/>
        <v>7.2840227088402267</v>
      </c>
      <c r="F248" s="10" t="str">
        <f t="shared" si="7"/>
        <v>Y</v>
      </c>
      <c r="G248" s="10" t="s">
        <v>1431</v>
      </c>
      <c r="H248" s="10" t="s">
        <v>1431</v>
      </c>
    </row>
    <row r="249" spans="1:8" x14ac:dyDescent="0.3">
      <c r="A249" s="10" t="s">
        <v>6</v>
      </c>
      <c r="B249" s="10" t="s">
        <v>1676</v>
      </c>
      <c r="C249" s="31">
        <v>308400</v>
      </c>
      <c r="D249" s="31">
        <v>2105</v>
      </c>
      <c r="E249" s="32">
        <f t="shared" si="6"/>
        <v>12.209026128266034</v>
      </c>
      <c r="F249" s="10" t="str">
        <f t="shared" si="7"/>
        <v>Y</v>
      </c>
      <c r="G249" s="10" t="s">
        <v>1431</v>
      </c>
      <c r="H249" s="10" t="s">
        <v>1433</v>
      </c>
    </row>
    <row r="250" spans="1:8" x14ac:dyDescent="0.3">
      <c r="A250" s="10" t="s">
        <v>6</v>
      </c>
      <c r="B250" s="10" t="s">
        <v>1677</v>
      </c>
      <c r="C250" s="31">
        <v>75000</v>
      </c>
      <c r="D250" s="31">
        <v>1699</v>
      </c>
      <c r="E250" s="32">
        <f t="shared" si="6"/>
        <v>3.6786344908769864</v>
      </c>
      <c r="F250" s="10" t="str">
        <f t="shared" si="7"/>
        <v>Y</v>
      </c>
      <c r="G250" s="10" t="s">
        <v>1431</v>
      </c>
      <c r="H250" s="10" t="s">
        <v>1433</v>
      </c>
    </row>
    <row r="251" spans="1:8" x14ac:dyDescent="0.3">
      <c r="A251" s="10" t="s">
        <v>6</v>
      </c>
      <c r="B251" s="10" t="s">
        <v>1678</v>
      </c>
      <c r="C251" s="31">
        <v>4176000</v>
      </c>
      <c r="D251" s="31">
        <v>2105</v>
      </c>
      <c r="E251" s="32">
        <f t="shared" si="6"/>
        <v>165.3206650831354</v>
      </c>
      <c r="F251" s="10" t="str">
        <f t="shared" si="7"/>
        <v>Y</v>
      </c>
      <c r="G251" s="10" t="s">
        <v>1431</v>
      </c>
      <c r="H251" s="10" t="s">
        <v>1433</v>
      </c>
    </row>
    <row r="252" spans="1:8" x14ac:dyDescent="0.3">
      <c r="A252" s="10" t="s">
        <v>6</v>
      </c>
      <c r="B252" s="10" t="s">
        <v>1679</v>
      </c>
      <c r="C252" s="31">
        <v>71680</v>
      </c>
      <c r="D252" s="31">
        <v>2055</v>
      </c>
      <c r="E252" s="32">
        <f t="shared" si="6"/>
        <v>2.9067315490673153</v>
      </c>
      <c r="F252" s="10" t="str">
        <f t="shared" si="7"/>
        <v>N</v>
      </c>
      <c r="G252" s="10" t="s">
        <v>1433</v>
      </c>
      <c r="H252" s="10" t="s">
        <v>1433</v>
      </c>
    </row>
    <row r="253" spans="1:8" x14ac:dyDescent="0.3">
      <c r="A253" s="10" t="s">
        <v>6</v>
      </c>
      <c r="B253" s="10" t="s">
        <v>1680</v>
      </c>
      <c r="C253" s="31">
        <v>110000</v>
      </c>
      <c r="D253" s="31">
        <v>1795</v>
      </c>
      <c r="E253" s="32">
        <f t="shared" si="6"/>
        <v>5.1067780872794799</v>
      </c>
      <c r="F253" s="10" t="str">
        <f t="shared" si="7"/>
        <v>Y</v>
      </c>
      <c r="G253" s="10" t="s">
        <v>1431</v>
      </c>
      <c r="H253" s="10" t="s">
        <v>1433</v>
      </c>
    </row>
    <row r="254" spans="1:8" x14ac:dyDescent="0.3">
      <c r="A254" s="10" t="s">
        <v>6</v>
      </c>
      <c r="B254" s="10" t="s">
        <v>1681</v>
      </c>
      <c r="C254" s="31">
        <v>93070</v>
      </c>
      <c r="D254" s="31">
        <v>1599</v>
      </c>
      <c r="E254" s="32">
        <f t="shared" si="6"/>
        <v>4.8504273504273501</v>
      </c>
      <c r="F254" s="10" t="str">
        <f t="shared" si="7"/>
        <v>Y</v>
      </c>
      <c r="G254" s="10" t="s">
        <v>1431</v>
      </c>
      <c r="H254" s="10" t="s">
        <v>1431</v>
      </c>
    </row>
    <row r="255" spans="1:8" x14ac:dyDescent="0.3">
      <c r="A255" s="10" t="s">
        <v>6</v>
      </c>
      <c r="B255" s="10" t="s">
        <v>1682</v>
      </c>
      <c r="C255" s="31">
        <v>411621</v>
      </c>
      <c r="D255" s="31">
        <v>1875</v>
      </c>
      <c r="E255" s="32">
        <f t="shared" si="6"/>
        <v>18.294266666666665</v>
      </c>
      <c r="F255" s="10" t="str">
        <f t="shared" si="7"/>
        <v>Y</v>
      </c>
      <c r="G255" s="10" t="s">
        <v>1431</v>
      </c>
      <c r="H255" s="10" t="s">
        <v>1433</v>
      </c>
    </row>
    <row r="256" spans="1:8" x14ac:dyDescent="0.3">
      <c r="A256" s="10" t="s">
        <v>6</v>
      </c>
      <c r="B256" s="10" t="s">
        <v>1683</v>
      </c>
      <c r="C256" s="31">
        <v>260000</v>
      </c>
      <c r="D256" s="31">
        <v>1830</v>
      </c>
      <c r="E256" s="32">
        <f t="shared" si="6"/>
        <v>11.839708561020036</v>
      </c>
      <c r="F256" s="10" t="str">
        <f t="shared" si="7"/>
        <v>Y</v>
      </c>
      <c r="G256" s="10" t="s">
        <v>1431</v>
      </c>
      <c r="H256" s="10" t="s">
        <v>1433</v>
      </c>
    </row>
    <row r="257" spans="1:8" x14ac:dyDescent="0.3">
      <c r="A257" s="10" t="s">
        <v>6</v>
      </c>
      <c r="B257" s="10" t="s">
        <v>1684</v>
      </c>
      <c r="C257" s="31">
        <v>220688</v>
      </c>
      <c r="D257" s="31">
        <v>2430</v>
      </c>
      <c r="E257" s="32">
        <f t="shared" si="6"/>
        <v>7.5681755829903974</v>
      </c>
      <c r="F257" s="10" t="str">
        <f t="shared" si="7"/>
        <v>Y</v>
      </c>
      <c r="G257" s="10" t="s">
        <v>1431</v>
      </c>
      <c r="H257" s="10" t="s">
        <v>1433</v>
      </c>
    </row>
    <row r="258" spans="1:8" x14ac:dyDescent="0.3">
      <c r="A258" s="10" t="s">
        <v>6</v>
      </c>
      <c r="B258" s="10" t="s">
        <v>1685</v>
      </c>
      <c r="C258" s="31">
        <v>421512</v>
      </c>
      <c r="D258" s="31">
        <v>2330</v>
      </c>
      <c r="E258" s="32">
        <f t="shared" si="6"/>
        <v>15.075536480686695</v>
      </c>
      <c r="F258" s="10" t="str">
        <f t="shared" si="7"/>
        <v>Y</v>
      </c>
      <c r="G258" s="10" t="s">
        <v>1431</v>
      </c>
      <c r="H258" s="10" t="s">
        <v>1433</v>
      </c>
    </row>
    <row r="259" spans="1:8" x14ac:dyDescent="0.3">
      <c r="A259" s="10" t="s">
        <v>6</v>
      </c>
      <c r="B259" s="10" t="s">
        <v>1686</v>
      </c>
      <c r="C259" s="31">
        <v>182000</v>
      </c>
      <c r="D259" s="31">
        <v>2280</v>
      </c>
      <c r="E259" s="32">
        <f t="shared" si="6"/>
        <v>6.6520467836257309</v>
      </c>
      <c r="F259" s="10" t="str">
        <f t="shared" si="7"/>
        <v>Y</v>
      </c>
      <c r="G259" s="10" t="s">
        <v>1431</v>
      </c>
      <c r="H259" s="10" t="s">
        <v>1433</v>
      </c>
    </row>
    <row r="260" spans="1:8" x14ac:dyDescent="0.3">
      <c r="A260" s="10" t="s">
        <v>6</v>
      </c>
      <c r="B260" s="10" t="s">
        <v>1687</v>
      </c>
      <c r="C260" s="31">
        <v>129600</v>
      </c>
      <c r="D260" s="31">
        <v>1955</v>
      </c>
      <c r="E260" s="32">
        <f t="shared" si="6"/>
        <v>5.5242966751918159</v>
      </c>
      <c r="F260" s="10" t="str">
        <f t="shared" si="7"/>
        <v>Y</v>
      </c>
      <c r="G260" s="10" t="s">
        <v>1433</v>
      </c>
      <c r="H260" s="10" t="s">
        <v>1433</v>
      </c>
    </row>
    <row r="261" spans="1:8" x14ac:dyDescent="0.3">
      <c r="A261" s="10" t="s">
        <v>6</v>
      </c>
      <c r="B261" s="10" t="s">
        <v>1688</v>
      </c>
      <c r="C261" s="31">
        <v>1320000</v>
      </c>
      <c r="D261" s="31">
        <v>1780</v>
      </c>
      <c r="E261" s="32">
        <f t="shared" ref="E261:E324" si="8">IF(AND(ISNUMBER(C261),ISNUMBER(D261)),C261/(12*D261),"")</f>
        <v>61.797752808988761</v>
      </c>
      <c r="F261" s="10" t="str">
        <f t="shared" ref="F261:F324" si="9">IF(E261="","",IF(E261&gt;=3,"Y","N"))</f>
        <v>Y</v>
      </c>
      <c r="G261" s="10" t="s">
        <v>1433</v>
      </c>
      <c r="H261" s="10" t="s">
        <v>1433</v>
      </c>
    </row>
    <row r="262" spans="1:8" x14ac:dyDescent="0.3">
      <c r="A262" s="10" t="s">
        <v>6</v>
      </c>
      <c r="B262" s="10" t="s">
        <v>1689</v>
      </c>
      <c r="C262" s="31">
        <v>95000</v>
      </c>
      <c r="D262" s="31">
        <v>1495</v>
      </c>
      <c r="E262" s="32">
        <f t="shared" si="8"/>
        <v>5.2954292084726866</v>
      </c>
      <c r="F262" s="10" t="str">
        <f t="shared" si="9"/>
        <v>Y</v>
      </c>
      <c r="G262" s="10" t="s">
        <v>1431</v>
      </c>
      <c r="H262" s="10" t="s">
        <v>1433</v>
      </c>
    </row>
    <row r="263" spans="1:8" x14ac:dyDescent="0.3">
      <c r="A263" s="10" t="s">
        <v>6</v>
      </c>
      <c r="B263" s="10" t="s">
        <v>1690</v>
      </c>
      <c r="C263" s="31">
        <v>170400</v>
      </c>
      <c r="D263" s="31">
        <v>1780</v>
      </c>
      <c r="E263" s="32">
        <f t="shared" si="8"/>
        <v>7.9775280898876408</v>
      </c>
      <c r="F263" s="10" t="str">
        <f t="shared" si="9"/>
        <v>Y</v>
      </c>
      <c r="G263" s="10" t="s">
        <v>1431</v>
      </c>
      <c r="H263" s="10" t="s">
        <v>1433</v>
      </c>
    </row>
    <row r="264" spans="1:8" x14ac:dyDescent="0.3">
      <c r="A264" s="10" t="s">
        <v>6</v>
      </c>
      <c r="B264" s="10" t="s">
        <v>1691</v>
      </c>
      <c r="C264" s="31">
        <v>166400</v>
      </c>
      <c r="D264" s="31">
        <v>1725</v>
      </c>
      <c r="E264" s="32">
        <f t="shared" si="8"/>
        <v>8.0386473429951693</v>
      </c>
      <c r="F264" s="10" t="str">
        <f t="shared" si="9"/>
        <v>Y</v>
      </c>
      <c r="G264" s="10" t="s">
        <v>1431</v>
      </c>
      <c r="H264" s="10" t="s">
        <v>1433</v>
      </c>
    </row>
    <row r="265" spans="1:8" x14ac:dyDescent="0.3">
      <c r="A265" s="10" t="s">
        <v>6</v>
      </c>
      <c r="B265" s="10" t="s">
        <v>1692</v>
      </c>
      <c r="C265" s="31">
        <v>144000</v>
      </c>
      <c r="D265" s="31">
        <v>1960</v>
      </c>
      <c r="E265" s="32">
        <f t="shared" si="8"/>
        <v>6.1224489795918364</v>
      </c>
      <c r="F265" s="10" t="str">
        <f t="shared" si="9"/>
        <v>Y</v>
      </c>
      <c r="G265" s="10" t="s">
        <v>1431</v>
      </c>
      <c r="H265" s="10" t="s">
        <v>1433</v>
      </c>
    </row>
    <row r="266" spans="1:8" x14ac:dyDescent="0.3">
      <c r="A266" s="10" t="s">
        <v>6</v>
      </c>
      <c r="B266" s="10" t="s">
        <v>1693</v>
      </c>
      <c r="C266" s="31">
        <v>351000</v>
      </c>
      <c r="D266" s="31">
        <v>2280</v>
      </c>
      <c r="E266" s="32">
        <f t="shared" si="8"/>
        <v>12.828947368421053</v>
      </c>
      <c r="F266" s="10" t="str">
        <f t="shared" si="9"/>
        <v>Y</v>
      </c>
      <c r="G266" s="10" t="s">
        <v>1431</v>
      </c>
      <c r="H266" s="10" t="s">
        <v>1433</v>
      </c>
    </row>
    <row r="267" spans="1:8" x14ac:dyDescent="0.3">
      <c r="A267" s="10" t="s">
        <v>6</v>
      </c>
      <c r="B267" s="10" t="s">
        <v>1694</v>
      </c>
      <c r="C267" s="31">
        <v>100000</v>
      </c>
      <c r="D267" s="31">
        <v>1800</v>
      </c>
      <c r="E267" s="32">
        <f t="shared" si="8"/>
        <v>4.6296296296296298</v>
      </c>
      <c r="F267" s="10" t="str">
        <f t="shared" si="9"/>
        <v>Y</v>
      </c>
      <c r="G267" s="10" t="s">
        <v>1431</v>
      </c>
      <c r="H267" s="10" t="s">
        <v>1431</v>
      </c>
    </row>
    <row r="268" spans="1:8" x14ac:dyDescent="0.3">
      <c r="A268" s="10" t="s">
        <v>6</v>
      </c>
      <c r="B268" s="10" t="s">
        <v>1695</v>
      </c>
      <c r="C268" s="31">
        <v>305000</v>
      </c>
      <c r="D268" s="31">
        <v>2225</v>
      </c>
      <c r="E268" s="32">
        <f t="shared" si="8"/>
        <v>11.423220973782772</v>
      </c>
      <c r="F268" s="10" t="str">
        <f t="shared" si="9"/>
        <v>Y</v>
      </c>
      <c r="G268" s="10" t="s">
        <v>1431</v>
      </c>
      <c r="H268" s="10" t="s">
        <v>1431</v>
      </c>
    </row>
    <row r="269" spans="1:8" x14ac:dyDescent="0.3">
      <c r="A269" s="10" t="s">
        <v>6</v>
      </c>
      <c r="B269" s="10" t="s">
        <v>1696</v>
      </c>
      <c r="C269" s="31">
        <v>111000</v>
      </c>
      <c r="D269" s="31">
        <v>1775</v>
      </c>
      <c r="E269" s="32">
        <f t="shared" si="8"/>
        <v>5.211267605633803</v>
      </c>
      <c r="F269" s="10" t="str">
        <f t="shared" si="9"/>
        <v>Y</v>
      </c>
      <c r="G269" s="10" t="s">
        <v>1431</v>
      </c>
      <c r="H269" s="10" t="s">
        <v>1431</v>
      </c>
    </row>
    <row r="270" spans="1:8" x14ac:dyDescent="0.3">
      <c r="A270" s="10" t="s">
        <v>6</v>
      </c>
      <c r="B270" s="10" t="s">
        <v>1697</v>
      </c>
      <c r="C270" s="31">
        <v>109000</v>
      </c>
      <c r="D270" s="31">
        <v>1565</v>
      </c>
      <c r="E270" s="32">
        <f t="shared" si="8"/>
        <v>5.8040468583599578</v>
      </c>
      <c r="F270" s="10" t="str">
        <f t="shared" si="9"/>
        <v>Y</v>
      </c>
      <c r="G270" s="10" t="s">
        <v>1431</v>
      </c>
      <c r="H270" s="10" t="s">
        <v>1433</v>
      </c>
    </row>
    <row r="271" spans="1:8" x14ac:dyDescent="0.3">
      <c r="A271" s="10" t="s">
        <v>6</v>
      </c>
      <c r="B271" s="10" t="s">
        <v>1698</v>
      </c>
      <c r="C271" s="31">
        <v>72000</v>
      </c>
      <c r="D271" s="31">
        <v>1775</v>
      </c>
      <c r="E271" s="32">
        <f t="shared" si="8"/>
        <v>3.380281690140845</v>
      </c>
      <c r="F271" s="10" t="str">
        <f t="shared" si="9"/>
        <v>Y</v>
      </c>
      <c r="G271" s="10" t="s">
        <v>1431</v>
      </c>
      <c r="H271" s="10" t="s">
        <v>1431</v>
      </c>
    </row>
    <row r="272" spans="1:8" x14ac:dyDescent="0.3">
      <c r="A272" s="10" t="s">
        <v>6</v>
      </c>
      <c r="B272" s="10" t="s">
        <v>1699</v>
      </c>
      <c r="C272" s="31">
        <v>90000</v>
      </c>
      <c r="D272" s="31">
        <v>1595</v>
      </c>
      <c r="E272" s="32">
        <f t="shared" si="8"/>
        <v>4.7021943573667713</v>
      </c>
      <c r="F272" s="10" t="str">
        <f t="shared" si="9"/>
        <v>Y</v>
      </c>
      <c r="G272" s="10" t="s">
        <v>1431</v>
      </c>
      <c r="H272" s="10" t="s">
        <v>1433</v>
      </c>
    </row>
    <row r="273" spans="1:8" x14ac:dyDescent="0.3">
      <c r="A273" s="10" t="s">
        <v>6</v>
      </c>
      <c r="B273" s="10" t="s">
        <v>1700</v>
      </c>
      <c r="C273" s="31">
        <v>64896</v>
      </c>
      <c r="D273" s="31">
        <v>1925</v>
      </c>
      <c r="E273" s="32">
        <f t="shared" si="8"/>
        <v>2.8093506493506495</v>
      </c>
      <c r="F273" s="10" t="str">
        <f t="shared" si="9"/>
        <v>N</v>
      </c>
      <c r="G273" s="10" t="s">
        <v>1433</v>
      </c>
      <c r="H273" s="10" t="s">
        <v>1433</v>
      </c>
    </row>
    <row r="274" spans="1:8" x14ac:dyDescent="0.3">
      <c r="A274" s="10" t="s">
        <v>6</v>
      </c>
      <c r="B274" s="10" t="s">
        <v>1701</v>
      </c>
      <c r="C274" s="31">
        <v>166400</v>
      </c>
      <c r="D274" s="31">
        <v>1955</v>
      </c>
      <c r="E274" s="32">
        <f t="shared" si="8"/>
        <v>7.0929241261722078</v>
      </c>
      <c r="F274" s="10" t="str">
        <f t="shared" si="9"/>
        <v>Y</v>
      </c>
      <c r="G274" s="10" t="s">
        <v>1431</v>
      </c>
      <c r="H274" s="10" t="s">
        <v>1433</v>
      </c>
    </row>
    <row r="275" spans="1:8" x14ac:dyDescent="0.3">
      <c r="A275" s="10" t="s">
        <v>6</v>
      </c>
      <c r="B275" s="10" t="s">
        <v>1702</v>
      </c>
      <c r="C275" s="31">
        <v>384000</v>
      </c>
      <c r="D275" s="31">
        <v>2575</v>
      </c>
      <c r="E275" s="32">
        <f t="shared" si="8"/>
        <v>12.427184466019417</v>
      </c>
      <c r="F275" s="10" t="str">
        <f t="shared" si="9"/>
        <v>Y</v>
      </c>
      <c r="G275" s="10" t="s">
        <v>1431</v>
      </c>
      <c r="H275" s="10" t="s">
        <v>1433</v>
      </c>
    </row>
    <row r="276" spans="1:8" x14ac:dyDescent="0.3">
      <c r="A276" s="10" t="s">
        <v>6</v>
      </c>
      <c r="B276" s="10" t="s">
        <v>1703</v>
      </c>
      <c r="C276" s="31">
        <v>130000</v>
      </c>
      <c r="D276" s="31">
        <v>2225</v>
      </c>
      <c r="E276" s="32">
        <f t="shared" si="8"/>
        <v>4.868913857677903</v>
      </c>
      <c r="F276" s="10" t="str">
        <f t="shared" si="9"/>
        <v>Y</v>
      </c>
      <c r="G276" s="10" t="s">
        <v>1433</v>
      </c>
      <c r="H276" s="10" t="s">
        <v>1433</v>
      </c>
    </row>
    <row r="277" spans="1:8" x14ac:dyDescent="0.3">
      <c r="A277" s="10" t="s">
        <v>6</v>
      </c>
      <c r="B277" s="10" t="s">
        <v>1704</v>
      </c>
      <c r="C277" s="31">
        <v>128340</v>
      </c>
      <c r="D277" s="31">
        <v>1975</v>
      </c>
      <c r="E277" s="32">
        <f t="shared" si="8"/>
        <v>5.415189873417722</v>
      </c>
      <c r="F277" s="10" t="str">
        <f t="shared" si="9"/>
        <v>Y</v>
      </c>
      <c r="G277" s="10" t="s">
        <v>1433</v>
      </c>
      <c r="H277" s="10" t="s">
        <v>1433</v>
      </c>
    </row>
    <row r="278" spans="1:8" x14ac:dyDescent="0.3">
      <c r="A278" s="10" t="s">
        <v>6</v>
      </c>
      <c r="B278" s="10" t="s">
        <v>1705</v>
      </c>
      <c r="C278" s="31">
        <v>180000</v>
      </c>
      <c r="D278" s="31">
        <v>1565</v>
      </c>
      <c r="E278" s="32">
        <f t="shared" si="8"/>
        <v>9.5846645367412133</v>
      </c>
      <c r="F278" s="10" t="str">
        <f t="shared" si="9"/>
        <v>Y</v>
      </c>
      <c r="G278" s="10" t="s">
        <v>1433</v>
      </c>
      <c r="H278" s="10" t="s">
        <v>1433</v>
      </c>
    </row>
    <row r="279" spans="1:8" x14ac:dyDescent="0.3">
      <c r="A279" s="10" t="s">
        <v>6</v>
      </c>
      <c r="B279" s="10" t="s">
        <v>1706</v>
      </c>
      <c r="C279" s="31">
        <v>173000</v>
      </c>
      <c r="D279" s="31">
        <v>2000</v>
      </c>
      <c r="E279" s="32">
        <f t="shared" si="8"/>
        <v>7.208333333333333</v>
      </c>
      <c r="F279" s="10" t="str">
        <f t="shared" si="9"/>
        <v>Y</v>
      </c>
      <c r="G279" s="10" t="s">
        <v>1433</v>
      </c>
      <c r="H279" s="10" t="s">
        <v>1433</v>
      </c>
    </row>
    <row r="280" spans="1:8" x14ac:dyDescent="0.3">
      <c r="A280" s="10" t="s">
        <v>6</v>
      </c>
      <c r="B280" s="10" t="s">
        <v>1707</v>
      </c>
      <c r="C280" s="31">
        <v>200000</v>
      </c>
      <c r="D280" s="31">
        <v>1690</v>
      </c>
      <c r="E280" s="32">
        <f t="shared" si="8"/>
        <v>9.8619329388560164</v>
      </c>
      <c r="F280" s="10" t="str">
        <f t="shared" si="9"/>
        <v>Y</v>
      </c>
      <c r="G280" s="10" t="s">
        <v>1431</v>
      </c>
      <c r="H280" s="10" t="s">
        <v>1433</v>
      </c>
    </row>
    <row r="281" spans="1:8" x14ac:dyDescent="0.3">
      <c r="A281" s="10" t="s">
        <v>6</v>
      </c>
      <c r="B281" s="10" t="s">
        <v>1708</v>
      </c>
      <c r="C281" s="31">
        <v>107100</v>
      </c>
      <c r="D281" s="31">
        <v>2055</v>
      </c>
      <c r="E281" s="32">
        <f t="shared" si="8"/>
        <v>4.3430656934306571</v>
      </c>
      <c r="F281" s="10" t="str">
        <f t="shared" si="9"/>
        <v>Y</v>
      </c>
      <c r="G281" s="10" t="s">
        <v>1431</v>
      </c>
      <c r="H281" s="10" t="s">
        <v>1433</v>
      </c>
    </row>
    <row r="282" spans="1:8" x14ac:dyDescent="0.3">
      <c r="A282" s="10" t="s">
        <v>6</v>
      </c>
      <c r="B282" s="10" t="s">
        <v>1709</v>
      </c>
      <c r="C282" s="31">
        <v>162500</v>
      </c>
      <c r="D282" s="31">
        <v>1955</v>
      </c>
      <c r="E282" s="32">
        <f t="shared" si="8"/>
        <v>6.926683716965047</v>
      </c>
      <c r="F282" s="10" t="str">
        <f t="shared" si="9"/>
        <v>Y</v>
      </c>
      <c r="G282" s="10" t="s">
        <v>1433</v>
      </c>
      <c r="H282" s="10" t="s">
        <v>1433</v>
      </c>
    </row>
    <row r="283" spans="1:8" x14ac:dyDescent="0.3">
      <c r="A283" s="10" t="s">
        <v>6</v>
      </c>
      <c r="B283" s="10" t="s">
        <v>1710</v>
      </c>
      <c r="C283" s="31">
        <v>378000</v>
      </c>
      <c r="D283" s="31">
        <v>2535</v>
      </c>
      <c r="E283" s="32">
        <f t="shared" si="8"/>
        <v>12.42603550295858</v>
      </c>
      <c r="F283" s="10" t="str">
        <f t="shared" si="9"/>
        <v>Y</v>
      </c>
      <c r="G283" s="10" t="s">
        <v>1431</v>
      </c>
      <c r="H283" s="10" t="s">
        <v>1433</v>
      </c>
    </row>
    <row r="284" spans="1:8" x14ac:dyDescent="0.3">
      <c r="A284" s="10" t="s">
        <v>6</v>
      </c>
      <c r="B284" s="10" t="s">
        <v>1711</v>
      </c>
      <c r="C284" s="31">
        <v>180000</v>
      </c>
      <c r="D284" s="31">
        <v>2280</v>
      </c>
      <c r="E284" s="32">
        <f t="shared" si="8"/>
        <v>6.5789473684210522</v>
      </c>
      <c r="F284" s="10" t="str">
        <f t="shared" si="9"/>
        <v>Y</v>
      </c>
      <c r="G284" s="10" t="s">
        <v>1433</v>
      </c>
      <c r="H284" s="10" t="s">
        <v>1433</v>
      </c>
    </row>
    <row r="285" spans="1:8" x14ac:dyDescent="0.3">
      <c r="A285" s="10" t="s">
        <v>6</v>
      </c>
      <c r="B285" s="10" t="s">
        <v>1712</v>
      </c>
      <c r="C285" s="31">
        <v>250000</v>
      </c>
      <c r="D285" s="31">
        <v>2085</v>
      </c>
      <c r="E285" s="32">
        <f t="shared" si="8"/>
        <v>9.9920063948840934</v>
      </c>
      <c r="F285" s="10" t="str">
        <f t="shared" si="9"/>
        <v>Y</v>
      </c>
      <c r="G285" s="10" t="s">
        <v>1431</v>
      </c>
      <c r="H285" s="10" t="s">
        <v>1433</v>
      </c>
    </row>
    <row r="286" spans="1:8" x14ac:dyDescent="0.3">
      <c r="A286" s="10" t="s">
        <v>6</v>
      </c>
      <c r="B286" s="10" t="s">
        <v>1713</v>
      </c>
      <c r="C286" s="31">
        <v>100000</v>
      </c>
      <c r="D286" s="31">
        <v>1780</v>
      </c>
      <c r="E286" s="32">
        <f t="shared" si="8"/>
        <v>4.6816479400749067</v>
      </c>
      <c r="F286" s="10" t="str">
        <f t="shared" si="9"/>
        <v>Y</v>
      </c>
      <c r="G286" s="10" t="s">
        <v>1431</v>
      </c>
      <c r="H286" s="10" t="s">
        <v>1431</v>
      </c>
    </row>
    <row r="287" spans="1:8" x14ac:dyDescent="0.3">
      <c r="A287" s="10" t="s">
        <v>6</v>
      </c>
      <c r="B287" s="10" t="s">
        <v>1714</v>
      </c>
      <c r="C287" s="31">
        <v>122000</v>
      </c>
      <c r="D287" s="31">
        <v>1985</v>
      </c>
      <c r="E287" s="32">
        <f t="shared" si="8"/>
        <v>5.1217464315701093</v>
      </c>
      <c r="F287" s="10" t="str">
        <f t="shared" si="9"/>
        <v>Y</v>
      </c>
      <c r="G287" s="10" t="s">
        <v>1431</v>
      </c>
      <c r="H287" s="10" t="s">
        <v>1431</v>
      </c>
    </row>
    <row r="288" spans="1:8" x14ac:dyDescent="0.3">
      <c r="A288" s="10" t="s">
        <v>6</v>
      </c>
      <c r="B288" s="10" t="s">
        <v>1715</v>
      </c>
      <c r="C288" s="31">
        <v>90720</v>
      </c>
      <c r="D288" s="31">
        <v>1599</v>
      </c>
      <c r="E288" s="32">
        <f t="shared" si="8"/>
        <v>4.727954971857411</v>
      </c>
      <c r="F288" s="10" t="str">
        <f t="shared" si="9"/>
        <v>Y</v>
      </c>
      <c r="G288" s="10" t="s">
        <v>1431</v>
      </c>
      <c r="H288" s="10" t="s">
        <v>1433</v>
      </c>
    </row>
    <row r="289" spans="1:8" x14ac:dyDescent="0.3">
      <c r="A289" s="10" t="s">
        <v>6</v>
      </c>
      <c r="B289" s="10" t="s">
        <v>1716</v>
      </c>
      <c r="C289" s="31">
        <v>361848</v>
      </c>
      <c r="D289" s="31">
        <v>2215</v>
      </c>
      <c r="E289" s="32">
        <f t="shared" si="8"/>
        <v>13.613544018058692</v>
      </c>
      <c r="F289" s="10" t="str">
        <f t="shared" si="9"/>
        <v>Y</v>
      </c>
      <c r="G289" s="10" t="s">
        <v>1431</v>
      </c>
      <c r="H289" s="10" t="s">
        <v>1433</v>
      </c>
    </row>
    <row r="290" spans="1:8" x14ac:dyDescent="0.3">
      <c r="A290" s="10" t="s">
        <v>6</v>
      </c>
      <c r="B290" s="10" t="s">
        <v>1717</v>
      </c>
      <c r="C290" s="31">
        <v>166400</v>
      </c>
      <c r="D290" s="31">
        <v>2280</v>
      </c>
      <c r="E290" s="32">
        <f t="shared" si="8"/>
        <v>6.0818713450292394</v>
      </c>
      <c r="F290" s="10" t="str">
        <f t="shared" si="9"/>
        <v>Y</v>
      </c>
      <c r="G290" s="10" t="s">
        <v>1431</v>
      </c>
      <c r="H290" s="10" t="s">
        <v>1433</v>
      </c>
    </row>
    <row r="291" spans="1:8" x14ac:dyDescent="0.3">
      <c r="A291" s="10" t="s">
        <v>111</v>
      </c>
      <c r="B291" s="10" t="s">
        <v>1718</v>
      </c>
      <c r="C291" s="31">
        <v>152100</v>
      </c>
      <c r="D291" s="31">
        <v>1775</v>
      </c>
      <c r="E291" s="32">
        <f t="shared" si="8"/>
        <v>7.140845070422535</v>
      </c>
      <c r="F291" s="10" t="str">
        <f t="shared" si="9"/>
        <v>Y</v>
      </c>
      <c r="G291" s="10" t="s">
        <v>1433</v>
      </c>
      <c r="H291" s="10" t="s">
        <v>1433</v>
      </c>
    </row>
    <row r="292" spans="1:8" x14ac:dyDescent="0.3">
      <c r="A292" s="10" t="s">
        <v>111</v>
      </c>
      <c r="B292" s="10" t="s">
        <v>1719</v>
      </c>
      <c r="C292" s="31">
        <v>127836</v>
      </c>
      <c r="D292" s="31">
        <v>2351</v>
      </c>
      <c r="E292" s="32">
        <f t="shared" si="8"/>
        <v>4.531263292216078</v>
      </c>
      <c r="F292" s="10" t="str">
        <f t="shared" si="9"/>
        <v>Y</v>
      </c>
      <c r="G292" s="10" t="s">
        <v>1433</v>
      </c>
      <c r="H292" s="10" t="s">
        <v>1433</v>
      </c>
    </row>
    <row r="293" spans="1:8" x14ac:dyDescent="0.3">
      <c r="A293" s="10" t="s">
        <v>111</v>
      </c>
      <c r="B293" s="10" t="s">
        <v>1720</v>
      </c>
      <c r="C293" s="31">
        <v>48120</v>
      </c>
      <c r="D293" s="31">
        <v>1499</v>
      </c>
      <c r="E293" s="32">
        <f t="shared" si="8"/>
        <v>2.6751167444963309</v>
      </c>
      <c r="F293" s="10" t="str">
        <f t="shared" si="9"/>
        <v>N</v>
      </c>
      <c r="G293" s="10" t="s">
        <v>1433</v>
      </c>
      <c r="H293" s="10" t="s">
        <v>1433</v>
      </c>
    </row>
    <row r="294" spans="1:8" x14ac:dyDescent="0.3">
      <c r="A294" s="10" t="s">
        <v>111</v>
      </c>
      <c r="B294" s="10" t="s">
        <v>246</v>
      </c>
      <c r="C294" s="31">
        <v>80184</v>
      </c>
      <c r="D294" s="31">
        <v>1349</v>
      </c>
      <c r="E294" s="32">
        <f t="shared" si="8"/>
        <v>4.9532987398072645</v>
      </c>
      <c r="F294" s="10" t="str">
        <f t="shared" si="9"/>
        <v>Y</v>
      </c>
      <c r="G294" s="10" t="s">
        <v>1431</v>
      </c>
      <c r="H294" s="10" t="s">
        <v>1431</v>
      </c>
    </row>
    <row r="295" spans="1:8" x14ac:dyDescent="0.3">
      <c r="A295" s="10" t="s">
        <v>111</v>
      </c>
      <c r="B295" s="10" t="s">
        <v>1721</v>
      </c>
      <c r="C295" s="31">
        <v>69996</v>
      </c>
      <c r="D295" s="31">
        <v>1995</v>
      </c>
      <c r="E295" s="32">
        <f t="shared" si="8"/>
        <v>2.9238095238095236</v>
      </c>
      <c r="F295" s="10" t="str">
        <f t="shared" si="9"/>
        <v>N</v>
      </c>
      <c r="G295" s="10" t="s">
        <v>1433</v>
      </c>
      <c r="H295" s="10" t="s">
        <v>1433</v>
      </c>
    </row>
    <row r="296" spans="1:8" x14ac:dyDescent="0.3">
      <c r="A296" s="10" t="s">
        <v>111</v>
      </c>
      <c r="B296" s="10" t="s">
        <v>1722</v>
      </c>
      <c r="C296" s="31">
        <v>59340</v>
      </c>
      <c r="D296" s="31">
        <v>1349</v>
      </c>
      <c r="E296" s="32">
        <f t="shared" si="8"/>
        <v>3.6656782802075614</v>
      </c>
      <c r="F296" s="10" t="str">
        <f t="shared" si="9"/>
        <v>Y</v>
      </c>
      <c r="G296" s="10" t="s">
        <v>1433</v>
      </c>
      <c r="H296" s="10" t="s">
        <v>1433</v>
      </c>
    </row>
    <row r="297" spans="1:8" x14ac:dyDescent="0.3">
      <c r="A297" s="10" t="s">
        <v>111</v>
      </c>
      <c r="B297" s="10" t="s">
        <v>1723</v>
      </c>
      <c r="C297" s="31">
        <v>99588</v>
      </c>
      <c r="D297" s="31">
        <v>1600</v>
      </c>
      <c r="E297" s="32">
        <f t="shared" si="8"/>
        <v>5.1868749999999997</v>
      </c>
      <c r="F297" s="10" t="str">
        <f t="shared" si="9"/>
        <v>Y</v>
      </c>
      <c r="G297" s="10" t="s">
        <v>1433</v>
      </c>
      <c r="H297" s="10" t="s">
        <v>1433</v>
      </c>
    </row>
    <row r="298" spans="1:8" x14ac:dyDescent="0.3">
      <c r="A298" s="10" t="s">
        <v>111</v>
      </c>
      <c r="B298" s="10" t="s">
        <v>1724</v>
      </c>
      <c r="C298" s="31">
        <v>112596</v>
      </c>
      <c r="D298" s="31">
        <v>1499</v>
      </c>
      <c r="E298" s="32">
        <f t="shared" si="8"/>
        <v>6.2595063375583724</v>
      </c>
      <c r="F298" s="10" t="str">
        <f t="shared" si="9"/>
        <v>Y</v>
      </c>
      <c r="G298" s="10" t="s">
        <v>1433</v>
      </c>
      <c r="H298" s="10" t="s">
        <v>1433</v>
      </c>
    </row>
    <row r="299" spans="1:8" x14ac:dyDescent="0.3">
      <c r="A299" s="10" t="s">
        <v>111</v>
      </c>
      <c r="B299" s="10" t="s">
        <v>1725</v>
      </c>
      <c r="C299" s="31">
        <v>72924</v>
      </c>
      <c r="D299" s="31">
        <v>1349</v>
      </c>
      <c r="E299" s="32">
        <f t="shared" si="8"/>
        <v>4.5048183839881393</v>
      </c>
      <c r="F299" s="10" t="str">
        <f t="shared" si="9"/>
        <v>Y</v>
      </c>
      <c r="G299" s="10" t="s">
        <v>1433</v>
      </c>
      <c r="H299" s="10" t="s">
        <v>1433</v>
      </c>
    </row>
    <row r="300" spans="1:8" x14ac:dyDescent="0.3">
      <c r="A300" s="10" t="s">
        <v>111</v>
      </c>
      <c r="B300" s="10" t="s">
        <v>1726</v>
      </c>
      <c r="C300" s="31">
        <v>78336</v>
      </c>
      <c r="D300" s="31">
        <v>2096</v>
      </c>
      <c r="E300" s="32">
        <f t="shared" si="8"/>
        <v>3.114503816793893</v>
      </c>
      <c r="F300" s="10" t="str">
        <f t="shared" si="9"/>
        <v>Y</v>
      </c>
      <c r="G300" s="10" t="s">
        <v>1433</v>
      </c>
      <c r="H300" s="10" t="s">
        <v>1433</v>
      </c>
    </row>
    <row r="301" spans="1:8" x14ac:dyDescent="0.3">
      <c r="A301" s="10" t="s">
        <v>111</v>
      </c>
      <c r="B301" s="10" t="s">
        <v>1727</v>
      </c>
      <c r="C301" s="31">
        <v>48000</v>
      </c>
      <c r="D301" s="31">
        <v>2055</v>
      </c>
      <c r="E301" s="32">
        <f t="shared" si="8"/>
        <v>1.9464720194647203</v>
      </c>
      <c r="F301" s="10" t="str">
        <f t="shared" si="9"/>
        <v>N</v>
      </c>
      <c r="G301" s="10" t="s">
        <v>1433</v>
      </c>
      <c r="H301" s="10" t="s">
        <v>1433</v>
      </c>
    </row>
    <row r="302" spans="1:8" x14ac:dyDescent="0.3">
      <c r="A302" s="10" t="s">
        <v>111</v>
      </c>
      <c r="B302" s="10" t="s">
        <v>1728</v>
      </c>
      <c r="C302" s="31">
        <v>94248</v>
      </c>
      <c r="D302" s="31">
        <v>1490</v>
      </c>
      <c r="E302" s="32">
        <f t="shared" si="8"/>
        <v>5.2711409395973154</v>
      </c>
      <c r="F302" s="10" t="str">
        <f t="shared" si="9"/>
        <v>Y</v>
      </c>
      <c r="G302" s="10" t="s">
        <v>1433</v>
      </c>
      <c r="H302" s="10" t="s">
        <v>1433</v>
      </c>
    </row>
    <row r="303" spans="1:8" x14ac:dyDescent="0.3">
      <c r="A303" s="10" t="s">
        <v>111</v>
      </c>
      <c r="B303" s="10" t="s">
        <v>1729</v>
      </c>
      <c r="C303" s="31">
        <v>150564</v>
      </c>
      <c r="D303" s="31">
        <v>1664</v>
      </c>
      <c r="E303" s="32">
        <f t="shared" si="8"/>
        <v>7.5402644230769234</v>
      </c>
      <c r="F303" s="10" t="str">
        <f t="shared" si="9"/>
        <v>Y</v>
      </c>
      <c r="G303" s="10" t="s">
        <v>1433</v>
      </c>
      <c r="H303" s="10" t="s">
        <v>1433</v>
      </c>
    </row>
    <row r="304" spans="1:8" x14ac:dyDescent="0.3">
      <c r="A304" s="10" t="s">
        <v>111</v>
      </c>
      <c r="B304" s="10" t="s">
        <v>1730</v>
      </c>
      <c r="C304" s="31">
        <v>79200</v>
      </c>
      <c r="D304" s="31">
        <v>1799</v>
      </c>
      <c r="E304" s="32">
        <f t="shared" si="8"/>
        <v>3.668704836020011</v>
      </c>
      <c r="F304" s="10" t="str">
        <f t="shared" si="9"/>
        <v>Y</v>
      </c>
      <c r="G304" s="10" t="s">
        <v>1433</v>
      </c>
      <c r="H304" s="10" t="s">
        <v>1433</v>
      </c>
    </row>
    <row r="305" spans="1:8" x14ac:dyDescent="0.3">
      <c r="A305" s="10" t="s">
        <v>111</v>
      </c>
      <c r="B305" s="10" t="s">
        <v>1731</v>
      </c>
      <c r="C305" s="31">
        <v>97692</v>
      </c>
      <c r="D305" s="31">
        <v>1399</v>
      </c>
      <c r="E305" s="32">
        <f t="shared" si="8"/>
        <v>5.8191565403859897</v>
      </c>
      <c r="F305" s="10" t="str">
        <f t="shared" si="9"/>
        <v>Y</v>
      </c>
      <c r="G305" s="10" t="s">
        <v>1433</v>
      </c>
      <c r="H305" s="10" t="s">
        <v>1433</v>
      </c>
    </row>
    <row r="306" spans="1:8" x14ac:dyDescent="0.3">
      <c r="A306" s="10" t="s">
        <v>111</v>
      </c>
      <c r="B306" s="10" t="s">
        <v>270</v>
      </c>
      <c r="C306" s="31">
        <v>120000</v>
      </c>
      <c r="D306" s="31">
        <v>1919</v>
      </c>
      <c r="E306" s="32">
        <f t="shared" si="8"/>
        <v>5.2110474205315267</v>
      </c>
      <c r="F306" s="10" t="str">
        <f t="shared" si="9"/>
        <v>Y</v>
      </c>
      <c r="G306" s="10" t="s">
        <v>1431</v>
      </c>
      <c r="H306" s="10" t="s">
        <v>1433</v>
      </c>
    </row>
    <row r="307" spans="1:8" x14ac:dyDescent="0.3">
      <c r="A307" s="10" t="s">
        <v>111</v>
      </c>
      <c r="B307" s="10" t="s">
        <v>1732</v>
      </c>
      <c r="C307" s="31">
        <v>55200</v>
      </c>
      <c r="D307" s="31">
        <v>1349</v>
      </c>
      <c r="E307" s="32">
        <f t="shared" si="8"/>
        <v>3.4099332839140102</v>
      </c>
      <c r="F307" s="10" t="str">
        <f t="shared" si="9"/>
        <v>Y</v>
      </c>
      <c r="G307" s="10" t="s">
        <v>1433</v>
      </c>
      <c r="H307" s="10" t="s">
        <v>1433</v>
      </c>
    </row>
    <row r="308" spans="1:8" x14ac:dyDescent="0.3">
      <c r="A308" s="10" t="s">
        <v>111</v>
      </c>
      <c r="B308" s="10" t="s">
        <v>1733</v>
      </c>
      <c r="C308" s="31">
        <v>210000</v>
      </c>
      <c r="D308" s="31">
        <v>1399</v>
      </c>
      <c r="E308" s="32">
        <f t="shared" si="8"/>
        <v>12.508934953538242</v>
      </c>
      <c r="F308" s="10" t="str">
        <f t="shared" si="9"/>
        <v>Y</v>
      </c>
      <c r="G308" s="10" t="s">
        <v>1433</v>
      </c>
      <c r="H308" s="10" t="s">
        <v>1433</v>
      </c>
    </row>
    <row r="309" spans="1:8" x14ac:dyDescent="0.3">
      <c r="A309" s="10" t="s">
        <v>111</v>
      </c>
      <c r="B309" s="10" t="s">
        <v>1734</v>
      </c>
      <c r="C309" s="31">
        <v>52800</v>
      </c>
      <c r="D309" s="31">
        <v>1644</v>
      </c>
      <c r="E309" s="32">
        <f t="shared" si="8"/>
        <v>2.6763990267639901</v>
      </c>
      <c r="F309" s="10" t="str">
        <f t="shared" si="9"/>
        <v>N</v>
      </c>
      <c r="G309" s="10" t="s">
        <v>1433</v>
      </c>
      <c r="H309" s="10" t="s">
        <v>1433</v>
      </c>
    </row>
    <row r="310" spans="1:8" x14ac:dyDescent="0.3">
      <c r="A310" s="10" t="s">
        <v>111</v>
      </c>
      <c r="B310" s="10" t="s">
        <v>1735</v>
      </c>
      <c r="C310" s="31">
        <v>72000</v>
      </c>
      <c r="D310" s="31">
        <v>1570</v>
      </c>
      <c r="E310" s="32">
        <f t="shared" si="8"/>
        <v>3.8216560509554141</v>
      </c>
      <c r="F310" s="10" t="str">
        <f t="shared" si="9"/>
        <v>Y</v>
      </c>
      <c r="G310" s="10" t="s">
        <v>1433</v>
      </c>
      <c r="H310" s="10" t="s">
        <v>1433</v>
      </c>
    </row>
    <row r="311" spans="1:8" x14ac:dyDescent="0.3">
      <c r="A311" s="10" t="s">
        <v>111</v>
      </c>
      <c r="B311" s="10" t="s">
        <v>1736</v>
      </c>
      <c r="C311" s="31">
        <v>43104</v>
      </c>
      <c r="D311" s="31">
        <v>1999</v>
      </c>
      <c r="E311" s="32">
        <f t="shared" si="8"/>
        <v>1.7968984492246123</v>
      </c>
      <c r="F311" s="10" t="str">
        <f t="shared" si="9"/>
        <v>N</v>
      </c>
      <c r="G311" s="10" t="s">
        <v>1433</v>
      </c>
      <c r="H311" s="10" t="s">
        <v>1433</v>
      </c>
    </row>
    <row r="312" spans="1:8" x14ac:dyDescent="0.3">
      <c r="A312" s="10" t="s">
        <v>111</v>
      </c>
      <c r="B312" s="10" t="s">
        <v>1737</v>
      </c>
      <c r="C312" s="31">
        <v>144000</v>
      </c>
      <c r="D312" s="31">
        <v>1800</v>
      </c>
      <c r="E312" s="32">
        <f t="shared" si="8"/>
        <v>6.666666666666667</v>
      </c>
      <c r="F312" s="10" t="str">
        <f t="shared" si="9"/>
        <v>Y</v>
      </c>
      <c r="G312" s="10" t="s">
        <v>1433</v>
      </c>
      <c r="H312" s="10" t="s">
        <v>1433</v>
      </c>
    </row>
    <row r="313" spans="1:8" x14ac:dyDescent="0.3">
      <c r="A313" s="10" t="s">
        <v>111</v>
      </c>
      <c r="B313" s="10" t="s">
        <v>1738</v>
      </c>
      <c r="C313" s="31">
        <v>83040</v>
      </c>
      <c r="D313" s="31">
        <v>1954</v>
      </c>
      <c r="E313" s="32">
        <f t="shared" si="8"/>
        <v>3.541453428863869</v>
      </c>
      <c r="F313" s="10" t="str">
        <f t="shared" si="9"/>
        <v>Y</v>
      </c>
      <c r="G313" s="10" t="s">
        <v>1433</v>
      </c>
      <c r="H313" s="10" t="s">
        <v>1433</v>
      </c>
    </row>
    <row r="314" spans="1:8" x14ac:dyDescent="0.3">
      <c r="A314" s="10" t="s">
        <v>111</v>
      </c>
      <c r="B314" s="10" t="s">
        <v>1739</v>
      </c>
      <c r="C314" s="31">
        <v>101568</v>
      </c>
      <c r="D314" s="31">
        <v>2250</v>
      </c>
      <c r="E314" s="32">
        <f t="shared" si="8"/>
        <v>3.7617777777777777</v>
      </c>
      <c r="F314" s="10" t="str">
        <f t="shared" si="9"/>
        <v>Y</v>
      </c>
      <c r="G314" s="10" t="s">
        <v>1433</v>
      </c>
      <c r="H314" s="10" t="s">
        <v>1433</v>
      </c>
    </row>
    <row r="315" spans="1:8" x14ac:dyDescent="0.3">
      <c r="A315" s="10" t="s">
        <v>111</v>
      </c>
      <c r="B315" s="10" t="s">
        <v>1740</v>
      </c>
      <c r="C315" s="31">
        <v>48924</v>
      </c>
      <c r="D315" s="31">
        <v>1995</v>
      </c>
      <c r="E315" s="32">
        <f t="shared" si="8"/>
        <v>2.043609022556391</v>
      </c>
      <c r="F315" s="10" t="str">
        <f t="shared" si="9"/>
        <v>N</v>
      </c>
      <c r="G315" s="10" t="s">
        <v>1433</v>
      </c>
      <c r="H315" s="10" t="s">
        <v>1433</v>
      </c>
    </row>
    <row r="316" spans="1:8" x14ac:dyDescent="0.3">
      <c r="A316" s="10" t="s">
        <v>111</v>
      </c>
      <c r="B316" s="10" t="s">
        <v>1741</v>
      </c>
      <c r="C316" s="31">
        <v>48000</v>
      </c>
      <c r="D316" s="31">
        <v>1349</v>
      </c>
      <c r="E316" s="32">
        <f t="shared" si="8"/>
        <v>2.9651593773165308</v>
      </c>
      <c r="F316" s="10" t="str">
        <f t="shared" si="9"/>
        <v>N</v>
      </c>
      <c r="G316" s="10" t="s">
        <v>1433</v>
      </c>
      <c r="H316" s="10" t="s">
        <v>1433</v>
      </c>
    </row>
    <row r="317" spans="1:8" x14ac:dyDescent="0.3">
      <c r="A317" s="10" t="s">
        <v>111</v>
      </c>
      <c r="B317" s="10" t="s">
        <v>1742</v>
      </c>
      <c r="C317" s="31">
        <v>1488000</v>
      </c>
      <c r="D317" s="31">
        <v>2020</v>
      </c>
      <c r="E317" s="32">
        <f t="shared" si="8"/>
        <v>61.386138613861384</v>
      </c>
      <c r="F317" s="10" t="str">
        <f t="shared" si="9"/>
        <v>Y</v>
      </c>
      <c r="G317" s="10" t="s">
        <v>1433</v>
      </c>
      <c r="H317" s="10" t="s">
        <v>1433</v>
      </c>
    </row>
    <row r="318" spans="1:8" x14ac:dyDescent="0.3">
      <c r="A318" s="10" t="s">
        <v>111</v>
      </c>
      <c r="B318" s="10" t="s">
        <v>1743</v>
      </c>
      <c r="C318" s="31">
        <v>9600</v>
      </c>
      <c r="D318" s="31">
        <v>1689</v>
      </c>
      <c r="E318" s="32">
        <f t="shared" si="8"/>
        <v>0.47365304914150386</v>
      </c>
      <c r="F318" s="10" t="str">
        <f t="shared" si="9"/>
        <v>N</v>
      </c>
      <c r="G318" s="10" t="s">
        <v>1433</v>
      </c>
      <c r="H318" s="10" t="s">
        <v>1433</v>
      </c>
    </row>
    <row r="319" spans="1:8" x14ac:dyDescent="0.3">
      <c r="A319" s="10" t="s">
        <v>111</v>
      </c>
      <c r="B319" s="10" t="s">
        <v>1744</v>
      </c>
      <c r="C319" s="31">
        <v>75072</v>
      </c>
      <c r="D319" s="31">
        <v>1850</v>
      </c>
      <c r="E319" s="32">
        <f t="shared" si="8"/>
        <v>3.3816216216216217</v>
      </c>
      <c r="F319" s="10" t="str">
        <f t="shared" si="9"/>
        <v>Y</v>
      </c>
      <c r="G319" s="10" t="s">
        <v>1433</v>
      </c>
      <c r="H319" s="10" t="s">
        <v>1433</v>
      </c>
    </row>
    <row r="320" spans="1:8" x14ac:dyDescent="0.3">
      <c r="A320" s="10" t="s">
        <v>111</v>
      </c>
      <c r="B320" s="10" t="s">
        <v>1745</v>
      </c>
      <c r="C320" s="31"/>
      <c r="D320" s="31">
        <v>1935</v>
      </c>
      <c r="E320" s="32" t="str">
        <f t="shared" si="8"/>
        <v/>
      </c>
      <c r="F320" s="10" t="str">
        <f t="shared" si="9"/>
        <v/>
      </c>
      <c r="G320" s="10" t="s">
        <v>1433</v>
      </c>
      <c r="H320" s="10" t="s">
        <v>1433</v>
      </c>
    </row>
    <row r="321" spans="1:8" x14ac:dyDescent="0.3">
      <c r="A321" s="10" t="s">
        <v>111</v>
      </c>
      <c r="B321" s="10" t="s">
        <v>1746</v>
      </c>
      <c r="C321" s="31">
        <v>146400</v>
      </c>
      <c r="D321" s="31">
        <v>1845</v>
      </c>
      <c r="E321" s="32">
        <f t="shared" si="8"/>
        <v>6.6124661246612462</v>
      </c>
      <c r="F321" s="10" t="str">
        <f t="shared" si="9"/>
        <v>Y</v>
      </c>
      <c r="G321" s="10" t="s">
        <v>1433</v>
      </c>
      <c r="H321" s="10" t="s">
        <v>1433</v>
      </c>
    </row>
    <row r="322" spans="1:8" x14ac:dyDescent="0.3">
      <c r="A322" s="10" t="s">
        <v>111</v>
      </c>
      <c r="B322" s="10" t="s">
        <v>1747</v>
      </c>
      <c r="C322" s="31">
        <v>146772</v>
      </c>
      <c r="D322" s="31">
        <v>2045</v>
      </c>
      <c r="E322" s="32">
        <f t="shared" si="8"/>
        <v>5.9809290953545231</v>
      </c>
      <c r="F322" s="10" t="str">
        <f t="shared" si="9"/>
        <v>Y</v>
      </c>
      <c r="G322" s="10" t="s">
        <v>1433</v>
      </c>
      <c r="H322" s="10" t="s">
        <v>1433</v>
      </c>
    </row>
    <row r="323" spans="1:8" x14ac:dyDescent="0.3">
      <c r="A323" s="10" t="s">
        <v>111</v>
      </c>
      <c r="B323" s="10" t="s">
        <v>1748</v>
      </c>
      <c r="C323" s="31">
        <v>240000</v>
      </c>
      <c r="D323" s="31">
        <v>1510</v>
      </c>
      <c r="E323" s="32">
        <f t="shared" si="8"/>
        <v>13.245033112582782</v>
      </c>
      <c r="F323" s="10" t="str">
        <f t="shared" si="9"/>
        <v>Y</v>
      </c>
      <c r="G323" s="10" t="s">
        <v>1433</v>
      </c>
      <c r="H323" s="10" t="s">
        <v>1433</v>
      </c>
    </row>
    <row r="324" spans="1:8" x14ac:dyDescent="0.3">
      <c r="A324" s="10" t="s">
        <v>111</v>
      </c>
      <c r="B324" s="10" t="s">
        <v>1749</v>
      </c>
      <c r="C324" s="31">
        <v>134856</v>
      </c>
      <c r="D324" s="31">
        <v>1450</v>
      </c>
      <c r="E324" s="32">
        <f t="shared" si="8"/>
        <v>7.7503448275862068</v>
      </c>
      <c r="F324" s="10" t="str">
        <f t="shared" si="9"/>
        <v>Y</v>
      </c>
      <c r="G324" s="10" t="s">
        <v>1433</v>
      </c>
      <c r="H324" s="10" t="s">
        <v>1433</v>
      </c>
    </row>
    <row r="325" spans="1:8" x14ac:dyDescent="0.3">
      <c r="A325" s="10" t="s">
        <v>111</v>
      </c>
      <c r="B325" s="10" t="s">
        <v>1750</v>
      </c>
      <c r="C325" s="31">
        <v>69396</v>
      </c>
      <c r="D325" s="31">
        <v>1894</v>
      </c>
      <c r="E325" s="32">
        <f t="shared" ref="E325:E388" si="10">IF(AND(ISNUMBER(C325),ISNUMBER(D325)),C325/(12*D325),"")</f>
        <v>3.0533262935586061</v>
      </c>
      <c r="F325" s="10" t="str">
        <f t="shared" ref="F325:F388" si="11">IF(E325="","",IF(E325&gt;=3,"Y","N"))</f>
        <v>Y</v>
      </c>
      <c r="G325" s="10" t="s">
        <v>1433</v>
      </c>
      <c r="H325" s="10" t="s">
        <v>1433</v>
      </c>
    </row>
    <row r="326" spans="1:8" x14ac:dyDescent="0.3">
      <c r="A326" s="10" t="s">
        <v>111</v>
      </c>
      <c r="B326" s="10" t="s">
        <v>277</v>
      </c>
      <c r="C326" s="31">
        <v>120000</v>
      </c>
      <c r="D326" s="31">
        <v>1575</v>
      </c>
      <c r="E326" s="32">
        <f t="shared" si="10"/>
        <v>6.3492063492063489</v>
      </c>
      <c r="F326" s="10" t="str">
        <f t="shared" si="11"/>
        <v>Y</v>
      </c>
      <c r="G326" s="10" t="s">
        <v>1431</v>
      </c>
      <c r="H326" s="10" t="s">
        <v>1433</v>
      </c>
    </row>
    <row r="327" spans="1:8" x14ac:dyDescent="0.3">
      <c r="A327" s="10" t="s">
        <v>111</v>
      </c>
      <c r="B327" s="10" t="s">
        <v>1751</v>
      </c>
      <c r="C327" s="31">
        <v>60000</v>
      </c>
      <c r="D327" s="31">
        <v>1810</v>
      </c>
      <c r="E327" s="32">
        <f t="shared" si="10"/>
        <v>2.7624309392265194</v>
      </c>
      <c r="F327" s="10" t="str">
        <f t="shared" si="11"/>
        <v>N</v>
      </c>
      <c r="G327" s="10" t="s">
        <v>1433</v>
      </c>
      <c r="H327" s="10" t="s">
        <v>1433</v>
      </c>
    </row>
    <row r="328" spans="1:8" x14ac:dyDescent="0.3">
      <c r="A328" s="10" t="s">
        <v>111</v>
      </c>
      <c r="B328" s="10" t="s">
        <v>1752</v>
      </c>
      <c r="C328" s="31">
        <v>49200</v>
      </c>
      <c r="D328" s="31">
        <v>1320</v>
      </c>
      <c r="E328" s="32">
        <f t="shared" si="10"/>
        <v>3.106060606060606</v>
      </c>
      <c r="F328" s="10" t="str">
        <f t="shared" si="11"/>
        <v>Y</v>
      </c>
      <c r="G328" s="10" t="s">
        <v>1433</v>
      </c>
      <c r="H328" s="10" t="s">
        <v>1433</v>
      </c>
    </row>
    <row r="329" spans="1:8" x14ac:dyDescent="0.3">
      <c r="A329" s="10" t="s">
        <v>111</v>
      </c>
      <c r="B329" s="10" t="s">
        <v>1753</v>
      </c>
      <c r="C329" s="31">
        <v>88800</v>
      </c>
      <c r="D329" s="31">
        <v>1349</v>
      </c>
      <c r="E329" s="32">
        <f t="shared" si="10"/>
        <v>5.4855448480355822</v>
      </c>
      <c r="F329" s="10" t="str">
        <f t="shared" si="11"/>
        <v>Y</v>
      </c>
      <c r="G329" s="10" t="s">
        <v>1433</v>
      </c>
      <c r="H329" s="10" t="s">
        <v>1433</v>
      </c>
    </row>
    <row r="330" spans="1:8" x14ac:dyDescent="0.3">
      <c r="A330" s="10" t="s">
        <v>111</v>
      </c>
      <c r="B330" s="10" t="s">
        <v>1754</v>
      </c>
      <c r="C330" s="31">
        <v>120000</v>
      </c>
      <c r="D330" s="31">
        <v>2579</v>
      </c>
      <c r="E330" s="32">
        <f t="shared" si="10"/>
        <v>3.8774718883288095</v>
      </c>
      <c r="F330" s="10" t="str">
        <f t="shared" si="11"/>
        <v>Y</v>
      </c>
      <c r="G330" s="10" t="s">
        <v>1433</v>
      </c>
      <c r="H330" s="10" t="s">
        <v>1433</v>
      </c>
    </row>
    <row r="331" spans="1:8" x14ac:dyDescent="0.3">
      <c r="A331" s="10" t="s">
        <v>111</v>
      </c>
      <c r="B331" s="10" t="s">
        <v>1755</v>
      </c>
      <c r="C331" s="31">
        <v>40800</v>
      </c>
      <c r="D331" s="31">
        <v>1922</v>
      </c>
      <c r="E331" s="32">
        <f t="shared" si="10"/>
        <v>1.7689906347554631</v>
      </c>
      <c r="F331" s="10" t="str">
        <f t="shared" si="11"/>
        <v>N</v>
      </c>
      <c r="G331" s="10" t="s">
        <v>1433</v>
      </c>
      <c r="H331" s="10" t="s">
        <v>1433</v>
      </c>
    </row>
    <row r="332" spans="1:8" x14ac:dyDescent="0.3">
      <c r="A332" s="10" t="s">
        <v>111</v>
      </c>
      <c r="B332" s="10" t="s">
        <v>1756</v>
      </c>
      <c r="C332" s="31">
        <v>130056</v>
      </c>
      <c r="D332" s="31">
        <v>1985</v>
      </c>
      <c r="E332" s="32">
        <f t="shared" si="10"/>
        <v>5.4599496221662465</v>
      </c>
      <c r="F332" s="10" t="str">
        <f t="shared" si="11"/>
        <v>Y</v>
      </c>
      <c r="G332" s="10" t="s">
        <v>1433</v>
      </c>
      <c r="H332" s="10" t="s">
        <v>1433</v>
      </c>
    </row>
    <row r="333" spans="1:8" x14ac:dyDescent="0.3">
      <c r="A333" s="10" t="s">
        <v>111</v>
      </c>
      <c r="B333" s="10" t="s">
        <v>1757</v>
      </c>
      <c r="C333" s="31">
        <v>72816</v>
      </c>
      <c r="D333" s="31">
        <v>1490</v>
      </c>
      <c r="E333" s="32">
        <f t="shared" si="10"/>
        <v>4.0724832214765101</v>
      </c>
      <c r="F333" s="10" t="str">
        <f t="shared" si="11"/>
        <v>Y</v>
      </c>
      <c r="G333" s="10" t="s">
        <v>1433</v>
      </c>
      <c r="H333" s="10" t="s">
        <v>1433</v>
      </c>
    </row>
    <row r="334" spans="1:8" x14ac:dyDescent="0.3">
      <c r="A334" s="10" t="s">
        <v>111</v>
      </c>
      <c r="B334" s="10" t="s">
        <v>1758</v>
      </c>
      <c r="C334" s="31">
        <v>58440</v>
      </c>
      <c r="D334" s="31">
        <v>1669</v>
      </c>
      <c r="E334" s="32">
        <f t="shared" si="10"/>
        <v>2.9179149191132416</v>
      </c>
      <c r="F334" s="10" t="str">
        <f t="shared" si="11"/>
        <v>N</v>
      </c>
      <c r="G334" s="10" t="s">
        <v>1433</v>
      </c>
      <c r="H334" s="10" t="s">
        <v>1433</v>
      </c>
    </row>
    <row r="335" spans="1:8" x14ac:dyDescent="0.3">
      <c r="A335" s="10" t="s">
        <v>111</v>
      </c>
      <c r="B335" s="10" t="s">
        <v>1759</v>
      </c>
      <c r="C335" s="31">
        <v>71652</v>
      </c>
      <c r="D335" s="31">
        <v>1399</v>
      </c>
      <c r="E335" s="32">
        <f t="shared" si="10"/>
        <v>4.2680486061472482</v>
      </c>
      <c r="F335" s="10" t="str">
        <f t="shared" si="11"/>
        <v>Y</v>
      </c>
      <c r="G335" s="10" t="s">
        <v>1433</v>
      </c>
      <c r="H335" s="10" t="s">
        <v>1433</v>
      </c>
    </row>
    <row r="336" spans="1:8" x14ac:dyDescent="0.3">
      <c r="A336" s="10" t="s">
        <v>111</v>
      </c>
      <c r="B336" s="10" t="s">
        <v>250</v>
      </c>
      <c r="C336" s="31">
        <v>41892</v>
      </c>
      <c r="D336" s="31">
        <v>1475</v>
      </c>
      <c r="E336" s="32">
        <f t="shared" si="10"/>
        <v>2.3667796610169494</v>
      </c>
      <c r="F336" s="10" t="str">
        <f t="shared" si="11"/>
        <v>N</v>
      </c>
      <c r="G336" s="10" t="s">
        <v>1433</v>
      </c>
      <c r="H336" s="10" t="s">
        <v>1433</v>
      </c>
    </row>
    <row r="337" spans="1:8" x14ac:dyDescent="0.3">
      <c r="A337" s="10" t="s">
        <v>111</v>
      </c>
      <c r="B337" s="10" t="s">
        <v>1760</v>
      </c>
      <c r="C337" s="31">
        <v>102852</v>
      </c>
      <c r="D337" s="31">
        <v>1715</v>
      </c>
      <c r="E337" s="32">
        <f t="shared" si="10"/>
        <v>4.9976676384839651</v>
      </c>
      <c r="F337" s="10" t="str">
        <f t="shared" si="11"/>
        <v>Y</v>
      </c>
      <c r="G337" s="10" t="s">
        <v>1433</v>
      </c>
      <c r="H337" s="10" t="s">
        <v>1433</v>
      </c>
    </row>
    <row r="338" spans="1:8" x14ac:dyDescent="0.3">
      <c r="A338" s="10" t="s">
        <v>111</v>
      </c>
      <c r="B338" s="10" t="s">
        <v>1761</v>
      </c>
      <c r="C338" s="31">
        <v>61128</v>
      </c>
      <c r="D338" s="31">
        <v>1325</v>
      </c>
      <c r="E338" s="32">
        <f t="shared" si="10"/>
        <v>3.8445283018867924</v>
      </c>
      <c r="F338" s="10" t="str">
        <f t="shared" si="11"/>
        <v>Y</v>
      </c>
      <c r="G338" s="10" t="s">
        <v>1433</v>
      </c>
      <c r="H338" s="10" t="s">
        <v>1433</v>
      </c>
    </row>
    <row r="339" spans="1:8" x14ac:dyDescent="0.3">
      <c r="A339" s="10" t="s">
        <v>111</v>
      </c>
      <c r="B339" s="10" t="s">
        <v>1762</v>
      </c>
      <c r="C339" s="31">
        <v>85020</v>
      </c>
      <c r="D339" s="31">
        <v>1825</v>
      </c>
      <c r="E339" s="32">
        <f t="shared" si="10"/>
        <v>3.882191780821918</v>
      </c>
      <c r="F339" s="10" t="str">
        <f t="shared" si="11"/>
        <v>Y</v>
      </c>
      <c r="G339" s="10" t="s">
        <v>1433</v>
      </c>
      <c r="H339" s="10" t="s">
        <v>1433</v>
      </c>
    </row>
    <row r="340" spans="1:8" x14ac:dyDescent="0.3">
      <c r="A340" s="10" t="s">
        <v>111</v>
      </c>
      <c r="B340" s="10" t="s">
        <v>1763</v>
      </c>
      <c r="C340" s="31">
        <v>179544</v>
      </c>
      <c r="D340" s="31">
        <v>2135</v>
      </c>
      <c r="E340" s="32">
        <f t="shared" si="10"/>
        <v>7.0079625292740051</v>
      </c>
      <c r="F340" s="10" t="str">
        <f t="shared" si="11"/>
        <v>Y</v>
      </c>
      <c r="G340" s="10" t="s">
        <v>1433</v>
      </c>
      <c r="H340" s="10" t="s">
        <v>1433</v>
      </c>
    </row>
    <row r="341" spans="1:8" x14ac:dyDescent="0.3">
      <c r="A341" s="10" t="s">
        <v>111</v>
      </c>
      <c r="B341" s="10" t="s">
        <v>1764</v>
      </c>
      <c r="C341" s="31">
        <v>267204</v>
      </c>
      <c r="D341" s="31">
        <v>1689</v>
      </c>
      <c r="E341" s="32">
        <f t="shared" si="10"/>
        <v>13.183540556542333</v>
      </c>
      <c r="F341" s="10" t="str">
        <f t="shared" si="11"/>
        <v>Y</v>
      </c>
      <c r="G341" s="10" t="s">
        <v>1433</v>
      </c>
      <c r="H341" s="10" t="s">
        <v>1433</v>
      </c>
    </row>
    <row r="342" spans="1:8" x14ac:dyDescent="0.3">
      <c r="A342" s="10" t="s">
        <v>111</v>
      </c>
      <c r="B342" s="10" t="s">
        <v>1765</v>
      </c>
      <c r="C342" s="31">
        <v>264000</v>
      </c>
      <c r="D342" s="31">
        <v>2745</v>
      </c>
      <c r="E342" s="32">
        <f t="shared" si="10"/>
        <v>8.0145719489981779</v>
      </c>
      <c r="F342" s="10" t="str">
        <f t="shared" si="11"/>
        <v>Y</v>
      </c>
      <c r="G342" s="10" t="s">
        <v>1433</v>
      </c>
      <c r="H342" s="10" t="s">
        <v>1433</v>
      </c>
    </row>
    <row r="343" spans="1:8" x14ac:dyDescent="0.3">
      <c r="A343" s="10" t="s">
        <v>111</v>
      </c>
      <c r="B343" s="10" t="s">
        <v>1766</v>
      </c>
      <c r="C343" s="31">
        <v>80040</v>
      </c>
      <c r="D343" s="31">
        <v>1349</v>
      </c>
      <c r="E343" s="32">
        <f t="shared" si="10"/>
        <v>4.9444032616753146</v>
      </c>
      <c r="F343" s="10" t="str">
        <f t="shared" si="11"/>
        <v>Y</v>
      </c>
      <c r="G343" s="10" t="s">
        <v>1433</v>
      </c>
      <c r="H343" s="10" t="s">
        <v>1433</v>
      </c>
    </row>
    <row r="344" spans="1:8" x14ac:dyDescent="0.3">
      <c r="A344" s="10" t="s">
        <v>111</v>
      </c>
      <c r="B344" s="10" t="s">
        <v>1767</v>
      </c>
      <c r="C344" s="31">
        <v>80004</v>
      </c>
      <c r="D344" s="31">
        <v>1695</v>
      </c>
      <c r="E344" s="32">
        <f t="shared" si="10"/>
        <v>3.9333333333333331</v>
      </c>
      <c r="F344" s="10" t="str">
        <f t="shared" si="11"/>
        <v>Y</v>
      </c>
      <c r="G344" s="10" t="s">
        <v>1433</v>
      </c>
      <c r="H344" s="10" t="s">
        <v>1433</v>
      </c>
    </row>
    <row r="345" spans="1:8" x14ac:dyDescent="0.3">
      <c r="A345" s="10" t="s">
        <v>111</v>
      </c>
      <c r="B345" s="10" t="s">
        <v>1768</v>
      </c>
      <c r="C345" s="31">
        <v>63276</v>
      </c>
      <c r="D345" s="31">
        <v>1530</v>
      </c>
      <c r="E345" s="32">
        <f t="shared" si="10"/>
        <v>3.4464052287581701</v>
      </c>
      <c r="F345" s="10" t="str">
        <f t="shared" si="11"/>
        <v>Y</v>
      </c>
      <c r="G345" s="10" t="s">
        <v>1433</v>
      </c>
      <c r="H345" s="10" t="s">
        <v>1433</v>
      </c>
    </row>
    <row r="346" spans="1:8" x14ac:dyDescent="0.3">
      <c r="A346" s="10" t="s">
        <v>111</v>
      </c>
      <c r="B346" s="10" t="s">
        <v>1769</v>
      </c>
      <c r="C346" s="31">
        <v>62580</v>
      </c>
      <c r="D346" s="31">
        <v>1399</v>
      </c>
      <c r="E346" s="32">
        <f t="shared" si="10"/>
        <v>3.727662616154396</v>
      </c>
      <c r="F346" s="10" t="str">
        <f t="shared" si="11"/>
        <v>Y</v>
      </c>
      <c r="G346" s="10" t="s">
        <v>1433</v>
      </c>
      <c r="H346" s="10" t="s">
        <v>1433</v>
      </c>
    </row>
    <row r="347" spans="1:8" x14ac:dyDescent="0.3">
      <c r="A347" s="10" t="s">
        <v>111</v>
      </c>
      <c r="B347" s="10" t="s">
        <v>1770</v>
      </c>
      <c r="C347" s="31">
        <v>79200</v>
      </c>
      <c r="D347" s="31">
        <v>2380</v>
      </c>
      <c r="E347" s="32">
        <f t="shared" si="10"/>
        <v>2.7731092436974789</v>
      </c>
      <c r="F347" s="10" t="str">
        <f t="shared" si="11"/>
        <v>N</v>
      </c>
      <c r="G347" s="10" t="s">
        <v>1433</v>
      </c>
      <c r="H347" s="10" t="s">
        <v>1433</v>
      </c>
    </row>
    <row r="348" spans="1:8" x14ac:dyDescent="0.3">
      <c r="A348" s="10" t="s">
        <v>111</v>
      </c>
      <c r="B348" s="10" t="s">
        <v>1771</v>
      </c>
      <c r="C348" s="31">
        <v>103200</v>
      </c>
      <c r="D348" s="31">
        <v>1919</v>
      </c>
      <c r="E348" s="32">
        <f t="shared" si="10"/>
        <v>4.4815007816571129</v>
      </c>
      <c r="F348" s="10" t="str">
        <f t="shared" si="11"/>
        <v>Y</v>
      </c>
      <c r="G348" s="10" t="s">
        <v>1433</v>
      </c>
      <c r="H348" s="10" t="s">
        <v>1433</v>
      </c>
    </row>
    <row r="349" spans="1:8" x14ac:dyDescent="0.3">
      <c r="A349" s="10" t="s">
        <v>111</v>
      </c>
      <c r="B349" s="10" t="s">
        <v>1772</v>
      </c>
      <c r="C349" s="31">
        <v>123792</v>
      </c>
      <c r="D349" s="31">
        <v>1894</v>
      </c>
      <c r="E349" s="32">
        <f t="shared" si="10"/>
        <v>5.4466737064413939</v>
      </c>
      <c r="F349" s="10" t="str">
        <f t="shared" si="11"/>
        <v>Y</v>
      </c>
      <c r="G349" s="10" t="s">
        <v>1433</v>
      </c>
      <c r="H349" s="10" t="s">
        <v>1433</v>
      </c>
    </row>
    <row r="350" spans="1:8" x14ac:dyDescent="0.3">
      <c r="A350" s="10" t="s">
        <v>111</v>
      </c>
      <c r="B350" s="10" t="s">
        <v>1773</v>
      </c>
      <c r="C350" s="31">
        <v>87600</v>
      </c>
      <c r="D350" s="31">
        <v>2326</v>
      </c>
      <c r="E350" s="32">
        <f t="shared" si="10"/>
        <v>3.1384350816852966</v>
      </c>
      <c r="F350" s="10" t="str">
        <f t="shared" si="11"/>
        <v>Y</v>
      </c>
      <c r="G350" s="10" t="s">
        <v>1433</v>
      </c>
      <c r="H350" s="10" t="s">
        <v>1433</v>
      </c>
    </row>
    <row r="351" spans="1:8" x14ac:dyDescent="0.3">
      <c r="A351" s="10" t="s">
        <v>111</v>
      </c>
      <c r="B351" s="10" t="s">
        <v>1774</v>
      </c>
      <c r="C351" s="31">
        <v>62400</v>
      </c>
      <c r="D351" s="31">
        <v>1565</v>
      </c>
      <c r="E351" s="32">
        <f t="shared" si="10"/>
        <v>3.3226837060702876</v>
      </c>
      <c r="F351" s="10" t="str">
        <f t="shared" si="11"/>
        <v>Y</v>
      </c>
      <c r="G351" s="10" t="s">
        <v>1433</v>
      </c>
      <c r="H351" s="10" t="s">
        <v>1433</v>
      </c>
    </row>
    <row r="352" spans="1:8" x14ac:dyDescent="0.3">
      <c r="A352" s="10" t="s">
        <v>111</v>
      </c>
      <c r="B352" s="10" t="s">
        <v>1775</v>
      </c>
      <c r="C352" s="31">
        <v>69828</v>
      </c>
      <c r="D352" s="31">
        <v>1495</v>
      </c>
      <c r="E352" s="32">
        <f t="shared" si="10"/>
        <v>3.8923076923076922</v>
      </c>
      <c r="F352" s="10" t="str">
        <f t="shared" si="11"/>
        <v>Y</v>
      </c>
      <c r="G352" s="10" t="s">
        <v>1433</v>
      </c>
      <c r="H352" s="10" t="s">
        <v>1433</v>
      </c>
    </row>
    <row r="353" spans="1:8" x14ac:dyDescent="0.3">
      <c r="A353" s="10" t="s">
        <v>111</v>
      </c>
      <c r="B353" s="10" t="s">
        <v>1776</v>
      </c>
      <c r="C353" s="31">
        <v>90000</v>
      </c>
      <c r="D353" s="31">
        <v>1765</v>
      </c>
      <c r="E353" s="32">
        <f t="shared" si="10"/>
        <v>4.2492917847025495</v>
      </c>
      <c r="F353" s="10" t="str">
        <f t="shared" si="11"/>
        <v>Y</v>
      </c>
      <c r="G353" s="10" t="s">
        <v>1433</v>
      </c>
      <c r="H353" s="10" t="s">
        <v>1433</v>
      </c>
    </row>
    <row r="354" spans="1:8" x14ac:dyDescent="0.3">
      <c r="A354" s="10" t="s">
        <v>111</v>
      </c>
      <c r="B354" s="10" t="s">
        <v>1777</v>
      </c>
      <c r="C354" s="31">
        <v>38400</v>
      </c>
      <c r="D354" s="31">
        <v>1894</v>
      </c>
      <c r="E354" s="32">
        <f t="shared" si="10"/>
        <v>1.6895459345300949</v>
      </c>
      <c r="F354" s="10" t="str">
        <f t="shared" si="11"/>
        <v>N</v>
      </c>
      <c r="G354" s="10" t="s">
        <v>1433</v>
      </c>
      <c r="H354" s="10" t="s">
        <v>1433</v>
      </c>
    </row>
    <row r="355" spans="1:8" x14ac:dyDescent="0.3">
      <c r="A355" s="10" t="s">
        <v>111</v>
      </c>
      <c r="B355" s="10" t="s">
        <v>1778</v>
      </c>
      <c r="C355" s="31"/>
      <c r="D355" s="31">
        <v>1650</v>
      </c>
      <c r="E355" s="32" t="str">
        <f t="shared" si="10"/>
        <v/>
      </c>
      <c r="F355" s="10" t="str">
        <f t="shared" si="11"/>
        <v/>
      </c>
      <c r="G355" s="10" t="s">
        <v>1433</v>
      </c>
      <c r="H355" s="10" t="s">
        <v>1433</v>
      </c>
    </row>
    <row r="356" spans="1:8" x14ac:dyDescent="0.3">
      <c r="A356" s="10" t="s">
        <v>111</v>
      </c>
      <c r="B356" s="10" t="s">
        <v>1779</v>
      </c>
      <c r="C356" s="31">
        <v>114528</v>
      </c>
      <c r="D356" s="31">
        <v>1349</v>
      </c>
      <c r="E356" s="32">
        <f t="shared" si="10"/>
        <v>7.0748702742772425</v>
      </c>
      <c r="F356" s="10" t="str">
        <f t="shared" si="11"/>
        <v>Y</v>
      </c>
      <c r="G356" s="10" t="s">
        <v>1433</v>
      </c>
      <c r="H356" s="10" t="s">
        <v>1433</v>
      </c>
    </row>
    <row r="357" spans="1:8" x14ac:dyDescent="0.3">
      <c r="A357" s="10" t="s">
        <v>111</v>
      </c>
      <c r="B357" s="10" t="s">
        <v>1780</v>
      </c>
      <c r="C357" s="31">
        <v>600000</v>
      </c>
      <c r="D357" s="31">
        <v>1475</v>
      </c>
      <c r="E357" s="32">
        <f t="shared" si="10"/>
        <v>33.898305084745765</v>
      </c>
      <c r="F357" s="10" t="str">
        <f t="shared" si="11"/>
        <v>Y</v>
      </c>
      <c r="G357" s="10" t="s">
        <v>1433</v>
      </c>
      <c r="H357" s="10" t="s">
        <v>1433</v>
      </c>
    </row>
    <row r="358" spans="1:8" x14ac:dyDescent="0.3">
      <c r="A358" s="10" t="s">
        <v>111</v>
      </c>
      <c r="B358" s="10" t="s">
        <v>1781</v>
      </c>
      <c r="C358" s="31">
        <v>12000</v>
      </c>
      <c r="D358" s="31">
        <v>1555</v>
      </c>
      <c r="E358" s="32">
        <f t="shared" si="10"/>
        <v>0.64308681672025725</v>
      </c>
      <c r="F358" s="10" t="str">
        <f t="shared" si="11"/>
        <v>N</v>
      </c>
      <c r="G358" s="10" t="s">
        <v>1433</v>
      </c>
      <c r="H358" s="10" t="s">
        <v>1433</v>
      </c>
    </row>
    <row r="359" spans="1:8" x14ac:dyDescent="0.3">
      <c r="A359" s="10" t="s">
        <v>111</v>
      </c>
      <c r="B359" s="10" t="s">
        <v>1782</v>
      </c>
      <c r="C359" s="31">
        <v>123456</v>
      </c>
      <c r="D359" s="31">
        <v>2135</v>
      </c>
      <c r="E359" s="32">
        <f t="shared" si="10"/>
        <v>4.8187353629976579</v>
      </c>
      <c r="F359" s="10" t="str">
        <f t="shared" si="11"/>
        <v>Y</v>
      </c>
      <c r="G359" s="10" t="s">
        <v>1433</v>
      </c>
      <c r="H359" s="10" t="s">
        <v>1433</v>
      </c>
    </row>
    <row r="360" spans="1:8" x14ac:dyDescent="0.3">
      <c r="A360" s="10" t="s">
        <v>111</v>
      </c>
      <c r="B360" s="10" t="s">
        <v>306</v>
      </c>
      <c r="C360" s="31">
        <v>111204</v>
      </c>
      <c r="D360" s="31">
        <v>1869</v>
      </c>
      <c r="E360" s="32">
        <f t="shared" si="10"/>
        <v>4.9582664526484752</v>
      </c>
      <c r="F360" s="10" t="str">
        <f t="shared" si="11"/>
        <v>Y</v>
      </c>
      <c r="G360" s="10" t="s">
        <v>1431</v>
      </c>
      <c r="H360" s="10" t="s">
        <v>1433</v>
      </c>
    </row>
    <row r="361" spans="1:8" x14ac:dyDescent="0.3">
      <c r="A361" s="10" t="s">
        <v>111</v>
      </c>
      <c r="B361" s="10" t="s">
        <v>1783</v>
      </c>
      <c r="C361" s="31">
        <v>72000</v>
      </c>
      <c r="D361" s="31">
        <v>1485</v>
      </c>
      <c r="E361" s="32">
        <f t="shared" si="10"/>
        <v>4.0404040404040407</v>
      </c>
      <c r="F361" s="10" t="str">
        <f t="shared" si="11"/>
        <v>Y</v>
      </c>
      <c r="G361" s="10" t="s">
        <v>1433</v>
      </c>
      <c r="H361" s="10" t="s">
        <v>1433</v>
      </c>
    </row>
    <row r="362" spans="1:8" x14ac:dyDescent="0.3">
      <c r="A362" s="10" t="s">
        <v>111</v>
      </c>
      <c r="B362" s="10" t="s">
        <v>1784</v>
      </c>
      <c r="C362" s="31">
        <v>70356</v>
      </c>
      <c r="D362" s="31">
        <v>1465</v>
      </c>
      <c r="E362" s="32">
        <f t="shared" si="10"/>
        <v>4.0020477815699662</v>
      </c>
      <c r="F362" s="10" t="str">
        <f t="shared" si="11"/>
        <v>Y</v>
      </c>
      <c r="G362" s="10" t="s">
        <v>1433</v>
      </c>
      <c r="H362" s="10" t="s">
        <v>1433</v>
      </c>
    </row>
    <row r="363" spans="1:8" x14ac:dyDescent="0.3">
      <c r="A363" s="10" t="s">
        <v>111</v>
      </c>
      <c r="B363" s="10" t="s">
        <v>1785</v>
      </c>
      <c r="C363" s="31">
        <v>144000</v>
      </c>
      <c r="D363" s="31">
        <v>1765</v>
      </c>
      <c r="E363" s="32">
        <f t="shared" si="10"/>
        <v>6.7988668555240794</v>
      </c>
      <c r="F363" s="10" t="str">
        <f t="shared" si="11"/>
        <v>Y</v>
      </c>
      <c r="G363" s="10" t="s">
        <v>1433</v>
      </c>
      <c r="H363" s="10" t="s">
        <v>1433</v>
      </c>
    </row>
    <row r="364" spans="1:8" x14ac:dyDescent="0.3">
      <c r="A364" s="10" t="s">
        <v>111</v>
      </c>
      <c r="B364" s="10" t="s">
        <v>1786</v>
      </c>
      <c r="C364" s="31">
        <v>54000</v>
      </c>
      <c r="D364" s="31">
        <v>1490</v>
      </c>
      <c r="E364" s="32">
        <f t="shared" si="10"/>
        <v>3.0201342281879193</v>
      </c>
      <c r="F364" s="10" t="str">
        <f t="shared" si="11"/>
        <v>Y</v>
      </c>
      <c r="G364" s="10" t="s">
        <v>1433</v>
      </c>
      <c r="H364" s="10" t="s">
        <v>1433</v>
      </c>
    </row>
    <row r="365" spans="1:8" x14ac:dyDescent="0.3">
      <c r="A365" s="10" t="s">
        <v>111</v>
      </c>
      <c r="B365" s="10" t="s">
        <v>1787</v>
      </c>
      <c r="C365" s="31">
        <v>133248</v>
      </c>
      <c r="D365" s="31">
        <v>1869</v>
      </c>
      <c r="E365" s="32">
        <f t="shared" si="10"/>
        <v>5.9411449973247725</v>
      </c>
      <c r="F365" s="10" t="str">
        <f t="shared" si="11"/>
        <v>Y</v>
      </c>
      <c r="G365" s="10" t="s">
        <v>1433</v>
      </c>
      <c r="H365" s="10" t="s">
        <v>1433</v>
      </c>
    </row>
    <row r="366" spans="1:8" x14ac:dyDescent="0.3">
      <c r="A366" s="10" t="s">
        <v>111</v>
      </c>
      <c r="B366" s="10" t="s">
        <v>1788</v>
      </c>
      <c r="C366" s="31">
        <v>144000</v>
      </c>
      <c r="D366" s="31">
        <v>1600</v>
      </c>
      <c r="E366" s="32">
        <f t="shared" si="10"/>
        <v>7.5</v>
      </c>
      <c r="F366" s="10" t="str">
        <f t="shared" si="11"/>
        <v>Y</v>
      </c>
      <c r="G366" s="10" t="s">
        <v>1433</v>
      </c>
      <c r="H366" s="10" t="s">
        <v>1433</v>
      </c>
    </row>
    <row r="367" spans="1:8" x14ac:dyDescent="0.3">
      <c r="A367" s="10" t="s">
        <v>111</v>
      </c>
      <c r="B367" s="10" t="s">
        <v>1789</v>
      </c>
      <c r="C367" s="31">
        <v>15840</v>
      </c>
      <c r="D367" s="31">
        <v>1600</v>
      </c>
      <c r="E367" s="32">
        <f t="shared" si="10"/>
        <v>0.82499999999999996</v>
      </c>
      <c r="F367" s="10" t="str">
        <f t="shared" si="11"/>
        <v>N</v>
      </c>
      <c r="G367" s="10" t="s">
        <v>1433</v>
      </c>
      <c r="H367" s="10" t="s">
        <v>1433</v>
      </c>
    </row>
    <row r="368" spans="1:8" x14ac:dyDescent="0.3">
      <c r="A368" s="10" t="s">
        <v>111</v>
      </c>
      <c r="B368" s="10" t="s">
        <v>1790</v>
      </c>
      <c r="C368" s="31">
        <v>15600</v>
      </c>
      <c r="D368" s="31">
        <v>1669</v>
      </c>
      <c r="E368" s="32">
        <f t="shared" si="10"/>
        <v>0.77890952666267221</v>
      </c>
      <c r="F368" s="10" t="str">
        <f t="shared" si="11"/>
        <v>N</v>
      </c>
      <c r="G368" s="10" t="s">
        <v>1433</v>
      </c>
      <c r="H368" s="10" t="s">
        <v>1433</v>
      </c>
    </row>
    <row r="369" spans="1:8" x14ac:dyDescent="0.3">
      <c r="A369" s="10" t="s">
        <v>111</v>
      </c>
      <c r="B369" s="10" t="s">
        <v>1791</v>
      </c>
      <c r="C369" s="31">
        <v>60000</v>
      </c>
      <c r="D369" s="31">
        <v>1490</v>
      </c>
      <c r="E369" s="32">
        <f t="shared" si="10"/>
        <v>3.3557046979865772</v>
      </c>
      <c r="F369" s="10" t="str">
        <f t="shared" si="11"/>
        <v>Y</v>
      </c>
      <c r="G369" s="10" t="s">
        <v>1433</v>
      </c>
      <c r="H369" s="10" t="s">
        <v>1433</v>
      </c>
    </row>
    <row r="370" spans="1:8" x14ac:dyDescent="0.3">
      <c r="A370" s="10" t="s">
        <v>111</v>
      </c>
      <c r="B370" s="10" t="s">
        <v>1792</v>
      </c>
      <c r="C370" s="31">
        <v>60660</v>
      </c>
      <c r="D370" s="31">
        <v>1885</v>
      </c>
      <c r="E370" s="32">
        <f t="shared" si="10"/>
        <v>2.6816976127320955</v>
      </c>
      <c r="F370" s="10" t="str">
        <f t="shared" si="11"/>
        <v>N</v>
      </c>
      <c r="G370" s="10" t="s">
        <v>1433</v>
      </c>
      <c r="H370" s="10" t="s">
        <v>1433</v>
      </c>
    </row>
    <row r="371" spans="1:8" x14ac:dyDescent="0.3">
      <c r="A371" s="10" t="s">
        <v>111</v>
      </c>
      <c r="B371" s="10" t="s">
        <v>1793</v>
      </c>
      <c r="C371" s="31">
        <v>624000</v>
      </c>
      <c r="D371" s="31">
        <v>1833</v>
      </c>
      <c r="E371" s="32">
        <f t="shared" si="10"/>
        <v>28.368794326241133</v>
      </c>
      <c r="F371" s="10" t="str">
        <f t="shared" si="11"/>
        <v>Y</v>
      </c>
      <c r="G371" s="10" t="s">
        <v>1433</v>
      </c>
      <c r="H371" s="10" t="s">
        <v>1433</v>
      </c>
    </row>
    <row r="372" spans="1:8" x14ac:dyDescent="0.3">
      <c r="A372" s="10" t="s">
        <v>111</v>
      </c>
      <c r="B372" s="10" t="s">
        <v>1794</v>
      </c>
      <c r="C372" s="31">
        <v>120000</v>
      </c>
      <c r="D372" s="31">
        <v>1969</v>
      </c>
      <c r="E372" s="32">
        <f t="shared" si="10"/>
        <v>5.078720162519045</v>
      </c>
      <c r="F372" s="10" t="str">
        <f t="shared" si="11"/>
        <v>Y</v>
      </c>
      <c r="G372" s="10" t="s">
        <v>1433</v>
      </c>
      <c r="H372" s="10" t="s">
        <v>1433</v>
      </c>
    </row>
    <row r="373" spans="1:8" x14ac:dyDescent="0.3">
      <c r="A373" s="10" t="s">
        <v>111</v>
      </c>
      <c r="B373" s="10" t="s">
        <v>1795</v>
      </c>
      <c r="C373" s="31">
        <v>100800</v>
      </c>
      <c r="D373" s="31">
        <v>2380</v>
      </c>
      <c r="E373" s="32">
        <f t="shared" si="10"/>
        <v>3.5294117647058822</v>
      </c>
      <c r="F373" s="10" t="str">
        <f t="shared" si="11"/>
        <v>Y</v>
      </c>
      <c r="G373" s="10" t="s">
        <v>1433</v>
      </c>
      <c r="H373" s="10" t="s">
        <v>1433</v>
      </c>
    </row>
    <row r="374" spans="1:8" x14ac:dyDescent="0.3">
      <c r="A374" s="10" t="s">
        <v>111</v>
      </c>
      <c r="B374" s="10" t="s">
        <v>1796</v>
      </c>
      <c r="C374" s="31">
        <v>75840</v>
      </c>
      <c r="D374" s="31">
        <v>1349</v>
      </c>
      <c r="E374" s="32">
        <f t="shared" si="10"/>
        <v>4.6849518161601189</v>
      </c>
      <c r="F374" s="10" t="str">
        <f t="shared" si="11"/>
        <v>Y</v>
      </c>
      <c r="G374" s="10" t="s">
        <v>1433</v>
      </c>
      <c r="H374" s="10" t="s">
        <v>1433</v>
      </c>
    </row>
    <row r="375" spans="1:8" x14ac:dyDescent="0.3">
      <c r="A375" s="10" t="s">
        <v>111</v>
      </c>
      <c r="B375" s="10" t="s">
        <v>1797</v>
      </c>
      <c r="C375" s="31">
        <v>54996</v>
      </c>
      <c r="D375" s="31">
        <v>1495</v>
      </c>
      <c r="E375" s="32">
        <f t="shared" si="10"/>
        <v>3.0655518394648831</v>
      </c>
      <c r="F375" s="10" t="str">
        <f t="shared" si="11"/>
        <v>Y</v>
      </c>
      <c r="G375" s="10" t="s">
        <v>1433</v>
      </c>
      <c r="H375" s="10" t="s">
        <v>1433</v>
      </c>
    </row>
    <row r="376" spans="1:8" x14ac:dyDescent="0.3">
      <c r="A376" s="10" t="s">
        <v>111</v>
      </c>
      <c r="B376" s="10" t="s">
        <v>263</v>
      </c>
      <c r="C376" s="31">
        <v>163620</v>
      </c>
      <c r="D376" s="31">
        <v>1995</v>
      </c>
      <c r="E376" s="32">
        <f t="shared" si="10"/>
        <v>6.8345864661654137</v>
      </c>
      <c r="F376" s="10" t="str">
        <f t="shared" si="11"/>
        <v>Y</v>
      </c>
      <c r="G376" s="10" t="s">
        <v>1431</v>
      </c>
      <c r="H376" s="10" t="s">
        <v>1433</v>
      </c>
    </row>
    <row r="377" spans="1:8" x14ac:dyDescent="0.3">
      <c r="A377" s="10" t="s">
        <v>111</v>
      </c>
      <c r="B377" s="10" t="s">
        <v>280</v>
      </c>
      <c r="C377" s="31">
        <v>80040</v>
      </c>
      <c r="D377" s="31">
        <v>1399</v>
      </c>
      <c r="E377" s="32">
        <f t="shared" si="10"/>
        <v>4.7676912080057186</v>
      </c>
      <c r="F377" s="10" t="str">
        <f t="shared" si="11"/>
        <v>Y</v>
      </c>
      <c r="G377" s="10" t="s">
        <v>1431</v>
      </c>
      <c r="H377" s="10" t="s">
        <v>1433</v>
      </c>
    </row>
    <row r="378" spans="1:8" x14ac:dyDescent="0.3">
      <c r="A378" s="10" t="s">
        <v>111</v>
      </c>
      <c r="B378" s="10" t="s">
        <v>1798</v>
      </c>
      <c r="C378" s="31">
        <v>120000</v>
      </c>
      <c r="D378" s="31">
        <v>1929</v>
      </c>
      <c r="E378" s="32">
        <f t="shared" si="10"/>
        <v>5.1840331778123376</v>
      </c>
      <c r="F378" s="10" t="str">
        <f t="shared" si="11"/>
        <v>Y</v>
      </c>
      <c r="G378" s="10" t="s">
        <v>1433</v>
      </c>
      <c r="H378" s="10" t="s">
        <v>1433</v>
      </c>
    </row>
    <row r="379" spans="1:8" x14ac:dyDescent="0.3">
      <c r="A379" s="10" t="s">
        <v>111</v>
      </c>
      <c r="B379" s="10" t="s">
        <v>1799</v>
      </c>
      <c r="C379" s="31">
        <v>108000</v>
      </c>
      <c r="D379" s="31">
        <v>1495</v>
      </c>
      <c r="E379" s="32">
        <f t="shared" si="10"/>
        <v>6.0200668896321075</v>
      </c>
      <c r="F379" s="10" t="str">
        <f t="shared" si="11"/>
        <v>Y</v>
      </c>
      <c r="G379" s="10" t="s">
        <v>1433</v>
      </c>
      <c r="H379" s="10" t="s">
        <v>1433</v>
      </c>
    </row>
    <row r="380" spans="1:8" x14ac:dyDescent="0.3">
      <c r="A380" s="10" t="s">
        <v>111</v>
      </c>
      <c r="B380" s="10" t="s">
        <v>1800</v>
      </c>
      <c r="C380" s="31">
        <v>78768</v>
      </c>
      <c r="D380" s="31">
        <v>1800</v>
      </c>
      <c r="E380" s="32">
        <f t="shared" si="10"/>
        <v>3.6466666666666665</v>
      </c>
      <c r="F380" s="10" t="str">
        <f t="shared" si="11"/>
        <v>Y</v>
      </c>
      <c r="G380" s="10" t="s">
        <v>1433</v>
      </c>
      <c r="H380" s="10" t="s">
        <v>1433</v>
      </c>
    </row>
    <row r="381" spans="1:8" x14ac:dyDescent="0.3">
      <c r="A381" s="10" t="s">
        <v>111</v>
      </c>
      <c r="B381" s="10" t="s">
        <v>1801</v>
      </c>
      <c r="C381" s="31">
        <v>102000</v>
      </c>
      <c r="D381" s="31">
        <v>2098</v>
      </c>
      <c r="E381" s="32">
        <f t="shared" si="10"/>
        <v>4.0514775977121067</v>
      </c>
      <c r="F381" s="10" t="str">
        <f t="shared" si="11"/>
        <v>Y</v>
      </c>
      <c r="G381" s="10" t="s">
        <v>1433</v>
      </c>
      <c r="H381" s="10" t="s">
        <v>1433</v>
      </c>
    </row>
    <row r="382" spans="1:8" x14ac:dyDescent="0.3">
      <c r="A382" s="10" t="s">
        <v>111</v>
      </c>
      <c r="B382" s="10" t="s">
        <v>272</v>
      </c>
      <c r="C382" s="31">
        <v>301704</v>
      </c>
      <c r="D382" s="31">
        <v>2095</v>
      </c>
      <c r="E382" s="32">
        <f t="shared" si="10"/>
        <v>12.000954653937947</v>
      </c>
      <c r="F382" s="10" t="str">
        <f t="shared" si="11"/>
        <v>Y</v>
      </c>
      <c r="G382" s="10" t="s">
        <v>1431</v>
      </c>
      <c r="H382" s="10" t="s">
        <v>1433</v>
      </c>
    </row>
    <row r="383" spans="1:8" x14ac:dyDescent="0.3">
      <c r="A383" s="10" t="s">
        <v>111</v>
      </c>
      <c r="B383" s="10" t="s">
        <v>1802</v>
      </c>
      <c r="C383" s="31">
        <v>78000</v>
      </c>
      <c r="D383" s="31">
        <v>1945</v>
      </c>
      <c r="E383" s="32">
        <f t="shared" si="10"/>
        <v>3.3419023136246788</v>
      </c>
      <c r="F383" s="10" t="str">
        <f t="shared" si="11"/>
        <v>Y</v>
      </c>
      <c r="G383" s="10" t="s">
        <v>1433</v>
      </c>
      <c r="H383" s="10" t="s">
        <v>1433</v>
      </c>
    </row>
    <row r="384" spans="1:8" x14ac:dyDescent="0.3">
      <c r="A384" s="10" t="s">
        <v>111</v>
      </c>
      <c r="B384" s="10" t="s">
        <v>303</v>
      </c>
      <c r="C384" s="31">
        <v>72000</v>
      </c>
      <c r="D384" s="31">
        <v>1555</v>
      </c>
      <c r="E384" s="32">
        <f t="shared" si="10"/>
        <v>3.8585209003215435</v>
      </c>
      <c r="F384" s="10" t="str">
        <f t="shared" si="11"/>
        <v>Y</v>
      </c>
      <c r="G384" s="10" t="s">
        <v>1431</v>
      </c>
      <c r="H384" s="10" t="s">
        <v>1433</v>
      </c>
    </row>
    <row r="385" spans="1:8" x14ac:dyDescent="0.3">
      <c r="A385" s="10" t="s">
        <v>111</v>
      </c>
      <c r="B385" s="10" t="s">
        <v>1803</v>
      </c>
      <c r="C385" s="31">
        <v>95004</v>
      </c>
      <c r="D385" s="31">
        <v>1570</v>
      </c>
      <c r="E385" s="32">
        <f t="shared" si="10"/>
        <v>5.0426751592356691</v>
      </c>
      <c r="F385" s="10" t="str">
        <f t="shared" si="11"/>
        <v>Y</v>
      </c>
      <c r="G385" s="10" t="s">
        <v>1433</v>
      </c>
      <c r="H385" s="10" t="s">
        <v>1433</v>
      </c>
    </row>
    <row r="386" spans="1:8" x14ac:dyDescent="0.3">
      <c r="A386" s="10" t="s">
        <v>111</v>
      </c>
      <c r="B386" s="10" t="s">
        <v>1804</v>
      </c>
      <c r="C386" s="31">
        <v>39600</v>
      </c>
      <c r="D386" s="31">
        <v>1349</v>
      </c>
      <c r="E386" s="32">
        <f t="shared" si="10"/>
        <v>2.446256486286138</v>
      </c>
      <c r="F386" s="10" t="str">
        <f t="shared" si="11"/>
        <v>N</v>
      </c>
      <c r="G386" s="10" t="s">
        <v>1433</v>
      </c>
      <c r="H386" s="10" t="s">
        <v>1433</v>
      </c>
    </row>
    <row r="387" spans="1:8" x14ac:dyDescent="0.3">
      <c r="A387" s="10" t="s">
        <v>111</v>
      </c>
      <c r="B387" s="10" t="s">
        <v>1805</v>
      </c>
      <c r="C387" s="31">
        <v>60000</v>
      </c>
      <c r="D387" s="31">
        <v>1349</v>
      </c>
      <c r="E387" s="32">
        <f t="shared" si="10"/>
        <v>3.7064492216456633</v>
      </c>
      <c r="F387" s="10" t="str">
        <f t="shared" si="11"/>
        <v>Y</v>
      </c>
      <c r="G387" s="10" t="s">
        <v>1433</v>
      </c>
      <c r="H387" s="10" t="s">
        <v>1433</v>
      </c>
    </row>
    <row r="388" spans="1:8" x14ac:dyDescent="0.3">
      <c r="A388" s="10" t="s">
        <v>111</v>
      </c>
      <c r="B388" s="10" t="s">
        <v>275</v>
      </c>
      <c r="C388" s="31">
        <v>179544</v>
      </c>
      <c r="D388" s="31">
        <v>1695</v>
      </c>
      <c r="E388" s="32">
        <f t="shared" si="10"/>
        <v>8.8271386430678458</v>
      </c>
      <c r="F388" s="10" t="str">
        <f t="shared" si="11"/>
        <v>Y</v>
      </c>
      <c r="G388" s="10" t="s">
        <v>1431</v>
      </c>
      <c r="H388" s="10" t="s">
        <v>1433</v>
      </c>
    </row>
    <row r="389" spans="1:8" x14ac:dyDescent="0.3">
      <c r="A389" s="10" t="s">
        <v>111</v>
      </c>
      <c r="B389" s="10" t="s">
        <v>1806</v>
      </c>
      <c r="C389" s="31">
        <v>60000</v>
      </c>
      <c r="D389" s="31">
        <v>1445</v>
      </c>
      <c r="E389" s="32">
        <f t="shared" ref="E389:E452" si="12">IF(AND(ISNUMBER(C389),ISNUMBER(D389)),C389/(12*D389),"")</f>
        <v>3.4602076124567476</v>
      </c>
      <c r="F389" s="10" t="str">
        <f t="shared" ref="F389:F452" si="13">IF(E389="","",IF(E389&gt;=3,"Y","N"))</f>
        <v>Y</v>
      </c>
      <c r="G389" s="10" t="s">
        <v>1433</v>
      </c>
      <c r="H389" s="10" t="s">
        <v>1433</v>
      </c>
    </row>
    <row r="390" spans="1:8" x14ac:dyDescent="0.3">
      <c r="A390" s="10" t="s">
        <v>111</v>
      </c>
      <c r="B390" s="10" t="s">
        <v>1807</v>
      </c>
      <c r="C390" s="31">
        <v>113448</v>
      </c>
      <c r="D390" s="31">
        <v>1349</v>
      </c>
      <c r="E390" s="32">
        <f t="shared" si="12"/>
        <v>7.0081541882876204</v>
      </c>
      <c r="F390" s="10" t="str">
        <f t="shared" si="13"/>
        <v>Y</v>
      </c>
      <c r="G390" s="10" t="s">
        <v>1433</v>
      </c>
      <c r="H390" s="10" t="s">
        <v>1433</v>
      </c>
    </row>
    <row r="391" spans="1:8" x14ac:dyDescent="0.3">
      <c r="A391" s="10" t="s">
        <v>111</v>
      </c>
      <c r="B391" s="10" t="s">
        <v>1808</v>
      </c>
      <c r="C391" s="31">
        <v>84240</v>
      </c>
      <c r="D391" s="31">
        <v>2340</v>
      </c>
      <c r="E391" s="32">
        <f t="shared" si="12"/>
        <v>3</v>
      </c>
      <c r="F391" s="10" t="str">
        <f t="shared" si="13"/>
        <v>Y</v>
      </c>
      <c r="G391" s="10" t="s">
        <v>1433</v>
      </c>
      <c r="H391" s="10" t="s">
        <v>1433</v>
      </c>
    </row>
    <row r="392" spans="1:8" x14ac:dyDescent="0.3">
      <c r="A392" s="10" t="s">
        <v>111</v>
      </c>
      <c r="B392" s="10" t="s">
        <v>1809</v>
      </c>
      <c r="C392" s="31">
        <v>75552</v>
      </c>
      <c r="D392" s="31">
        <v>1919</v>
      </c>
      <c r="E392" s="32">
        <f t="shared" si="12"/>
        <v>3.2808754559666493</v>
      </c>
      <c r="F392" s="10" t="str">
        <f t="shared" si="13"/>
        <v>Y</v>
      </c>
      <c r="G392" s="10" t="s">
        <v>1433</v>
      </c>
      <c r="H392" s="10" t="s">
        <v>1433</v>
      </c>
    </row>
    <row r="393" spans="1:8" x14ac:dyDescent="0.3">
      <c r="A393" s="10" t="s">
        <v>111</v>
      </c>
      <c r="B393" s="10" t="s">
        <v>1810</v>
      </c>
      <c r="C393" s="31">
        <v>158400</v>
      </c>
      <c r="D393" s="31">
        <v>1425</v>
      </c>
      <c r="E393" s="32">
        <f t="shared" si="12"/>
        <v>9.2631578947368425</v>
      </c>
      <c r="F393" s="10" t="str">
        <f t="shared" si="13"/>
        <v>Y</v>
      </c>
      <c r="G393" s="10" t="s">
        <v>1433</v>
      </c>
      <c r="H393" s="10" t="s">
        <v>1433</v>
      </c>
    </row>
    <row r="394" spans="1:8" x14ac:dyDescent="0.3">
      <c r="A394" s="10" t="s">
        <v>111</v>
      </c>
      <c r="B394" s="10" t="s">
        <v>1811</v>
      </c>
      <c r="C394" s="31">
        <v>93288</v>
      </c>
      <c r="D394" s="31">
        <v>1644</v>
      </c>
      <c r="E394" s="32">
        <f t="shared" si="12"/>
        <v>4.728710462287105</v>
      </c>
      <c r="F394" s="10" t="str">
        <f t="shared" si="13"/>
        <v>Y</v>
      </c>
      <c r="G394" s="10" t="s">
        <v>1433</v>
      </c>
      <c r="H394" s="10" t="s">
        <v>1433</v>
      </c>
    </row>
    <row r="395" spans="1:8" x14ac:dyDescent="0.3">
      <c r="A395" s="10" t="s">
        <v>111</v>
      </c>
      <c r="B395" s="10" t="s">
        <v>1812</v>
      </c>
      <c r="C395" s="31">
        <v>93168</v>
      </c>
      <c r="D395" s="31">
        <v>1399</v>
      </c>
      <c r="E395" s="32">
        <f t="shared" si="12"/>
        <v>5.5496783416726236</v>
      </c>
      <c r="F395" s="10" t="str">
        <f t="shared" si="13"/>
        <v>Y</v>
      </c>
      <c r="G395" s="10" t="s">
        <v>1433</v>
      </c>
      <c r="H395" s="10" t="s">
        <v>1433</v>
      </c>
    </row>
    <row r="396" spans="1:8" x14ac:dyDescent="0.3">
      <c r="A396" s="10" t="s">
        <v>111</v>
      </c>
      <c r="B396" s="10" t="s">
        <v>1813</v>
      </c>
      <c r="C396" s="31">
        <v>34800</v>
      </c>
      <c r="D396" s="31">
        <v>1399</v>
      </c>
      <c r="E396" s="32">
        <f t="shared" si="12"/>
        <v>2.0729092208720514</v>
      </c>
      <c r="F396" s="10" t="str">
        <f t="shared" si="13"/>
        <v>N</v>
      </c>
      <c r="G396" s="10" t="s">
        <v>1433</v>
      </c>
      <c r="H396" s="10" t="s">
        <v>1433</v>
      </c>
    </row>
    <row r="397" spans="1:8" x14ac:dyDescent="0.3">
      <c r="A397" s="10" t="s">
        <v>111</v>
      </c>
      <c r="B397" s="10" t="s">
        <v>1814</v>
      </c>
      <c r="C397" s="31">
        <v>97236</v>
      </c>
      <c r="D397" s="31">
        <v>1400</v>
      </c>
      <c r="E397" s="32">
        <f t="shared" si="12"/>
        <v>5.7878571428571428</v>
      </c>
      <c r="F397" s="10" t="str">
        <f t="shared" si="13"/>
        <v>Y</v>
      </c>
      <c r="G397" s="10" t="s">
        <v>1433</v>
      </c>
      <c r="H397" s="10" t="s">
        <v>1433</v>
      </c>
    </row>
    <row r="398" spans="1:8" x14ac:dyDescent="0.3">
      <c r="A398" s="10" t="s">
        <v>111</v>
      </c>
      <c r="B398" s="10" t="s">
        <v>1815</v>
      </c>
      <c r="C398" s="31">
        <v>127548</v>
      </c>
      <c r="D398" s="31">
        <v>1699</v>
      </c>
      <c r="E398" s="32">
        <f t="shared" si="12"/>
        <v>6.2560329605650384</v>
      </c>
      <c r="F398" s="10" t="str">
        <f t="shared" si="13"/>
        <v>Y</v>
      </c>
      <c r="G398" s="10" t="s">
        <v>1433</v>
      </c>
      <c r="H398" s="10" t="s">
        <v>1433</v>
      </c>
    </row>
    <row r="399" spans="1:8" x14ac:dyDescent="0.3">
      <c r="A399" s="10" t="s">
        <v>111</v>
      </c>
      <c r="B399" s="10" t="s">
        <v>1816</v>
      </c>
      <c r="C399" s="31">
        <v>85236</v>
      </c>
      <c r="D399" s="31">
        <v>1399</v>
      </c>
      <c r="E399" s="32">
        <f t="shared" si="12"/>
        <v>5.0771979985704077</v>
      </c>
      <c r="F399" s="10" t="str">
        <f t="shared" si="13"/>
        <v>Y</v>
      </c>
      <c r="G399" s="10" t="s">
        <v>1433</v>
      </c>
      <c r="H399" s="10" t="s">
        <v>1433</v>
      </c>
    </row>
    <row r="400" spans="1:8" x14ac:dyDescent="0.3">
      <c r="A400" s="10" t="s">
        <v>111</v>
      </c>
      <c r="B400" s="10" t="s">
        <v>1817</v>
      </c>
      <c r="C400" s="31">
        <v>62400</v>
      </c>
      <c r="D400" s="31">
        <v>1999</v>
      </c>
      <c r="E400" s="32">
        <f t="shared" si="12"/>
        <v>2.6013006503251628</v>
      </c>
      <c r="F400" s="10" t="str">
        <f t="shared" si="13"/>
        <v>N</v>
      </c>
      <c r="G400" s="10" t="s">
        <v>1433</v>
      </c>
      <c r="H400" s="10" t="s">
        <v>1433</v>
      </c>
    </row>
    <row r="401" spans="1:8" x14ac:dyDescent="0.3">
      <c r="A401" s="10" t="s">
        <v>111</v>
      </c>
      <c r="B401" s="10" t="s">
        <v>1818</v>
      </c>
      <c r="C401" s="31">
        <v>62400</v>
      </c>
      <c r="D401" s="31">
        <v>1969</v>
      </c>
      <c r="E401" s="32">
        <f t="shared" si="12"/>
        <v>2.6409344845099034</v>
      </c>
      <c r="F401" s="10" t="str">
        <f t="shared" si="13"/>
        <v>N</v>
      </c>
      <c r="G401" s="10" t="s">
        <v>1433</v>
      </c>
      <c r="H401" s="10" t="s">
        <v>1433</v>
      </c>
    </row>
    <row r="402" spans="1:8" x14ac:dyDescent="0.3">
      <c r="A402" s="10" t="s">
        <v>111</v>
      </c>
      <c r="B402" s="10" t="s">
        <v>1819</v>
      </c>
      <c r="C402" s="31">
        <v>86400</v>
      </c>
      <c r="D402" s="31">
        <v>1995</v>
      </c>
      <c r="E402" s="32">
        <f t="shared" si="12"/>
        <v>3.6090225563909772</v>
      </c>
      <c r="F402" s="10" t="str">
        <f t="shared" si="13"/>
        <v>Y</v>
      </c>
      <c r="G402" s="10" t="s">
        <v>1433</v>
      </c>
      <c r="H402" s="10" t="s">
        <v>1433</v>
      </c>
    </row>
    <row r="403" spans="1:8" x14ac:dyDescent="0.3">
      <c r="A403" s="10" t="s">
        <v>111</v>
      </c>
      <c r="B403" s="10" t="s">
        <v>1820</v>
      </c>
      <c r="C403" s="31">
        <v>66000</v>
      </c>
      <c r="D403" s="31">
        <v>1800</v>
      </c>
      <c r="E403" s="32">
        <f t="shared" si="12"/>
        <v>3.0555555555555554</v>
      </c>
      <c r="F403" s="10" t="str">
        <f t="shared" si="13"/>
        <v>Y</v>
      </c>
      <c r="G403" s="10" t="s">
        <v>1433</v>
      </c>
      <c r="H403" s="10" t="s">
        <v>1433</v>
      </c>
    </row>
    <row r="404" spans="1:8" x14ac:dyDescent="0.3">
      <c r="A404" s="10" t="s">
        <v>111</v>
      </c>
      <c r="B404" s="10" t="s">
        <v>1821</v>
      </c>
      <c r="C404" s="31">
        <v>123600</v>
      </c>
      <c r="D404" s="31">
        <v>1714</v>
      </c>
      <c r="E404" s="32">
        <f t="shared" si="12"/>
        <v>6.0093348891481915</v>
      </c>
      <c r="F404" s="10" t="str">
        <f t="shared" si="13"/>
        <v>Y</v>
      </c>
      <c r="G404" s="10" t="s">
        <v>1433</v>
      </c>
      <c r="H404" s="10" t="s">
        <v>1433</v>
      </c>
    </row>
    <row r="405" spans="1:8" x14ac:dyDescent="0.3">
      <c r="A405" s="10" t="s">
        <v>111</v>
      </c>
      <c r="B405" s="10" t="s">
        <v>1822</v>
      </c>
      <c r="C405" s="31">
        <v>101148</v>
      </c>
      <c r="D405" s="31">
        <v>2504</v>
      </c>
      <c r="E405" s="32">
        <f t="shared" si="12"/>
        <v>3.3662140575079871</v>
      </c>
      <c r="F405" s="10" t="str">
        <f t="shared" si="13"/>
        <v>Y</v>
      </c>
      <c r="G405" s="10" t="s">
        <v>1433</v>
      </c>
      <c r="H405" s="10" t="s">
        <v>1433</v>
      </c>
    </row>
    <row r="406" spans="1:8" x14ac:dyDescent="0.3">
      <c r="A406" s="10" t="s">
        <v>111</v>
      </c>
      <c r="B406" s="10" t="s">
        <v>1823</v>
      </c>
      <c r="C406" s="31">
        <v>125004</v>
      </c>
      <c r="D406" s="31">
        <v>1399</v>
      </c>
      <c r="E406" s="32">
        <f t="shared" si="12"/>
        <v>7.446032880629021</v>
      </c>
      <c r="F406" s="10" t="str">
        <f t="shared" si="13"/>
        <v>Y</v>
      </c>
      <c r="G406" s="10" t="s">
        <v>1433</v>
      </c>
      <c r="H406" s="10" t="s">
        <v>1433</v>
      </c>
    </row>
    <row r="407" spans="1:8" x14ac:dyDescent="0.3">
      <c r="A407" s="10" t="s">
        <v>111</v>
      </c>
      <c r="B407" s="10" t="s">
        <v>1824</v>
      </c>
      <c r="C407" s="31">
        <v>66000</v>
      </c>
      <c r="D407" s="31">
        <v>1725</v>
      </c>
      <c r="E407" s="32">
        <f t="shared" si="12"/>
        <v>3.1884057971014492</v>
      </c>
      <c r="F407" s="10" t="str">
        <f t="shared" si="13"/>
        <v>Y</v>
      </c>
      <c r="G407" s="10" t="s">
        <v>1433</v>
      </c>
      <c r="H407" s="10" t="s">
        <v>1433</v>
      </c>
    </row>
    <row r="408" spans="1:8" x14ac:dyDescent="0.3">
      <c r="A408" s="10" t="s">
        <v>111</v>
      </c>
      <c r="B408" s="10" t="s">
        <v>1825</v>
      </c>
      <c r="C408" s="31">
        <v>120000</v>
      </c>
      <c r="D408" s="31">
        <v>1738</v>
      </c>
      <c r="E408" s="32">
        <f t="shared" si="12"/>
        <v>5.7537399309551205</v>
      </c>
      <c r="F408" s="10" t="str">
        <f t="shared" si="13"/>
        <v>Y</v>
      </c>
      <c r="G408" s="10" t="s">
        <v>1433</v>
      </c>
      <c r="H408" s="10" t="s">
        <v>1433</v>
      </c>
    </row>
    <row r="409" spans="1:8" x14ac:dyDescent="0.3">
      <c r="A409" s="10" t="s">
        <v>111</v>
      </c>
      <c r="B409" s="10" t="s">
        <v>286</v>
      </c>
      <c r="C409" s="31">
        <v>140400</v>
      </c>
      <c r="D409" s="31">
        <v>2530</v>
      </c>
      <c r="E409" s="32">
        <f t="shared" si="12"/>
        <v>4.6245059288537549</v>
      </c>
      <c r="F409" s="10" t="str">
        <f t="shared" si="13"/>
        <v>Y</v>
      </c>
      <c r="G409" s="10" t="s">
        <v>1431</v>
      </c>
      <c r="H409" s="10" t="s">
        <v>1433</v>
      </c>
    </row>
    <row r="410" spans="1:8" x14ac:dyDescent="0.3">
      <c r="A410" s="10" t="s">
        <v>111</v>
      </c>
      <c r="B410" s="10" t="s">
        <v>283</v>
      </c>
      <c r="C410" s="31">
        <v>260136</v>
      </c>
      <c r="D410" s="31">
        <v>2180</v>
      </c>
      <c r="E410" s="32">
        <f t="shared" si="12"/>
        <v>9.9440366972477072</v>
      </c>
      <c r="F410" s="10" t="str">
        <f t="shared" si="13"/>
        <v>Y</v>
      </c>
      <c r="G410" s="10" t="s">
        <v>1431</v>
      </c>
      <c r="H410" s="10" t="s">
        <v>1433</v>
      </c>
    </row>
    <row r="411" spans="1:8" x14ac:dyDescent="0.3">
      <c r="A411" s="10" t="s">
        <v>111</v>
      </c>
      <c r="B411" s="10" t="s">
        <v>1826</v>
      </c>
      <c r="C411" s="31">
        <v>65112</v>
      </c>
      <c r="D411" s="31">
        <v>1894</v>
      </c>
      <c r="E411" s="32">
        <f t="shared" si="12"/>
        <v>2.8648363252375924</v>
      </c>
      <c r="F411" s="10" t="str">
        <f t="shared" si="13"/>
        <v>N</v>
      </c>
      <c r="G411" s="10" t="s">
        <v>1433</v>
      </c>
      <c r="H411" s="10" t="s">
        <v>1433</v>
      </c>
    </row>
    <row r="412" spans="1:8" x14ac:dyDescent="0.3">
      <c r="A412" s="10" t="s">
        <v>111</v>
      </c>
      <c r="B412" s="10" t="s">
        <v>1827</v>
      </c>
      <c r="C412" s="31">
        <v>87768</v>
      </c>
      <c r="D412" s="31">
        <v>1920</v>
      </c>
      <c r="E412" s="32">
        <f t="shared" si="12"/>
        <v>3.8093750000000002</v>
      </c>
      <c r="F412" s="10" t="str">
        <f t="shared" si="13"/>
        <v>Y</v>
      </c>
      <c r="G412" s="10" t="s">
        <v>1433</v>
      </c>
      <c r="H412" s="10" t="s">
        <v>1433</v>
      </c>
    </row>
    <row r="413" spans="1:8" x14ac:dyDescent="0.3">
      <c r="A413" s="10" t="s">
        <v>111</v>
      </c>
      <c r="B413" s="10" t="s">
        <v>1828</v>
      </c>
      <c r="C413" s="31">
        <v>118236</v>
      </c>
      <c r="D413" s="31">
        <v>1349</v>
      </c>
      <c r="E413" s="32">
        <f t="shared" si="12"/>
        <v>7.3039288361749444</v>
      </c>
      <c r="F413" s="10" t="str">
        <f t="shared" si="13"/>
        <v>Y</v>
      </c>
      <c r="G413" s="10" t="s">
        <v>1433</v>
      </c>
      <c r="H413" s="10" t="s">
        <v>1433</v>
      </c>
    </row>
    <row r="414" spans="1:8" x14ac:dyDescent="0.3">
      <c r="A414" s="10" t="s">
        <v>111</v>
      </c>
      <c r="B414" s="10" t="s">
        <v>1829</v>
      </c>
      <c r="C414" s="31">
        <v>156336</v>
      </c>
      <c r="D414" s="31">
        <v>1689</v>
      </c>
      <c r="E414" s="32">
        <f t="shared" si="12"/>
        <v>7.7134399052693903</v>
      </c>
      <c r="F414" s="10" t="str">
        <f t="shared" si="13"/>
        <v>Y</v>
      </c>
      <c r="G414" s="10" t="s">
        <v>1433</v>
      </c>
      <c r="H414" s="10" t="s">
        <v>1433</v>
      </c>
    </row>
    <row r="415" spans="1:8" x14ac:dyDescent="0.3">
      <c r="A415" s="10" t="s">
        <v>111</v>
      </c>
      <c r="B415" s="10" t="s">
        <v>1830</v>
      </c>
      <c r="C415" s="31">
        <v>55800</v>
      </c>
      <c r="D415" s="31">
        <v>1399</v>
      </c>
      <c r="E415" s="32">
        <f t="shared" si="12"/>
        <v>3.3238027162258756</v>
      </c>
      <c r="F415" s="10" t="str">
        <f t="shared" si="13"/>
        <v>Y</v>
      </c>
      <c r="G415" s="10" t="s">
        <v>1433</v>
      </c>
      <c r="H415" s="10" t="s">
        <v>1433</v>
      </c>
    </row>
    <row r="416" spans="1:8" x14ac:dyDescent="0.3">
      <c r="A416" s="10" t="s">
        <v>111</v>
      </c>
      <c r="B416" s="10" t="s">
        <v>1831</v>
      </c>
      <c r="C416" s="31">
        <v>100848</v>
      </c>
      <c r="D416" s="31">
        <v>1879</v>
      </c>
      <c r="E416" s="32">
        <f t="shared" si="12"/>
        <v>4.4725918041511443</v>
      </c>
      <c r="F416" s="10" t="str">
        <f t="shared" si="13"/>
        <v>Y</v>
      </c>
      <c r="G416" s="10" t="s">
        <v>1433</v>
      </c>
      <c r="H416" s="10" t="s">
        <v>1433</v>
      </c>
    </row>
    <row r="417" spans="1:8" x14ac:dyDescent="0.3">
      <c r="A417" s="10" t="s">
        <v>111</v>
      </c>
      <c r="B417" s="10" t="s">
        <v>1832</v>
      </c>
      <c r="C417" s="31">
        <v>15600</v>
      </c>
      <c r="D417" s="31">
        <v>1399</v>
      </c>
      <c r="E417" s="32">
        <f t="shared" si="12"/>
        <v>0.92923516797712646</v>
      </c>
      <c r="F417" s="10" t="str">
        <f t="shared" si="13"/>
        <v>N</v>
      </c>
      <c r="G417" s="10" t="s">
        <v>1433</v>
      </c>
      <c r="H417" s="10" t="s">
        <v>1433</v>
      </c>
    </row>
    <row r="418" spans="1:8" x14ac:dyDescent="0.3">
      <c r="A418" s="10" t="s">
        <v>111</v>
      </c>
      <c r="B418" s="10" t="s">
        <v>1833</v>
      </c>
      <c r="C418" s="31">
        <v>79080</v>
      </c>
      <c r="D418" s="31">
        <v>1650</v>
      </c>
      <c r="E418" s="32">
        <f t="shared" si="12"/>
        <v>3.9939393939393941</v>
      </c>
      <c r="F418" s="10" t="str">
        <f t="shared" si="13"/>
        <v>Y</v>
      </c>
      <c r="G418" s="10" t="s">
        <v>1433</v>
      </c>
      <c r="H418" s="10" t="s">
        <v>1433</v>
      </c>
    </row>
    <row r="419" spans="1:8" x14ac:dyDescent="0.3">
      <c r="A419" s="10" t="s">
        <v>111</v>
      </c>
      <c r="B419" s="10" t="s">
        <v>1834</v>
      </c>
      <c r="C419" s="31">
        <v>65256</v>
      </c>
      <c r="D419" s="31">
        <v>1325</v>
      </c>
      <c r="E419" s="32">
        <f t="shared" si="12"/>
        <v>4.1041509433962267</v>
      </c>
      <c r="F419" s="10" t="str">
        <f t="shared" si="13"/>
        <v>Y</v>
      </c>
      <c r="G419" s="10" t="s">
        <v>1433</v>
      </c>
      <c r="H419" s="10" t="s">
        <v>1433</v>
      </c>
    </row>
    <row r="420" spans="1:8" x14ac:dyDescent="0.3">
      <c r="A420" s="10" t="s">
        <v>111</v>
      </c>
      <c r="B420" s="10" t="s">
        <v>1835</v>
      </c>
      <c r="C420" s="31">
        <v>54000</v>
      </c>
      <c r="D420" s="31">
        <v>2285</v>
      </c>
      <c r="E420" s="32">
        <f t="shared" si="12"/>
        <v>1.9693654266958425</v>
      </c>
      <c r="F420" s="10" t="str">
        <f t="shared" si="13"/>
        <v>N</v>
      </c>
      <c r="G420" s="10" t="s">
        <v>1433</v>
      </c>
      <c r="H420" s="10" t="s">
        <v>1433</v>
      </c>
    </row>
    <row r="421" spans="1:8" x14ac:dyDescent="0.3">
      <c r="A421" s="10" t="s">
        <v>111</v>
      </c>
      <c r="B421" s="10" t="s">
        <v>1836</v>
      </c>
      <c r="C421" s="31">
        <v>84888</v>
      </c>
      <c r="D421" s="31">
        <v>2045</v>
      </c>
      <c r="E421" s="32">
        <f t="shared" si="12"/>
        <v>3.4591687041564794</v>
      </c>
      <c r="F421" s="10" t="str">
        <f t="shared" si="13"/>
        <v>Y</v>
      </c>
      <c r="G421" s="10" t="s">
        <v>1433</v>
      </c>
      <c r="H421" s="10" t="s">
        <v>1433</v>
      </c>
    </row>
    <row r="422" spans="1:8" x14ac:dyDescent="0.3">
      <c r="A422" s="10" t="s">
        <v>111</v>
      </c>
      <c r="B422" s="10" t="s">
        <v>1837</v>
      </c>
      <c r="C422" s="31">
        <v>96000</v>
      </c>
      <c r="D422" s="31">
        <v>1919</v>
      </c>
      <c r="E422" s="32">
        <f t="shared" si="12"/>
        <v>4.1688379364252217</v>
      </c>
      <c r="F422" s="10" t="str">
        <f t="shared" si="13"/>
        <v>Y</v>
      </c>
      <c r="G422" s="10" t="s">
        <v>1433</v>
      </c>
      <c r="H422" s="10" t="s">
        <v>1433</v>
      </c>
    </row>
    <row r="423" spans="1:8" x14ac:dyDescent="0.3">
      <c r="A423" s="10" t="s">
        <v>111</v>
      </c>
      <c r="B423" s="10" t="s">
        <v>1838</v>
      </c>
      <c r="C423" s="31">
        <v>80160</v>
      </c>
      <c r="D423" s="31">
        <v>1845</v>
      </c>
      <c r="E423" s="32">
        <f t="shared" si="12"/>
        <v>3.6205962059620598</v>
      </c>
      <c r="F423" s="10" t="str">
        <f t="shared" si="13"/>
        <v>Y</v>
      </c>
      <c r="G423" s="10" t="s">
        <v>1433</v>
      </c>
      <c r="H423" s="10" t="s">
        <v>1433</v>
      </c>
    </row>
    <row r="424" spans="1:8" x14ac:dyDescent="0.3">
      <c r="A424" s="10" t="s">
        <v>111</v>
      </c>
      <c r="B424" s="10" t="s">
        <v>1839</v>
      </c>
      <c r="C424" s="31">
        <v>61008</v>
      </c>
      <c r="D424" s="31">
        <v>1650</v>
      </c>
      <c r="E424" s="32">
        <f t="shared" si="12"/>
        <v>3.0812121212121211</v>
      </c>
      <c r="F424" s="10" t="str">
        <f t="shared" si="13"/>
        <v>Y</v>
      </c>
      <c r="G424" s="10" t="s">
        <v>1433</v>
      </c>
      <c r="H424" s="10" t="s">
        <v>1433</v>
      </c>
    </row>
    <row r="425" spans="1:8" x14ac:dyDescent="0.3">
      <c r="A425" s="10" t="s">
        <v>111</v>
      </c>
      <c r="B425" s="10" t="s">
        <v>1840</v>
      </c>
      <c r="C425" s="31">
        <v>69996</v>
      </c>
      <c r="D425" s="31">
        <v>1764</v>
      </c>
      <c r="E425" s="32">
        <f t="shared" si="12"/>
        <v>3.3066893424036281</v>
      </c>
      <c r="F425" s="10" t="str">
        <f t="shared" si="13"/>
        <v>Y</v>
      </c>
      <c r="G425" s="10" t="s">
        <v>1433</v>
      </c>
      <c r="H425" s="10" t="s">
        <v>1433</v>
      </c>
    </row>
    <row r="426" spans="1:8" x14ac:dyDescent="0.3">
      <c r="A426" s="10" t="s">
        <v>111</v>
      </c>
      <c r="B426" s="10" t="s">
        <v>290</v>
      </c>
      <c r="C426" s="31">
        <v>64488</v>
      </c>
      <c r="D426" s="31">
        <v>1610</v>
      </c>
      <c r="E426" s="32">
        <f t="shared" si="12"/>
        <v>3.337888198757764</v>
      </c>
      <c r="F426" s="10" t="str">
        <f t="shared" si="13"/>
        <v>Y</v>
      </c>
      <c r="G426" s="10" t="s">
        <v>1431</v>
      </c>
      <c r="H426" s="10" t="s">
        <v>1433</v>
      </c>
    </row>
    <row r="427" spans="1:8" x14ac:dyDescent="0.3">
      <c r="A427" s="10" t="s">
        <v>111</v>
      </c>
      <c r="B427" s="10" t="s">
        <v>1841</v>
      </c>
      <c r="C427" s="31">
        <v>29700</v>
      </c>
      <c r="D427" s="31">
        <v>1400</v>
      </c>
      <c r="E427" s="32">
        <f t="shared" si="12"/>
        <v>1.7678571428571428</v>
      </c>
      <c r="F427" s="10" t="str">
        <f t="shared" si="13"/>
        <v>N</v>
      </c>
      <c r="G427" s="10" t="s">
        <v>1433</v>
      </c>
      <c r="H427" s="10" t="s">
        <v>1433</v>
      </c>
    </row>
    <row r="428" spans="1:8" x14ac:dyDescent="0.3">
      <c r="A428" s="10" t="s">
        <v>111</v>
      </c>
      <c r="B428" s="10" t="s">
        <v>1842</v>
      </c>
      <c r="C428" s="31">
        <v>146400</v>
      </c>
      <c r="D428" s="31">
        <v>2103</v>
      </c>
      <c r="E428" s="32">
        <f t="shared" si="12"/>
        <v>5.801236329053733</v>
      </c>
      <c r="F428" s="10" t="str">
        <f t="shared" si="13"/>
        <v>Y</v>
      </c>
      <c r="G428" s="10" t="s">
        <v>1433</v>
      </c>
      <c r="H428" s="10" t="s">
        <v>1433</v>
      </c>
    </row>
    <row r="429" spans="1:8" x14ac:dyDescent="0.3">
      <c r="A429" s="10" t="s">
        <v>111</v>
      </c>
      <c r="B429" s="10" t="s">
        <v>1843</v>
      </c>
      <c r="C429" s="31">
        <v>73164</v>
      </c>
      <c r="D429" s="31">
        <v>1549</v>
      </c>
      <c r="E429" s="32">
        <f t="shared" si="12"/>
        <v>3.9360877985797287</v>
      </c>
      <c r="F429" s="10" t="str">
        <f t="shared" si="13"/>
        <v>Y</v>
      </c>
      <c r="G429" s="10" t="s">
        <v>1433</v>
      </c>
      <c r="H429" s="10" t="s">
        <v>1433</v>
      </c>
    </row>
    <row r="430" spans="1:8" x14ac:dyDescent="0.3">
      <c r="A430" s="10" t="s">
        <v>111</v>
      </c>
      <c r="B430" s="10" t="s">
        <v>1844</v>
      </c>
      <c r="C430" s="31">
        <v>54000</v>
      </c>
      <c r="D430" s="31">
        <v>1995</v>
      </c>
      <c r="E430" s="32">
        <f t="shared" si="12"/>
        <v>2.255639097744361</v>
      </c>
      <c r="F430" s="10" t="str">
        <f t="shared" si="13"/>
        <v>N</v>
      </c>
      <c r="G430" s="10" t="s">
        <v>1433</v>
      </c>
      <c r="H430" s="10" t="s">
        <v>1433</v>
      </c>
    </row>
    <row r="431" spans="1:8" x14ac:dyDescent="0.3">
      <c r="A431" s="10" t="s">
        <v>111</v>
      </c>
      <c r="B431" s="10" t="s">
        <v>253</v>
      </c>
      <c r="C431" s="31">
        <v>56700</v>
      </c>
      <c r="D431" s="31">
        <v>1575</v>
      </c>
      <c r="E431" s="32">
        <f t="shared" si="12"/>
        <v>3</v>
      </c>
      <c r="F431" s="10" t="str">
        <f t="shared" si="13"/>
        <v>Y</v>
      </c>
      <c r="G431" s="10" t="s">
        <v>1431</v>
      </c>
      <c r="H431" s="10" t="s">
        <v>1431</v>
      </c>
    </row>
    <row r="432" spans="1:8" x14ac:dyDescent="0.3">
      <c r="A432" s="10" t="s">
        <v>111</v>
      </c>
      <c r="B432" s="10" t="s">
        <v>1845</v>
      </c>
      <c r="C432" s="31">
        <v>108000</v>
      </c>
      <c r="D432" s="31">
        <v>1999</v>
      </c>
      <c r="E432" s="32">
        <f t="shared" si="12"/>
        <v>4.5022511255627817</v>
      </c>
      <c r="F432" s="10" t="str">
        <f t="shared" si="13"/>
        <v>Y</v>
      </c>
      <c r="G432" s="10" t="s">
        <v>1433</v>
      </c>
      <c r="H432" s="10" t="s">
        <v>1433</v>
      </c>
    </row>
    <row r="433" spans="1:8" x14ac:dyDescent="0.3">
      <c r="A433" s="10" t="s">
        <v>111</v>
      </c>
      <c r="B433" s="10" t="s">
        <v>1846</v>
      </c>
      <c r="C433" s="31">
        <v>155484</v>
      </c>
      <c r="D433" s="31">
        <v>2070</v>
      </c>
      <c r="E433" s="32">
        <f t="shared" si="12"/>
        <v>6.2594202898550728</v>
      </c>
      <c r="F433" s="10" t="str">
        <f t="shared" si="13"/>
        <v>Y</v>
      </c>
      <c r="G433" s="10" t="s">
        <v>1433</v>
      </c>
      <c r="H433" s="10" t="s">
        <v>1433</v>
      </c>
    </row>
    <row r="434" spans="1:8" x14ac:dyDescent="0.3">
      <c r="A434" s="10" t="s">
        <v>111</v>
      </c>
      <c r="B434" s="10" t="s">
        <v>1847</v>
      </c>
      <c r="C434" s="31">
        <v>88464</v>
      </c>
      <c r="D434" s="31">
        <v>2019</v>
      </c>
      <c r="E434" s="32">
        <f t="shared" si="12"/>
        <v>3.6513125309559187</v>
      </c>
      <c r="F434" s="10" t="str">
        <f t="shared" si="13"/>
        <v>Y</v>
      </c>
      <c r="G434" s="10" t="s">
        <v>1433</v>
      </c>
      <c r="H434" s="10" t="s">
        <v>1433</v>
      </c>
    </row>
    <row r="435" spans="1:8" x14ac:dyDescent="0.3">
      <c r="A435" s="10" t="s">
        <v>111</v>
      </c>
      <c r="B435" s="10" t="s">
        <v>1848</v>
      </c>
      <c r="C435" s="31">
        <v>173664</v>
      </c>
      <c r="D435" s="31">
        <v>1820</v>
      </c>
      <c r="E435" s="32">
        <f t="shared" si="12"/>
        <v>7.9516483516483518</v>
      </c>
      <c r="F435" s="10" t="str">
        <f t="shared" si="13"/>
        <v>Y</v>
      </c>
      <c r="G435" s="10" t="s">
        <v>1433</v>
      </c>
      <c r="H435" s="10" t="s">
        <v>1433</v>
      </c>
    </row>
    <row r="436" spans="1:8" x14ac:dyDescent="0.3">
      <c r="A436" s="10" t="s">
        <v>111</v>
      </c>
      <c r="B436" s="10" t="s">
        <v>1849</v>
      </c>
      <c r="C436" s="31">
        <v>178404</v>
      </c>
      <c r="D436" s="31">
        <v>2250</v>
      </c>
      <c r="E436" s="32">
        <f t="shared" si="12"/>
        <v>6.6075555555555558</v>
      </c>
      <c r="F436" s="10" t="str">
        <f t="shared" si="13"/>
        <v>Y</v>
      </c>
      <c r="G436" s="10" t="s">
        <v>1433</v>
      </c>
      <c r="H436" s="10" t="s">
        <v>1433</v>
      </c>
    </row>
    <row r="437" spans="1:8" x14ac:dyDescent="0.3">
      <c r="A437" s="10" t="s">
        <v>111</v>
      </c>
      <c r="B437" s="10" t="s">
        <v>1850</v>
      </c>
      <c r="C437" s="31"/>
      <c r="D437" s="31">
        <v>1399</v>
      </c>
      <c r="E437" s="32" t="str">
        <f t="shared" si="12"/>
        <v/>
      </c>
      <c r="F437" s="10" t="str">
        <f t="shared" si="13"/>
        <v/>
      </c>
      <c r="G437" s="10" t="s">
        <v>1433</v>
      </c>
      <c r="H437" s="10" t="s">
        <v>1433</v>
      </c>
    </row>
    <row r="438" spans="1:8" x14ac:dyDescent="0.3">
      <c r="A438" s="10" t="s">
        <v>111</v>
      </c>
      <c r="B438" s="10" t="s">
        <v>297</v>
      </c>
      <c r="C438" s="31">
        <v>172860</v>
      </c>
      <c r="D438" s="31">
        <v>2065</v>
      </c>
      <c r="E438" s="32">
        <f t="shared" si="12"/>
        <v>6.9757869249394675</v>
      </c>
      <c r="F438" s="10" t="str">
        <f t="shared" si="13"/>
        <v>Y</v>
      </c>
      <c r="G438" s="10" t="s">
        <v>1431</v>
      </c>
      <c r="H438" s="10" t="s">
        <v>1433</v>
      </c>
    </row>
    <row r="439" spans="1:8" x14ac:dyDescent="0.3">
      <c r="A439" s="10" t="s">
        <v>111</v>
      </c>
      <c r="B439" s="10" t="s">
        <v>1851</v>
      </c>
      <c r="C439" s="31">
        <v>58404</v>
      </c>
      <c r="D439" s="31">
        <v>1350</v>
      </c>
      <c r="E439" s="32">
        <f t="shared" si="12"/>
        <v>3.605185185185185</v>
      </c>
      <c r="F439" s="10" t="str">
        <f t="shared" si="13"/>
        <v>Y</v>
      </c>
      <c r="G439" s="10" t="s">
        <v>1433</v>
      </c>
      <c r="H439" s="10" t="s">
        <v>1433</v>
      </c>
    </row>
    <row r="440" spans="1:8" x14ac:dyDescent="0.3">
      <c r="A440" s="10" t="s">
        <v>111</v>
      </c>
      <c r="B440" s="10" t="s">
        <v>1852</v>
      </c>
      <c r="C440" s="31">
        <v>41028</v>
      </c>
      <c r="D440" s="31">
        <v>1399</v>
      </c>
      <c r="E440" s="32">
        <f t="shared" si="12"/>
        <v>2.4438884917798429</v>
      </c>
      <c r="F440" s="10" t="str">
        <f t="shared" si="13"/>
        <v>N</v>
      </c>
      <c r="G440" s="10" t="s">
        <v>1433</v>
      </c>
      <c r="H440" s="10" t="s">
        <v>1433</v>
      </c>
    </row>
    <row r="441" spans="1:8" x14ac:dyDescent="0.3">
      <c r="A441" s="10" t="s">
        <v>111</v>
      </c>
      <c r="B441" s="10" t="s">
        <v>1853</v>
      </c>
      <c r="C441" s="31">
        <v>104880</v>
      </c>
      <c r="D441" s="31">
        <v>2235</v>
      </c>
      <c r="E441" s="32">
        <f t="shared" si="12"/>
        <v>3.9105145413870246</v>
      </c>
      <c r="F441" s="10" t="str">
        <f t="shared" si="13"/>
        <v>Y</v>
      </c>
      <c r="G441" s="10" t="s">
        <v>1433</v>
      </c>
      <c r="H441" s="10" t="s">
        <v>1433</v>
      </c>
    </row>
    <row r="442" spans="1:8" x14ac:dyDescent="0.3">
      <c r="A442" s="10" t="s">
        <v>111</v>
      </c>
      <c r="B442" s="10" t="s">
        <v>1854</v>
      </c>
      <c r="C442" s="31">
        <v>69600</v>
      </c>
      <c r="D442" s="31">
        <v>1919</v>
      </c>
      <c r="E442" s="32">
        <f t="shared" si="12"/>
        <v>3.0224075039082856</v>
      </c>
      <c r="F442" s="10" t="str">
        <f t="shared" si="13"/>
        <v>Y</v>
      </c>
      <c r="G442" s="10" t="s">
        <v>1433</v>
      </c>
      <c r="H442" s="10" t="s">
        <v>1433</v>
      </c>
    </row>
    <row r="443" spans="1:8" x14ac:dyDescent="0.3">
      <c r="A443" s="10" t="s">
        <v>111</v>
      </c>
      <c r="B443" s="10" t="s">
        <v>1855</v>
      </c>
      <c r="C443" s="31">
        <v>28800</v>
      </c>
      <c r="D443" s="31">
        <v>2363</v>
      </c>
      <c r="E443" s="32">
        <f t="shared" si="12"/>
        <v>1.0156580617858655</v>
      </c>
      <c r="F443" s="10" t="str">
        <f t="shared" si="13"/>
        <v>N</v>
      </c>
      <c r="G443" s="10" t="s">
        <v>1433</v>
      </c>
      <c r="H443" s="10" t="s">
        <v>1433</v>
      </c>
    </row>
    <row r="444" spans="1:8" x14ac:dyDescent="0.3">
      <c r="A444" s="10" t="s">
        <v>111</v>
      </c>
      <c r="B444" s="10" t="s">
        <v>1856</v>
      </c>
      <c r="C444" s="31">
        <v>132000</v>
      </c>
      <c r="D444" s="31">
        <v>1540</v>
      </c>
      <c r="E444" s="32">
        <f t="shared" si="12"/>
        <v>7.1428571428571432</v>
      </c>
      <c r="F444" s="10" t="str">
        <f t="shared" si="13"/>
        <v>Y</v>
      </c>
      <c r="G444" s="10" t="s">
        <v>1433</v>
      </c>
      <c r="H444" s="10" t="s">
        <v>1433</v>
      </c>
    </row>
    <row r="445" spans="1:8" x14ac:dyDescent="0.3">
      <c r="A445" s="10" t="s">
        <v>111</v>
      </c>
      <c r="B445" s="10" t="s">
        <v>1857</v>
      </c>
      <c r="C445" s="31">
        <v>161880</v>
      </c>
      <c r="D445" s="31">
        <v>1784</v>
      </c>
      <c r="E445" s="32">
        <f t="shared" si="12"/>
        <v>7.561659192825112</v>
      </c>
      <c r="F445" s="10" t="str">
        <f t="shared" si="13"/>
        <v>Y</v>
      </c>
      <c r="G445" s="10" t="s">
        <v>1433</v>
      </c>
      <c r="H445" s="10" t="s">
        <v>1433</v>
      </c>
    </row>
    <row r="446" spans="1:8" x14ac:dyDescent="0.3">
      <c r="A446" s="10" t="s">
        <v>111</v>
      </c>
      <c r="B446" s="10" t="s">
        <v>1858</v>
      </c>
      <c r="C446" s="31">
        <v>177600</v>
      </c>
      <c r="D446" s="31">
        <v>1695</v>
      </c>
      <c r="E446" s="32">
        <f t="shared" si="12"/>
        <v>8.7315634218289091</v>
      </c>
      <c r="F446" s="10" t="str">
        <f t="shared" si="13"/>
        <v>Y</v>
      </c>
      <c r="G446" s="10" t="s">
        <v>1433</v>
      </c>
      <c r="H446" s="10" t="s">
        <v>1433</v>
      </c>
    </row>
    <row r="447" spans="1:8" x14ac:dyDescent="0.3">
      <c r="A447" s="10" t="s">
        <v>111</v>
      </c>
      <c r="B447" s="10" t="s">
        <v>1859</v>
      </c>
      <c r="C447" s="31">
        <v>94800</v>
      </c>
      <c r="D447" s="31">
        <v>1919</v>
      </c>
      <c r="E447" s="32">
        <f t="shared" si="12"/>
        <v>4.1167274622199059</v>
      </c>
      <c r="F447" s="10" t="str">
        <f t="shared" si="13"/>
        <v>Y</v>
      </c>
      <c r="G447" s="10" t="s">
        <v>1433</v>
      </c>
      <c r="H447" s="10" t="s">
        <v>1433</v>
      </c>
    </row>
    <row r="448" spans="1:8" x14ac:dyDescent="0.3">
      <c r="A448" s="10" t="s">
        <v>111</v>
      </c>
      <c r="B448" s="10" t="s">
        <v>1860</v>
      </c>
      <c r="C448" s="31">
        <v>81768</v>
      </c>
      <c r="D448" s="31">
        <v>1450</v>
      </c>
      <c r="E448" s="32">
        <f t="shared" si="12"/>
        <v>4.6993103448275866</v>
      </c>
      <c r="F448" s="10" t="str">
        <f t="shared" si="13"/>
        <v>Y</v>
      </c>
      <c r="G448" s="10" t="s">
        <v>1433</v>
      </c>
      <c r="H448" s="10" t="s">
        <v>1433</v>
      </c>
    </row>
    <row r="449" spans="1:8" x14ac:dyDescent="0.3">
      <c r="A449" s="10" t="s">
        <v>111</v>
      </c>
      <c r="B449" s="10" t="s">
        <v>1861</v>
      </c>
      <c r="C449" s="31">
        <v>90000</v>
      </c>
      <c r="D449" s="31">
        <v>2020</v>
      </c>
      <c r="E449" s="32">
        <f t="shared" si="12"/>
        <v>3.7128712871287131</v>
      </c>
      <c r="F449" s="10" t="str">
        <f t="shared" si="13"/>
        <v>Y</v>
      </c>
      <c r="G449" s="10" t="s">
        <v>1433</v>
      </c>
      <c r="H449" s="10" t="s">
        <v>1433</v>
      </c>
    </row>
    <row r="450" spans="1:8" x14ac:dyDescent="0.3">
      <c r="A450" s="10" t="s">
        <v>111</v>
      </c>
      <c r="B450" s="10" t="s">
        <v>1862</v>
      </c>
      <c r="C450" s="31">
        <v>300000</v>
      </c>
      <c r="D450" s="31">
        <v>1894</v>
      </c>
      <c r="E450" s="32">
        <f t="shared" si="12"/>
        <v>13.199577613516368</v>
      </c>
      <c r="F450" s="10" t="str">
        <f t="shared" si="13"/>
        <v>Y</v>
      </c>
      <c r="G450" s="10" t="s">
        <v>1433</v>
      </c>
      <c r="H450" s="10" t="s">
        <v>1433</v>
      </c>
    </row>
    <row r="451" spans="1:8" x14ac:dyDescent="0.3">
      <c r="A451" s="10" t="s">
        <v>111</v>
      </c>
      <c r="B451" s="10" t="s">
        <v>1863</v>
      </c>
      <c r="C451" s="31">
        <v>120000</v>
      </c>
      <c r="D451" s="31">
        <v>2529</v>
      </c>
      <c r="E451" s="32">
        <f t="shared" si="12"/>
        <v>3.9541320680110714</v>
      </c>
      <c r="F451" s="10" t="str">
        <f t="shared" si="13"/>
        <v>Y</v>
      </c>
      <c r="G451" s="10" t="s">
        <v>1433</v>
      </c>
      <c r="H451" s="10" t="s">
        <v>1433</v>
      </c>
    </row>
    <row r="452" spans="1:8" x14ac:dyDescent="0.3">
      <c r="A452" s="10" t="s">
        <v>111</v>
      </c>
      <c r="B452" s="10" t="s">
        <v>1864</v>
      </c>
      <c r="C452" s="31">
        <v>11520</v>
      </c>
      <c r="D452" s="31">
        <v>1485</v>
      </c>
      <c r="E452" s="32">
        <f t="shared" si="12"/>
        <v>0.64646464646464652</v>
      </c>
      <c r="F452" s="10" t="str">
        <f t="shared" si="13"/>
        <v>N</v>
      </c>
      <c r="G452" s="10" t="s">
        <v>1433</v>
      </c>
      <c r="H452" s="10" t="s">
        <v>1433</v>
      </c>
    </row>
    <row r="453" spans="1:8" x14ac:dyDescent="0.3">
      <c r="A453" s="10" t="s">
        <v>111</v>
      </c>
      <c r="B453" s="10" t="s">
        <v>1865</v>
      </c>
      <c r="C453" s="31">
        <v>43752</v>
      </c>
      <c r="D453" s="31">
        <v>1399</v>
      </c>
      <c r="E453" s="32">
        <f t="shared" ref="E453:E516" si="14">IF(AND(ISNUMBER(C453),ISNUMBER(D453)),C453/(12*D453),"")</f>
        <v>2.6061472480343104</v>
      </c>
      <c r="F453" s="10" t="str">
        <f t="shared" ref="F453:F516" si="15">IF(E453="","",IF(E453&gt;=3,"Y","N"))</f>
        <v>N</v>
      </c>
      <c r="G453" s="10" t="s">
        <v>1433</v>
      </c>
      <c r="H453" s="10" t="s">
        <v>1433</v>
      </c>
    </row>
    <row r="454" spans="1:8" x14ac:dyDescent="0.3">
      <c r="A454" s="10" t="s">
        <v>111</v>
      </c>
      <c r="B454" s="10" t="s">
        <v>1866</v>
      </c>
      <c r="C454" s="31"/>
      <c r="D454" s="31">
        <v>1844</v>
      </c>
      <c r="E454" s="32" t="str">
        <f t="shared" si="14"/>
        <v/>
      </c>
      <c r="F454" s="10" t="str">
        <f t="shared" si="15"/>
        <v/>
      </c>
      <c r="G454" s="10" t="s">
        <v>1433</v>
      </c>
      <c r="H454" s="10" t="s">
        <v>1433</v>
      </c>
    </row>
    <row r="455" spans="1:8" x14ac:dyDescent="0.3">
      <c r="A455" s="10" t="s">
        <v>111</v>
      </c>
      <c r="B455" s="10" t="s">
        <v>1867</v>
      </c>
      <c r="C455" s="31">
        <v>52800</v>
      </c>
      <c r="D455" s="31">
        <v>1570</v>
      </c>
      <c r="E455" s="32">
        <f t="shared" si="14"/>
        <v>2.8025477707006368</v>
      </c>
      <c r="F455" s="10" t="str">
        <f t="shared" si="15"/>
        <v>N</v>
      </c>
      <c r="G455" s="10" t="s">
        <v>1433</v>
      </c>
      <c r="H455" s="10" t="s">
        <v>1433</v>
      </c>
    </row>
    <row r="456" spans="1:8" x14ac:dyDescent="0.3">
      <c r="A456" s="10" t="s">
        <v>111</v>
      </c>
      <c r="B456" s="10" t="s">
        <v>1868</v>
      </c>
      <c r="C456" s="31">
        <v>125400</v>
      </c>
      <c r="D456" s="31">
        <v>1510</v>
      </c>
      <c r="E456" s="32">
        <f t="shared" si="14"/>
        <v>6.9205298013245029</v>
      </c>
      <c r="F456" s="10" t="str">
        <f t="shared" si="15"/>
        <v>Y</v>
      </c>
      <c r="G456" s="10" t="s">
        <v>1433</v>
      </c>
      <c r="H456" s="10" t="s">
        <v>1433</v>
      </c>
    </row>
    <row r="457" spans="1:8" x14ac:dyDescent="0.3">
      <c r="A457" s="10" t="s">
        <v>111</v>
      </c>
      <c r="B457" s="10" t="s">
        <v>1869</v>
      </c>
      <c r="C457" s="31">
        <v>30000</v>
      </c>
      <c r="D457" s="31">
        <v>1547</v>
      </c>
      <c r="E457" s="32">
        <f t="shared" si="14"/>
        <v>1.6160310277957337</v>
      </c>
      <c r="F457" s="10" t="str">
        <f t="shared" si="15"/>
        <v>N</v>
      </c>
      <c r="G457" s="10" t="s">
        <v>1433</v>
      </c>
      <c r="H457" s="10" t="s">
        <v>1433</v>
      </c>
    </row>
    <row r="458" spans="1:8" x14ac:dyDescent="0.3">
      <c r="A458" s="10" t="s">
        <v>111</v>
      </c>
      <c r="B458" s="10" t="s">
        <v>1870</v>
      </c>
      <c r="C458" s="31">
        <v>102840</v>
      </c>
      <c r="D458" s="31">
        <v>2020</v>
      </c>
      <c r="E458" s="32">
        <f t="shared" si="14"/>
        <v>4.2425742574257423</v>
      </c>
      <c r="F458" s="10" t="str">
        <f t="shared" si="15"/>
        <v>Y</v>
      </c>
      <c r="G458" s="10" t="s">
        <v>1433</v>
      </c>
      <c r="H458" s="10" t="s">
        <v>1433</v>
      </c>
    </row>
    <row r="459" spans="1:8" x14ac:dyDescent="0.3">
      <c r="A459" s="10" t="s">
        <v>111</v>
      </c>
      <c r="B459" s="10" t="s">
        <v>1871</v>
      </c>
      <c r="C459" s="31">
        <v>94200</v>
      </c>
      <c r="D459" s="31">
        <v>2160</v>
      </c>
      <c r="E459" s="32">
        <f t="shared" si="14"/>
        <v>3.6342592592592591</v>
      </c>
      <c r="F459" s="10" t="str">
        <f t="shared" si="15"/>
        <v>Y</v>
      </c>
      <c r="G459" s="10" t="s">
        <v>1433</v>
      </c>
      <c r="H459" s="10" t="s">
        <v>1433</v>
      </c>
    </row>
    <row r="460" spans="1:8" x14ac:dyDescent="0.3">
      <c r="A460" s="10" t="s">
        <v>111</v>
      </c>
      <c r="B460" s="10" t="s">
        <v>1872</v>
      </c>
      <c r="C460" s="31">
        <v>64536</v>
      </c>
      <c r="D460" s="31">
        <v>1399</v>
      </c>
      <c r="E460" s="32">
        <f t="shared" si="14"/>
        <v>3.8441744102930664</v>
      </c>
      <c r="F460" s="10" t="str">
        <f t="shared" si="15"/>
        <v>Y</v>
      </c>
      <c r="G460" s="10" t="s">
        <v>1433</v>
      </c>
      <c r="H460" s="10" t="s">
        <v>1433</v>
      </c>
    </row>
    <row r="461" spans="1:8" x14ac:dyDescent="0.3">
      <c r="A461" s="10" t="s">
        <v>111</v>
      </c>
      <c r="B461" s="10" t="s">
        <v>1873</v>
      </c>
      <c r="C461" s="31">
        <v>113868</v>
      </c>
      <c r="D461" s="31">
        <v>1495</v>
      </c>
      <c r="E461" s="32">
        <f t="shared" si="14"/>
        <v>6.3471571906354516</v>
      </c>
      <c r="F461" s="10" t="str">
        <f t="shared" si="15"/>
        <v>Y</v>
      </c>
      <c r="G461" s="10" t="s">
        <v>1433</v>
      </c>
      <c r="H461" s="10" t="s">
        <v>1433</v>
      </c>
    </row>
    <row r="462" spans="1:8" x14ac:dyDescent="0.3">
      <c r="A462" s="10" t="s">
        <v>111</v>
      </c>
      <c r="B462" s="10" t="s">
        <v>1874</v>
      </c>
      <c r="C462" s="31">
        <v>84996</v>
      </c>
      <c r="D462" s="31">
        <v>2020</v>
      </c>
      <c r="E462" s="32">
        <f t="shared" si="14"/>
        <v>3.5064356435643562</v>
      </c>
      <c r="F462" s="10" t="str">
        <f t="shared" si="15"/>
        <v>Y</v>
      </c>
      <c r="G462" s="10" t="s">
        <v>1433</v>
      </c>
      <c r="H462" s="10" t="s">
        <v>1433</v>
      </c>
    </row>
    <row r="463" spans="1:8" x14ac:dyDescent="0.3">
      <c r="A463" s="10" t="s">
        <v>111</v>
      </c>
      <c r="B463" s="10" t="s">
        <v>1875</v>
      </c>
      <c r="C463" s="31">
        <v>73200</v>
      </c>
      <c r="D463" s="31">
        <v>1640</v>
      </c>
      <c r="E463" s="32">
        <f t="shared" si="14"/>
        <v>3.7195121951219514</v>
      </c>
      <c r="F463" s="10" t="str">
        <f t="shared" si="15"/>
        <v>Y</v>
      </c>
      <c r="G463" s="10" t="s">
        <v>1433</v>
      </c>
      <c r="H463" s="10" t="s">
        <v>1433</v>
      </c>
    </row>
    <row r="464" spans="1:8" x14ac:dyDescent="0.3">
      <c r="A464" s="10" t="s">
        <v>111</v>
      </c>
      <c r="B464" s="10" t="s">
        <v>1876</v>
      </c>
      <c r="C464" s="31"/>
      <c r="D464" s="31"/>
      <c r="E464" s="32" t="str">
        <f t="shared" si="14"/>
        <v/>
      </c>
      <c r="F464" s="10" t="str">
        <f t="shared" si="15"/>
        <v/>
      </c>
      <c r="G464" s="10" t="s">
        <v>1433</v>
      </c>
      <c r="H464" s="10" t="s">
        <v>1433</v>
      </c>
    </row>
    <row r="465" spans="1:8" x14ac:dyDescent="0.3">
      <c r="A465" s="10" t="s">
        <v>111</v>
      </c>
      <c r="B465" s="10" t="s">
        <v>1877</v>
      </c>
      <c r="C465" s="31">
        <v>72156</v>
      </c>
      <c r="D465" s="31">
        <v>1689</v>
      </c>
      <c r="E465" s="32">
        <f t="shared" si="14"/>
        <v>3.5600947306098285</v>
      </c>
      <c r="F465" s="10" t="str">
        <f t="shared" si="15"/>
        <v>Y</v>
      </c>
      <c r="G465" s="10" t="s">
        <v>1433</v>
      </c>
      <c r="H465" s="10" t="s">
        <v>1433</v>
      </c>
    </row>
    <row r="466" spans="1:8" x14ac:dyDescent="0.3">
      <c r="A466" s="10" t="s">
        <v>111</v>
      </c>
      <c r="B466" s="10" t="s">
        <v>1878</v>
      </c>
      <c r="C466" s="31">
        <v>83040</v>
      </c>
      <c r="D466" s="31">
        <v>1845</v>
      </c>
      <c r="E466" s="32">
        <f t="shared" si="14"/>
        <v>3.7506775067750677</v>
      </c>
      <c r="F466" s="10" t="str">
        <f t="shared" si="15"/>
        <v>Y</v>
      </c>
      <c r="G466" s="10" t="s">
        <v>1433</v>
      </c>
      <c r="H466" s="10" t="s">
        <v>1433</v>
      </c>
    </row>
    <row r="467" spans="1:8" x14ac:dyDescent="0.3">
      <c r="A467" s="10" t="s">
        <v>111</v>
      </c>
      <c r="B467" s="10" t="s">
        <v>300</v>
      </c>
      <c r="C467" s="31">
        <v>105600</v>
      </c>
      <c r="D467" s="31">
        <v>2009</v>
      </c>
      <c r="E467" s="32">
        <f t="shared" si="14"/>
        <v>4.3802887008461919</v>
      </c>
      <c r="F467" s="10" t="str">
        <f t="shared" si="15"/>
        <v>Y</v>
      </c>
      <c r="G467" s="10" t="s">
        <v>1431</v>
      </c>
      <c r="H467" s="10" t="s">
        <v>1433</v>
      </c>
    </row>
    <row r="468" spans="1:8" x14ac:dyDescent="0.3">
      <c r="A468" s="10" t="s">
        <v>111</v>
      </c>
      <c r="B468" s="10" t="s">
        <v>1879</v>
      </c>
      <c r="C468" s="31">
        <v>103260</v>
      </c>
      <c r="D468" s="31">
        <v>2340</v>
      </c>
      <c r="E468" s="32">
        <f t="shared" si="14"/>
        <v>3.6773504273504272</v>
      </c>
      <c r="F468" s="10" t="str">
        <f t="shared" si="15"/>
        <v>Y</v>
      </c>
      <c r="G468" s="10" t="s">
        <v>1433</v>
      </c>
      <c r="H468" s="10" t="s">
        <v>1433</v>
      </c>
    </row>
    <row r="469" spans="1:8" x14ac:dyDescent="0.3">
      <c r="A469" s="10" t="s">
        <v>111</v>
      </c>
      <c r="B469" s="10" t="s">
        <v>1880</v>
      </c>
      <c r="C469" s="31">
        <v>134364</v>
      </c>
      <c r="D469" s="31">
        <v>1615</v>
      </c>
      <c r="E469" s="32">
        <f t="shared" si="14"/>
        <v>6.9331269349845197</v>
      </c>
      <c r="F469" s="10" t="str">
        <f t="shared" si="15"/>
        <v>Y</v>
      </c>
      <c r="G469" s="10" t="s">
        <v>1433</v>
      </c>
      <c r="H469" s="10" t="s">
        <v>1433</v>
      </c>
    </row>
    <row r="470" spans="1:8" x14ac:dyDescent="0.3">
      <c r="A470" s="10" t="s">
        <v>111</v>
      </c>
      <c r="B470" s="10" t="s">
        <v>1881</v>
      </c>
      <c r="C470" s="31"/>
      <c r="D470" s="31">
        <v>1896</v>
      </c>
      <c r="E470" s="32" t="str">
        <f t="shared" si="14"/>
        <v/>
      </c>
      <c r="F470" s="10" t="str">
        <f t="shared" si="15"/>
        <v/>
      </c>
      <c r="G470" s="10" t="s">
        <v>1433</v>
      </c>
      <c r="H470" s="10" t="s">
        <v>1433</v>
      </c>
    </row>
    <row r="471" spans="1:8" x14ac:dyDescent="0.3">
      <c r="A471" s="10" t="s">
        <v>111</v>
      </c>
      <c r="B471" s="10" t="s">
        <v>267</v>
      </c>
      <c r="C471" s="31">
        <v>83160</v>
      </c>
      <c r="D471" s="31">
        <v>1475</v>
      </c>
      <c r="E471" s="32">
        <f t="shared" si="14"/>
        <v>4.6983050847457628</v>
      </c>
      <c r="F471" s="10" t="str">
        <f t="shared" si="15"/>
        <v>Y</v>
      </c>
      <c r="G471" s="10" t="s">
        <v>1431</v>
      </c>
      <c r="H471" s="10" t="s">
        <v>1433</v>
      </c>
    </row>
    <row r="472" spans="1:8" x14ac:dyDescent="0.3">
      <c r="A472" s="10" t="s">
        <v>111</v>
      </c>
      <c r="B472" s="10" t="s">
        <v>1882</v>
      </c>
      <c r="C472" s="31">
        <v>83472</v>
      </c>
      <c r="D472" s="31">
        <v>1919</v>
      </c>
      <c r="E472" s="32">
        <f t="shared" si="14"/>
        <v>3.6248045857217299</v>
      </c>
      <c r="F472" s="10" t="str">
        <f t="shared" si="15"/>
        <v>Y</v>
      </c>
      <c r="G472" s="10" t="s">
        <v>1433</v>
      </c>
      <c r="H472" s="10" t="s">
        <v>1433</v>
      </c>
    </row>
    <row r="473" spans="1:8" x14ac:dyDescent="0.3">
      <c r="A473" s="10" t="s">
        <v>111</v>
      </c>
      <c r="B473" s="10" t="s">
        <v>1883</v>
      </c>
      <c r="C473" s="31">
        <v>81600</v>
      </c>
      <c r="D473" s="31">
        <v>1475</v>
      </c>
      <c r="E473" s="32">
        <f t="shared" si="14"/>
        <v>4.6101694915254239</v>
      </c>
      <c r="F473" s="10" t="str">
        <f t="shared" si="15"/>
        <v>Y</v>
      </c>
      <c r="G473" s="10" t="s">
        <v>1433</v>
      </c>
      <c r="H473" s="10" t="s">
        <v>1433</v>
      </c>
    </row>
    <row r="474" spans="1:8" x14ac:dyDescent="0.3">
      <c r="A474" s="10" t="s">
        <v>111</v>
      </c>
      <c r="B474" s="10" t="s">
        <v>1884</v>
      </c>
      <c r="C474" s="31">
        <v>103200</v>
      </c>
      <c r="D474" s="31">
        <v>1485</v>
      </c>
      <c r="E474" s="32">
        <f t="shared" si="14"/>
        <v>5.7912457912457915</v>
      </c>
      <c r="F474" s="10" t="str">
        <f t="shared" si="15"/>
        <v>Y</v>
      </c>
      <c r="G474" s="10" t="s">
        <v>1433</v>
      </c>
      <c r="H474" s="10" t="s">
        <v>1433</v>
      </c>
    </row>
    <row r="475" spans="1:8" x14ac:dyDescent="0.3">
      <c r="A475" s="10" t="s">
        <v>111</v>
      </c>
      <c r="B475" s="10" t="s">
        <v>1885</v>
      </c>
      <c r="C475" s="31">
        <v>53796</v>
      </c>
      <c r="D475" s="31">
        <v>1610</v>
      </c>
      <c r="E475" s="32">
        <f t="shared" si="14"/>
        <v>2.7844720496894411</v>
      </c>
      <c r="F475" s="10" t="str">
        <f t="shared" si="15"/>
        <v>N</v>
      </c>
      <c r="G475" s="10" t="s">
        <v>1433</v>
      </c>
      <c r="H475" s="10" t="s">
        <v>1433</v>
      </c>
    </row>
    <row r="476" spans="1:8" x14ac:dyDescent="0.3">
      <c r="A476" s="10" t="s">
        <v>111</v>
      </c>
      <c r="B476" s="10" t="s">
        <v>1886</v>
      </c>
      <c r="C476" s="31">
        <v>15000</v>
      </c>
      <c r="D476" s="31">
        <v>1450</v>
      </c>
      <c r="E476" s="32">
        <f t="shared" si="14"/>
        <v>0.86206896551724133</v>
      </c>
      <c r="F476" s="10" t="str">
        <f t="shared" si="15"/>
        <v>N</v>
      </c>
      <c r="G476" s="10" t="s">
        <v>1433</v>
      </c>
      <c r="H476" s="10" t="s">
        <v>1433</v>
      </c>
    </row>
    <row r="477" spans="1:8" x14ac:dyDescent="0.3">
      <c r="A477" s="10" t="s">
        <v>111</v>
      </c>
      <c r="B477" s="10" t="s">
        <v>1887</v>
      </c>
      <c r="C477" s="31">
        <v>68088</v>
      </c>
      <c r="D477" s="31">
        <v>1920</v>
      </c>
      <c r="E477" s="32">
        <f t="shared" si="14"/>
        <v>2.9552083333333332</v>
      </c>
      <c r="F477" s="10" t="str">
        <f t="shared" si="15"/>
        <v>N</v>
      </c>
      <c r="G477" s="10" t="s">
        <v>1433</v>
      </c>
      <c r="H477" s="10" t="s">
        <v>1433</v>
      </c>
    </row>
    <row r="478" spans="1:8" x14ac:dyDescent="0.3">
      <c r="A478" s="10" t="s">
        <v>111</v>
      </c>
      <c r="B478" s="10" t="s">
        <v>1888</v>
      </c>
      <c r="C478" s="31">
        <v>83520</v>
      </c>
      <c r="D478" s="31">
        <v>1735</v>
      </c>
      <c r="E478" s="32">
        <f t="shared" si="14"/>
        <v>4.011527377521614</v>
      </c>
      <c r="F478" s="10" t="str">
        <f t="shared" si="15"/>
        <v>Y</v>
      </c>
      <c r="G478" s="10" t="s">
        <v>1433</v>
      </c>
      <c r="H478" s="10" t="s">
        <v>1433</v>
      </c>
    </row>
    <row r="479" spans="1:8" x14ac:dyDescent="0.3">
      <c r="A479" s="10" t="s">
        <v>111</v>
      </c>
      <c r="B479" s="10" t="s">
        <v>1889</v>
      </c>
      <c r="C479" s="31">
        <v>113724</v>
      </c>
      <c r="D479" s="31">
        <v>1995</v>
      </c>
      <c r="E479" s="32">
        <f t="shared" si="14"/>
        <v>4.7503759398496239</v>
      </c>
      <c r="F479" s="10" t="str">
        <f t="shared" si="15"/>
        <v>Y</v>
      </c>
      <c r="G479" s="10" t="s">
        <v>1433</v>
      </c>
      <c r="H479" s="10" t="s">
        <v>1433</v>
      </c>
    </row>
    <row r="480" spans="1:8" x14ac:dyDescent="0.3">
      <c r="A480" s="10" t="s">
        <v>111</v>
      </c>
      <c r="B480" s="10" t="s">
        <v>1890</v>
      </c>
      <c r="C480" s="31">
        <v>57300</v>
      </c>
      <c r="D480" s="31">
        <v>2085</v>
      </c>
      <c r="E480" s="32">
        <f t="shared" si="14"/>
        <v>2.290167865707434</v>
      </c>
      <c r="F480" s="10" t="str">
        <f t="shared" si="15"/>
        <v>N</v>
      </c>
      <c r="G480" s="10" t="s">
        <v>1433</v>
      </c>
      <c r="H480" s="10" t="s">
        <v>1433</v>
      </c>
    </row>
    <row r="481" spans="1:8" x14ac:dyDescent="0.3">
      <c r="A481" s="10" t="s">
        <v>111</v>
      </c>
      <c r="B481" s="10" t="s">
        <v>1891</v>
      </c>
      <c r="C481" s="31">
        <v>132000</v>
      </c>
      <c r="D481" s="31">
        <v>1399</v>
      </c>
      <c r="E481" s="32">
        <f t="shared" si="14"/>
        <v>7.8627591136526087</v>
      </c>
      <c r="F481" s="10" t="str">
        <f t="shared" si="15"/>
        <v>Y</v>
      </c>
      <c r="G481" s="10" t="s">
        <v>1433</v>
      </c>
      <c r="H481" s="10" t="s">
        <v>1433</v>
      </c>
    </row>
    <row r="482" spans="1:8" x14ac:dyDescent="0.3">
      <c r="A482" s="10" t="s">
        <v>111</v>
      </c>
      <c r="B482" s="10" t="s">
        <v>1892</v>
      </c>
      <c r="C482" s="31">
        <v>79476</v>
      </c>
      <c r="D482" s="31">
        <v>1644</v>
      </c>
      <c r="E482" s="32">
        <f t="shared" si="14"/>
        <v>4.028588807785888</v>
      </c>
      <c r="F482" s="10" t="str">
        <f t="shared" si="15"/>
        <v>Y</v>
      </c>
      <c r="G482" s="10" t="s">
        <v>1433</v>
      </c>
      <c r="H482" s="10" t="s">
        <v>1433</v>
      </c>
    </row>
    <row r="483" spans="1:8" x14ac:dyDescent="0.3">
      <c r="A483" s="10" t="s">
        <v>111</v>
      </c>
      <c r="B483" s="10" t="s">
        <v>1893</v>
      </c>
      <c r="C483" s="31">
        <v>28800</v>
      </c>
      <c r="D483" s="31">
        <v>1725</v>
      </c>
      <c r="E483" s="32">
        <f t="shared" si="14"/>
        <v>1.3913043478260869</v>
      </c>
      <c r="F483" s="10" t="str">
        <f t="shared" si="15"/>
        <v>N</v>
      </c>
      <c r="G483" s="10" t="s">
        <v>1433</v>
      </c>
      <c r="H483" s="10" t="s">
        <v>1433</v>
      </c>
    </row>
    <row r="484" spans="1:8" x14ac:dyDescent="0.3">
      <c r="A484" s="10" t="s">
        <v>111</v>
      </c>
      <c r="B484" s="10" t="s">
        <v>1894</v>
      </c>
      <c r="C484" s="31">
        <v>27384</v>
      </c>
      <c r="D484" s="31">
        <v>1565</v>
      </c>
      <c r="E484" s="32">
        <f t="shared" si="14"/>
        <v>1.45814696485623</v>
      </c>
      <c r="F484" s="10" t="str">
        <f t="shared" si="15"/>
        <v>N</v>
      </c>
      <c r="G484" s="10" t="s">
        <v>1433</v>
      </c>
      <c r="H484" s="10" t="s">
        <v>1433</v>
      </c>
    </row>
    <row r="485" spans="1:8" x14ac:dyDescent="0.3">
      <c r="A485" s="10" t="s">
        <v>111</v>
      </c>
      <c r="B485" s="10" t="s">
        <v>1895</v>
      </c>
      <c r="C485" s="31">
        <v>180000</v>
      </c>
      <c r="D485" s="31">
        <v>1944</v>
      </c>
      <c r="E485" s="32">
        <f t="shared" si="14"/>
        <v>7.716049382716049</v>
      </c>
      <c r="F485" s="10" t="str">
        <f t="shared" si="15"/>
        <v>Y</v>
      </c>
      <c r="G485" s="10" t="s">
        <v>1433</v>
      </c>
      <c r="H485" s="10" t="s">
        <v>1433</v>
      </c>
    </row>
    <row r="486" spans="1:8" x14ac:dyDescent="0.3">
      <c r="A486" s="10" t="s">
        <v>111</v>
      </c>
      <c r="B486" s="10" t="s">
        <v>1896</v>
      </c>
      <c r="C486" s="31">
        <v>84996</v>
      </c>
      <c r="D486" s="31">
        <v>1349</v>
      </c>
      <c r="E486" s="32">
        <f t="shared" si="14"/>
        <v>5.2505559673832467</v>
      </c>
      <c r="F486" s="10" t="str">
        <f t="shared" si="15"/>
        <v>Y</v>
      </c>
      <c r="G486" s="10" t="s">
        <v>1433</v>
      </c>
      <c r="H486" s="10" t="s">
        <v>1433</v>
      </c>
    </row>
    <row r="487" spans="1:8" x14ac:dyDescent="0.3">
      <c r="A487" s="10" t="s">
        <v>111</v>
      </c>
      <c r="B487" s="10" t="s">
        <v>1897</v>
      </c>
      <c r="C487" s="31">
        <v>73836</v>
      </c>
      <c r="D487" s="31">
        <v>1400</v>
      </c>
      <c r="E487" s="32">
        <f t="shared" si="14"/>
        <v>4.3949999999999996</v>
      </c>
      <c r="F487" s="10" t="str">
        <f t="shared" si="15"/>
        <v>Y</v>
      </c>
      <c r="G487" s="10" t="s">
        <v>1433</v>
      </c>
      <c r="H487" s="10" t="s">
        <v>1433</v>
      </c>
    </row>
    <row r="488" spans="1:8" x14ac:dyDescent="0.3">
      <c r="A488" s="10" t="s">
        <v>111</v>
      </c>
      <c r="B488" s="10" t="s">
        <v>1898</v>
      </c>
      <c r="C488" s="31">
        <v>50400</v>
      </c>
      <c r="D488" s="31">
        <v>1770</v>
      </c>
      <c r="E488" s="32">
        <f t="shared" si="14"/>
        <v>2.3728813559322033</v>
      </c>
      <c r="F488" s="10" t="str">
        <f t="shared" si="15"/>
        <v>N</v>
      </c>
      <c r="G488" s="10" t="s">
        <v>1433</v>
      </c>
      <c r="H488" s="10" t="s">
        <v>1433</v>
      </c>
    </row>
    <row r="489" spans="1:8" x14ac:dyDescent="0.3">
      <c r="A489" s="10" t="s">
        <v>111</v>
      </c>
      <c r="B489" s="10" t="s">
        <v>1899</v>
      </c>
      <c r="C489" s="31">
        <v>120144</v>
      </c>
      <c r="D489" s="31">
        <v>1998</v>
      </c>
      <c r="E489" s="32">
        <f t="shared" si="14"/>
        <v>5.0110110110110107</v>
      </c>
      <c r="F489" s="10" t="str">
        <f t="shared" si="15"/>
        <v>Y</v>
      </c>
      <c r="G489" s="10" t="s">
        <v>1433</v>
      </c>
      <c r="H489" s="10" t="s">
        <v>1433</v>
      </c>
    </row>
    <row r="490" spans="1:8" x14ac:dyDescent="0.3">
      <c r="A490" s="10" t="s">
        <v>111</v>
      </c>
      <c r="B490" s="10" t="s">
        <v>1900</v>
      </c>
      <c r="C490" s="31">
        <v>240216</v>
      </c>
      <c r="D490" s="31">
        <v>2020</v>
      </c>
      <c r="E490" s="32">
        <f t="shared" si="14"/>
        <v>9.9099009900990094</v>
      </c>
      <c r="F490" s="10" t="str">
        <f t="shared" si="15"/>
        <v>Y</v>
      </c>
      <c r="G490" s="10" t="s">
        <v>1433</v>
      </c>
      <c r="H490" s="10" t="s">
        <v>1433</v>
      </c>
    </row>
    <row r="491" spans="1:8" x14ac:dyDescent="0.3">
      <c r="A491" s="10" t="s">
        <v>111</v>
      </c>
      <c r="B491" s="10" t="s">
        <v>1901</v>
      </c>
      <c r="C491" s="31">
        <v>105840</v>
      </c>
      <c r="D491" s="31">
        <v>2325</v>
      </c>
      <c r="E491" s="32">
        <f t="shared" si="14"/>
        <v>3.7935483870967741</v>
      </c>
      <c r="F491" s="10" t="str">
        <f t="shared" si="15"/>
        <v>Y</v>
      </c>
      <c r="G491" s="10" t="s">
        <v>1433</v>
      </c>
      <c r="H491" s="10" t="s">
        <v>1433</v>
      </c>
    </row>
    <row r="492" spans="1:8" x14ac:dyDescent="0.3">
      <c r="A492" s="10" t="s">
        <v>111</v>
      </c>
      <c r="B492" s="10" t="s">
        <v>1902</v>
      </c>
      <c r="C492" s="31">
        <v>54000</v>
      </c>
      <c r="D492" s="31">
        <v>1460</v>
      </c>
      <c r="E492" s="32">
        <f t="shared" si="14"/>
        <v>3.0821917808219177</v>
      </c>
      <c r="F492" s="10" t="str">
        <f t="shared" si="15"/>
        <v>Y</v>
      </c>
      <c r="G492" s="10" t="s">
        <v>1433</v>
      </c>
      <c r="H492" s="10" t="s">
        <v>1433</v>
      </c>
    </row>
    <row r="493" spans="1:8" x14ac:dyDescent="0.3">
      <c r="A493" s="10" t="s">
        <v>111</v>
      </c>
      <c r="B493" s="10" t="s">
        <v>1903</v>
      </c>
      <c r="C493" s="31">
        <v>172632</v>
      </c>
      <c r="D493" s="31">
        <v>1995</v>
      </c>
      <c r="E493" s="32">
        <f t="shared" si="14"/>
        <v>7.2110275689223053</v>
      </c>
      <c r="F493" s="10" t="str">
        <f t="shared" si="15"/>
        <v>Y</v>
      </c>
      <c r="G493" s="10" t="s">
        <v>1433</v>
      </c>
      <c r="H493" s="10" t="s">
        <v>1433</v>
      </c>
    </row>
    <row r="494" spans="1:8" x14ac:dyDescent="0.3">
      <c r="A494" s="10" t="s">
        <v>111</v>
      </c>
      <c r="B494" s="10" t="s">
        <v>254</v>
      </c>
      <c r="C494" s="31">
        <v>58812</v>
      </c>
      <c r="D494" s="31">
        <v>1471</v>
      </c>
      <c r="E494" s="32">
        <f t="shared" si="14"/>
        <v>3.3317471108089736</v>
      </c>
      <c r="F494" s="10" t="str">
        <f t="shared" si="15"/>
        <v>Y</v>
      </c>
      <c r="G494" s="10" t="s">
        <v>1431</v>
      </c>
      <c r="H494" s="10" t="s">
        <v>1431</v>
      </c>
    </row>
    <row r="495" spans="1:8" x14ac:dyDescent="0.3">
      <c r="A495" s="10" t="s">
        <v>111</v>
      </c>
      <c r="B495" s="10" t="s">
        <v>1904</v>
      </c>
      <c r="C495" s="31">
        <v>216000</v>
      </c>
      <c r="D495" s="31">
        <v>2055</v>
      </c>
      <c r="E495" s="32">
        <f t="shared" si="14"/>
        <v>8.7591240875912408</v>
      </c>
      <c r="F495" s="10" t="str">
        <f t="shared" si="15"/>
        <v>Y</v>
      </c>
      <c r="G495" s="10" t="s">
        <v>1433</v>
      </c>
      <c r="H495" s="10" t="s">
        <v>1433</v>
      </c>
    </row>
    <row r="496" spans="1:8" x14ac:dyDescent="0.3">
      <c r="A496" s="10" t="s">
        <v>111</v>
      </c>
      <c r="B496" s="10" t="s">
        <v>1905</v>
      </c>
      <c r="C496" s="31"/>
      <c r="D496" s="31">
        <v>1499</v>
      </c>
      <c r="E496" s="32" t="str">
        <f t="shared" si="14"/>
        <v/>
      </c>
      <c r="F496" s="10" t="str">
        <f t="shared" si="15"/>
        <v/>
      </c>
      <c r="G496" s="10" t="s">
        <v>1433</v>
      </c>
      <c r="H496" s="10" t="s">
        <v>1433</v>
      </c>
    </row>
    <row r="497" spans="1:8" x14ac:dyDescent="0.3">
      <c r="A497" s="10" t="s">
        <v>111</v>
      </c>
      <c r="B497" s="10" t="s">
        <v>1906</v>
      </c>
      <c r="C497" s="31">
        <v>186000</v>
      </c>
      <c r="D497" s="31">
        <v>1710</v>
      </c>
      <c r="E497" s="32">
        <f t="shared" si="14"/>
        <v>9.064327485380117</v>
      </c>
      <c r="F497" s="10" t="str">
        <f t="shared" si="15"/>
        <v>Y</v>
      </c>
      <c r="G497" s="10" t="s">
        <v>1433</v>
      </c>
      <c r="H497" s="10" t="s">
        <v>1433</v>
      </c>
    </row>
    <row r="498" spans="1:8" x14ac:dyDescent="0.3">
      <c r="A498" s="10" t="s">
        <v>111</v>
      </c>
      <c r="B498" s="10" t="s">
        <v>1907</v>
      </c>
      <c r="C498" s="31">
        <v>106800</v>
      </c>
      <c r="D498" s="31">
        <v>1798</v>
      </c>
      <c r="E498" s="32">
        <f t="shared" si="14"/>
        <v>4.9499443826473861</v>
      </c>
      <c r="F498" s="10" t="str">
        <f t="shared" si="15"/>
        <v>Y</v>
      </c>
      <c r="G498" s="10" t="s">
        <v>1433</v>
      </c>
      <c r="H498" s="10" t="s">
        <v>1433</v>
      </c>
    </row>
    <row r="499" spans="1:8" x14ac:dyDescent="0.3">
      <c r="A499" s="10" t="s">
        <v>111</v>
      </c>
      <c r="B499" s="10" t="s">
        <v>1908</v>
      </c>
      <c r="C499" s="31">
        <v>82896</v>
      </c>
      <c r="D499" s="31">
        <v>1874</v>
      </c>
      <c r="E499" s="32">
        <f t="shared" si="14"/>
        <v>3.686232657417289</v>
      </c>
      <c r="F499" s="10" t="str">
        <f t="shared" si="15"/>
        <v>Y</v>
      </c>
      <c r="G499" s="10" t="s">
        <v>1433</v>
      </c>
      <c r="H499" s="10" t="s">
        <v>1433</v>
      </c>
    </row>
    <row r="500" spans="1:8" x14ac:dyDescent="0.3">
      <c r="A500" s="10" t="s">
        <v>111</v>
      </c>
      <c r="B500" s="10" t="s">
        <v>1909</v>
      </c>
      <c r="C500" s="31">
        <v>78000</v>
      </c>
      <c r="D500" s="31">
        <v>1715</v>
      </c>
      <c r="E500" s="32">
        <f t="shared" si="14"/>
        <v>3.7900874635568513</v>
      </c>
      <c r="F500" s="10" t="str">
        <f t="shared" si="15"/>
        <v>Y</v>
      </c>
      <c r="G500" s="10" t="s">
        <v>1433</v>
      </c>
      <c r="H500" s="10" t="s">
        <v>1433</v>
      </c>
    </row>
    <row r="501" spans="1:8" x14ac:dyDescent="0.3">
      <c r="A501" s="10" t="s">
        <v>111</v>
      </c>
      <c r="B501" s="10" t="s">
        <v>1910</v>
      </c>
      <c r="C501" s="31">
        <v>89160</v>
      </c>
      <c r="D501" s="31">
        <v>1349</v>
      </c>
      <c r="E501" s="32">
        <f t="shared" si="14"/>
        <v>5.5077835433654556</v>
      </c>
      <c r="F501" s="10" t="str">
        <f t="shared" si="15"/>
        <v>Y</v>
      </c>
      <c r="G501" s="10" t="s">
        <v>1433</v>
      </c>
      <c r="H501" s="10" t="s">
        <v>1433</v>
      </c>
    </row>
    <row r="502" spans="1:8" x14ac:dyDescent="0.3">
      <c r="A502" s="10" t="s">
        <v>111</v>
      </c>
      <c r="B502" s="10" t="s">
        <v>1911</v>
      </c>
      <c r="C502" s="31">
        <v>145020</v>
      </c>
      <c r="D502" s="31">
        <v>1714</v>
      </c>
      <c r="E502" s="32">
        <f t="shared" si="14"/>
        <v>7.0507584597432906</v>
      </c>
      <c r="F502" s="10" t="str">
        <f t="shared" si="15"/>
        <v>Y</v>
      </c>
      <c r="G502" s="10" t="s">
        <v>1433</v>
      </c>
      <c r="H502" s="10" t="s">
        <v>1433</v>
      </c>
    </row>
    <row r="503" spans="1:8" x14ac:dyDescent="0.3">
      <c r="A503" s="10" t="s">
        <v>111</v>
      </c>
      <c r="B503" s="10" t="s">
        <v>1912</v>
      </c>
      <c r="C503" s="31">
        <v>144000</v>
      </c>
      <c r="D503" s="31">
        <v>1475</v>
      </c>
      <c r="E503" s="32">
        <f t="shared" si="14"/>
        <v>8.1355932203389827</v>
      </c>
      <c r="F503" s="10" t="str">
        <f t="shared" si="15"/>
        <v>Y</v>
      </c>
      <c r="G503" s="10" t="s">
        <v>1433</v>
      </c>
      <c r="H503" s="10" t="s">
        <v>1433</v>
      </c>
    </row>
    <row r="504" spans="1:8" x14ac:dyDescent="0.3">
      <c r="A504" s="10" t="s">
        <v>111</v>
      </c>
      <c r="B504" s="10" t="s">
        <v>1913</v>
      </c>
      <c r="C504" s="31">
        <v>184056</v>
      </c>
      <c r="D504" s="31">
        <v>1475</v>
      </c>
      <c r="E504" s="32">
        <f t="shared" si="14"/>
        <v>10.39864406779661</v>
      </c>
      <c r="F504" s="10" t="str">
        <f t="shared" si="15"/>
        <v>Y</v>
      </c>
      <c r="G504" s="10" t="s">
        <v>1433</v>
      </c>
      <c r="H504" s="10" t="s">
        <v>1433</v>
      </c>
    </row>
    <row r="505" spans="1:8" x14ac:dyDescent="0.3">
      <c r="A505" s="10" t="s">
        <v>111</v>
      </c>
      <c r="B505" s="10" t="s">
        <v>1914</v>
      </c>
      <c r="C505" s="31">
        <v>89400</v>
      </c>
      <c r="D505" s="31">
        <v>2145</v>
      </c>
      <c r="E505" s="32">
        <f t="shared" si="14"/>
        <v>3.473193473193473</v>
      </c>
      <c r="F505" s="10" t="str">
        <f t="shared" si="15"/>
        <v>Y</v>
      </c>
      <c r="G505" s="10" t="s">
        <v>1433</v>
      </c>
      <c r="H505" s="10" t="s">
        <v>1433</v>
      </c>
    </row>
    <row r="506" spans="1:8" x14ac:dyDescent="0.3">
      <c r="A506" s="10" t="s">
        <v>111</v>
      </c>
      <c r="B506" s="10" t="s">
        <v>1915</v>
      </c>
      <c r="C506" s="31">
        <v>42000</v>
      </c>
      <c r="D506" s="31">
        <v>1475</v>
      </c>
      <c r="E506" s="32">
        <f t="shared" si="14"/>
        <v>2.3728813559322033</v>
      </c>
      <c r="F506" s="10" t="str">
        <f t="shared" si="15"/>
        <v>N</v>
      </c>
      <c r="G506" s="10" t="s">
        <v>1433</v>
      </c>
      <c r="H506" s="10" t="s">
        <v>1433</v>
      </c>
    </row>
    <row r="507" spans="1:8" x14ac:dyDescent="0.3">
      <c r="A507" s="10" t="s">
        <v>111</v>
      </c>
      <c r="B507" s="10" t="s">
        <v>1916</v>
      </c>
      <c r="C507" s="31">
        <v>28800</v>
      </c>
      <c r="D507" s="31">
        <v>1765</v>
      </c>
      <c r="E507" s="32">
        <f t="shared" si="14"/>
        <v>1.3597733711048159</v>
      </c>
      <c r="F507" s="10" t="str">
        <f t="shared" si="15"/>
        <v>N</v>
      </c>
      <c r="G507" s="10" t="s">
        <v>1433</v>
      </c>
      <c r="H507" s="10" t="s">
        <v>1433</v>
      </c>
    </row>
    <row r="508" spans="1:8" x14ac:dyDescent="0.3">
      <c r="A508" s="10" t="s">
        <v>111</v>
      </c>
      <c r="B508" s="10" t="s">
        <v>1917</v>
      </c>
      <c r="C508" s="31">
        <v>67896</v>
      </c>
      <c r="D508" s="31">
        <v>1275</v>
      </c>
      <c r="E508" s="32">
        <f t="shared" si="14"/>
        <v>4.4376470588235293</v>
      </c>
      <c r="F508" s="10" t="str">
        <f t="shared" si="15"/>
        <v>Y</v>
      </c>
      <c r="G508" s="10" t="s">
        <v>1433</v>
      </c>
      <c r="H508" s="10" t="s">
        <v>1433</v>
      </c>
    </row>
    <row r="509" spans="1:8" x14ac:dyDescent="0.3">
      <c r="A509" s="10" t="s">
        <v>111</v>
      </c>
      <c r="B509" s="10" t="s">
        <v>1918</v>
      </c>
      <c r="C509" s="31">
        <v>96000</v>
      </c>
      <c r="D509" s="31">
        <v>1575</v>
      </c>
      <c r="E509" s="32">
        <f t="shared" si="14"/>
        <v>5.0793650793650791</v>
      </c>
      <c r="F509" s="10" t="str">
        <f t="shared" si="15"/>
        <v>Y</v>
      </c>
      <c r="G509" s="10" t="s">
        <v>1433</v>
      </c>
      <c r="H509" s="10" t="s">
        <v>1433</v>
      </c>
    </row>
    <row r="510" spans="1:8" x14ac:dyDescent="0.3">
      <c r="A510" s="10" t="s">
        <v>111</v>
      </c>
      <c r="B510" s="10" t="s">
        <v>1919</v>
      </c>
      <c r="C510" s="31">
        <v>32496</v>
      </c>
      <c r="D510" s="31">
        <v>2199</v>
      </c>
      <c r="E510" s="32">
        <f t="shared" si="14"/>
        <v>1.2314688494770349</v>
      </c>
      <c r="F510" s="10" t="str">
        <f t="shared" si="15"/>
        <v>N</v>
      </c>
      <c r="G510" s="10" t="s">
        <v>1433</v>
      </c>
      <c r="H510" s="10" t="s">
        <v>1433</v>
      </c>
    </row>
    <row r="511" spans="1:8" x14ac:dyDescent="0.3">
      <c r="A511" s="10" t="s">
        <v>111</v>
      </c>
      <c r="B511" s="10" t="s">
        <v>1920</v>
      </c>
      <c r="C511" s="31">
        <v>456000</v>
      </c>
      <c r="D511" s="31">
        <v>1775</v>
      </c>
      <c r="E511" s="32">
        <f t="shared" si="14"/>
        <v>21.408450704225352</v>
      </c>
      <c r="F511" s="10" t="str">
        <f t="shared" si="15"/>
        <v>Y</v>
      </c>
      <c r="G511" s="10" t="s">
        <v>1433</v>
      </c>
      <c r="H511" s="10" t="s">
        <v>1433</v>
      </c>
    </row>
    <row r="512" spans="1:8" x14ac:dyDescent="0.3">
      <c r="A512" s="10" t="s">
        <v>111</v>
      </c>
      <c r="B512" s="10" t="s">
        <v>1921</v>
      </c>
      <c r="C512" s="31">
        <v>64800</v>
      </c>
      <c r="D512" s="31">
        <v>1775</v>
      </c>
      <c r="E512" s="32">
        <f t="shared" si="14"/>
        <v>3.0422535211267605</v>
      </c>
      <c r="F512" s="10" t="str">
        <f t="shared" si="15"/>
        <v>Y</v>
      </c>
      <c r="G512" s="10" t="s">
        <v>1433</v>
      </c>
      <c r="H512" s="10" t="s">
        <v>1433</v>
      </c>
    </row>
    <row r="513" spans="1:8" x14ac:dyDescent="0.3">
      <c r="A513" s="10" t="s">
        <v>111</v>
      </c>
      <c r="B513" s="10" t="s">
        <v>1922</v>
      </c>
      <c r="C513" s="31">
        <v>72000</v>
      </c>
      <c r="D513" s="31">
        <v>1870</v>
      </c>
      <c r="E513" s="32">
        <f t="shared" si="14"/>
        <v>3.2085561497326203</v>
      </c>
      <c r="F513" s="10" t="str">
        <f t="shared" si="15"/>
        <v>Y</v>
      </c>
      <c r="G513" s="10" t="s">
        <v>1433</v>
      </c>
      <c r="H513" s="10" t="s">
        <v>1433</v>
      </c>
    </row>
    <row r="514" spans="1:8" x14ac:dyDescent="0.3">
      <c r="A514" s="10" t="s">
        <v>111</v>
      </c>
      <c r="B514" s="10" t="s">
        <v>1923</v>
      </c>
      <c r="C514" s="31">
        <v>92700</v>
      </c>
      <c r="D514" s="31">
        <v>1499</v>
      </c>
      <c r="E514" s="32">
        <f t="shared" si="14"/>
        <v>5.1534356237491661</v>
      </c>
      <c r="F514" s="10" t="str">
        <f t="shared" si="15"/>
        <v>Y</v>
      </c>
      <c r="G514" s="10" t="s">
        <v>1433</v>
      </c>
      <c r="H514" s="10" t="s">
        <v>1433</v>
      </c>
    </row>
    <row r="515" spans="1:8" x14ac:dyDescent="0.3">
      <c r="A515" s="10" t="s">
        <v>111</v>
      </c>
      <c r="B515" s="10" t="s">
        <v>1924</v>
      </c>
      <c r="C515" s="31">
        <v>57600</v>
      </c>
      <c r="D515" s="31">
        <v>1395</v>
      </c>
      <c r="E515" s="32">
        <f t="shared" si="14"/>
        <v>3.4408602150537635</v>
      </c>
      <c r="F515" s="10" t="str">
        <f t="shared" si="15"/>
        <v>Y</v>
      </c>
      <c r="G515" s="10" t="s">
        <v>1433</v>
      </c>
      <c r="H515" s="10" t="s">
        <v>1433</v>
      </c>
    </row>
    <row r="516" spans="1:8" x14ac:dyDescent="0.3">
      <c r="A516" s="10" t="s">
        <v>111</v>
      </c>
      <c r="B516" s="10" t="s">
        <v>1925</v>
      </c>
      <c r="C516" s="31">
        <v>67200</v>
      </c>
      <c r="D516" s="31">
        <v>1442</v>
      </c>
      <c r="E516" s="32">
        <f t="shared" si="14"/>
        <v>3.883495145631068</v>
      </c>
      <c r="F516" s="10" t="str">
        <f t="shared" si="15"/>
        <v>Y</v>
      </c>
      <c r="G516" s="10" t="s">
        <v>1433</v>
      </c>
      <c r="H516" s="10" t="s">
        <v>1433</v>
      </c>
    </row>
    <row r="517" spans="1:8" x14ac:dyDescent="0.3">
      <c r="A517" s="10" t="s">
        <v>111</v>
      </c>
      <c r="B517" s="10" t="s">
        <v>1926</v>
      </c>
      <c r="C517" s="31">
        <v>48000</v>
      </c>
      <c r="D517" s="31">
        <v>1944</v>
      </c>
      <c r="E517" s="32">
        <f t="shared" ref="E517:E580" si="16">IF(AND(ISNUMBER(C517),ISNUMBER(D517)),C517/(12*D517),"")</f>
        <v>2.0576131687242798</v>
      </c>
      <c r="F517" s="10" t="str">
        <f t="shared" ref="F517:F580" si="17">IF(E517="","",IF(E517&gt;=3,"Y","N"))</f>
        <v>N</v>
      </c>
      <c r="G517" s="10" t="s">
        <v>1433</v>
      </c>
      <c r="H517" s="10" t="s">
        <v>1433</v>
      </c>
    </row>
    <row r="518" spans="1:8" x14ac:dyDescent="0.3">
      <c r="A518" s="10" t="s">
        <v>111</v>
      </c>
      <c r="B518" s="10" t="s">
        <v>1927</v>
      </c>
      <c r="C518" s="31">
        <v>42240</v>
      </c>
      <c r="D518" s="31">
        <v>1435</v>
      </c>
      <c r="E518" s="32">
        <f t="shared" si="16"/>
        <v>2.4529616724738674</v>
      </c>
      <c r="F518" s="10" t="str">
        <f t="shared" si="17"/>
        <v>N</v>
      </c>
      <c r="G518" s="10" t="s">
        <v>1433</v>
      </c>
      <c r="H518" s="10" t="s">
        <v>1433</v>
      </c>
    </row>
    <row r="519" spans="1:8" x14ac:dyDescent="0.3">
      <c r="A519" s="10" t="s">
        <v>111</v>
      </c>
      <c r="B519" s="10" t="s">
        <v>1928</v>
      </c>
      <c r="C519" s="31">
        <v>70164</v>
      </c>
      <c r="D519" s="31">
        <v>1679</v>
      </c>
      <c r="E519" s="32">
        <f t="shared" si="16"/>
        <v>3.4824300178677783</v>
      </c>
      <c r="F519" s="10" t="str">
        <f t="shared" si="17"/>
        <v>Y</v>
      </c>
      <c r="G519" s="10" t="s">
        <v>1433</v>
      </c>
      <c r="H519" s="10" t="s">
        <v>1433</v>
      </c>
    </row>
    <row r="520" spans="1:8" x14ac:dyDescent="0.3">
      <c r="A520" s="10" t="s">
        <v>111</v>
      </c>
      <c r="B520" s="10" t="s">
        <v>1929</v>
      </c>
      <c r="C520" s="31"/>
      <c r="D520" s="31">
        <v>1415</v>
      </c>
      <c r="E520" s="32" t="str">
        <f t="shared" si="16"/>
        <v/>
      </c>
      <c r="F520" s="10" t="str">
        <f t="shared" si="17"/>
        <v/>
      </c>
      <c r="G520" s="10" t="s">
        <v>1433</v>
      </c>
      <c r="H520" s="10" t="s">
        <v>1433</v>
      </c>
    </row>
    <row r="521" spans="1:8" x14ac:dyDescent="0.3">
      <c r="A521" s="10" t="s">
        <v>111</v>
      </c>
      <c r="B521" s="10" t="s">
        <v>1930</v>
      </c>
      <c r="C521" s="31">
        <v>38400</v>
      </c>
      <c r="D521" s="31">
        <v>1437</v>
      </c>
      <c r="E521" s="32">
        <f t="shared" si="16"/>
        <v>2.2268615170494086</v>
      </c>
      <c r="F521" s="10" t="str">
        <f t="shared" si="17"/>
        <v>N</v>
      </c>
      <c r="G521" s="10" t="s">
        <v>1433</v>
      </c>
      <c r="H521" s="10" t="s">
        <v>1433</v>
      </c>
    </row>
    <row r="522" spans="1:8" x14ac:dyDescent="0.3">
      <c r="A522" s="10" t="s">
        <v>111</v>
      </c>
      <c r="B522" s="10" t="s">
        <v>1931</v>
      </c>
      <c r="C522" s="31">
        <v>72000</v>
      </c>
      <c r="D522" s="31">
        <v>1855</v>
      </c>
      <c r="E522" s="32">
        <f t="shared" si="16"/>
        <v>3.2345013477088949</v>
      </c>
      <c r="F522" s="10" t="str">
        <f t="shared" si="17"/>
        <v>Y</v>
      </c>
      <c r="G522" s="10" t="s">
        <v>1433</v>
      </c>
      <c r="H522" s="10" t="s">
        <v>1433</v>
      </c>
    </row>
    <row r="523" spans="1:8" x14ac:dyDescent="0.3">
      <c r="A523" s="10" t="s">
        <v>111</v>
      </c>
      <c r="B523" s="10" t="s">
        <v>1932</v>
      </c>
      <c r="C523" s="31">
        <v>85668</v>
      </c>
      <c r="D523" s="31">
        <v>1895</v>
      </c>
      <c r="E523" s="32">
        <f t="shared" si="16"/>
        <v>3.767282321899736</v>
      </c>
      <c r="F523" s="10" t="str">
        <f t="shared" si="17"/>
        <v>Y</v>
      </c>
      <c r="G523" s="10" t="s">
        <v>1433</v>
      </c>
      <c r="H523" s="10" t="s">
        <v>1433</v>
      </c>
    </row>
    <row r="524" spans="1:8" x14ac:dyDescent="0.3">
      <c r="A524" s="10" t="s">
        <v>111</v>
      </c>
      <c r="B524" s="10" t="s">
        <v>1933</v>
      </c>
      <c r="C524" s="31">
        <v>245376</v>
      </c>
      <c r="D524" s="31">
        <v>1800</v>
      </c>
      <c r="E524" s="32">
        <f t="shared" si="16"/>
        <v>11.36</v>
      </c>
      <c r="F524" s="10" t="str">
        <f t="shared" si="17"/>
        <v>Y</v>
      </c>
      <c r="G524" s="10" t="s">
        <v>1433</v>
      </c>
      <c r="H524" s="10" t="s">
        <v>1433</v>
      </c>
    </row>
    <row r="525" spans="1:8" x14ac:dyDescent="0.3">
      <c r="A525" s="10" t="s">
        <v>111</v>
      </c>
      <c r="B525" s="10" t="s">
        <v>1934</v>
      </c>
      <c r="C525" s="31">
        <v>54576</v>
      </c>
      <c r="D525" s="31">
        <v>1500</v>
      </c>
      <c r="E525" s="32">
        <f t="shared" si="16"/>
        <v>3.032</v>
      </c>
      <c r="F525" s="10" t="str">
        <f t="shared" si="17"/>
        <v>Y</v>
      </c>
      <c r="G525" s="10" t="s">
        <v>1433</v>
      </c>
      <c r="H525" s="10" t="s">
        <v>1433</v>
      </c>
    </row>
    <row r="526" spans="1:8" x14ac:dyDescent="0.3">
      <c r="A526" s="10" t="s">
        <v>111</v>
      </c>
      <c r="B526" s="10" t="s">
        <v>1935</v>
      </c>
      <c r="C526" s="31">
        <v>90840</v>
      </c>
      <c r="D526" s="31">
        <v>2265</v>
      </c>
      <c r="E526" s="32">
        <f t="shared" si="16"/>
        <v>3.3421633554083887</v>
      </c>
      <c r="F526" s="10" t="str">
        <f t="shared" si="17"/>
        <v>Y</v>
      </c>
      <c r="G526" s="10" t="s">
        <v>1433</v>
      </c>
      <c r="H526" s="10" t="s">
        <v>1433</v>
      </c>
    </row>
    <row r="527" spans="1:8" x14ac:dyDescent="0.3">
      <c r="A527" s="10" t="s">
        <v>111</v>
      </c>
      <c r="B527" s="10" t="s">
        <v>1936</v>
      </c>
      <c r="C527" s="31">
        <v>43200</v>
      </c>
      <c r="D527" s="31">
        <v>1470</v>
      </c>
      <c r="E527" s="32">
        <f t="shared" si="16"/>
        <v>2.4489795918367347</v>
      </c>
      <c r="F527" s="10" t="str">
        <f t="shared" si="17"/>
        <v>N</v>
      </c>
      <c r="G527" s="10" t="s">
        <v>1433</v>
      </c>
      <c r="H527" s="10" t="s">
        <v>1433</v>
      </c>
    </row>
    <row r="528" spans="1:8" x14ac:dyDescent="0.3">
      <c r="A528" s="10" t="s">
        <v>111</v>
      </c>
      <c r="B528" s="10" t="s">
        <v>1937</v>
      </c>
      <c r="C528" s="31">
        <v>66000</v>
      </c>
      <c r="D528" s="31">
        <v>1799</v>
      </c>
      <c r="E528" s="32">
        <f t="shared" si="16"/>
        <v>3.0572540300166757</v>
      </c>
      <c r="F528" s="10" t="str">
        <f t="shared" si="17"/>
        <v>Y</v>
      </c>
      <c r="G528" s="10" t="s">
        <v>1433</v>
      </c>
      <c r="H528" s="10" t="s">
        <v>1433</v>
      </c>
    </row>
    <row r="529" spans="1:8" x14ac:dyDescent="0.3">
      <c r="A529" s="10" t="s">
        <v>111</v>
      </c>
      <c r="B529" s="10" t="s">
        <v>1938</v>
      </c>
      <c r="C529" s="31">
        <v>84000</v>
      </c>
      <c r="D529" s="31">
        <v>1530</v>
      </c>
      <c r="E529" s="32">
        <f t="shared" si="16"/>
        <v>4.5751633986928102</v>
      </c>
      <c r="F529" s="10" t="str">
        <f t="shared" si="17"/>
        <v>Y</v>
      </c>
      <c r="G529" s="10" t="s">
        <v>1433</v>
      </c>
      <c r="H529" s="10" t="s">
        <v>1433</v>
      </c>
    </row>
    <row r="530" spans="1:8" x14ac:dyDescent="0.3">
      <c r="A530" s="10" t="s">
        <v>111</v>
      </c>
      <c r="B530" s="10" t="s">
        <v>1939</v>
      </c>
      <c r="C530" s="31">
        <v>49200</v>
      </c>
      <c r="D530" s="31">
        <v>1349</v>
      </c>
      <c r="E530" s="32">
        <f t="shared" si="16"/>
        <v>3.0392883617494442</v>
      </c>
      <c r="F530" s="10" t="str">
        <f t="shared" si="17"/>
        <v>Y</v>
      </c>
      <c r="G530" s="10" t="s">
        <v>1433</v>
      </c>
      <c r="H530" s="10" t="s">
        <v>1433</v>
      </c>
    </row>
    <row r="531" spans="1:8" x14ac:dyDescent="0.3">
      <c r="A531" s="10" t="s">
        <v>111</v>
      </c>
      <c r="B531" s="10" t="s">
        <v>1940</v>
      </c>
      <c r="C531" s="31">
        <v>67044</v>
      </c>
      <c r="D531" s="31">
        <v>2280</v>
      </c>
      <c r="E531" s="32">
        <f t="shared" si="16"/>
        <v>2.4504385964912281</v>
      </c>
      <c r="F531" s="10" t="str">
        <f t="shared" si="17"/>
        <v>N</v>
      </c>
      <c r="G531" s="10" t="s">
        <v>1433</v>
      </c>
      <c r="H531" s="10" t="s">
        <v>1433</v>
      </c>
    </row>
    <row r="532" spans="1:8" x14ac:dyDescent="0.3">
      <c r="A532" s="10" t="s">
        <v>111</v>
      </c>
      <c r="B532" s="10" t="s">
        <v>1941</v>
      </c>
      <c r="C532" s="31">
        <v>136344</v>
      </c>
      <c r="D532" s="31">
        <v>1990</v>
      </c>
      <c r="E532" s="32">
        <f t="shared" si="16"/>
        <v>5.709547738693467</v>
      </c>
      <c r="F532" s="10" t="str">
        <f t="shared" si="17"/>
        <v>Y</v>
      </c>
      <c r="G532" s="10" t="s">
        <v>1433</v>
      </c>
      <c r="H532" s="10" t="s">
        <v>1433</v>
      </c>
    </row>
    <row r="533" spans="1:8" x14ac:dyDescent="0.3">
      <c r="A533" s="10" t="s">
        <v>111</v>
      </c>
      <c r="B533" s="10" t="s">
        <v>1942</v>
      </c>
      <c r="C533" s="31">
        <v>64800</v>
      </c>
      <c r="D533" s="31">
        <v>1795</v>
      </c>
      <c r="E533" s="32">
        <f t="shared" si="16"/>
        <v>3.0083565459610027</v>
      </c>
      <c r="F533" s="10" t="str">
        <f t="shared" si="17"/>
        <v>Y</v>
      </c>
      <c r="G533" s="10" t="s">
        <v>1433</v>
      </c>
      <c r="H533" s="10" t="s">
        <v>1433</v>
      </c>
    </row>
    <row r="534" spans="1:8" x14ac:dyDescent="0.3">
      <c r="A534" s="10" t="s">
        <v>111</v>
      </c>
      <c r="B534" s="10" t="s">
        <v>1943</v>
      </c>
      <c r="C534" s="31">
        <v>60000</v>
      </c>
      <c r="D534" s="31">
        <v>2200</v>
      </c>
      <c r="E534" s="32">
        <f t="shared" si="16"/>
        <v>2.2727272727272729</v>
      </c>
      <c r="F534" s="10" t="str">
        <f t="shared" si="17"/>
        <v>N</v>
      </c>
      <c r="G534" s="10" t="s">
        <v>1433</v>
      </c>
      <c r="H534" s="10" t="s">
        <v>1433</v>
      </c>
    </row>
    <row r="535" spans="1:8" x14ac:dyDescent="0.3">
      <c r="A535" s="10" t="s">
        <v>111</v>
      </c>
      <c r="B535" s="10" t="s">
        <v>1944</v>
      </c>
      <c r="C535" s="31">
        <v>86928</v>
      </c>
      <c r="D535" s="31">
        <v>1349</v>
      </c>
      <c r="E535" s="32">
        <f t="shared" si="16"/>
        <v>5.3699036323202369</v>
      </c>
      <c r="F535" s="10" t="str">
        <f t="shared" si="17"/>
        <v>Y</v>
      </c>
      <c r="G535" s="10" t="s">
        <v>1433</v>
      </c>
      <c r="H535" s="10" t="s">
        <v>1433</v>
      </c>
    </row>
    <row r="536" spans="1:8" x14ac:dyDescent="0.3">
      <c r="A536" s="10" t="s">
        <v>111</v>
      </c>
      <c r="B536" s="10" t="s">
        <v>1945</v>
      </c>
      <c r="C536" s="31">
        <v>240000</v>
      </c>
      <c r="D536" s="31">
        <v>1714</v>
      </c>
      <c r="E536" s="32">
        <f t="shared" si="16"/>
        <v>11.668611435239207</v>
      </c>
      <c r="F536" s="10" t="str">
        <f t="shared" si="17"/>
        <v>Y</v>
      </c>
      <c r="G536" s="10" t="s">
        <v>1433</v>
      </c>
      <c r="H536" s="10" t="s">
        <v>1433</v>
      </c>
    </row>
    <row r="537" spans="1:8" x14ac:dyDescent="0.3">
      <c r="A537" s="10" t="s">
        <v>111</v>
      </c>
      <c r="B537" s="10" t="s">
        <v>1946</v>
      </c>
      <c r="C537" s="31">
        <v>72000</v>
      </c>
      <c r="D537" s="31">
        <v>1765</v>
      </c>
      <c r="E537" s="32">
        <f t="shared" si="16"/>
        <v>3.3994334277620397</v>
      </c>
      <c r="F537" s="10" t="str">
        <f t="shared" si="17"/>
        <v>Y</v>
      </c>
      <c r="G537" s="10" t="s">
        <v>1433</v>
      </c>
      <c r="H537" s="10" t="s">
        <v>1433</v>
      </c>
    </row>
    <row r="538" spans="1:8" x14ac:dyDescent="0.3">
      <c r="A538" s="10" t="s">
        <v>111</v>
      </c>
      <c r="B538" s="10" t="s">
        <v>1947</v>
      </c>
      <c r="C538" s="31">
        <v>65484</v>
      </c>
      <c r="D538" s="31">
        <v>1479</v>
      </c>
      <c r="E538" s="32">
        <f t="shared" si="16"/>
        <v>3.6896551724137931</v>
      </c>
      <c r="F538" s="10" t="str">
        <f t="shared" si="17"/>
        <v>Y</v>
      </c>
      <c r="G538" s="10" t="s">
        <v>1433</v>
      </c>
      <c r="H538" s="10" t="s">
        <v>1433</v>
      </c>
    </row>
    <row r="539" spans="1:8" x14ac:dyDescent="0.3">
      <c r="A539" s="10" t="s">
        <v>111</v>
      </c>
      <c r="B539" s="10" t="s">
        <v>1948</v>
      </c>
      <c r="C539" s="31">
        <v>19200</v>
      </c>
      <c r="D539" s="31">
        <v>1919</v>
      </c>
      <c r="E539" s="32">
        <f t="shared" si="16"/>
        <v>0.8337675872850443</v>
      </c>
      <c r="F539" s="10" t="str">
        <f t="shared" si="17"/>
        <v>N</v>
      </c>
      <c r="G539" s="10" t="s">
        <v>1433</v>
      </c>
      <c r="H539" s="10" t="s">
        <v>1433</v>
      </c>
    </row>
    <row r="540" spans="1:8" x14ac:dyDescent="0.3">
      <c r="A540" s="10" t="s">
        <v>111</v>
      </c>
      <c r="B540" s="10" t="s">
        <v>255</v>
      </c>
      <c r="C540" s="31">
        <v>124272</v>
      </c>
      <c r="D540" s="31">
        <v>1520</v>
      </c>
      <c r="E540" s="32">
        <f t="shared" si="16"/>
        <v>6.8131578947368423</v>
      </c>
      <c r="F540" s="10" t="str">
        <f t="shared" si="17"/>
        <v>Y</v>
      </c>
      <c r="G540" s="10" t="s">
        <v>1431</v>
      </c>
      <c r="H540" s="10" t="s">
        <v>1431</v>
      </c>
    </row>
    <row r="541" spans="1:8" x14ac:dyDescent="0.3">
      <c r="A541" s="10" t="s">
        <v>111</v>
      </c>
      <c r="B541" s="10" t="s">
        <v>1949</v>
      </c>
      <c r="C541" s="31">
        <v>57600</v>
      </c>
      <c r="D541" s="31">
        <v>1435</v>
      </c>
      <c r="E541" s="32">
        <f t="shared" si="16"/>
        <v>3.3449477351916377</v>
      </c>
      <c r="F541" s="10" t="str">
        <f t="shared" si="17"/>
        <v>Y</v>
      </c>
      <c r="G541" s="10" t="s">
        <v>1433</v>
      </c>
      <c r="H541" s="10" t="s">
        <v>1433</v>
      </c>
    </row>
    <row r="542" spans="1:8" x14ac:dyDescent="0.3">
      <c r="A542" s="10" t="s">
        <v>111</v>
      </c>
      <c r="B542" s="10" t="s">
        <v>1950</v>
      </c>
      <c r="C542" s="31">
        <v>336720</v>
      </c>
      <c r="D542" s="31">
        <v>1499</v>
      </c>
      <c r="E542" s="32">
        <f t="shared" si="16"/>
        <v>18.719146097398266</v>
      </c>
      <c r="F542" s="10" t="str">
        <f t="shared" si="17"/>
        <v>Y</v>
      </c>
      <c r="G542" s="10" t="s">
        <v>1433</v>
      </c>
      <c r="H542" s="10" t="s">
        <v>1433</v>
      </c>
    </row>
    <row r="543" spans="1:8" x14ac:dyDescent="0.3">
      <c r="A543" s="10" t="s">
        <v>111</v>
      </c>
      <c r="B543" s="10" t="s">
        <v>1951</v>
      </c>
      <c r="C543" s="31"/>
      <c r="D543" s="31">
        <v>1870</v>
      </c>
      <c r="E543" s="32" t="str">
        <f t="shared" si="16"/>
        <v/>
      </c>
      <c r="F543" s="10" t="str">
        <f t="shared" si="17"/>
        <v/>
      </c>
      <c r="G543" s="10" t="s">
        <v>1433</v>
      </c>
      <c r="H543" s="10" t="s">
        <v>1433</v>
      </c>
    </row>
    <row r="544" spans="1:8" x14ac:dyDescent="0.3">
      <c r="A544" s="10" t="s">
        <v>111</v>
      </c>
      <c r="B544" s="10" t="s">
        <v>1952</v>
      </c>
      <c r="C544" s="31">
        <v>74412</v>
      </c>
      <c r="D544" s="31">
        <v>1935</v>
      </c>
      <c r="E544" s="32">
        <f t="shared" si="16"/>
        <v>3.2046511627906975</v>
      </c>
      <c r="F544" s="10" t="str">
        <f t="shared" si="17"/>
        <v>Y</v>
      </c>
      <c r="G544" s="10" t="s">
        <v>1433</v>
      </c>
      <c r="H544" s="10" t="s">
        <v>1433</v>
      </c>
    </row>
    <row r="545" spans="1:8" x14ac:dyDescent="0.3">
      <c r="A545" s="10" t="s">
        <v>111</v>
      </c>
      <c r="B545" s="10" t="s">
        <v>1953</v>
      </c>
      <c r="C545" s="31">
        <v>47136</v>
      </c>
      <c r="D545" s="31">
        <v>1799</v>
      </c>
      <c r="E545" s="32">
        <f t="shared" si="16"/>
        <v>2.1834352418010003</v>
      </c>
      <c r="F545" s="10" t="str">
        <f t="shared" si="17"/>
        <v>N</v>
      </c>
      <c r="G545" s="10" t="s">
        <v>1433</v>
      </c>
      <c r="H545" s="10" t="s">
        <v>1433</v>
      </c>
    </row>
    <row r="546" spans="1:8" x14ac:dyDescent="0.3">
      <c r="A546" s="10" t="s">
        <v>111</v>
      </c>
      <c r="B546" s="10" t="s">
        <v>1954</v>
      </c>
      <c r="C546" s="31">
        <v>33600</v>
      </c>
      <c r="D546" s="31">
        <v>2125</v>
      </c>
      <c r="E546" s="32">
        <f t="shared" si="16"/>
        <v>1.3176470588235294</v>
      </c>
      <c r="F546" s="10" t="str">
        <f t="shared" si="17"/>
        <v>N</v>
      </c>
      <c r="G546" s="10" t="s">
        <v>1433</v>
      </c>
      <c r="H546" s="10" t="s">
        <v>1433</v>
      </c>
    </row>
    <row r="547" spans="1:8" x14ac:dyDescent="0.3">
      <c r="A547" s="10" t="s">
        <v>111</v>
      </c>
      <c r="B547" s="10" t="s">
        <v>1955</v>
      </c>
      <c r="C547" s="31">
        <v>58200</v>
      </c>
      <c r="D547" s="31">
        <v>1715</v>
      </c>
      <c r="E547" s="32">
        <f t="shared" si="16"/>
        <v>2.8279883381924198</v>
      </c>
      <c r="F547" s="10" t="str">
        <f t="shared" si="17"/>
        <v>N</v>
      </c>
      <c r="G547" s="10" t="s">
        <v>1433</v>
      </c>
      <c r="H547" s="10" t="s">
        <v>1433</v>
      </c>
    </row>
    <row r="548" spans="1:8" x14ac:dyDescent="0.3">
      <c r="A548" s="10" t="s">
        <v>111</v>
      </c>
      <c r="B548" s="10" t="s">
        <v>1956</v>
      </c>
      <c r="C548" s="31">
        <v>112608</v>
      </c>
      <c r="D548" s="31">
        <v>1410</v>
      </c>
      <c r="E548" s="32">
        <f t="shared" si="16"/>
        <v>6.6553191489361705</v>
      </c>
      <c r="F548" s="10" t="str">
        <f t="shared" si="17"/>
        <v>Y</v>
      </c>
      <c r="G548" s="10" t="s">
        <v>1433</v>
      </c>
      <c r="H548" s="10" t="s">
        <v>1433</v>
      </c>
    </row>
    <row r="549" spans="1:8" x14ac:dyDescent="0.3">
      <c r="A549" s="10" t="s">
        <v>111</v>
      </c>
      <c r="B549" s="10" t="s">
        <v>1957</v>
      </c>
      <c r="C549" s="31">
        <v>104964</v>
      </c>
      <c r="D549" s="31">
        <v>1985</v>
      </c>
      <c r="E549" s="32">
        <f t="shared" si="16"/>
        <v>4.4065491183879093</v>
      </c>
      <c r="F549" s="10" t="str">
        <f t="shared" si="17"/>
        <v>Y</v>
      </c>
      <c r="G549" s="10" t="s">
        <v>1433</v>
      </c>
      <c r="H549" s="10" t="s">
        <v>1433</v>
      </c>
    </row>
    <row r="550" spans="1:8" x14ac:dyDescent="0.3">
      <c r="A550" s="10" t="s">
        <v>111</v>
      </c>
      <c r="B550" s="10" t="s">
        <v>256</v>
      </c>
      <c r="C550" s="31">
        <v>96996</v>
      </c>
      <c r="D550" s="31">
        <v>1385</v>
      </c>
      <c r="E550" s="32">
        <f t="shared" si="16"/>
        <v>5.8361010830324913</v>
      </c>
      <c r="F550" s="10" t="str">
        <f t="shared" si="17"/>
        <v>Y</v>
      </c>
      <c r="G550" s="10" t="s">
        <v>1431</v>
      </c>
      <c r="H550" s="10" t="s">
        <v>1431</v>
      </c>
    </row>
    <row r="551" spans="1:8" x14ac:dyDescent="0.3">
      <c r="A551" s="10" t="s">
        <v>111</v>
      </c>
      <c r="B551" s="10" t="s">
        <v>1958</v>
      </c>
      <c r="C551" s="31"/>
      <c r="D551" s="31">
        <v>1650</v>
      </c>
      <c r="E551" s="32" t="str">
        <f t="shared" si="16"/>
        <v/>
      </c>
      <c r="F551" s="10" t="str">
        <f t="shared" si="17"/>
        <v/>
      </c>
      <c r="G551" s="10" t="s">
        <v>1433</v>
      </c>
      <c r="H551" s="10" t="s">
        <v>1433</v>
      </c>
    </row>
    <row r="552" spans="1:8" x14ac:dyDescent="0.3">
      <c r="A552" s="10" t="s">
        <v>111</v>
      </c>
      <c r="B552" s="10" t="s">
        <v>1959</v>
      </c>
      <c r="C552" s="31">
        <v>60000</v>
      </c>
      <c r="D552" s="31">
        <v>1644</v>
      </c>
      <c r="E552" s="32">
        <f t="shared" si="16"/>
        <v>3.0413625304136254</v>
      </c>
      <c r="F552" s="10" t="str">
        <f t="shared" si="17"/>
        <v>Y</v>
      </c>
      <c r="G552" s="10" t="s">
        <v>1433</v>
      </c>
      <c r="H552" s="10" t="s">
        <v>1433</v>
      </c>
    </row>
    <row r="553" spans="1:8" x14ac:dyDescent="0.3">
      <c r="A553" s="10" t="s">
        <v>111</v>
      </c>
      <c r="B553" s="10" t="s">
        <v>1960</v>
      </c>
      <c r="C553" s="31">
        <v>69996</v>
      </c>
      <c r="D553" s="31">
        <v>1400</v>
      </c>
      <c r="E553" s="32">
        <f t="shared" si="16"/>
        <v>4.1664285714285718</v>
      </c>
      <c r="F553" s="10" t="str">
        <f t="shared" si="17"/>
        <v>Y</v>
      </c>
      <c r="G553" s="10" t="s">
        <v>1433</v>
      </c>
      <c r="H553" s="10" t="s">
        <v>1433</v>
      </c>
    </row>
    <row r="554" spans="1:8" x14ac:dyDescent="0.3">
      <c r="A554" s="10" t="s">
        <v>111</v>
      </c>
      <c r="B554" s="10" t="s">
        <v>1961</v>
      </c>
      <c r="C554" s="31">
        <v>110400</v>
      </c>
      <c r="D554" s="31">
        <v>1799</v>
      </c>
      <c r="E554" s="32">
        <f t="shared" si="16"/>
        <v>5.1139521956642575</v>
      </c>
      <c r="F554" s="10" t="str">
        <f t="shared" si="17"/>
        <v>Y</v>
      </c>
      <c r="G554" s="10" t="s">
        <v>1433</v>
      </c>
      <c r="H554" s="10" t="s">
        <v>1433</v>
      </c>
    </row>
    <row r="555" spans="1:8" x14ac:dyDescent="0.3">
      <c r="A555" s="10" t="s">
        <v>111</v>
      </c>
      <c r="B555" s="10" t="s">
        <v>1962</v>
      </c>
      <c r="C555" s="31">
        <v>24000</v>
      </c>
      <c r="D555" s="31">
        <v>2161</v>
      </c>
      <c r="E555" s="32">
        <f t="shared" si="16"/>
        <v>0.92549745488199908</v>
      </c>
      <c r="F555" s="10" t="str">
        <f t="shared" si="17"/>
        <v>N</v>
      </c>
      <c r="G555" s="10" t="s">
        <v>1433</v>
      </c>
      <c r="H555" s="10" t="s">
        <v>1433</v>
      </c>
    </row>
    <row r="556" spans="1:8" x14ac:dyDescent="0.3">
      <c r="A556" s="10" t="s">
        <v>111</v>
      </c>
      <c r="B556" s="10" t="s">
        <v>1963</v>
      </c>
      <c r="C556" s="31">
        <v>146796</v>
      </c>
      <c r="D556" s="31">
        <v>1900</v>
      </c>
      <c r="E556" s="32">
        <f t="shared" si="16"/>
        <v>6.438421052631579</v>
      </c>
      <c r="F556" s="10" t="str">
        <f t="shared" si="17"/>
        <v>Y</v>
      </c>
      <c r="G556" s="10" t="s">
        <v>1433</v>
      </c>
      <c r="H556" s="10" t="s">
        <v>1433</v>
      </c>
    </row>
    <row r="557" spans="1:8" x14ac:dyDescent="0.3">
      <c r="A557" s="10" t="s">
        <v>111</v>
      </c>
      <c r="B557" s="10" t="s">
        <v>1964</v>
      </c>
      <c r="C557" s="31">
        <v>63564</v>
      </c>
      <c r="D557" s="31">
        <v>1975</v>
      </c>
      <c r="E557" s="32">
        <f t="shared" si="16"/>
        <v>2.6820253164556962</v>
      </c>
      <c r="F557" s="10" t="str">
        <f t="shared" si="17"/>
        <v>N</v>
      </c>
      <c r="G557" s="10" t="s">
        <v>1433</v>
      </c>
      <c r="H557" s="10" t="s">
        <v>1433</v>
      </c>
    </row>
    <row r="558" spans="1:8" x14ac:dyDescent="0.3">
      <c r="A558" s="10" t="s">
        <v>111</v>
      </c>
      <c r="B558" s="10" t="s">
        <v>1965</v>
      </c>
      <c r="C558" s="31">
        <v>75840</v>
      </c>
      <c r="D558" s="31">
        <v>1585</v>
      </c>
      <c r="E558" s="32">
        <f t="shared" si="16"/>
        <v>3.9873817034700316</v>
      </c>
      <c r="F558" s="10" t="str">
        <f t="shared" si="17"/>
        <v>Y</v>
      </c>
      <c r="G558" s="10" t="s">
        <v>1433</v>
      </c>
      <c r="H558" s="10" t="s">
        <v>1433</v>
      </c>
    </row>
    <row r="559" spans="1:8" x14ac:dyDescent="0.3">
      <c r="A559" s="10" t="s">
        <v>111</v>
      </c>
      <c r="B559" s="10" t="s">
        <v>257</v>
      </c>
      <c r="C559" s="31">
        <v>121608</v>
      </c>
      <c r="D559" s="31">
        <v>1635</v>
      </c>
      <c r="E559" s="32">
        <f t="shared" si="16"/>
        <v>6.1981651376146791</v>
      </c>
      <c r="F559" s="10" t="str">
        <f t="shared" si="17"/>
        <v>Y</v>
      </c>
      <c r="G559" s="10" t="s">
        <v>1431</v>
      </c>
      <c r="H559" s="10" t="s">
        <v>1431</v>
      </c>
    </row>
    <row r="560" spans="1:8" x14ac:dyDescent="0.3">
      <c r="A560" s="10" t="s">
        <v>111</v>
      </c>
      <c r="B560" s="10" t="s">
        <v>1966</v>
      </c>
      <c r="C560" s="31">
        <v>74532</v>
      </c>
      <c r="D560" s="31">
        <v>1685</v>
      </c>
      <c r="E560" s="32">
        <f t="shared" si="16"/>
        <v>3.6860534124629081</v>
      </c>
      <c r="F560" s="10" t="str">
        <f t="shared" si="17"/>
        <v>Y</v>
      </c>
      <c r="G560" s="10" t="s">
        <v>1433</v>
      </c>
      <c r="H560" s="10" t="s">
        <v>1433</v>
      </c>
    </row>
    <row r="561" spans="1:8" x14ac:dyDescent="0.3">
      <c r="A561" s="10" t="s">
        <v>111</v>
      </c>
      <c r="B561" s="10" t="s">
        <v>1967</v>
      </c>
      <c r="C561" s="31">
        <v>33192</v>
      </c>
      <c r="D561" s="31">
        <v>1349</v>
      </c>
      <c r="E561" s="32">
        <f t="shared" si="16"/>
        <v>2.0504077094143809</v>
      </c>
      <c r="F561" s="10" t="str">
        <f t="shared" si="17"/>
        <v>N</v>
      </c>
      <c r="G561" s="10" t="s">
        <v>1433</v>
      </c>
      <c r="H561" s="10" t="s">
        <v>1433</v>
      </c>
    </row>
    <row r="562" spans="1:8" x14ac:dyDescent="0.3">
      <c r="A562" s="10" t="s">
        <v>111</v>
      </c>
      <c r="B562" s="10" t="s">
        <v>1968</v>
      </c>
      <c r="C562" s="31">
        <v>87600</v>
      </c>
      <c r="D562" s="31">
        <v>2050</v>
      </c>
      <c r="E562" s="32">
        <f t="shared" si="16"/>
        <v>3.5609756097560976</v>
      </c>
      <c r="F562" s="10" t="str">
        <f t="shared" si="17"/>
        <v>Y</v>
      </c>
      <c r="G562" s="10" t="s">
        <v>1433</v>
      </c>
      <c r="H562" s="10" t="s">
        <v>1433</v>
      </c>
    </row>
    <row r="563" spans="1:8" x14ac:dyDescent="0.3">
      <c r="A563" s="10" t="s">
        <v>111</v>
      </c>
      <c r="B563" s="10" t="s">
        <v>258</v>
      </c>
      <c r="C563" s="31">
        <v>86400</v>
      </c>
      <c r="D563" s="31">
        <v>2148</v>
      </c>
      <c r="E563" s="32">
        <f t="shared" si="16"/>
        <v>3.3519553072625698</v>
      </c>
      <c r="F563" s="10" t="str">
        <f t="shared" si="17"/>
        <v>Y</v>
      </c>
      <c r="G563" s="10" t="s">
        <v>1431</v>
      </c>
      <c r="H563" s="10" t="s">
        <v>1431</v>
      </c>
    </row>
    <row r="564" spans="1:8" x14ac:dyDescent="0.3">
      <c r="A564" s="10" t="s">
        <v>111</v>
      </c>
      <c r="B564" s="10" t="s">
        <v>1969</v>
      </c>
      <c r="C564" s="31">
        <v>119844</v>
      </c>
      <c r="D564" s="31">
        <v>2225</v>
      </c>
      <c r="E564" s="32">
        <f t="shared" si="16"/>
        <v>4.4885393258426962</v>
      </c>
      <c r="F564" s="10" t="str">
        <f t="shared" si="17"/>
        <v>Y</v>
      </c>
      <c r="G564" s="10" t="s">
        <v>1433</v>
      </c>
      <c r="H564" s="10" t="s">
        <v>1433</v>
      </c>
    </row>
    <row r="565" spans="1:8" x14ac:dyDescent="0.3">
      <c r="A565" s="10" t="s">
        <v>111</v>
      </c>
      <c r="B565" s="10" t="s">
        <v>1970</v>
      </c>
      <c r="C565" s="31">
        <v>93000</v>
      </c>
      <c r="D565" s="31">
        <v>1944</v>
      </c>
      <c r="E565" s="32">
        <f t="shared" si="16"/>
        <v>3.986625514403292</v>
      </c>
      <c r="F565" s="10" t="str">
        <f t="shared" si="17"/>
        <v>Y</v>
      </c>
      <c r="G565" s="10" t="s">
        <v>1433</v>
      </c>
      <c r="H565" s="10" t="s">
        <v>1433</v>
      </c>
    </row>
    <row r="566" spans="1:8" x14ac:dyDescent="0.3">
      <c r="A566" s="10" t="s">
        <v>111</v>
      </c>
      <c r="B566" s="10" t="s">
        <v>260</v>
      </c>
      <c r="C566" s="31">
        <v>54000</v>
      </c>
      <c r="D566" s="31">
        <v>1845</v>
      </c>
      <c r="E566" s="32">
        <f t="shared" si="16"/>
        <v>2.4390243902439024</v>
      </c>
      <c r="F566" s="10" t="str">
        <f t="shared" si="17"/>
        <v>N</v>
      </c>
      <c r="G566" s="10" t="s">
        <v>1431</v>
      </c>
      <c r="H566" s="10" t="s">
        <v>1431</v>
      </c>
    </row>
    <row r="567" spans="1:8" x14ac:dyDescent="0.3">
      <c r="A567" s="10" t="s">
        <v>111</v>
      </c>
      <c r="B567" s="10" t="s">
        <v>1971</v>
      </c>
      <c r="C567" s="31">
        <v>72000</v>
      </c>
      <c r="D567" s="31">
        <v>1500</v>
      </c>
      <c r="E567" s="32">
        <f t="shared" si="16"/>
        <v>4</v>
      </c>
      <c r="F567" s="10" t="str">
        <f t="shared" si="17"/>
        <v>Y</v>
      </c>
      <c r="G567" s="10" t="s">
        <v>1433</v>
      </c>
      <c r="H567" s="10" t="s">
        <v>1433</v>
      </c>
    </row>
    <row r="568" spans="1:8" x14ac:dyDescent="0.3">
      <c r="A568" s="10" t="s">
        <v>111</v>
      </c>
      <c r="B568" s="10" t="s">
        <v>1972</v>
      </c>
      <c r="C568" s="31">
        <v>57240</v>
      </c>
      <c r="D568" s="31">
        <v>1499</v>
      </c>
      <c r="E568" s="32">
        <f t="shared" si="16"/>
        <v>3.182121414276184</v>
      </c>
      <c r="F568" s="10" t="str">
        <f t="shared" si="17"/>
        <v>Y</v>
      </c>
      <c r="G568" s="10" t="s">
        <v>1433</v>
      </c>
      <c r="H568" s="10" t="s">
        <v>1433</v>
      </c>
    </row>
    <row r="569" spans="1:8" x14ac:dyDescent="0.3">
      <c r="A569" s="10" t="s">
        <v>111</v>
      </c>
      <c r="B569" s="10" t="s">
        <v>1973</v>
      </c>
      <c r="C569" s="31">
        <v>39600</v>
      </c>
      <c r="D569" s="31">
        <v>1400</v>
      </c>
      <c r="E569" s="32">
        <f t="shared" si="16"/>
        <v>2.3571428571428572</v>
      </c>
      <c r="F569" s="10" t="str">
        <f t="shared" si="17"/>
        <v>N</v>
      </c>
      <c r="G569" s="10" t="s">
        <v>1433</v>
      </c>
      <c r="H569" s="10" t="s">
        <v>1433</v>
      </c>
    </row>
    <row r="570" spans="1:8" x14ac:dyDescent="0.3">
      <c r="A570" s="10" t="s">
        <v>111</v>
      </c>
      <c r="B570" s="10" t="s">
        <v>1974</v>
      </c>
      <c r="C570" s="31"/>
      <c r="D570" s="31">
        <v>1480</v>
      </c>
      <c r="E570" s="32" t="str">
        <f t="shared" si="16"/>
        <v/>
      </c>
      <c r="F570" s="10" t="str">
        <f t="shared" si="17"/>
        <v/>
      </c>
      <c r="G570" s="10" t="s">
        <v>1433</v>
      </c>
      <c r="H570" s="10" t="s">
        <v>1433</v>
      </c>
    </row>
    <row r="571" spans="1:8" x14ac:dyDescent="0.3">
      <c r="A571" s="10" t="s">
        <v>111</v>
      </c>
      <c r="B571" s="10" t="s">
        <v>1975</v>
      </c>
      <c r="C571" s="31">
        <v>73200</v>
      </c>
      <c r="D571" s="31">
        <v>1795</v>
      </c>
      <c r="E571" s="32">
        <f t="shared" si="16"/>
        <v>3.3983286908077996</v>
      </c>
      <c r="F571" s="10" t="str">
        <f t="shared" si="17"/>
        <v>Y</v>
      </c>
      <c r="G571" s="10" t="s">
        <v>1433</v>
      </c>
      <c r="H571" s="10" t="s">
        <v>1433</v>
      </c>
    </row>
    <row r="572" spans="1:8" x14ac:dyDescent="0.3">
      <c r="A572" s="10" t="s">
        <v>111</v>
      </c>
      <c r="B572" s="10" t="s">
        <v>1976</v>
      </c>
      <c r="C572" s="31">
        <v>47700</v>
      </c>
      <c r="D572" s="31">
        <v>1299</v>
      </c>
      <c r="E572" s="32">
        <f t="shared" si="16"/>
        <v>3.0600461893764432</v>
      </c>
      <c r="F572" s="10" t="str">
        <f t="shared" si="17"/>
        <v>Y</v>
      </c>
      <c r="G572" s="10" t="s">
        <v>1433</v>
      </c>
      <c r="H572" s="10" t="s">
        <v>1433</v>
      </c>
    </row>
    <row r="573" spans="1:8" x14ac:dyDescent="0.3">
      <c r="A573" s="10" t="s">
        <v>111</v>
      </c>
      <c r="B573" s="10" t="s">
        <v>1977</v>
      </c>
      <c r="C573" s="31">
        <v>52800</v>
      </c>
      <c r="D573" s="31">
        <v>1435</v>
      </c>
      <c r="E573" s="32">
        <f t="shared" si="16"/>
        <v>3.0662020905923346</v>
      </c>
      <c r="F573" s="10" t="str">
        <f t="shared" si="17"/>
        <v>Y</v>
      </c>
      <c r="G573" s="10" t="s">
        <v>1433</v>
      </c>
      <c r="H573" s="10" t="s">
        <v>1433</v>
      </c>
    </row>
    <row r="574" spans="1:8" x14ac:dyDescent="0.3">
      <c r="A574" s="10" t="s">
        <v>111</v>
      </c>
      <c r="B574" s="10" t="s">
        <v>1978</v>
      </c>
      <c r="C574" s="31">
        <v>40872</v>
      </c>
      <c r="D574" s="31">
        <v>2174</v>
      </c>
      <c r="E574" s="32">
        <f t="shared" si="16"/>
        <v>1.5666973321067157</v>
      </c>
      <c r="F574" s="10" t="str">
        <f t="shared" si="17"/>
        <v>N</v>
      </c>
      <c r="G574" s="10" t="s">
        <v>1433</v>
      </c>
      <c r="H574" s="10" t="s">
        <v>1433</v>
      </c>
    </row>
    <row r="575" spans="1:8" x14ac:dyDescent="0.3">
      <c r="A575" s="10" t="s">
        <v>111</v>
      </c>
      <c r="B575" s="10" t="s">
        <v>1979</v>
      </c>
      <c r="C575" s="31">
        <v>101232</v>
      </c>
      <c r="D575" s="31">
        <v>1944</v>
      </c>
      <c r="E575" s="32">
        <f t="shared" si="16"/>
        <v>4.3395061728395063</v>
      </c>
      <c r="F575" s="10" t="str">
        <f t="shared" si="17"/>
        <v>Y</v>
      </c>
      <c r="G575" s="10" t="s">
        <v>1433</v>
      </c>
      <c r="H575" s="10" t="s">
        <v>1433</v>
      </c>
    </row>
    <row r="576" spans="1:8" x14ac:dyDescent="0.3">
      <c r="A576" s="10" t="s">
        <v>111</v>
      </c>
      <c r="B576" s="10" t="s">
        <v>1980</v>
      </c>
      <c r="C576" s="31">
        <v>75600</v>
      </c>
      <c r="D576" s="31">
        <v>1869</v>
      </c>
      <c r="E576" s="32">
        <f t="shared" si="16"/>
        <v>3.3707865168539324</v>
      </c>
      <c r="F576" s="10" t="str">
        <f t="shared" si="17"/>
        <v>Y</v>
      </c>
      <c r="G576" s="10" t="s">
        <v>1433</v>
      </c>
      <c r="H576" s="10" t="s">
        <v>1433</v>
      </c>
    </row>
    <row r="577" spans="1:8" x14ac:dyDescent="0.3">
      <c r="A577" s="10" t="s">
        <v>111</v>
      </c>
      <c r="B577" s="10" t="s">
        <v>1981</v>
      </c>
      <c r="C577" s="31">
        <v>135000</v>
      </c>
      <c r="D577" s="31">
        <v>1843</v>
      </c>
      <c r="E577" s="32">
        <f t="shared" si="16"/>
        <v>6.1041779706999462</v>
      </c>
      <c r="F577" s="10" t="str">
        <f t="shared" si="17"/>
        <v>Y</v>
      </c>
      <c r="G577" s="10" t="s">
        <v>1433</v>
      </c>
      <c r="H577" s="10" t="s">
        <v>1433</v>
      </c>
    </row>
    <row r="578" spans="1:8" x14ac:dyDescent="0.3">
      <c r="A578" s="10" t="s">
        <v>111</v>
      </c>
      <c r="B578" s="10" t="s">
        <v>1982</v>
      </c>
      <c r="C578" s="31">
        <v>84972</v>
      </c>
      <c r="D578" s="31">
        <v>1499</v>
      </c>
      <c r="E578" s="32">
        <f t="shared" si="16"/>
        <v>4.7238158772515009</v>
      </c>
      <c r="F578" s="10" t="str">
        <f t="shared" si="17"/>
        <v>Y</v>
      </c>
      <c r="G578" s="10" t="s">
        <v>1433</v>
      </c>
      <c r="H578" s="10" t="s">
        <v>1433</v>
      </c>
    </row>
    <row r="579" spans="1:8" x14ac:dyDescent="0.3">
      <c r="A579" s="10" t="s">
        <v>111</v>
      </c>
      <c r="B579" s="10" t="s">
        <v>1983</v>
      </c>
      <c r="C579" s="31">
        <v>62220</v>
      </c>
      <c r="D579" s="31">
        <v>1500</v>
      </c>
      <c r="E579" s="32">
        <f t="shared" si="16"/>
        <v>3.4566666666666666</v>
      </c>
      <c r="F579" s="10" t="str">
        <f t="shared" si="17"/>
        <v>Y</v>
      </c>
      <c r="G579" s="10" t="s">
        <v>1433</v>
      </c>
      <c r="H579" s="10" t="s">
        <v>1433</v>
      </c>
    </row>
    <row r="580" spans="1:8" x14ac:dyDescent="0.3">
      <c r="A580" s="10" t="s">
        <v>111</v>
      </c>
      <c r="B580" s="10" t="s">
        <v>1984</v>
      </c>
      <c r="C580" s="31">
        <v>61200</v>
      </c>
      <c r="D580" s="31">
        <v>1703</v>
      </c>
      <c r="E580" s="32">
        <f t="shared" si="16"/>
        <v>2.9947152084556663</v>
      </c>
      <c r="F580" s="10" t="str">
        <f t="shared" si="17"/>
        <v>N</v>
      </c>
      <c r="G580" s="10" t="s">
        <v>1433</v>
      </c>
      <c r="H580" s="10" t="s">
        <v>1433</v>
      </c>
    </row>
    <row r="581" spans="1:8" x14ac:dyDescent="0.3">
      <c r="A581" s="10" t="s">
        <v>111</v>
      </c>
      <c r="B581" s="10" t="s">
        <v>1985</v>
      </c>
      <c r="C581" s="31">
        <v>118344</v>
      </c>
      <c r="D581" s="31">
        <v>1940</v>
      </c>
      <c r="E581" s="32">
        <f t="shared" ref="E581:E644" si="18">IF(AND(ISNUMBER(C581),ISNUMBER(D581)),C581/(12*D581),"")</f>
        <v>5.083505154639175</v>
      </c>
      <c r="F581" s="10" t="str">
        <f t="shared" ref="F581:F644" si="19">IF(E581="","",IF(E581&gt;=3,"Y","N"))</f>
        <v>Y</v>
      </c>
      <c r="G581" s="10" t="s">
        <v>1433</v>
      </c>
      <c r="H581" s="10" t="s">
        <v>1433</v>
      </c>
    </row>
    <row r="582" spans="1:8" x14ac:dyDescent="0.3">
      <c r="A582" s="10" t="s">
        <v>111</v>
      </c>
      <c r="B582" s="10" t="s">
        <v>293</v>
      </c>
      <c r="C582" s="31">
        <v>70716</v>
      </c>
      <c r="D582" s="31">
        <v>1410</v>
      </c>
      <c r="E582" s="32">
        <f t="shared" si="18"/>
        <v>4.1794326241134749</v>
      </c>
      <c r="F582" s="10" t="str">
        <f t="shared" si="19"/>
        <v>Y</v>
      </c>
      <c r="G582" s="10" t="s">
        <v>1431</v>
      </c>
      <c r="H582" s="10" t="s">
        <v>1433</v>
      </c>
    </row>
    <row r="583" spans="1:8" x14ac:dyDescent="0.3">
      <c r="A583" s="10" t="s">
        <v>111</v>
      </c>
      <c r="B583" s="10" t="s">
        <v>1986</v>
      </c>
      <c r="C583" s="31">
        <v>131724</v>
      </c>
      <c r="D583" s="31">
        <v>1875</v>
      </c>
      <c r="E583" s="32">
        <f t="shared" si="18"/>
        <v>5.8544</v>
      </c>
      <c r="F583" s="10" t="str">
        <f t="shared" si="19"/>
        <v>Y</v>
      </c>
      <c r="G583" s="10" t="s">
        <v>1433</v>
      </c>
      <c r="H583" s="10" t="s">
        <v>1433</v>
      </c>
    </row>
    <row r="584" spans="1:8" x14ac:dyDescent="0.3">
      <c r="A584" s="10" t="s">
        <v>111</v>
      </c>
      <c r="B584" s="10" t="s">
        <v>1987</v>
      </c>
      <c r="C584" s="31">
        <v>54000</v>
      </c>
      <c r="D584" s="31">
        <v>1265</v>
      </c>
      <c r="E584" s="32">
        <f t="shared" si="18"/>
        <v>3.5573122529644268</v>
      </c>
      <c r="F584" s="10" t="str">
        <f t="shared" si="19"/>
        <v>Y</v>
      </c>
      <c r="G584" s="10" t="s">
        <v>1433</v>
      </c>
      <c r="H584" s="10" t="s">
        <v>1433</v>
      </c>
    </row>
    <row r="585" spans="1:8" x14ac:dyDescent="0.3">
      <c r="A585" s="10" t="s">
        <v>111</v>
      </c>
      <c r="B585" s="10" t="s">
        <v>1988</v>
      </c>
      <c r="C585" s="31"/>
      <c r="D585" s="31">
        <v>1385</v>
      </c>
      <c r="E585" s="32" t="str">
        <f t="shared" si="18"/>
        <v/>
      </c>
      <c r="F585" s="10" t="str">
        <f t="shared" si="19"/>
        <v/>
      </c>
      <c r="G585" s="10" t="s">
        <v>1433</v>
      </c>
      <c r="H585" s="10" t="s">
        <v>1433</v>
      </c>
    </row>
    <row r="586" spans="1:8" x14ac:dyDescent="0.3">
      <c r="A586" s="10" t="s">
        <v>111</v>
      </c>
      <c r="B586" s="10" t="s">
        <v>1989</v>
      </c>
      <c r="C586" s="31">
        <v>54000</v>
      </c>
      <c r="D586" s="31">
        <v>2330</v>
      </c>
      <c r="E586" s="32">
        <f t="shared" si="18"/>
        <v>1.9313304721030042</v>
      </c>
      <c r="F586" s="10" t="str">
        <f t="shared" si="19"/>
        <v>N</v>
      </c>
      <c r="G586" s="10" t="s">
        <v>1433</v>
      </c>
      <c r="H586" s="10" t="s">
        <v>1433</v>
      </c>
    </row>
    <row r="587" spans="1:8" x14ac:dyDescent="0.3">
      <c r="A587" s="10" t="s">
        <v>111</v>
      </c>
      <c r="B587" s="10" t="s">
        <v>1990</v>
      </c>
      <c r="C587" s="31">
        <v>69204</v>
      </c>
      <c r="D587" s="31">
        <v>1799</v>
      </c>
      <c r="E587" s="32">
        <f t="shared" si="18"/>
        <v>3.2056698165647584</v>
      </c>
      <c r="F587" s="10" t="str">
        <f t="shared" si="19"/>
        <v>Y</v>
      </c>
      <c r="G587" s="10" t="s">
        <v>1433</v>
      </c>
      <c r="H587" s="10" t="s">
        <v>1433</v>
      </c>
    </row>
    <row r="588" spans="1:8" x14ac:dyDescent="0.3">
      <c r="A588" s="10" t="s">
        <v>111</v>
      </c>
      <c r="B588" s="10" t="s">
        <v>1991</v>
      </c>
      <c r="C588" s="31">
        <v>79392</v>
      </c>
      <c r="D588" s="31">
        <v>1944</v>
      </c>
      <c r="E588" s="32">
        <f t="shared" si="18"/>
        <v>3.403292181069959</v>
      </c>
      <c r="F588" s="10" t="str">
        <f t="shared" si="19"/>
        <v>Y</v>
      </c>
      <c r="G588" s="10" t="s">
        <v>1433</v>
      </c>
      <c r="H588" s="10" t="s">
        <v>1433</v>
      </c>
    </row>
    <row r="589" spans="1:8" x14ac:dyDescent="0.3">
      <c r="A589" s="10" t="s">
        <v>111</v>
      </c>
      <c r="B589" s="10" t="s">
        <v>1992</v>
      </c>
      <c r="C589" s="31">
        <v>88476</v>
      </c>
      <c r="D589" s="31">
        <v>1714</v>
      </c>
      <c r="E589" s="32">
        <f t="shared" si="18"/>
        <v>4.3016336056009337</v>
      </c>
      <c r="F589" s="10" t="str">
        <f t="shared" si="19"/>
        <v>Y</v>
      </c>
      <c r="G589" s="10" t="s">
        <v>1433</v>
      </c>
      <c r="H589" s="10" t="s">
        <v>1433</v>
      </c>
    </row>
    <row r="590" spans="1:8" x14ac:dyDescent="0.3">
      <c r="A590" s="10" t="s">
        <v>111</v>
      </c>
      <c r="B590" s="10" t="s">
        <v>1993</v>
      </c>
      <c r="C590" s="31">
        <v>125196</v>
      </c>
      <c r="D590" s="31">
        <v>2270</v>
      </c>
      <c r="E590" s="32">
        <f t="shared" si="18"/>
        <v>4.5960352422907489</v>
      </c>
      <c r="F590" s="10" t="str">
        <f t="shared" si="19"/>
        <v>Y</v>
      </c>
      <c r="G590" s="10" t="s">
        <v>1433</v>
      </c>
      <c r="H590" s="10" t="s">
        <v>1433</v>
      </c>
    </row>
    <row r="591" spans="1:8" x14ac:dyDescent="0.3">
      <c r="A591" s="10" t="s">
        <v>111</v>
      </c>
      <c r="B591" s="10" t="s">
        <v>1994</v>
      </c>
      <c r="C591" s="31">
        <v>60252</v>
      </c>
      <c r="D591" s="31">
        <v>1349</v>
      </c>
      <c r="E591" s="32">
        <f t="shared" si="18"/>
        <v>3.7220163083765754</v>
      </c>
      <c r="F591" s="10" t="str">
        <f t="shared" si="19"/>
        <v>Y</v>
      </c>
      <c r="G591" s="10" t="s">
        <v>1433</v>
      </c>
      <c r="H591" s="10" t="s">
        <v>1433</v>
      </c>
    </row>
    <row r="592" spans="1:8" x14ac:dyDescent="0.3">
      <c r="A592" s="10" t="s">
        <v>111</v>
      </c>
      <c r="B592" s="10" t="s">
        <v>1995</v>
      </c>
      <c r="C592" s="31">
        <v>72000</v>
      </c>
      <c r="D592" s="31">
        <v>1685</v>
      </c>
      <c r="E592" s="32">
        <f t="shared" si="18"/>
        <v>3.5608308605341246</v>
      </c>
      <c r="F592" s="10" t="str">
        <f t="shared" si="19"/>
        <v>Y</v>
      </c>
      <c r="G592" s="10" t="s">
        <v>1433</v>
      </c>
      <c r="H592" s="10" t="s">
        <v>1433</v>
      </c>
    </row>
    <row r="593" spans="1:8" x14ac:dyDescent="0.3">
      <c r="A593" s="10" t="s">
        <v>111</v>
      </c>
      <c r="B593" s="10" t="s">
        <v>1996</v>
      </c>
      <c r="C593" s="31">
        <v>62496</v>
      </c>
      <c r="D593" s="31">
        <v>1420</v>
      </c>
      <c r="E593" s="32">
        <f t="shared" si="18"/>
        <v>3.6676056338028169</v>
      </c>
      <c r="F593" s="10" t="str">
        <f t="shared" si="19"/>
        <v>Y</v>
      </c>
      <c r="G593" s="10" t="s">
        <v>1433</v>
      </c>
      <c r="H593" s="10" t="s">
        <v>1433</v>
      </c>
    </row>
    <row r="594" spans="1:8" x14ac:dyDescent="0.3">
      <c r="A594" s="10" t="s">
        <v>111</v>
      </c>
      <c r="B594" s="10" t="s">
        <v>1997</v>
      </c>
      <c r="C594" s="31">
        <v>76800</v>
      </c>
      <c r="D594" s="31">
        <v>1585</v>
      </c>
      <c r="E594" s="32">
        <f t="shared" si="18"/>
        <v>4.0378548895899051</v>
      </c>
      <c r="F594" s="10" t="str">
        <f t="shared" si="19"/>
        <v>Y</v>
      </c>
      <c r="G594" s="10" t="s">
        <v>1433</v>
      </c>
      <c r="H594" s="10" t="s">
        <v>1433</v>
      </c>
    </row>
    <row r="595" spans="1:8" x14ac:dyDescent="0.3">
      <c r="A595" s="10" t="s">
        <v>111</v>
      </c>
      <c r="B595" s="10" t="s">
        <v>261</v>
      </c>
      <c r="C595" s="31">
        <v>135600</v>
      </c>
      <c r="D595" s="31">
        <v>2020</v>
      </c>
      <c r="E595" s="32">
        <f t="shared" si="18"/>
        <v>5.5940594059405937</v>
      </c>
      <c r="F595" s="10" t="str">
        <f t="shared" si="19"/>
        <v>Y</v>
      </c>
      <c r="G595" s="10" t="s">
        <v>1431</v>
      </c>
      <c r="H595" s="10" t="s">
        <v>1431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O60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1" width="8" customWidth="1"/>
    <col min="2" max="2" width="11" customWidth="1"/>
    <col min="3" max="3" width="24" customWidth="1"/>
    <col min="4" max="4" width="12" customWidth="1"/>
    <col min="5" max="5" width="10" customWidth="1"/>
    <col min="6" max="6" width="28" customWidth="1"/>
    <col min="7" max="7" width="32" customWidth="1"/>
    <col min="8" max="8" width="6" customWidth="1"/>
    <col min="9" max="9" width="26" customWidth="1"/>
    <col min="10" max="10" width="16" customWidth="1"/>
    <col min="11" max="11" width="12" customWidth="1"/>
    <col min="12" max="12" width="9" customWidth="1"/>
    <col min="13" max="13" width="30" customWidth="1"/>
    <col min="14" max="14" width="11" customWidth="1"/>
    <col min="15" max="15" width="10" customWidth="1"/>
  </cols>
  <sheetData>
    <row r="1" spans="1:15" ht="15.6" x14ac:dyDescent="0.3">
      <c r="A1" s="15" t="s">
        <v>1998</v>
      </c>
    </row>
    <row r="2" spans="1:15" x14ac:dyDescent="0.3">
      <c r="A2" s="7" t="s">
        <v>1999</v>
      </c>
    </row>
    <row r="4" spans="1:15" ht="52.8" x14ac:dyDescent="0.3">
      <c r="A4" s="16" t="s">
        <v>239</v>
      </c>
      <c r="B4" s="16" t="s">
        <v>2000</v>
      </c>
      <c r="C4" s="16" t="s">
        <v>2001</v>
      </c>
      <c r="D4" s="16" t="s">
        <v>240</v>
      </c>
      <c r="E4" s="16" t="s">
        <v>2002</v>
      </c>
      <c r="F4" s="16" t="s">
        <v>2003</v>
      </c>
      <c r="G4" s="16" t="s">
        <v>238</v>
      </c>
      <c r="H4" s="16" t="s">
        <v>108</v>
      </c>
      <c r="I4" s="16" t="s">
        <v>183</v>
      </c>
      <c r="J4" s="16" t="s">
        <v>243</v>
      </c>
      <c r="K4" s="16" t="s">
        <v>242</v>
      </c>
      <c r="L4" s="16" t="s">
        <v>2004</v>
      </c>
      <c r="M4" s="16" t="s">
        <v>2005</v>
      </c>
      <c r="N4" s="16" t="s">
        <v>2006</v>
      </c>
      <c r="O4" s="16" t="s">
        <v>2007</v>
      </c>
    </row>
    <row r="5" spans="1:15" x14ac:dyDescent="0.3">
      <c r="A5" s="10" t="s">
        <v>1718</v>
      </c>
      <c r="B5" s="10" t="s">
        <v>2008</v>
      </c>
      <c r="C5" s="10" t="s">
        <v>2009</v>
      </c>
      <c r="D5" s="10" t="s">
        <v>247</v>
      </c>
      <c r="E5" s="10" t="s">
        <v>1431</v>
      </c>
      <c r="F5" s="10" t="s">
        <v>2010</v>
      </c>
      <c r="G5" s="10" t="s">
        <v>535</v>
      </c>
      <c r="H5" s="10" t="s">
        <v>123</v>
      </c>
      <c r="I5" s="10" t="s">
        <v>199</v>
      </c>
      <c r="J5" s="10" t="s">
        <v>348</v>
      </c>
      <c r="K5" s="31">
        <v>24000</v>
      </c>
      <c r="L5" s="10" t="s">
        <v>1431</v>
      </c>
      <c r="M5" s="10"/>
      <c r="N5" s="10" t="s">
        <v>2011</v>
      </c>
      <c r="O5" s="10"/>
    </row>
    <row r="6" spans="1:15" x14ac:dyDescent="0.3">
      <c r="A6" s="10" t="s">
        <v>1718</v>
      </c>
      <c r="B6" s="10" t="s">
        <v>2012</v>
      </c>
      <c r="C6" s="10" t="s">
        <v>2013</v>
      </c>
      <c r="D6" s="10" t="s">
        <v>259</v>
      </c>
      <c r="E6" s="10" t="s">
        <v>1431</v>
      </c>
      <c r="F6" s="10" t="s">
        <v>2014</v>
      </c>
      <c r="G6" s="10" t="s">
        <v>355</v>
      </c>
      <c r="H6" s="10" t="s">
        <v>123</v>
      </c>
      <c r="I6" s="10" t="s">
        <v>191</v>
      </c>
      <c r="J6" s="10" t="s">
        <v>348</v>
      </c>
      <c r="K6" s="31">
        <v>128100</v>
      </c>
      <c r="L6" s="10" t="s">
        <v>1431</v>
      </c>
      <c r="M6" s="10"/>
      <c r="N6" s="10" t="s">
        <v>2015</v>
      </c>
      <c r="O6" s="10"/>
    </row>
    <row r="7" spans="1:15" x14ac:dyDescent="0.3">
      <c r="A7" s="10" t="s">
        <v>1719</v>
      </c>
      <c r="B7" s="10" t="s">
        <v>2016</v>
      </c>
      <c r="C7" s="10" t="s">
        <v>2017</v>
      </c>
      <c r="D7" s="10" t="s">
        <v>247</v>
      </c>
      <c r="E7" s="10" t="s">
        <v>1431</v>
      </c>
      <c r="F7" s="10" t="s">
        <v>553</v>
      </c>
      <c r="G7" s="10" t="s">
        <v>553</v>
      </c>
      <c r="H7" s="10" t="s">
        <v>123</v>
      </c>
      <c r="I7" s="10" t="s">
        <v>189</v>
      </c>
      <c r="J7" s="10" t="s">
        <v>348</v>
      </c>
      <c r="K7" s="31">
        <v>51780</v>
      </c>
      <c r="L7" s="10" t="s">
        <v>1431</v>
      </c>
      <c r="M7" s="10"/>
      <c r="N7" s="10" t="s">
        <v>2018</v>
      </c>
      <c r="O7" s="10" t="s">
        <v>2019</v>
      </c>
    </row>
    <row r="8" spans="1:15" x14ac:dyDescent="0.3">
      <c r="A8" s="10" t="s">
        <v>1719</v>
      </c>
      <c r="B8" s="10" t="s">
        <v>2020</v>
      </c>
      <c r="C8" s="10" t="s">
        <v>2021</v>
      </c>
      <c r="D8" s="10" t="s">
        <v>264</v>
      </c>
      <c r="E8" s="10" t="s">
        <v>1431</v>
      </c>
      <c r="F8" s="10" t="s">
        <v>734</v>
      </c>
      <c r="G8" s="10" t="s">
        <v>734</v>
      </c>
      <c r="H8" s="10" t="s">
        <v>123</v>
      </c>
      <c r="I8" s="10" t="s">
        <v>190</v>
      </c>
      <c r="J8" s="10" t="s">
        <v>348</v>
      </c>
      <c r="K8" s="31">
        <v>76056</v>
      </c>
      <c r="L8" s="10" t="s">
        <v>1431</v>
      </c>
      <c r="M8" s="10"/>
      <c r="N8" s="10" t="s">
        <v>2022</v>
      </c>
      <c r="O8" s="10" t="s">
        <v>2019</v>
      </c>
    </row>
    <row r="9" spans="1:15" x14ac:dyDescent="0.3">
      <c r="A9" s="10" t="s">
        <v>1720</v>
      </c>
      <c r="B9" s="10" t="s">
        <v>2023</v>
      </c>
      <c r="C9" s="10" t="s">
        <v>2024</v>
      </c>
      <c r="D9" s="10" t="s">
        <v>247</v>
      </c>
      <c r="E9" s="10" t="s">
        <v>1431</v>
      </c>
      <c r="F9" s="10" t="s">
        <v>768</v>
      </c>
      <c r="G9" s="10" t="s">
        <v>768</v>
      </c>
      <c r="H9" s="10"/>
      <c r="I9" s="10" t="s">
        <v>769</v>
      </c>
      <c r="J9" s="10" t="s">
        <v>348</v>
      </c>
      <c r="K9" s="31">
        <v>48120</v>
      </c>
      <c r="L9" s="10" t="s">
        <v>1431</v>
      </c>
      <c r="M9" s="10"/>
      <c r="N9" s="10" t="s">
        <v>2025</v>
      </c>
      <c r="O9" s="10"/>
    </row>
    <row r="10" spans="1:15" x14ac:dyDescent="0.3">
      <c r="A10" s="10" t="s">
        <v>246</v>
      </c>
      <c r="B10" s="10" t="s">
        <v>2026</v>
      </c>
      <c r="C10" s="10" t="s">
        <v>2027</v>
      </c>
      <c r="D10" s="10" t="s">
        <v>247</v>
      </c>
      <c r="E10" s="10" t="s">
        <v>1431</v>
      </c>
      <c r="F10" s="10" t="s">
        <v>245</v>
      </c>
      <c r="G10" s="10" t="s">
        <v>245</v>
      </c>
      <c r="H10" s="10" t="s">
        <v>113</v>
      </c>
      <c r="I10" s="10" t="s">
        <v>184</v>
      </c>
      <c r="J10" s="10" t="s">
        <v>249</v>
      </c>
      <c r="K10" s="31">
        <v>51180</v>
      </c>
      <c r="L10" s="10" t="s">
        <v>1431</v>
      </c>
      <c r="M10" s="10"/>
      <c r="N10" s="10" t="s">
        <v>2028</v>
      </c>
      <c r="O10" s="10"/>
    </row>
    <row r="11" spans="1:15" x14ac:dyDescent="0.3">
      <c r="A11" s="10" t="s">
        <v>246</v>
      </c>
      <c r="B11" s="10" t="s">
        <v>2029</v>
      </c>
      <c r="C11" s="10" t="s">
        <v>2030</v>
      </c>
      <c r="D11" s="10" t="s">
        <v>259</v>
      </c>
      <c r="E11" s="10" t="s">
        <v>1431</v>
      </c>
      <c r="F11" s="10" t="s">
        <v>2031</v>
      </c>
      <c r="G11" s="10" t="s">
        <v>558</v>
      </c>
      <c r="H11" s="10" t="s">
        <v>123</v>
      </c>
      <c r="I11" s="10" t="s">
        <v>190</v>
      </c>
      <c r="J11" s="10" t="s">
        <v>348</v>
      </c>
      <c r="K11" s="31">
        <v>29004</v>
      </c>
      <c r="L11" s="10" t="s">
        <v>1431</v>
      </c>
      <c r="M11" s="10"/>
      <c r="N11" s="10" t="s">
        <v>2032</v>
      </c>
      <c r="O11" s="10"/>
    </row>
    <row r="12" spans="1:15" x14ac:dyDescent="0.3">
      <c r="A12" s="10" t="s">
        <v>1721</v>
      </c>
      <c r="B12" s="10" t="s">
        <v>2033</v>
      </c>
      <c r="C12" s="10" t="s">
        <v>2034</v>
      </c>
      <c r="D12" s="10" t="s">
        <v>247</v>
      </c>
      <c r="E12" s="10" t="s">
        <v>1431</v>
      </c>
      <c r="F12" s="10" t="s">
        <v>2035</v>
      </c>
      <c r="G12" s="10" t="s">
        <v>543</v>
      </c>
      <c r="H12" s="10" t="s">
        <v>123</v>
      </c>
      <c r="I12" s="10" t="s">
        <v>191</v>
      </c>
      <c r="J12" s="10" t="s">
        <v>348</v>
      </c>
      <c r="K12" s="31">
        <v>69996</v>
      </c>
      <c r="L12" s="10" t="s">
        <v>1431</v>
      </c>
      <c r="M12" s="10"/>
      <c r="N12" s="10" t="s">
        <v>2036</v>
      </c>
      <c r="O12" s="10"/>
    </row>
    <row r="13" spans="1:15" x14ac:dyDescent="0.3">
      <c r="A13" s="10" t="s">
        <v>1722</v>
      </c>
      <c r="B13" s="10" t="s">
        <v>2037</v>
      </c>
      <c r="C13" s="10" t="s">
        <v>2038</v>
      </c>
      <c r="D13" s="10" t="s">
        <v>247</v>
      </c>
      <c r="E13" s="10" t="s">
        <v>1431</v>
      </c>
      <c r="F13" s="10" t="s">
        <v>2039</v>
      </c>
      <c r="G13" s="10" t="s">
        <v>354</v>
      </c>
      <c r="H13" s="10" t="s">
        <v>123</v>
      </c>
      <c r="I13" s="10" t="s">
        <v>191</v>
      </c>
      <c r="J13" s="10" t="s">
        <v>348</v>
      </c>
      <c r="K13" s="31">
        <v>59340</v>
      </c>
      <c r="L13" s="10" t="s">
        <v>1431</v>
      </c>
      <c r="M13" s="10"/>
      <c r="N13" s="10" t="s">
        <v>2040</v>
      </c>
      <c r="O13" s="10"/>
    </row>
    <row r="14" spans="1:15" x14ac:dyDescent="0.3">
      <c r="A14" s="10" t="s">
        <v>1723</v>
      </c>
      <c r="B14" s="10" t="s">
        <v>2041</v>
      </c>
      <c r="C14" s="10" t="s">
        <v>2042</v>
      </c>
      <c r="D14" s="10" t="s">
        <v>247</v>
      </c>
      <c r="E14" s="10" t="s">
        <v>1431</v>
      </c>
      <c r="F14" s="10" t="s">
        <v>2043</v>
      </c>
      <c r="G14" s="10" t="s">
        <v>723</v>
      </c>
      <c r="H14" s="10" t="s">
        <v>123</v>
      </c>
      <c r="I14" s="10" t="s">
        <v>189</v>
      </c>
      <c r="J14" s="10" t="s">
        <v>348</v>
      </c>
      <c r="K14" s="31">
        <v>78228</v>
      </c>
      <c r="L14" s="10" t="s">
        <v>1431</v>
      </c>
      <c r="M14" s="10"/>
      <c r="N14" s="10" t="s">
        <v>2044</v>
      </c>
      <c r="O14" s="10" t="s">
        <v>2019</v>
      </c>
    </row>
    <row r="15" spans="1:15" x14ac:dyDescent="0.3">
      <c r="A15" s="10" t="s">
        <v>1723</v>
      </c>
      <c r="B15" s="10" t="s">
        <v>2045</v>
      </c>
      <c r="C15" s="10" t="s">
        <v>2046</v>
      </c>
      <c r="D15" s="10" t="s">
        <v>264</v>
      </c>
      <c r="E15" s="10" t="s">
        <v>1431</v>
      </c>
      <c r="F15" s="10" t="s">
        <v>2047</v>
      </c>
      <c r="G15" s="10" t="s">
        <v>478</v>
      </c>
      <c r="H15" s="10" t="s">
        <v>123</v>
      </c>
      <c r="I15" s="10" t="s">
        <v>192</v>
      </c>
      <c r="J15" s="10" t="s">
        <v>348</v>
      </c>
      <c r="K15" s="31">
        <v>21360</v>
      </c>
      <c r="L15" s="10" t="s">
        <v>1431</v>
      </c>
      <c r="M15" s="10"/>
      <c r="N15" s="10" t="s">
        <v>2048</v>
      </c>
      <c r="O15" s="10" t="s">
        <v>2019</v>
      </c>
    </row>
    <row r="16" spans="1:15" x14ac:dyDescent="0.3">
      <c r="A16" s="10" t="s">
        <v>1724</v>
      </c>
      <c r="B16" s="10" t="s">
        <v>2049</v>
      </c>
      <c r="C16" s="10" t="s">
        <v>2050</v>
      </c>
      <c r="D16" s="10" t="s">
        <v>247</v>
      </c>
      <c r="E16" s="10" t="s">
        <v>1431</v>
      </c>
      <c r="F16" s="10" t="s">
        <v>597</v>
      </c>
      <c r="G16" s="10" t="s">
        <v>597</v>
      </c>
      <c r="H16" s="10" t="s">
        <v>123</v>
      </c>
      <c r="I16" s="10" t="s">
        <v>202</v>
      </c>
      <c r="J16" s="10" t="s">
        <v>348</v>
      </c>
      <c r="K16" s="31">
        <v>112596</v>
      </c>
      <c r="L16" s="10" t="s">
        <v>1431</v>
      </c>
      <c r="M16" s="10"/>
      <c r="N16" s="10" t="s">
        <v>2051</v>
      </c>
      <c r="O16" s="10" t="s">
        <v>2052</v>
      </c>
    </row>
    <row r="17" spans="1:15" x14ac:dyDescent="0.3">
      <c r="A17" s="10" t="s">
        <v>1725</v>
      </c>
      <c r="B17" s="10" t="s">
        <v>2053</v>
      </c>
      <c r="C17" s="10" t="s">
        <v>2054</v>
      </c>
      <c r="D17" s="10" t="s">
        <v>247</v>
      </c>
      <c r="E17" s="10" t="s">
        <v>1431</v>
      </c>
      <c r="F17" s="10" t="s">
        <v>2055</v>
      </c>
      <c r="G17" s="10" t="s">
        <v>588</v>
      </c>
      <c r="H17" s="10" t="s">
        <v>123</v>
      </c>
      <c r="I17" s="10" t="s">
        <v>199</v>
      </c>
      <c r="J17" s="10" t="s">
        <v>348</v>
      </c>
      <c r="K17" s="31">
        <v>72924</v>
      </c>
      <c r="L17" s="10" t="s">
        <v>1431</v>
      </c>
      <c r="M17" s="10"/>
      <c r="N17" s="10" t="s">
        <v>2056</v>
      </c>
      <c r="O17" s="10" t="s">
        <v>2052</v>
      </c>
    </row>
    <row r="18" spans="1:15" x14ac:dyDescent="0.3">
      <c r="A18" s="10" t="s">
        <v>1726</v>
      </c>
      <c r="B18" s="10" t="s">
        <v>2057</v>
      </c>
      <c r="C18" s="10" t="s">
        <v>2058</v>
      </c>
      <c r="D18" s="10" t="s">
        <v>247</v>
      </c>
      <c r="E18" s="10" t="s">
        <v>1431</v>
      </c>
      <c r="F18" s="10" t="s">
        <v>2059</v>
      </c>
      <c r="G18" s="10" t="s">
        <v>598</v>
      </c>
      <c r="H18" s="10" t="s">
        <v>123</v>
      </c>
      <c r="I18" s="10" t="s">
        <v>191</v>
      </c>
      <c r="J18" s="10" t="s">
        <v>348</v>
      </c>
      <c r="K18" s="31">
        <v>78336</v>
      </c>
      <c r="L18" s="10" t="s">
        <v>1431</v>
      </c>
      <c r="M18" s="10"/>
      <c r="N18" s="10" t="s">
        <v>2060</v>
      </c>
      <c r="O18" s="10" t="s">
        <v>2052</v>
      </c>
    </row>
    <row r="19" spans="1:15" x14ac:dyDescent="0.3">
      <c r="A19" s="10" t="s">
        <v>1726</v>
      </c>
      <c r="B19" s="10" t="s">
        <v>2061</v>
      </c>
      <c r="C19" s="10" t="s">
        <v>2062</v>
      </c>
      <c r="D19" s="10" t="s">
        <v>259</v>
      </c>
      <c r="E19" s="10" t="s">
        <v>1431</v>
      </c>
      <c r="F19" s="10" t="s">
        <v>2063</v>
      </c>
      <c r="G19" s="10"/>
      <c r="H19" s="10"/>
      <c r="I19" s="10" t="s">
        <v>2064</v>
      </c>
      <c r="J19" s="10"/>
      <c r="K19" s="31">
        <v>0</v>
      </c>
      <c r="L19" s="10" t="s">
        <v>1433</v>
      </c>
      <c r="M19" s="10" t="s">
        <v>2065</v>
      </c>
      <c r="N19" s="10" t="s">
        <v>2066</v>
      </c>
      <c r="O19" s="10"/>
    </row>
    <row r="20" spans="1:15" x14ac:dyDescent="0.3">
      <c r="A20" s="10" t="s">
        <v>1727</v>
      </c>
      <c r="B20" s="10" t="s">
        <v>2067</v>
      </c>
      <c r="C20" s="10" t="s">
        <v>2068</v>
      </c>
      <c r="D20" s="10" t="s">
        <v>247</v>
      </c>
      <c r="E20" s="10" t="s">
        <v>1431</v>
      </c>
      <c r="F20" s="10" t="s">
        <v>375</v>
      </c>
      <c r="G20" s="10" t="s">
        <v>375</v>
      </c>
      <c r="H20" s="10" t="s">
        <v>123</v>
      </c>
      <c r="I20" s="10" t="s">
        <v>191</v>
      </c>
      <c r="J20" s="10" t="s">
        <v>348</v>
      </c>
      <c r="K20" s="31">
        <v>48000</v>
      </c>
      <c r="L20" s="10" t="s">
        <v>1431</v>
      </c>
      <c r="M20" s="10"/>
      <c r="N20" s="10" t="s">
        <v>2069</v>
      </c>
      <c r="O20" s="10"/>
    </row>
    <row r="21" spans="1:15" x14ac:dyDescent="0.3">
      <c r="A21" s="10" t="s">
        <v>1727</v>
      </c>
      <c r="B21" s="10" t="s">
        <v>2070</v>
      </c>
      <c r="C21" s="10" t="s">
        <v>2071</v>
      </c>
      <c r="D21" s="10" t="s">
        <v>259</v>
      </c>
      <c r="E21" s="10" t="s">
        <v>1431</v>
      </c>
      <c r="F21" s="10"/>
      <c r="G21" s="10"/>
      <c r="H21" s="10"/>
      <c r="I21" s="10" t="s">
        <v>2064</v>
      </c>
      <c r="J21" s="10"/>
      <c r="K21" s="31">
        <v>0</v>
      </c>
      <c r="L21" s="10" t="s">
        <v>1433</v>
      </c>
      <c r="M21" s="10" t="s">
        <v>2065</v>
      </c>
      <c r="N21" s="10" t="s">
        <v>2072</v>
      </c>
      <c r="O21" s="10"/>
    </row>
    <row r="22" spans="1:15" x14ac:dyDescent="0.3">
      <c r="A22" s="10" t="s">
        <v>1727</v>
      </c>
      <c r="B22" s="10" t="s">
        <v>2073</v>
      </c>
      <c r="C22" s="10" t="s">
        <v>2074</v>
      </c>
      <c r="D22" s="10" t="s">
        <v>259</v>
      </c>
      <c r="E22" s="10" t="s">
        <v>1431</v>
      </c>
      <c r="F22" s="10"/>
      <c r="G22" s="10"/>
      <c r="H22" s="10"/>
      <c r="I22" s="10" t="s">
        <v>2064</v>
      </c>
      <c r="J22" s="10"/>
      <c r="K22" s="31">
        <v>0</v>
      </c>
      <c r="L22" s="10" t="s">
        <v>1433</v>
      </c>
      <c r="M22" s="10" t="s">
        <v>2065</v>
      </c>
      <c r="N22" s="10" t="s">
        <v>2072</v>
      </c>
      <c r="O22" s="10"/>
    </row>
    <row r="23" spans="1:15" x14ac:dyDescent="0.3">
      <c r="A23" s="10" t="s">
        <v>1727</v>
      </c>
      <c r="B23" s="10" t="s">
        <v>2075</v>
      </c>
      <c r="C23" s="10" t="s">
        <v>2076</v>
      </c>
      <c r="D23" s="10" t="s">
        <v>259</v>
      </c>
      <c r="E23" s="10" t="s">
        <v>1431</v>
      </c>
      <c r="F23" s="10"/>
      <c r="G23" s="10"/>
      <c r="H23" s="10"/>
      <c r="I23" s="10" t="s">
        <v>2064</v>
      </c>
      <c r="J23" s="10"/>
      <c r="K23" s="31">
        <v>0</v>
      </c>
      <c r="L23" s="10" t="s">
        <v>1433</v>
      </c>
      <c r="M23" s="10" t="s">
        <v>2065</v>
      </c>
      <c r="N23" s="10" t="s">
        <v>2072</v>
      </c>
      <c r="O23" s="10"/>
    </row>
    <row r="24" spans="1:15" x14ac:dyDescent="0.3">
      <c r="A24" s="10" t="s">
        <v>1727</v>
      </c>
      <c r="B24" s="10" t="s">
        <v>2077</v>
      </c>
      <c r="C24" s="10" t="s">
        <v>2078</v>
      </c>
      <c r="D24" s="10" t="s">
        <v>2079</v>
      </c>
      <c r="E24" s="10" t="s">
        <v>1431</v>
      </c>
      <c r="F24" s="10"/>
      <c r="G24" s="10"/>
      <c r="H24" s="10"/>
      <c r="I24" s="10" t="s">
        <v>2064</v>
      </c>
      <c r="J24" s="10"/>
      <c r="K24" s="31">
        <v>0</v>
      </c>
      <c r="L24" s="10" t="s">
        <v>1433</v>
      </c>
      <c r="M24" s="10" t="s">
        <v>2065</v>
      </c>
      <c r="N24" s="10" t="s">
        <v>2072</v>
      </c>
      <c r="O24" s="10"/>
    </row>
    <row r="25" spans="1:15" x14ac:dyDescent="0.3">
      <c r="A25" s="10" t="s">
        <v>1728</v>
      </c>
      <c r="B25" s="10" t="s">
        <v>2080</v>
      </c>
      <c r="C25" s="10" t="s">
        <v>2081</v>
      </c>
      <c r="D25" s="10" t="s">
        <v>247</v>
      </c>
      <c r="E25" s="10" t="s">
        <v>1431</v>
      </c>
      <c r="F25" s="10" t="s">
        <v>486</v>
      </c>
      <c r="G25" s="10" t="s">
        <v>486</v>
      </c>
      <c r="H25" s="10" t="s">
        <v>123</v>
      </c>
      <c r="I25" s="10" t="s">
        <v>191</v>
      </c>
      <c r="J25" s="10" t="s">
        <v>348</v>
      </c>
      <c r="K25" s="31">
        <v>94248</v>
      </c>
      <c r="L25" s="10" t="s">
        <v>1431</v>
      </c>
      <c r="M25" s="10"/>
      <c r="N25" s="10" t="s">
        <v>2082</v>
      </c>
      <c r="O25" s="10" t="s">
        <v>2052</v>
      </c>
    </row>
    <row r="26" spans="1:15" x14ac:dyDescent="0.3">
      <c r="A26" s="10" t="s">
        <v>1729</v>
      </c>
      <c r="B26" s="10" t="s">
        <v>2083</v>
      </c>
      <c r="C26" s="10" t="s">
        <v>2084</v>
      </c>
      <c r="D26" s="10" t="s">
        <v>247</v>
      </c>
      <c r="E26" s="10" t="s">
        <v>1431</v>
      </c>
      <c r="F26" s="10" t="s">
        <v>2085</v>
      </c>
      <c r="G26" s="10"/>
      <c r="H26" s="10"/>
      <c r="I26" s="10" t="s">
        <v>2064</v>
      </c>
      <c r="J26" s="10"/>
      <c r="K26" s="31">
        <v>150564</v>
      </c>
      <c r="L26" s="10" t="s">
        <v>1431</v>
      </c>
      <c r="M26" s="10"/>
      <c r="N26" s="10" t="s">
        <v>2086</v>
      </c>
      <c r="O26" s="10"/>
    </row>
    <row r="27" spans="1:15" x14ac:dyDescent="0.3">
      <c r="A27" s="10" t="s">
        <v>1730</v>
      </c>
      <c r="B27" s="10" t="s">
        <v>2087</v>
      </c>
      <c r="C27" s="10" t="s">
        <v>2088</v>
      </c>
      <c r="D27" s="10" t="s">
        <v>247</v>
      </c>
      <c r="E27" s="10" t="s">
        <v>1431</v>
      </c>
      <c r="F27" s="10" t="s">
        <v>2063</v>
      </c>
      <c r="G27" s="10"/>
      <c r="H27" s="10"/>
      <c r="I27" s="10" t="s">
        <v>2064</v>
      </c>
      <c r="J27" s="10"/>
      <c r="K27" s="31">
        <v>40800</v>
      </c>
      <c r="L27" s="10" t="s">
        <v>1431</v>
      </c>
      <c r="M27" s="10"/>
      <c r="N27" s="10" t="s">
        <v>2089</v>
      </c>
      <c r="O27" s="10"/>
    </row>
    <row r="28" spans="1:15" x14ac:dyDescent="0.3">
      <c r="A28" s="10" t="s">
        <v>1730</v>
      </c>
      <c r="B28" s="10" t="s">
        <v>2090</v>
      </c>
      <c r="C28" s="10" t="s">
        <v>2091</v>
      </c>
      <c r="D28" s="10" t="s">
        <v>259</v>
      </c>
      <c r="E28" s="10" t="s">
        <v>1431</v>
      </c>
      <c r="F28" s="10" t="s">
        <v>368</v>
      </c>
      <c r="G28" s="10" t="s">
        <v>368</v>
      </c>
      <c r="H28" s="10" t="s">
        <v>123</v>
      </c>
      <c r="I28" s="10" t="s">
        <v>190</v>
      </c>
      <c r="J28" s="10" t="s">
        <v>348</v>
      </c>
      <c r="K28" s="31">
        <v>38400</v>
      </c>
      <c r="L28" s="10" t="s">
        <v>1433</v>
      </c>
      <c r="M28" s="10" t="s">
        <v>2092</v>
      </c>
      <c r="N28" s="10" t="s">
        <v>2093</v>
      </c>
      <c r="O28" s="10"/>
    </row>
    <row r="29" spans="1:15" x14ac:dyDescent="0.3">
      <c r="A29" s="10" t="s">
        <v>1730</v>
      </c>
      <c r="B29" s="10" t="s">
        <v>2094</v>
      </c>
      <c r="C29" s="10" t="s">
        <v>2095</v>
      </c>
      <c r="D29" s="10" t="s">
        <v>259</v>
      </c>
      <c r="E29" s="10" t="s">
        <v>1431</v>
      </c>
      <c r="F29" s="10" t="s">
        <v>368</v>
      </c>
      <c r="G29" s="10" t="s">
        <v>368</v>
      </c>
      <c r="H29" s="10" t="s">
        <v>123</v>
      </c>
      <c r="I29" s="10" t="s">
        <v>190</v>
      </c>
      <c r="J29" s="10" t="s">
        <v>348</v>
      </c>
      <c r="K29" s="31">
        <v>38400</v>
      </c>
      <c r="L29" s="10" t="s">
        <v>1433</v>
      </c>
      <c r="M29" s="10" t="s">
        <v>2092</v>
      </c>
      <c r="N29" s="10" t="s">
        <v>2093</v>
      </c>
      <c r="O29" s="10"/>
    </row>
    <row r="30" spans="1:15" x14ac:dyDescent="0.3">
      <c r="A30" s="10" t="s">
        <v>1730</v>
      </c>
      <c r="B30" s="10" t="s">
        <v>2096</v>
      </c>
      <c r="C30" s="10" t="s">
        <v>2097</v>
      </c>
      <c r="D30" s="10" t="s">
        <v>2079</v>
      </c>
      <c r="E30" s="10" t="s">
        <v>1431</v>
      </c>
      <c r="F30" s="10" t="s">
        <v>368</v>
      </c>
      <c r="G30" s="10" t="s">
        <v>368</v>
      </c>
      <c r="H30" s="10" t="s">
        <v>123</v>
      </c>
      <c r="I30" s="10" t="s">
        <v>190</v>
      </c>
      <c r="J30" s="10" t="s">
        <v>348</v>
      </c>
      <c r="K30" s="31">
        <v>38400</v>
      </c>
      <c r="L30" s="10" t="s">
        <v>1433</v>
      </c>
      <c r="M30" s="10" t="s">
        <v>2092</v>
      </c>
      <c r="N30" s="10" t="s">
        <v>2093</v>
      </c>
      <c r="O30" s="10"/>
    </row>
    <row r="31" spans="1:15" x14ac:dyDescent="0.3">
      <c r="A31" s="10" t="s">
        <v>1730</v>
      </c>
      <c r="B31" s="10" t="s">
        <v>2098</v>
      </c>
      <c r="C31" s="10" t="s">
        <v>2099</v>
      </c>
      <c r="D31" s="10" t="s">
        <v>264</v>
      </c>
      <c r="E31" s="10" t="s">
        <v>1431</v>
      </c>
      <c r="F31" s="10" t="s">
        <v>368</v>
      </c>
      <c r="G31" s="10" t="s">
        <v>368</v>
      </c>
      <c r="H31" s="10" t="s">
        <v>123</v>
      </c>
      <c r="I31" s="10" t="s">
        <v>190</v>
      </c>
      <c r="J31" s="10" t="s">
        <v>348</v>
      </c>
      <c r="K31" s="31">
        <v>38400</v>
      </c>
      <c r="L31" s="10" t="s">
        <v>1431</v>
      </c>
      <c r="M31" s="10"/>
      <c r="N31" s="10" t="s">
        <v>2093</v>
      </c>
      <c r="O31" s="10"/>
    </row>
    <row r="32" spans="1:15" x14ac:dyDescent="0.3">
      <c r="A32" s="10" t="s">
        <v>1731</v>
      </c>
      <c r="B32" s="10" t="s">
        <v>2100</v>
      </c>
      <c r="C32" s="10" t="s">
        <v>2101</v>
      </c>
      <c r="D32" s="10" t="s">
        <v>247</v>
      </c>
      <c r="E32" s="10" t="s">
        <v>1431</v>
      </c>
      <c r="F32" s="10" t="s">
        <v>408</v>
      </c>
      <c r="G32" s="10" t="s">
        <v>408</v>
      </c>
      <c r="H32" s="10" t="s">
        <v>123</v>
      </c>
      <c r="I32" s="10" t="s">
        <v>203</v>
      </c>
      <c r="J32" s="10" t="s">
        <v>348</v>
      </c>
      <c r="K32" s="31">
        <v>97692</v>
      </c>
      <c r="L32" s="10" t="s">
        <v>1431</v>
      </c>
      <c r="M32" s="10"/>
      <c r="N32" s="10" t="s">
        <v>2102</v>
      </c>
      <c r="O32" s="10" t="s">
        <v>2052</v>
      </c>
    </row>
    <row r="33" spans="1:15" x14ac:dyDescent="0.3">
      <c r="A33" s="10" t="s">
        <v>270</v>
      </c>
      <c r="B33" s="10" t="s">
        <v>2103</v>
      </c>
      <c r="C33" s="10" t="s">
        <v>2104</v>
      </c>
      <c r="D33" s="10" t="s">
        <v>247</v>
      </c>
      <c r="E33" s="10" t="s">
        <v>1431</v>
      </c>
      <c r="F33" s="10" t="s">
        <v>2105</v>
      </c>
      <c r="G33" s="10" t="s">
        <v>269</v>
      </c>
      <c r="H33" s="10" t="s">
        <v>115</v>
      </c>
      <c r="I33" s="10" t="s">
        <v>185</v>
      </c>
      <c r="J33" s="10" t="s">
        <v>249</v>
      </c>
      <c r="K33" s="31">
        <v>120000</v>
      </c>
      <c r="L33" s="10" t="s">
        <v>1431</v>
      </c>
      <c r="M33" s="10"/>
      <c r="N33" s="10" t="s">
        <v>2106</v>
      </c>
      <c r="O33" s="10" t="s">
        <v>2052</v>
      </c>
    </row>
    <row r="34" spans="1:15" x14ac:dyDescent="0.3">
      <c r="A34" s="10" t="s">
        <v>1732</v>
      </c>
      <c r="B34" s="10" t="s">
        <v>2107</v>
      </c>
      <c r="C34" s="10" t="s">
        <v>2108</v>
      </c>
      <c r="D34" s="10" t="s">
        <v>247</v>
      </c>
      <c r="E34" s="10" t="s">
        <v>1431</v>
      </c>
      <c r="F34" s="10" t="s">
        <v>2109</v>
      </c>
      <c r="G34" s="10" t="s">
        <v>572</v>
      </c>
      <c r="H34" s="10" t="s">
        <v>123</v>
      </c>
      <c r="I34" s="10" t="s">
        <v>191</v>
      </c>
      <c r="J34" s="10" t="s">
        <v>348</v>
      </c>
      <c r="K34" s="31">
        <v>55200</v>
      </c>
      <c r="L34" s="10" t="s">
        <v>1431</v>
      </c>
      <c r="M34" s="10"/>
      <c r="N34" s="10" t="s">
        <v>2110</v>
      </c>
      <c r="O34" s="10" t="s">
        <v>2052</v>
      </c>
    </row>
    <row r="35" spans="1:15" x14ac:dyDescent="0.3">
      <c r="A35" s="10" t="s">
        <v>1733</v>
      </c>
      <c r="B35" s="10" t="s">
        <v>2111</v>
      </c>
      <c r="C35" s="10" t="s">
        <v>2112</v>
      </c>
      <c r="D35" s="10" t="s">
        <v>247</v>
      </c>
      <c r="E35" s="10" t="s">
        <v>1431</v>
      </c>
      <c r="F35" s="10" t="s">
        <v>702</v>
      </c>
      <c r="G35" s="10" t="s">
        <v>702</v>
      </c>
      <c r="H35" s="10" t="s">
        <v>123</v>
      </c>
      <c r="I35" s="10" t="s">
        <v>190</v>
      </c>
      <c r="J35" s="10" t="s">
        <v>348</v>
      </c>
      <c r="K35" s="31">
        <v>66000</v>
      </c>
      <c r="L35" s="10" t="s">
        <v>1431</v>
      </c>
      <c r="M35" s="10"/>
      <c r="N35" s="10" t="s">
        <v>2113</v>
      </c>
      <c r="O35" s="10" t="s">
        <v>2052</v>
      </c>
    </row>
    <row r="36" spans="1:15" x14ac:dyDescent="0.3">
      <c r="A36" s="10" t="s">
        <v>1733</v>
      </c>
      <c r="B36" s="10" t="s">
        <v>2114</v>
      </c>
      <c r="C36" s="10" t="s">
        <v>2115</v>
      </c>
      <c r="D36" s="10" t="s">
        <v>264</v>
      </c>
      <c r="E36" s="10" t="s">
        <v>1431</v>
      </c>
      <c r="F36" s="10" t="s">
        <v>2116</v>
      </c>
      <c r="G36" s="10" t="s">
        <v>439</v>
      </c>
      <c r="H36" s="10" t="s">
        <v>123</v>
      </c>
      <c r="I36" s="10" t="s">
        <v>197</v>
      </c>
      <c r="J36" s="10" t="s">
        <v>348</v>
      </c>
      <c r="K36" s="31">
        <v>144000</v>
      </c>
      <c r="L36" s="10" t="s">
        <v>1431</v>
      </c>
      <c r="M36" s="10"/>
      <c r="N36" s="10" t="s">
        <v>2117</v>
      </c>
      <c r="O36" s="10"/>
    </row>
    <row r="37" spans="1:15" x14ac:dyDescent="0.3">
      <c r="A37" s="10" t="s">
        <v>1734</v>
      </c>
      <c r="B37" s="10" t="s">
        <v>2118</v>
      </c>
      <c r="C37" s="10" t="s">
        <v>2119</v>
      </c>
      <c r="D37" s="10" t="s">
        <v>247</v>
      </c>
      <c r="E37" s="10" t="s">
        <v>1431</v>
      </c>
      <c r="F37" s="10" t="s">
        <v>2120</v>
      </c>
      <c r="G37" s="10" t="s">
        <v>519</v>
      </c>
      <c r="H37" s="10" t="s">
        <v>123</v>
      </c>
      <c r="I37" s="10" t="s">
        <v>197</v>
      </c>
      <c r="J37" s="10" t="s">
        <v>366</v>
      </c>
      <c r="K37" s="31">
        <v>52800</v>
      </c>
      <c r="L37" s="10" t="s">
        <v>1431</v>
      </c>
      <c r="M37" s="10"/>
      <c r="N37" s="10" t="s">
        <v>2121</v>
      </c>
      <c r="O37" s="10"/>
    </row>
    <row r="38" spans="1:15" x14ac:dyDescent="0.3">
      <c r="A38" s="10" t="s">
        <v>1734</v>
      </c>
      <c r="B38" s="10" t="s">
        <v>2122</v>
      </c>
      <c r="C38" s="10" t="s">
        <v>2123</v>
      </c>
      <c r="D38" s="10" t="s">
        <v>259</v>
      </c>
      <c r="E38" s="10" t="s">
        <v>1431</v>
      </c>
      <c r="F38" s="10"/>
      <c r="G38" s="10"/>
      <c r="H38" s="10"/>
      <c r="I38" s="10" t="s">
        <v>2064</v>
      </c>
      <c r="J38" s="10"/>
      <c r="K38" s="31">
        <v>0</v>
      </c>
      <c r="L38" s="10" t="s">
        <v>1433</v>
      </c>
      <c r="M38" s="10" t="s">
        <v>2065</v>
      </c>
      <c r="N38" s="10" t="s">
        <v>2124</v>
      </c>
      <c r="O38" s="10" t="s">
        <v>2019</v>
      </c>
    </row>
    <row r="39" spans="1:15" x14ac:dyDescent="0.3">
      <c r="A39" s="10" t="s">
        <v>1735</v>
      </c>
      <c r="B39" s="10" t="s">
        <v>2125</v>
      </c>
      <c r="C39" s="10" t="s">
        <v>2126</v>
      </c>
      <c r="D39" s="10" t="s">
        <v>247</v>
      </c>
      <c r="E39" s="10" t="s">
        <v>1431</v>
      </c>
      <c r="F39" s="10" t="s">
        <v>465</v>
      </c>
      <c r="G39" s="10" t="s">
        <v>465</v>
      </c>
      <c r="H39" s="10" t="s">
        <v>123</v>
      </c>
      <c r="I39" s="10" t="s">
        <v>197</v>
      </c>
      <c r="J39" s="10" t="s">
        <v>294</v>
      </c>
      <c r="K39" s="31">
        <v>72000</v>
      </c>
      <c r="L39" s="10" t="s">
        <v>1431</v>
      </c>
      <c r="M39" s="10"/>
      <c r="N39" s="10" t="s">
        <v>2127</v>
      </c>
      <c r="O39" s="10"/>
    </row>
    <row r="40" spans="1:15" x14ac:dyDescent="0.3">
      <c r="A40" s="10" t="s">
        <v>1736</v>
      </c>
      <c r="B40" s="10" t="s">
        <v>2128</v>
      </c>
      <c r="C40" s="10" t="s">
        <v>2129</v>
      </c>
      <c r="D40" s="10" t="s">
        <v>247</v>
      </c>
      <c r="E40" s="10" t="s">
        <v>1431</v>
      </c>
      <c r="F40" s="10" t="s">
        <v>2130</v>
      </c>
      <c r="G40" s="10" t="s">
        <v>460</v>
      </c>
      <c r="H40" s="10" t="s">
        <v>123</v>
      </c>
      <c r="I40" s="10" t="s">
        <v>205</v>
      </c>
      <c r="J40" s="10" t="s">
        <v>366</v>
      </c>
      <c r="K40" s="31">
        <v>43104</v>
      </c>
      <c r="L40" s="10" t="s">
        <v>1431</v>
      </c>
      <c r="M40" s="10"/>
      <c r="N40" s="10" t="s">
        <v>2131</v>
      </c>
      <c r="O40" s="10"/>
    </row>
    <row r="41" spans="1:15" x14ac:dyDescent="0.3">
      <c r="A41" s="10" t="s">
        <v>1736</v>
      </c>
      <c r="B41" s="10" t="s">
        <v>2132</v>
      </c>
      <c r="C41" s="10" t="s">
        <v>2133</v>
      </c>
      <c r="D41" s="10" t="s">
        <v>259</v>
      </c>
      <c r="E41" s="10" t="s">
        <v>1431</v>
      </c>
      <c r="F41" s="10" t="s">
        <v>2134</v>
      </c>
      <c r="G41" s="10" t="s">
        <v>729</v>
      </c>
      <c r="H41" s="10" t="s">
        <v>123</v>
      </c>
      <c r="I41" s="10" t="s">
        <v>202</v>
      </c>
      <c r="J41" s="10" t="s">
        <v>348</v>
      </c>
      <c r="K41" s="31">
        <v>136608</v>
      </c>
      <c r="L41" s="10" t="s">
        <v>1433</v>
      </c>
      <c r="M41" s="10" t="s">
        <v>2092</v>
      </c>
      <c r="N41" s="10" t="s">
        <v>2135</v>
      </c>
      <c r="O41" s="10" t="s">
        <v>2052</v>
      </c>
    </row>
    <row r="42" spans="1:15" x14ac:dyDescent="0.3">
      <c r="A42" s="10" t="s">
        <v>1736</v>
      </c>
      <c r="B42" s="10" t="s">
        <v>2136</v>
      </c>
      <c r="C42" s="10" t="s">
        <v>2137</v>
      </c>
      <c r="D42" s="10" t="s">
        <v>251</v>
      </c>
      <c r="E42" s="10" t="s">
        <v>1433</v>
      </c>
      <c r="F42" s="10" t="s">
        <v>2134</v>
      </c>
      <c r="G42" s="10" t="s">
        <v>729</v>
      </c>
      <c r="H42" s="10" t="s">
        <v>123</v>
      </c>
      <c r="I42" s="10" t="s">
        <v>202</v>
      </c>
      <c r="J42" s="10" t="s">
        <v>348</v>
      </c>
      <c r="K42" s="31">
        <v>136608</v>
      </c>
      <c r="L42" s="10" t="s">
        <v>1433</v>
      </c>
      <c r="M42" s="10" t="s">
        <v>2138</v>
      </c>
      <c r="N42" s="10" t="s">
        <v>2135</v>
      </c>
      <c r="O42" s="10" t="s">
        <v>2052</v>
      </c>
    </row>
    <row r="43" spans="1:15" x14ac:dyDescent="0.3">
      <c r="A43" s="10" t="s">
        <v>1737</v>
      </c>
      <c r="B43" s="10" t="s">
        <v>2139</v>
      </c>
      <c r="C43" s="10" t="s">
        <v>2140</v>
      </c>
      <c r="D43" s="10" t="s">
        <v>247</v>
      </c>
      <c r="E43" s="10" t="s">
        <v>1431</v>
      </c>
      <c r="F43" s="10" t="s">
        <v>2141</v>
      </c>
      <c r="G43" s="10" t="s">
        <v>705</v>
      </c>
      <c r="H43" s="10" t="s">
        <v>123</v>
      </c>
      <c r="I43" s="10" t="s">
        <v>195</v>
      </c>
      <c r="J43" s="10" t="s">
        <v>366</v>
      </c>
      <c r="K43" s="31">
        <v>144000</v>
      </c>
      <c r="L43" s="10" t="s">
        <v>1431</v>
      </c>
      <c r="M43" s="10"/>
      <c r="N43" s="10" t="s">
        <v>2142</v>
      </c>
      <c r="O43" s="10" t="s">
        <v>2019</v>
      </c>
    </row>
    <row r="44" spans="1:15" x14ac:dyDescent="0.3">
      <c r="A44" s="10" t="s">
        <v>1737</v>
      </c>
      <c r="B44" s="10" t="s">
        <v>2143</v>
      </c>
      <c r="C44" s="10" t="s">
        <v>2144</v>
      </c>
      <c r="D44" s="10" t="s">
        <v>2079</v>
      </c>
      <c r="E44" s="10" t="s">
        <v>1431</v>
      </c>
      <c r="F44" s="10" t="s">
        <v>2063</v>
      </c>
      <c r="G44" s="10"/>
      <c r="H44" s="10"/>
      <c r="I44" s="10" t="s">
        <v>2064</v>
      </c>
      <c r="J44" s="10"/>
      <c r="K44" s="31">
        <v>0</v>
      </c>
      <c r="L44" s="10" t="s">
        <v>1433</v>
      </c>
      <c r="M44" s="10" t="s">
        <v>2065</v>
      </c>
      <c r="N44" s="10" t="s">
        <v>2145</v>
      </c>
      <c r="O44" s="10" t="s">
        <v>2019</v>
      </c>
    </row>
    <row r="45" spans="1:15" x14ac:dyDescent="0.3">
      <c r="A45" s="10" t="s">
        <v>1737</v>
      </c>
      <c r="B45" s="10" t="s">
        <v>2146</v>
      </c>
      <c r="C45" s="10" t="s">
        <v>2147</v>
      </c>
      <c r="D45" s="10" t="s">
        <v>2079</v>
      </c>
      <c r="E45" s="10" t="s">
        <v>1431</v>
      </c>
      <c r="F45" s="10" t="s">
        <v>2063</v>
      </c>
      <c r="G45" s="10"/>
      <c r="H45" s="10"/>
      <c r="I45" s="10" t="s">
        <v>2064</v>
      </c>
      <c r="J45" s="10"/>
      <c r="K45" s="31">
        <v>0</v>
      </c>
      <c r="L45" s="10" t="s">
        <v>1433</v>
      </c>
      <c r="M45" s="10" t="s">
        <v>2065</v>
      </c>
      <c r="N45" s="10" t="s">
        <v>2145</v>
      </c>
      <c r="O45" s="10" t="s">
        <v>2019</v>
      </c>
    </row>
    <row r="46" spans="1:15" x14ac:dyDescent="0.3">
      <c r="A46" s="10" t="s">
        <v>1737</v>
      </c>
      <c r="B46" s="10" t="s">
        <v>2148</v>
      </c>
      <c r="C46" s="10" t="s">
        <v>2149</v>
      </c>
      <c r="D46" s="10" t="s">
        <v>259</v>
      </c>
      <c r="E46" s="10" t="s">
        <v>1431</v>
      </c>
      <c r="F46" s="10" t="s">
        <v>2063</v>
      </c>
      <c r="G46" s="10"/>
      <c r="H46" s="10"/>
      <c r="I46" s="10" t="s">
        <v>2064</v>
      </c>
      <c r="J46" s="10"/>
      <c r="K46" s="31">
        <v>0</v>
      </c>
      <c r="L46" s="10" t="s">
        <v>1433</v>
      </c>
      <c r="M46" s="10" t="s">
        <v>2065</v>
      </c>
      <c r="N46" s="10" t="s">
        <v>2145</v>
      </c>
      <c r="O46" s="10" t="s">
        <v>2019</v>
      </c>
    </row>
    <row r="47" spans="1:15" x14ac:dyDescent="0.3">
      <c r="A47" s="10" t="s">
        <v>1738</v>
      </c>
      <c r="B47" s="10" t="s">
        <v>2150</v>
      </c>
      <c r="C47" s="10" t="s">
        <v>2151</v>
      </c>
      <c r="D47" s="10" t="s">
        <v>247</v>
      </c>
      <c r="E47" s="10" t="s">
        <v>1431</v>
      </c>
      <c r="F47" s="10" t="s">
        <v>2152</v>
      </c>
      <c r="G47" s="10" t="s">
        <v>454</v>
      </c>
      <c r="H47" s="10" t="s">
        <v>123</v>
      </c>
      <c r="I47" s="10" t="s">
        <v>197</v>
      </c>
      <c r="J47" s="10" t="s">
        <v>348</v>
      </c>
      <c r="K47" s="31">
        <v>43200</v>
      </c>
      <c r="L47" s="10" t="s">
        <v>1431</v>
      </c>
      <c r="M47" s="10"/>
      <c r="N47" s="10" t="s">
        <v>2153</v>
      </c>
      <c r="O47" s="10"/>
    </row>
    <row r="48" spans="1:15" x14ac:dyDescent="0.3">
      <c r="A48" s="10" t="s">
        <v>1738</v>
      </c>
      <c r="B48" s="10" t="s">
        <v>2154</v>
      </c>
      <c r="C48" s="10" t="s">
        <v>2155</v>
      </c>
      <c r="D48" s="10" t="s">
        <v>264</v>
      </c>
      <c r="E48" s="10" t="s">
        <v>1431</v>
      </c>
      <c r="F48" s="10" t="s">
        <v>2063</v>
      </c>
      <c r="G48" s="10"/>
      <c r="H48" s="10"/>
      <c r="I48" s="10" t="s">
        <v>2064</v>
      </c>
      <c r="J48" s="10"/>
      <c r="K48" s="31">
        <v>39840</v>
      </c>
      <c r="L48" s="10" t="s">
        <v>1431</v>
      </c>
      <c r="M48" s="10"/>
      <c r="N48" s="10" t="s">
        <v>2156</v>
      </c>
      <c r="O48" s="10"/>
    </row>
    <row r="49" spans="1:15" x14ac:dyDescent="0.3">
      <c r="A49" s="10" t="s">
        <v>1739</v>
      </c>
      <c r="B49" s="10" t="s">
        <v>2157</v>
      </c>
      <c r="C49" s="10" t="s">
        <v>2158</v>
      </c>
      <c r="D49" s="10" t="s">
        <v>247</v>
      </c>
      <c r="E49" s="10" t="s">
        <v>1431</v>
      </c>
      <c r="F49" s="10" t="s">
        <v>2159</v>
      </c>
      <c r="G49" s="10" t="s">
        <v>448</v>
      </c>
      <c r="H49" s="10" t="s">
        <v>123</v>
      </c>
      <c r="I49" s="10" t="s">
        <v>189</v>
      </c>
      <c r="J49" s="10" t="s">
        <v>348</v>
      </c>
      <c r="K49" s="31">
        <v>53568</v>
      </c>
      <c r="L49" s="10" t="s">
        <v>1431</v>
      </c>
      <c r="M49" s="10"/>
      <c r="N49" s="10" t="s">
        <v>2160</v>
      </c>
      <c r="O49" s="10"/>
    </row>
    <row r="50" spans="1:15" x14ac:dyDescent="0.3">
      <c r="A50" s="10" t="s">
        <v>1739</v>
      </c>
      <c r="B50" s="10" t="s">
        <v>2161</v>
      </c>
      <c r="C50" s="10" t="s">
        <v>2162</v>
      </c>
      <c r="D50" s="10" t="s">
        <v>2079</v>
      </c>
      <c r="E50" s="10" t="s">
        <v>1431</v>
      </c>
      <c r="F50" s="10" t="s">
        <v>384</v>
      </c>
      <c r="G50" s="10" t="s">
        <v>384</v>
      </c>
      <c r="H50" s="10" t="s">
        <v>123</v>
      </c>
      <c r="I50" s="10" t="s">
        <v>194</v>
      </c>
      <c r="J50" s="10" t="s">
        <v>348</v>
      </c>
      <c r="K50" s="31">
        <v>48000</v>
      </c>
      <c r="L50" s="10" t="s">
        <v>1433</v>
      </c>
      <c r="M50" s="10" t="s">
        <v>2092</v>
      </c>
      <c r="N50" s="10" t="s">
        <v>2163</v>
      </c>
      <c r="O50" s="10"/>
    </row>
    <row r="51" spans="1:15" x14ac:dyDescent="0.3">
      <c r="A51" s="10" t="s">
        <v>1739</v>
      </c>
      <c r="B51" s="10" t="s">
        <v>2164</v>
      </c>
      <c r="C51" s="10" t="s">
        <v>2165</v>
      </c>
      <c r="D51" s="10" t="s">
        <v>2079</v>
      </c>
      <c r="E51" s="10" t="s">
        <v>1431</v>
      </c>
      <c r="F51" s="10" t="s">
        <v>384</v>
      </c>
      <c r="G51" s="10" t="s">
        <v>384</v>
      </c>
      <c r="H51" s="10" t="s">
        <v>123</v>
      </c>
      <c r="I51" s="10" t="s">
        <v>194</v>
      </c>
      <c r="J51" s="10" t="s">
        <v>348</v>
      </c>
      <c r="K51" s="31">
        <v>48000</v>
      </c>
      <c r="L51" s="10" t="s">
        <v>1433</v>
      </c>
      <c r="M51" s="10" t="s">
        <v>2092</v>
      </c>
      <c r="N51" s="10" t="s">
        <v>2163</v>
      </c>
      <c r="O51" s="10"/>
    </row>
    <row r="52" spans="1:15" x14ac:dyDescent="0.3">
      <c r="A52" s="10" t="s">
        <v>1739</v>
      </c>
      <c r="B52" s="10" t="s">
        <v>2166</v>
      </c>
      <c r="C52" s="10" t="s">
        <v>2167</v>
      </c>
      <c r="D52" s="10" t="s">
        <v>264</v>
      </c>
      <c r="E52" s="10" t="s">
        <v>1431</v>
      </c>
      <c r="F52" s="10" t="s">
        <v>384</v>
      </c>
      <c r="G52" s="10" t="s">
        <v>384</v>
      </c>
      <c r="H52" s="10" t="s">
        <v>123</v>
      </c>
      <c r="I52" s="10" t="s">
        <v>194</v>
      </c>
      <c r="J52" s="10" t="s">
        <v>348</v>
      </c>
      <c r="K52" s="31">
        <v>48000</v>
      </c>
      <c r="L52" s="10" t="s">
        <v>1431</v>
      </c>
      <c r="M52" s="10"/>
      <c r="N52" s="10" t="s">
        <v>2163</v>
      </c>
      <c r="O52" s="10"/>
    </row>
    <row r="53" spans="1:15" x14ac:dyDescent="0.3">
      <c r="A53" s="10" t="s">
        <v>1740</v>
      </c>
      <c r="B53" s="10" t="s">
        <v>2168</v>
      </c>
      <c r="C53" s="10" t="s">
        <v>2169</v>
      </c>
      <c r="D53" s="10" t="s">
        <v>247</v>
      </c>
      <c r="E53" s="10" t="s">
        <v>1431</v>
      </c>
      <c r="F53" s="10" t="s">
        <v>2170</v>
      </c>
      <c r="G53" s="10" t="s">
        <v>768</v>
      </c>
      <c r="H53" s="10"/>
      <c r="I53" s="10" t="s">
        <v>769</v>
      </c>
      <c r="J53" s="10" t="s">
        <v>348</v>
      </c>
      <c r="K53" s="31">
        <v>48924</v>
      </c>
      <c r="L53" s="10" t="s">
        <v>1431</v>
      </c>
      <c r="M53" s="10"/>
      <c r="N53" s="10" t="s">
        <v>2171</v>
      </c>
      <c r="O53" s="10" t="s">
        <v>2052</v>
      </c>
    </row>
    <row r="54" spans="1:15" x14ac:dyDescent="0.3">
      <c r="A54" s="10" t="s">
        <v>1740</v>
      </c>
      <c r="B54" s="10" t="s">
        <v>2172</v>
      </c>
      <c r="C54" s="10" t="s">
        <v>2173</v>
      </c>
      <c r="D54" s="10" t="s">
        <v>2079</v>
      </c>
      <c r="E54" s="10" t="s">
        <v>1431</v>
      </c>
      <c r="F54" s="10"/>
      <c r="G54" s="10"/>
      <c r="H54" s="10"/>
      <c r="I54" s="10" t="s">
        <v>2064</v>
      </c>
      <c r="J54" s="10"/>
      <c r="K54" s="31">
        <v>0</v>
      </c>
      <c r="L54" s="10" t="s">
        <v>1433</v>
      </c>
      <c r="M54" s="10" t="s">
        <v>2065</v>
      </c>
      <c r="N54" s="10" t="s">
        <v>2174</v>
      </c>
      <c r="O54" s="10"/>
    </row>
    <row r="55" spans="1:15" x14ac:dyDescent="0.3">
      <c r="A55" s="10" t="s">
        <v>1741</v>
      </c>
      <c r="B55" s="10" t="s">
        <v>2175</v>
      </c>
      <c r="C55" s="10" t="s">
        <v>2176</v>
      </c>
      <c r="D55" s="10" t="s">
        <v>247</v>
      </c>
      <c r="E55" s="10" t="s">
        <v>1431</v>
      </c>
      <c r="F55" s="10" t="s">
        <v>369</v>
      </c>
      <c r="G55" s="10" t="s">
        <v>369</v>
      </c>
      <c r="H55" s="10" t="s">
        <v>123</v>
      </c>
      <c r="I55" s="10" t="s">
        <v>194</v>
      </c>
      <c r="J55" s="10" t="s">
        <v>348</v>
      </c>
      <c r="K55" s="31">
        <v>48000</v>
      </c>
      <c r="L55" s="10" t="s">
        <v>1431</v>
      </c>
      <c r="M55" s="10"/>
      <c r="N55" s="10" t="s">
        <v>2177</v>
      </c>
      <c r="O55" s="10"/>
    </row>
    <row r="56" spans="1:15" x14ac:dyDescent="0.3">
      <c r="A56" s="10" t="s">
        <v>1742</v>
      </c>
      <c r="B56" s="10" t="s">
        <v>2178</v>
      </c>
      <c r="C56" s="10" t="s">
        <v>2179</v>
      </c>
      <c r="D56" s="10" t="s">
        <v>247</v>
      </c>
      <c r="E56" s="10" t="s">
        <v>1431</v>
      </c>
      <c r="F56" s="10" t="s">
        <v>2180</v>
      </c>
      <c r="G56" s="10" t="s">
        <v>477</v>
      </c>
      <c r="H56" s="10" t="s">
        <v>123</v>
      </c>
      <c r="I56" s="10" t="s">
        <v>194</v>
      </c>
      <c r="J56" s="10" t="s">
        <v>348</v>
      </c>
      <c r="K56" s="31">
        <v>744000</v>
      </c>
      <c r="L56" s="10" t="s">
        <v>1431</v>
      </c>
      <c r="M56" s="10"/>
      <c r="N56" s="10" t="s">
        <v>2181</v>
      </c>
      <c r="O56" s="10"/>
    </row>
    <row r="57" spans="1:15" x14ac:dyDescent="0.3">
      <c r="A57" s="10" t="s">
        <v>1742</v>
      </c>
      <c r="B57" s="10" t="s">
        <v>2182</v>
      </c>
      <c r="C57" s="10" t="s">
        <v>2183</v>
      </c>
      <c r="D57" s="10" t="s">
        <v>2079</v>
      </c>
      <c r="E57" s="10" t="s">
        <v>1431</v>
      </c>
      <c r="F57" s="10" t="s">
        <v>2184</v>
      </c>
      <c r="G57" s="10" t="s">
        <v>376</v>
      </c>
      <c r="H57" s="10" t="s">
        <v>123</v>
      </c>
      <c r="I57" s="10" t="s">
        <v>191</v>
      </c>
      <c r="J57" s="10" t="s">
        <v>348</v>
      </c>
      <c r="K57" s="31">
        <v>744000</v>
      </c>
      <c r="L57" s="10" t="s">
        <v>1433</v>
      </c>
      <c r="M57" s="10" t="s">
        <v>2092</v>
      </c>
      <c r="N57" s="10" t="s">
        <v>2185</v>
      </c>
      <c r="O57" s="10"/>
    </row>
    <row r="58" spans="1:15" x14ac:dyDescent="0.3">
      <c r="A58" s="10" t="s">
        <v>1742</v>
      </c>
      <c r="B58" s="10" t="s">
        <v>2186</v>
      </c>
      <c r="C58" s="10" t="s">
        <v>2187</v>
      </c>
      <c r="D58" s="10" t="s">
        <v>264</v>
      </c>
      <c r="E58" s="10" t="s">
        <v>1431</v>
      </c>
      <c r="F58" s="10" t="s">
        <v>2184</v>
      </c>
      <c r="G58" s="10" t="s">
        <v>376</v>
      </c>
      <c r="H58" s="10" t="s">
        <v>123</v>
      </c>
      <c r="I58" s="10" t="s">
        <v>191</v>
      </c>
      <c r="J58" s="10" t="s">
        <v>348</v>
      </c>
      <c r="K58" s="31">
        <v>744000</v>
      </c>
      <c r="L58" s="10" t="s">
        <v>1431</v>
      </c>
      <c r="M58" s="10"/>
      <c r="N58" s="10" t="s">
        <v>2185</v>
      </c>
      <c r="O58" s="10"/>
    </row>
    <row r="59" spans="1:15" x14ac:dyDescent="0.3">
      <c r="A59" s="10" t="s">
        <v>1742</v>
      </c>
      <c r="B59" s="10" t="s">
        <v>2188</v>
      </c>
      <c r="C59" s="10" t="s">
        <v>2189</v>
      </c>
      <c r="D59" s="10" t="s">
        <v>2079</v>
      </c>
      <c r="E59" s="10" t="s">
        <v>1431</v>
      </c>
      <c r="F59" s="10" t="s">
        <v>2184</v>
      </c>
      <c r="G59" s="10" t="s">
        <v>376</v>
      </c>
      <c r="H59" s="10" t="s">
        <v>123</v>
      </c>
      <c r="I59" s="10" t="s">
        <v>191</v>
      </c>
      <c r="J59" s="10" t="s">
        <v>348</v>
      </c>
      <c r="K59" s="31">
        <v>744000</v>
      </c>
      <c r="L59" s="10" t="s">
        <v>1433</v>
      </c>
      <c r="M59" s="10" t="s">
        <v>2092</v>
      </c>
      <c r="N59" s="10" t="s">
        <v>2185</v>
      </c>
      <c r="O59" s="10"/>
    </row>
    <row r="60" spans="1:15" x14ac:dyDescent="0.3">
      <c r="A60" s="10" t="s">
        <v>1743</v>
      </c>
      <c r="B60" s="10" t="s">
        <v>2190</v>
      </c>
      <c r="C60" s="10" t="s">
        <v>2191</v>
      </c>
      <c r="D60" s="10" t="s">
        <v>247</v>
      </c>
      <c r="E60" s="10" t="s">
        <v>1431</v>
      </c>
      <c r="F60" s="10" t="s">
        <v>2063</v>
      </c>
      <c r="G60" s="10"/>
      <c r="H60" s="10"/>
      <c r="I60" s="10" t="s">
        <v>2064</v>
      </c>
      <c r="J60" s="10"/>
      <c r="K60" s="31">
        <v>9600</v>
      </c>
      <c r="L60" s="10" t="s">
        <v>1431</v>
      </c>
      <c r="M60" s="10"/>
      <c r="N60" s="10" t="s">
        <v>2192</v>
      </c>
      <c r="O60" s="10"/>
    </row>
    <row r="61" spans="1:15" x14ac:dyDescent="0.3">
      <c r="A61" s="10" t="s">
        <v>1744</v>
      </c>
      <c r="B61" s="10" t="s">
        <v>2193</v>
      </c>
      <c r="C61" s="10" t="s">
        <v>2194</v>
      </c>
      <c r="D61" s="10" t="s">
        <v>247</v>
      </c>
      <c r="E61" s="10" t="s">
        <v>1431</v>
      </c>
      <c r="F61" s="10" t="s">
        <v>674</v>
      </c>
      <c r="G61" s="10" t="s">
        <v>674</v>
      </c>
      <c r="H61" s="10" t="s">
        <v>123</v>
      </c>
      <c r="I61" s="10" t="s">
        <v>199</v>
      </c>
      <c r="J61" s="10" t="s">
        <v>348</v>
      </c>
      <c r="K61" s="31">
        <v>28800</v>
      </c>
      <c r="L61" s="10" t="s">
        <v>1431</v>
      </c>
      <c r="M61" s="10"/>
      <c r="N61" s="10" t="s">
        <v>2195</v>
      </c>
      <c r="O61" s="10"/>
    </row>
    <row r="62" spans="1:15" x14ac:dyDescent="0.3">
      <c r="A62" s="10" t="s">
        <v>1744</v>
      </c>
      <c r="B62" s="10" t="s">
        <v>2196</v>
      </c>
      <c r="C62" s="10" t="s">
        <v>2197</v>
      </c>
      <c r="D62" s="10" t="s">
        <v>259</v>
      </c>
      <c r="E62" s="10" t="s">
        <v>1431</v>
      </c>
      <c r="F62" s="10" t="s">
        <v>2198</v>
      </c>
      <c r="G62" s="10" t="s">
        <v>610</v>
      </c>
      <c r="H62" s="10" t="s">
        <v>123</v>
      </c>
      <c r="I62" s="10" t="s">
        <v>190</v>
      </c>
      <c r="J62" s="10" t="s">
        <v>348</v>
      </c>
      <c r="K62" s="31">
        <v>46272</v>
      </c>
      <c r="L62" s="10" t="s">
        <v>1431</v>
      </c>
      <c r="M62" s="10"/>
      <c r="N62" s="10" t="s">
        <v>2199</v>
      </c>
      <c r="O62" s="10" t="s">
        <v>2052</v>
      </c>
    </row>
    <row r="63" spans="1:15" x14ac:dyDescent="0.3">
      <c r="A63" s="10" t="s">
        <v>1745</v>
      </c>
      <c r="B63" s="10" t="s">
        <v>2200</v>
      </c>
      <c r="C63" s="10" t="s">
        <v>2201</v>
      </c>
      <c r="D63" s="10" t="s">
        <v>247</v>
      </c>
      <c r="E63" s="10" t="s">
        <v>1431</v>
      </c>
      <c r="F63" s="10" t="s">
        <v>2063</v>
      </c>
      <c r="G63" s="10"/>
      <c r="H63" s="10"/>
      <c r="I63" s="10" t="s">
        <v>2064</v>
      </c>
      <c r="J63" s="10"/>
      <c r="K63" s="31">
        <v>0</v>
      </c>
      <c r="L63" s="10" t="s">
        <v>1433</v>
      </c>
      <c r="M63" s="10" t="s">
        <v>2065</v>
      </c>
      <c r="N63" s="10" t="s">
        <v>2202</v>
      </c>
      <c r="O63" s="10"/>
    </row>
    <row r="64" spans="1:15" x14ac:dyDescent="0.3">
      <c r="A64" s="10" t="s">
        <v>1746</v>
      </c>
      <c r="B64" s="10" t="s">
        <v>2203</v>
      </c>
      <c r="C64" s="10" t="s">
        <v>2204</v>
      </c>
      <c r="D64" s="10" t="s">
        <v>247</v>
      </c>
      <c r="E64" s="10" t="s">
        <v>1431</v>
      </c>
      <c r="F64" s="10" t="s">
        <v>522</v>
      </c>
      <c r="G64" s="10" t="s">
        <v>522</v>
      </c>
      <c r="H64" s="10" t="s">
        <v>123</v>
      </c>
      <c r="I64" s="10" t="s">
        <v>190</v>
      </c>
      <c r="J64" s="10" t="s">
        <v>348</v>
      </c>
      <c r="K64" s="31">
        <v>146400</v>
      </c>
      <c r="L64" s="10" t="s">
        <v>1431</v>
      </c>
      <c r="M64" s="10"/>
      <c r="N64" s="10" t="s">
        <v>2205</v>
      </c>
      <c r="O64" s="10"/>
    </row>
    <row r="65" spans="1:15" x14ac:dyDescent="0.3">
      <c r="A65" s="10" t="s">
        <v>1746</v>
      </c>
      <c r="B65" s="10" t="s">
        <v>2206</v>
      </c>
      <c r="C65" s="10" t="s">
        <v>2207</v>
      </c>
      <c r="D65" s="10" t="s">
        <v>259</v>
      </c>
      <c r="E65" s="10" t="s">
        <v>1431</v>
      </c>
      <c r="F65" s="10"/>
      <c r="G65" s="10"/>
      <c r="H65" s="10"/>
      <c r="I65" s="10" t="s">
        <v>2064</v>
      </c>
      <c r="J65" s="10"/>
      <c r="K65" s="31">
        <v>0</v>
      </c>
      <c r="L65" s="10" t="s">
        <v>1433</v>
      </c>
      <c r="M65" s="10" t="s">
        <v>2065</v>
      </c>
      <c r="N65" s="10" t="s">
        <v>2208</v>
      </c>
      <c r="O65" s="10"/>
    </row>
    <row r="66" spans="1:15" x14ac:dyDescent="0.3">
      <c r="A66" s="10" t="s">
        <v>1746</v>
      </c>
      <c r="B66" s="10" t="s">
        <v>2209</v>
      </c>
      <c r="C66" s="10" t="s">
        <v>2210</v>
      </c>
      <c r="D66" s="10" t="s">
        <v>2079</v>
      </c>
      <c r="E66" s="10" t="s">
        <v>1431</v>
      </c>
      <c r="F66" s="10"/>
      <c r="G66" s="10"/>
      <c r="H66" s="10"/>
      <c r="I66" s="10" t="s">
        <v>2064</v>
      </c>
      <c r="J66" s="10"/>
      <c r="K66" s="31">
        <v>0</v>
      </c>
      <c r="L66" s="10" t="s">
        <v>1433</v>
      </c>
      <c r="M66" s="10" t="s">
        <v>2065</v>
      </c>
      <c r="N66" s="10" t="s">
        <v>2208</v>
      </c>
      <c r="O66" s="10"/>
    </row>
    <row r="67" spans="1:15" x14ac:dyDescent="0.3">
      <c r="A67" s="10" t="s">
        <v>1747</v>
      </c>
      <c r="B67" s="10" t="s">
        <v>2211</v>
      </c>
      <c r="C67" s="10" t="s">
        <v>2212</v>
      </c>
      <c r="D67" s="10" t="s">
        <v>247</v>
      </c>
      <c r="E67" s="10" t="s">
        <v>1431</v>
      </c>
      <c r="F67" s="10" t="s">
        <v>595</v>
      </c>
      <c r="G67" s="10" t="s">
        <v>595</v>
      </c>
      <c r="H67" s="10" t="s">
        <v>123</v>
      </c>
      <c r="I67" s="10" t="s">
        <v>197</v>
      </c>
      <c r="J67" s="10" t="s">
        <v>348</v>
      </c>
      <c r="K67" s="31">
        <v>96372</v>
      </c>
      <c r="L67" s="10" t="s">
        <v>1431</v>
      </c>
      <c r="M67" s="10"/>
      <c r="N67" s="10" t="s">
        <v>2213</v>
      </c>
      <c r="O67" s="10" t="s">
        <v>2052</v>
      </c>
    </row>
    <row r="68" spans="1:15" x14ac:dyDescent="0.3">
      <c r="A68" s="10" t="s">
        <v>1747</v>
      </c>
      <c r="B68" s="10" t="s">
        <v>2214</v>
      </c>
      <c r="C68" s="10" t="s">
        <v>2215</v>
      </c>
      <c r="D68" s="10" t="s">
        <v>259</v>
      </c>
      <c r="E68" s="10" t="s">
        <v>1431</v>
      </c>
      <c r="F68" s="10" t="s">
        <v>2216</v>
      </c>
      <c r="G68" s="10" t="s">
        <v>354</v>
      </c>
      <c r="H68" s="10" t="s">
        <v>123</v>
      </c>
      <c r="I68" s="10" t="s">
        <v>191</v>
      </c>
      <c r="J68" s="10" t="s">
        <v>348</v>
      </c>
      <c r="K68" s="31">
        <v>50400</v>
      </c>
      <c r="L68" s="10" t="s">
        <v>1431</v>
      </c>
      <c r="M68" s="10"/>
      <c r="N68" s="10" t="s">
        <v>2217</v>
      </c>
      <c r="O68" s="10"/>
    </row>
    <row r="69" spans="1:15" x14ac:dyDescent="0.3">
      <c r="A69" s="10" t="s">
        <v>1748</v>
      </c>
      <c r="B69" s="10" t="s">
        <v>2218</v>
      </c>
      <c r="C69" s="10" t="s">
        <v>2219</v>
      </c>
      <c r="D69" s="10" t="s">
        <v>247</v>
      </c>
      <c r="E69" s="10" t="s">
        <v>1431</v>
      </c>
      <c r="F69" s="10" t="s">
        <v>2220</v>
      </c>
      <c r="G69" s="10" t="s">
        <v>740</v>
      </c>
      <c r="H69" s="10" t="s">
        <v>123</v>
      </c>
      <c r="I69" s="10" t="s">
        <v>194</v>
      </c>
      <c r="J69" s="10" t="s">
        <v>294</v>
      </c>
      <c r="K69" s="31">
        <v>240000</v>
      </c>
      <c r="L69" s="10" t="s">
        <v>1431</v>
      </c>
      <c r="M69" s="10"/>
      <c r="N69" s="10" t="s">
        <v>2221</v>
      </c>
      <c r="O69" s="10"/>
    </row>
    <row r="70" spans="1:15" x14ac:dyDescent="0.3">
      <c r="A70" s="10" t="s">
        <v>1749</v>
      </c>
      <c r="B70" s="10" t="s">
        <v>2222</v>
      </c>
      <c r="C70" s="10" t="s">
        <v>2223</v>
      </c>
      <c r="D70" s="10" t="s">
        <v>247</v>
      </c>
      <c r="E70" s="10" t="s">
        <v>1431</v>
      </c>
      <c r="F70" s="10" t="s">
        <v>768</v>
      </c>
      <c r="G70" s="10" t="s">
        <v>768</v>
      </c>
      <c r="H70" s="10"/>
      <c r="I70" s="10" t="s">
        <v>769</v>
      </c>
      <c r="J70" s="10" t="s">
        <v>348</v>
      </c>
      <c r="K70" s="31">
        <v>73200</v>
      </c>
      <c r="L70" s="10" t="s">
        <v>1431</v>
      </c>
      <c r="M70" s="10"/>
      <c r="N70" s="10" t="s">
        <v>2224</v>
      </c>
      <c r="O70" s="10" t="s">
        <v>2052</v>
      </c>
    </row>
    <row r="71" spans="1:15" x14ac:dyDescent="0.3">
      <c r="A71" s="10" t="s">
        <v>1749</v>
      </c>
      <c r="B71" s="10" t="s">
        <v>2225</v>
      </c>
      <c r="C71" s="10" t="s">
        <v>2226</v>
      </c>
      <c r="D71" s="10" t="s">
        <v>259</v>
      </c>
      <c r="E71" s="10" t="s">
        <v>1431</v>
      </c>
      <c r="F71" s="10" t="s">
        <v>618</v>
      </c>
      <c r="G71" s="10" t="s">
        <v>618</v>
      </c>
      <c r="H71" s="10" t="s">
        <v>123</v>
      </c>
      <c r="I71" s="10" t="s">
        <v>205</v>
      </c>
      <c r="J71" s="10" t="s">
        <v>348</v>
      </c>
      <c r="K71" s="31">
        <v>61656</v>
      </c>
      <c r="L71" s="10" t="s">
        <v>1431</v>
      </c>
      <c r="M71" s="10"/>
      <c r="N71" s="10" t="s">
        <v>2227</v>
      </c>
      <c r="O71" s="10"/>
    </row>
    <row r="72" spans="1:15" x14ac:dyDescent="0.3">
      <c r="A72" s="10" t="s">
        <v>1750</v>
      </c>
      <c r="B72" s="10" t="s">
        <v>2228</v>
      </c>
      <c r="C72" s="10" t="s">
        <v>2229</v>
      </c>
      <c r="D72" s="10" t="s">
        <v>247</v>
      </c>
      <c r="E72" s="10" t="s">
        <v>1431</v>
      </c>
      <c r="F72" s="10" t="s">
        <v>2230</v>
      </c>
      <c r="G72" s="10" t="s">
        <v>725</v>
      </c>
      <c r="H72" s="10" t="s">
        <v>123</v>
      </c>
      <c r="I72" s="10" t="s">
        <v>189</v>
      </c>
      <c r="J72" s="10" t="s">
        <v>348</v>
      </c>
      <c r="K72" s="31">
        <v>69396</v>
      </c>
      <c r="L72" s="10" t="s">
        <v>1431</v>
      </c>
      <c r="M72" s="10"/>
      <c r="N72" s="10" t="s">
        <v>2231</v>
      </c>
      <c r="O72" s="10" t="s">
        <v>2052</v>
      </c>
    </row>
    <row r="73" spans="1:15" x14ac:dyDescent="0.3">
      <c r="A73" s="10" t="s">
        <v>1750</v>
      </c>
      <c r="B73" s="10" t="s">
        <v>2232</v>
      </c>
      <c r="C73" s="10" t="s">
        <v>2233</v>
      </c>
      <c r="D73" s="10" t="s">
        <v>2079</v>
      </c>
      <c r="E73" s="10" t="s">
        <v>1431</v>
      </c>
      <c r="F73" s="10"/>
      <c r="G73" s="10"/>
      <c r="H73" s="10"/>
      <c r="I73" s="10" t="s">
        <v>2064</v>
      </c>
      <c r="J73" s="10"/>
      <c r="K73" s="31">
        <v>0</v>
      </c>
      <c r="L73" s="10" t="s">
        <v>1433</v>
      </c>
      <c r="M73" s="10" t="s">
        <v>2065</v>
      </c>
      <c r="N73" s="10" t="s">
        <v>2234</v>
      </c>
      <c r="O73" s="10"/>
    </row>
    <row r="74" spans="1:15" x14ac:dyDescent="0.3">
      <c r="A74" s="10" t="s">
        <v>277</v>
      </c>
      <c r="B74" s="10" t="s">
        <v>2235</v>
      </c>
      <c r="C74" s="10" t="s">
        <v>2236</v>
      </c>
      <c r="D74" s="10" t="s">
        <v>247</v>
      </c>
      <c r="E74" s="10" t="s">
        <v>1431</v>
      </c>
      <c r="F74" s="10" t="s">
        <v>2237</v>
      </c>
      <c r="G74" s="10" t="s">
        <v>276</v>
      </c>
      <c r="H74" s="10" t="s">
        <v>115</v>
      </c>
      <c r="I74" s="10" t="s">
        <v>185</v>
      </c>
      <c r="J74" s="10" t="s">
        <v>273</v>
      </c>
      <c r="K74" s="31">
        <v>120000</v>
      </c>
      <c r="L74" s="10" t="s">
        <v>1431</v>
      </c>
      <c r="M74" s="10"/>
      <c r="N74" s="10" t="s">
        <v>2238</v>
      </c>
      <c r="O74" s="10" t="s">
        <v>2052</v>
      </c>
    </row>
    <row r="75" spans="1:15" x14ac:dyDescent="0.3">
      <c r="A75" s="10" t="s">
        <v>1751</v>
      </c>
      <c r="B75" s="10" t="s">
        <v>2239</v>
      </c>
      <c r="C75" s="10" t="s">
        <v>2240</v>
      </c>
      <c r="D75" s="10" t="s">
        <v>247</v>
      </c>
      <c r="E75" s="10" t="s">
        <v>1431</v>
      </c>
      <c r="F75" s="10" t="s">
        <v>2241</v>
      </c>
      <c r="G75" s="10" t="s">
        <v>590</v>
      </c>
      <c r="H75" s="10" t="s">
        <v>123</v>
      </c>
      <c r="I75" s="10" t="s">
        <v>196</v>
      </c>
      <c r="J75" s="10" t="s">
        <v>366</v>
      </c>
      <c r="K75" s="31">
        <v>60000</v>
      </c>
      <c r="L75" s="10" t="s">
        <v>1431</v>
      </c>
      <c r="M75" s="10"/>
      <c r="N75" s="10" t="s">
        <v>2242</v>
      </c>
      <c r="O75" s="10"/>
    </row>
    <row r="76" spans="1:15" x14ac:dyDescent="0.3">
      <c r="A76" s="10" t="s">
        <v>1751</v>
      </c>
      <c r="B76" s="10" t="s">
        <v>2243</v>
      </c>
      <c r="C76" s="10" t="s">
        <v>2244</v>
      </c>
      <c r="D76" s="10" t="s">
        <v>264</v>
      </c>
      <c r="E76" s="10" t="s">
        <v>1431</v>
      </c>
      <c r="F76" s="10"/>
      <c r="G76" s="10"/>
      <c r="H76" s="10"/>
      <c r="I76" s="10" t="s">
        <v>2064</v>
      </c>
      <c r="J76" s="10"/>
      <c r="K76" s="31">
        <v>0</v>
      </c>
      <c r="L76" s="10" t="s">
        <v>1433</v>
      </c>
      <c r="M76" s="10" t="s">
        <v>2065</v>
      </c>
      <c r="N76" s="10"/>
      <c r="O76" s="10"/>
    </row>
    <row r="77" spans="1:15" x14ac:dyDescent="0.3">
      <c r="A77" s="10" t="s">
        <v>1751</v>
      </c>
      <c r="B77" s="10" t="s">
        <v>2245</v>
      </c>
      <c r="C77" s="10" t="s">
        <v>2246</v>
      </c>
      <c r="D77" s="10" t="s">
        <v>2079</v>
      </c>
      <c r="E77" s="10" t="s">
        <v>1431</v>
      </c>
      <c r="F77" s="10"/>
      <c r="G77" s="10"/>
      <c r="H77" s="10"/>
      <c r="I77" s="10" t="s">
        <v>2064</v>
      </c>
      <c r="J77" s="10"/>
      <c r="K77" s="31">
        <v>0</v>
      </c>
      <c r="L77" s="10" t="s">
        <v>1433</v>
      </c>
      <c r="M77" s="10" t="s">
        <v>2065</v>
      </c>
      <c r="N77" s="10"/>
      <c r="O77" s="10"/>
    </row>
    <row r="78" spans="1:15" x14ac:dyDescent="0.3">
      <c r="A78" s="10" t="s">
        <v>1752</v>
      </c>
      <c r="B78" s="10" t="s">
        <v>2247</v>
      </c>
      <c r="C78" s="10" t="s">
        <v>2248</v>
      </c>
      <c r="D78" s="10" t="s">
        <v>247</v>
      </c>
      <c r="E78" s="10" t="s">
        <v>1431</v>
      </c>
      <c r="F78" s="10" t="s">
        <v>2249</v>
      </c>
      <c r="G78" s="10" t="s">
        <v>354</v>
      </c>
      <c r="H78" s="10" t="s">
        <v>123</v>
      </c>
      <c r="I78" s="10" t="s">
        <v>191</v>
      </c>
      <c r="J78" s="10" t="s">
        <v>348</v>
      </c>
      <c r="K78" s="31">
        <v>49200</v>
      </c>
      <c r="L78" s="10" t="s">
        <v>1431</v>
      </c>
      <c r="M78" s="10"/>
      <c r="N78" s="10" t="s">
        <v>2250</v>
      </c>
      <c r="O78" s="10"/>
    </row>
    <row r="79" spans="1:15" x14ac:dyDescent="0.3">
      <c r="A79" s="10" t="s">
        <v>1753</v>
      </c>
      <c r="B79" s="10" t="s">
        <v>2251</v>
      </c>
      <c r="C79" s="10" t="s">
        <v>2252</v>
      </c>
      <c r="D79" s="10" t="s">
        <v>247</v>
      </c>
      <c r="E79" s="10" t="s">
        <v>1431</v>
      </c>
      <c r="F79" s="10" t="s">
        <v>2253</v>
      </c>
      <c r="G79" s="10" t="s">
        <v>358</v>
      </c>
      <c r="H79" s="10" t="s">
        <v>123</v>
      </c>
      <c r="I79" s="10" t="s">
        <v>190</v>
      </c>
      <c r="J79" s="10" t="s">
        <v>348</v>
      </c>
      <c r="K79" s="31">
        <v>88800</v>
      </c>
      <c r="L79" s="10" t="s">
        <v>1431</v>
      </c>
      <c r="M79" s="10"/>
      <c r="N79" s="10" t="s">
        <v>2254</v>
      </c>
      <c r="O79" s="10" t="s">
        <v>2052</v>
      </c>
    </row>
    <row r="80" spans="1:15" x14ac:dyDescent="0.3">
      <c r="A80" s="10" t="s">
        <v>1754</v>
      </c>
      <c r="B80" s="10" t="s">
        <v>2255</v>
      </c>
      <c r="C80" s="10" t="s">
        <v>2256</v>
      </c>
      <c r="D80" s="10" t="s">
        <v>247</v>
      </c>
      <c r="E80" s="10" t="s">
        <v>1431</v>
      </c>
      <c r="F80" s="10" t="s">
        <v>2257</v>
      </c>
      <c r="G80" s="10" t="s">
        <v>427</v>
      </c>
      <c r="H80" s="10" t="s">
        <v>123</v>
      </c>
      <c r="I80" s="10" t="s">
        <v>207</v>
      </c>
      <c r="J80" s="10" t="s">
        <v>348</v>
      </c>
      <c r="K80" s="31">
        <v>120000</v>
      </c>
      <c r="L80" s="10" t="s">
        <v>1431</v>
      </c>
      <c r="M80" s="10"/>
      <c r="N80" s="10" t="s">
        <v>2258</v>
      </c>
      <c r="O80" s="10"/>
    </row>
    <row r="81" spans="1:15" x14ac:dyDescent="0.3">
      <c r="A81" s="10" t="s">
        <v>1755</v>
      </c>
      <c r="B81" s="10" t="s">
        <v>2259</v>
      </c>
      <c r="C81" s="10" t="s">
        <v>2260</v>
      </c>
      <c r="D81" s="10" t="s">
        <v>247</v>
      </c>
      <c r="E81" s="10" t="s">
        <v>1431</v>
      </c>
      <c r="F81" s="10" t="s">
        <v>656</v>
      </c>
      <c r="G81" s="10" t="s">
        <v>656</v>
      </c>
      <c r="H81" s="10" t="s">
        <v>123</v>
      </c>
      <c r="I81" s="10" t="s">
        <v>198</v>
      </c>
      <c r="J81" s="10" t="s">
        <v>348</v>
      </c>
      <c r="K81" s="31">
        <v>40800</v>
      </c>
      <c r="L81" s="10" t="s">
        <v>1431</v>
      </c>
      <c r="M81" s="10"/>
      <c r="N81" s="10" t="s">
        <v>2261</v>
      </c>
      <c r="O81" s="10"/>
    </row>
    <row r="82" spans="1:15" x14ac:dyDescent="0.3">
      <c r="A82" s="10" t="s">
        <v>1756</v>
      </c>
      <c r="B82" s="10" t="s">
        <v>2262</v>
      </c>
      <c r="C82" s="10" t="s">
        <v>2263</v>
      </c>
      <c r="D82" s="10" t="s">
        <v>247</v>
      </c>
      <c r="E82" s="10" t="s">
        <v>1431</v>
      </c>
      <c r="F82" s="10" t="s">
        <v>635</v>
      </c>
      <c r="G82" s="10" t="s">
        <v>635</v>
      </c>
      <c r="H82" s="10" t="s">
        <v>123</v>
      </c>
      <c r="I82" s="10" t="s">
        <v>202</v>
      </c>
      <c r="J82" s="10" t="s">
        <v>348</v>
      </c>
      <c r="K82" s="31">
        <v>130056</v>
      </c>
      <c r="L82" s="10" t="s">
        <v>1431</v>
      </c>
      <c r="M82" s="10"/>
      <c r="N82" s="10" t="s">
        <v>2264</v>
      </c>
      <c r="O82" s="10" t="s">
        <v>2052</v>
      </c>
    </row>
    <row r="83" spans="1:15" x14ac:dyDescent="0.3">
      <c r="A83" s="10" t="s">
        <v>1757</v>
      </c>
      <c r="B83" s="10" t="s">
        <v>2265</v>
      </c>
      <c r="C83" s="10" t="s">
        <v>2266</v>
      </c>
      <c r="D83" s="10" t="s">
        <v>247</v>
      </c>
      <c r="E83" s="10" t="s">
        <v>1431</v>
      </c>
      <c r="F83" s="10" t="s">
        <v>611</v>
      </c>
      <c r="G83" s="10" t="s">
        <v>611</v>
      </c>
      <c r="H83" s="10" t="s">
        <v>123</v>
      </c>
      <c r="I83" s="10" t="s">
        <v>191</v>
      </c>
      <c r="J83" s="10" t="s">
        <v>348</v>
      </c>
      <c r="K83" s="31">
        <v>72816</v>
      </c>
      <c r="L83" s="10" t="s">
        <v>1431</v>
      </c>
      <c r="M83" s="10"/>
      <c r="N83" s="10" t="s">
        <v>2267</v>
      </c>
      <c r="O83" s="10" t="s">
        <v>2052</v>
      </c>
    </row>
    <row r="84" spans="1:15" x14ac:dyDescent="0.3">
      <c r="A84" s="10" t="s">
        <v>1758</v>
      </c>
      <c r="B84" s="10" t="s">
        <v>2268</v>
      </c>
      <c r="C84" s="10" t="s">
        <v>2269</v>
      </c>
      <c r="D84" s="10" t="s">
        <v>247</v>
      </c>
      <c r="E84" s="10" t="s">
        <v>1431</v>
      </c>
      <c r="F84" s="10"/>
      <c r="G84" s="10"/>
      <c r="H84" s="10"/>
      <c r="I84" s="10" t="s">
        <v>2064</v>
      </c>
      <c r="J84" s="10"/>
      <c r="K84" s="31">
        <v>58440</v>
      </c>
      <c r="L84" s="10" t="s">
        <v>1431</v>
      </c>
      <c r="M84" s="10"/>
      <c r="N84" s="10" t="s">
        <v>2270</v>
      </c>
      <c r="O84" s="10" t="s">
        <v>2052</v>
      </c>
    </row>
    <row r="85" spans="1:15" x14ac:dyDescent="0.3">
      <c r="A85" s="10" t="s">
        <v>1759</v>
      </c>
      <c r="B85" s="10" t="s">
        <v>2271</v>
      </c>
      <c r="C85" s="10" t="s">
        <v>2272</v>
      </c>
      <c r="D85" s="10" t="s">
        <v>247</v>
      </c>
      <c r="E85" s="10" t="s">
        <v>1431</v>
      </c>
      <c r="F85" s="10" t="s">
        <v>713</v>
      </c>
      <c r="G85" s="10" t="s">
        <v>713</v>
      </c>
      <c r="H85" s="10" t="s">
        <v>123</v>
      </c>
      <c r="I85" s="10" t="s">
        <v>191</v>
      </c>
      <c r="J85" s="10" t="s">
        <v>348</v>
      </c>
      <c r="K85" s="31">
        <v>45252</v>
      </c>
      <c r="L85" s="10" t="s">
        <v>1431</v>
      </c>
      <c r="M85" s="10"/>
      <c r="N85" s="10" t="s">
        <v>2273</v>
      </c>
      <c r="O85" s="10" t="s">
        <v>2052</v>
      </c>
    </row>
    <row r="86" spans="1:15" x14ac:dyDescent="0.3">
      <c r="A86" s="10" t="s">
        <v>1759</v>
      </c>
      <c r="B86" s="10" t="s">
        <v>2274</v>
      </c>
      <c r="C86" s="10" t="s">
        <v>2275</v>
      </c>
      <c r="D86" s="10" t="s">
        <v>264</v>
      </c>
      <c r="E86" s="10" t="s">
        <v>1431</v>
      </c>
      <c r="F86" s="10" t="s">
        <v>2276</v>
      </c>
      <c r="G86" s="10" t="s">
        <v>449</v>
      </c>
      <c r="H86" s="10" t="s">
        <v>123</v>
      </c>
      <c r="I86" s="10" t="s">
        <v>197</v>
      </c>
      <c r="J86" s="10" t="s">
        <v>348</v>
      </c>
      <c r="K86" s="31">
        <v>26400</v>
      </c>
      <c r="L86" s="10" t="s">
        <v>1431</v>
      </c>
      <c r="M86" s="10"/>
      <c r="N86" s="10" t="s">
        <v>2277</v>
      </c>
      <c r="O86" s="10" t="s">
        <v>2052</v>
      </c>
    </row>
    <row r="87" spans="1:15" x14ac:dyDescent="0.3">
      <c r="A87" s="10" t="s">
        <v>250</v>
      </c>
      <c r="B87" s="10" t="s">
        <v>2278</v>
      </c>
      <c r="C87" s="10" t="s">
        <v>2279</v>
      </c>
      <c r="D87" s="10" t="s">
        <v>247</v>
      </c>
      <c r="E87" s="10" t="s">
        <v>1431</v>
      </c>
      <c r="F87" s="10" t="s">
        <v>2280</v>
      </c>
      <c r="G87" s="10" t="s">
        <v>354</v>
      </c>
      <c r="H87" s="10" t="s">
        <v>123</v>
      </c>
      <c r="I87" s="10" t="s">
        <v>191</v>
      </c>
      <c r="J87" s="10" t="s">
        <v>348</v>
      </c>
      <c r="K87" s="31">
        <v>41892</v>
      </c>
      <c r="L87" s="10" t="s">
        <v>1431</v>
      </c>
      <c r="M87" s="10"/>
      <c r="N87" s="10" t="s">
        <v>2281</v>
      </c>
      <c r="O87" s="10" t="s">
        <v>2052</v>
      </c>
    </row>
    <row r="88" spans="1:15" x14ac:dyDescent="0.3">
      <c r="A88" s="10" t="s">
        <v>250</v>
      </c>
      <c r="B88" s="10" t="s">
        <v>2282</v>
      </c>
      <c r="C88" s="10" t="s">
        <v>2283</v>
      </c>
      <c r="D88" s="10" t="s">
        <v>251</v>
      </c>
      <c r="E88" s="10" t="s">
        <v>1433</v>
      </c>
      <c r="F88" s="10" t="s">
        <v>245</v>
      </c>
      <c r="G88" s="10" t="s">
        <v>245</v>
      </c>
      <c r="H88" s="10" t="s">
        <v>113</v>
      </c>
      <c r="I88" s="10" t="s">
        <v>184</v>
      </c>
      <c r="J88" s="10" t="s">
        <v>249</v>
      </c>
      <c r="K88" s="31">
        <v>276816</v>
      </c>
      <c r="L88" s="10" t="s">
        <v>1433</v>
      </c>
      <c r="M88" s="10" t="s">
        <v>2138</v>
      </c>
      <c r="N88" s="10" t="s">
        <v>2284</v>
      </c>
      <c r="O88" s="10" t="s">
        <v>2019</v>
      </c>
    </row>
    <row r="89" spans="1:15" x14ac:dyDescent="0.3">
      <c r="A89" s="10" t="s">
        <v>1760</v>
      </c>
      <c r="B89" s="10" t="s">
        <v>2285</v>
      </c>
      <c r="C89" s="10" t="s">
        <v>2286</v>
      </c>
      <c r="D89" s="10" t="s">
        <v>247</v>
      </c>
      <c r="E89" s="10" t="s">
        <v>1431</v>
      </c>
      <c r="F89" s="10" t="s">
        <v>2287</v>
      </c>
      <c r="G89" s="10" t="s">
        <v>589</v>
      </c>
      <c r="H89" s="10" t="s">
        <v>123</v>
      </c>
      <c r="I89" s="10" t="s">
        <v>194</v>
      </c>
      <c r="J89" s="10" t="s">
        <v>348</v>
      </c>
      <c r="K89" s="31">
        <v>36000</v>
      </c>
      <c r="L89" s="10" t="s">
        <v>1431</v>
      </c>
      <c r="M89" s="10"/>
      <c r="N89" s="10" t="s">
        <v>2288</v>
      </c>
      <c r="O89" s="10"/>
    </row>
    <row r="90" spans="1:15" x14ac:dyDescent="0.3">
      <c r="A90" s="10" t="s">
        <v>1760</v>
      </c>
      <c r="B90" s="10" t="s">
        <v>2289</v>
      </c>
      <c r="C90" s="10" t="s">
        <v>2290</v>
      </c>
      <c r="D90" s="10" t="s">
        <v>264</v>
      </c>
      <c r="E90" s="10" t="s">
        <v>1431</v>
      </c>
      <c r="F90" s="10" t="s">
        <v>2291</v>
      </c>
      <c r="G90" s="10" t="s">
        <v>491</v>
      </c>
      <c r="H90" s="10" t="s">
        <v>123</v>
      </c>
      <c r="I90" s="10" t="s">
        <v>197</v>
      </c>
      <c r="J90" s="10" t="s">
        <v>348</v>
      </c>
      <c r="K90" s="31">
        <v>66852</v>
      </c>
      <c r="L90" s="10" t="s">
        <v>1431</v>
      </c>
      <c r="M90" s="10"/>
      <c r="N90" s="10" t="s">
        <v>2292</v>
      </c>
      <c r="O90" s="10"/>
    </row>
    <row r="91" spans="1:15" x14ac:dyDescent="0.3">
      <c r="A91" s="10" t="s">
        <v>1761</v>
      </c>
      <c r="B91" s="10" t="s">
        <v>2293</v>
      </c>
      <c r="C91" s="10" t="s">
        <v>2294</v>
      </c>
      <c r="D91" s="10" t="s">
        <v>247</v>
      </c>
      <c r="E91" s="10" t="s">
        <v>1431</v>
      </c>
      <c r="F91" s="10" t="s">
        <v>507</v>
      </c>
      <c r="G91" s="10" t="s">
        <v>507</v>
      </c>
      <c r="H91" s="10" t="s">
        <v>123</v>
      </c>
      <c r="I91" s="10" t="s">
        <v>191</v>
      </c>
      <c r="J91" s="10" t="s">
        <v>348</v>
      </c>
      <c r="K91" s="31">
        <v>61128</v>
      </c>
      <c r="L91" s="10" t="s">
        <v>1431</v>
      </c>
      <c r="M91" s="10"/>
      <c r="N91" s="10" t="s">
        <v>2295</v>
      </c>
      <c r="O91" s="10" t="s">
        <v>2052</v>
      </c>
    </row>
    <row r="92" spans="1:15" x14ac:dyDescent="0.3">
      <c r="A92" s="10" t="s">
        <v>1762</v>
      </c>
      <c r="B92" s="10" t="s">
        <v>2296</v>
      </c>
      <c r="C92" s="10" t="s">
        <v>2297</v>
      </c>
      <c r="D92" s="10" t="s">
        <v>247</v>
      </c>
      <c r="E92" s="10" t="s">
        <v>1431</v>
      </c>
      <c r="F92" s="10" t="s">
        <v>2298</v>
      </c>
      <c r="G92" s="10" t="s">
        <v>559</v>
      </c>
      <c r="H92" s="10" t="s">
        <v>123</v>
      </c>
      <c r="I92" s="10" t="s">
        <v>197</v>
      </c>
      <c r="J92" s="10" t="s">
        <v>294</v>
      </c>
      <c r="K92" s="31">
        <v>85020</v>
      </c>
      <c r="L92" s="10" t="s">
        <v>1431</v>
      </c>
      <c r="M92" s="10"/>
      <c r="N92" s="10" t="s">
        <v>2299</v>
      </c>
      <c r="O92" s="10" t="s">
        <v>2052</v>
      </c>
    </row>
    <row r="93" spans="1:15" x14ac:dyDescent="0.3">
      <c r="A93" s="10" t="s">
        <v>1762</v>
      </c>
      <c r="B93" s="10" t="s">
        <v>2300</v>
      </c>
      <c r="C93" s="10" t="s">
        <v>2301</v>
      </c>
      <c r="D93" s="10" t="s">
        <v>264</v>
      </c>
      <c r="E93" s="10" t="s">
        <v>1431</v>
      </c>
      <c r="F93" s="10" t="s">
        <v>577</v>
      </c>
      <c r="G93" s="10" t="s">
        <v>577</v>
      </c>
      <c r="H93" s="10" t="s">
        <v>123</v>
      </c>
      <c r="I93" s="10" t="s">
        <v>191</v>
      </c>
      <c r="J93" s="10" t="s">
        <v>348</v>
      </c>
      <c r="K93" s="31">
        <v>0</v>
      </c>
      <c r="L93" s="10" t="s">
        <v>1433</v>
      </c>
      <c r="M93" s="10" t="s">
        <v>2065</v>
      </c>
      <c r="N93" s="10" t="s">
        <v>2302</v>
      </c>
      <c r="O93" s="10"/>
    </row>
    <row r="94" spans="1:15" x14ac:dyDescent="0.3">
      <c r="A94" s="10" t="s">
        <v>1763</v>
      </c>
      <c r="B94" s="10" t="s">
        <v>2303</v>
      </c>
      <c r="C94" s="10" t="s">
        <v>2304</v>
      </c>
      <c r="D94" s="10" t="s">
        <v>247</v>
      </c>
      <c r="E94" s="10" t="s">
        <v>1431</v>
      </c>
      <c r="F94" s="10" t="s">
        <v>2305</v>
      </c>
      <c r="G94" s="10" t="s">
        <v>355</v>
      </c>
      <c r="H94" s="10" t="s">
        <v>123</v>
      </c>
      <c r="I94" s="10" t="s">
        <v>191</v>
      </c>
      <c r="J94" s="10" t="s">
        <v>348</v>
      </c>
      <c r="K94" s="31">
        <v>116040</v>
      </c>
      <c r="L94" s="10" t="s">
        <v>1431</v>
      </c>
      <c r="M94" s="10"/>
      <c r="N94" s="10" t="s">
        <v>2306</v>
      </c>
      <c r="O94" s="10"/>
    </row>
    <row r="95" spans="1:15" x14ac:dyDescent="0.3">
      <c r="A95" s="10" t="s">
        <v>1763</v>
      </c>
      <c r="B95" s="10" t="s">
        <v>2307</v>
      </c>
      <c r="C95" s="10" t="s">
        <v>2308</v>
      </c>
      <c r="D95" s="10" t="s">
        <v>259</v>
      </c>
      <c r="E95" s="10" t="s">
        <v>1431</v>
      </c>
      <c r="F95" s="10" t="s">
        <v>711</v>
      </c>
      <c r="G95" s="10" t="s">
        <v>711</v>
      </c>
      <c r="H95" s="10" t="s">
        <v>123</v>
      </c>
      <c r="I95" s="10" t="s">
        <v>191</v>
      </c>
      <c r="J95" s="10" t="s">
        <v>348</v>
      </c>
      <c r="K95" s="31">
        <v>63504</v>
      </c>
      <c r="L95" s="10" t="s">
        <v>1431</v>
      </c>
      <c r="M95" s="10"/>
      <c r="N95" s="10" t="s">
        <v>2309</v>
      </c>
      <c r="O95" s="10" t="s">
        <v>2052</v>
      </c>
    </row>
    <row r="96" spans="1:15" x14ac:dyDescent="0.3">
      <c r="A96" s="10" t="s">
        <v>1764</v>
      </c>
      <c r="B96" s="10" t="s">
        <v>2310</v>
      </c>
      <c r="C96" s="10" t="s">
        <v>2311</v>
      </c>
      <c r="D96" s="10" t="s">
        <v>247</v>
      </c>
      <c r="E96" s="10" t="s">
        <v>1431</v>
      </c>
      <c r="F96" s="10" t="s">
        <v>698</v>
      </c>
      <c r="G96" s="10" t="s">
        <v>698</v>
      </c>
      <c r="H96" s="10" t="s">
        <v>123</v>
      </c>
      <c r="I96" s="10" t="s">
        <v>194</v>
      </c>
      <c r="J96" s="10" t="s">
        <v>348</v>
      </c>
      <c r="K96" s="31">
        <v>57204</v>
      </c>
      <c r="L96" s="10" t="s">
        <v>1431</v>
      </c>
      <c r="M96" s="10"/>
      <c r="N96" s="10" t="s">
        <v>2312</v>
      </c>
      <c r="O96" s="10"/>
    </row>
    <row r="97" spans="1:15" x14ac:dyDescent="0.3">
      <c r="A97" s="10" t="s">
        <v>1764</v>
      </c>
      <c r="B97" s="10" t="s">
        <v>2313</v>
      </c>
      <c r="C97" s="10" t="s">
        <v>2314</v>
      </c>
      <c r="D97" s="10" t="s">
        <v>259</v>
      </c>
      <c r="E97" s="10" t="s">
        <v>1431</v>
      </c>
      <c r="F97" s="10" t="s">
        <v>621</v>
      </c>
      <c r="G97" s="10" t="s">
        <v>621</v>
      </c>
      <c r="H97" s="10" t="s">
        <v>123</v>
      </c>
      <c r="I97" s="10" t="s">
        <v>201</v>
      </c>
      <c r="J97" s="10" t="s">
        <v>348</v>
      </c>
      <c r="K97" s="31">
        <v>210000</v>
      </c>
      <c r="L97" s="10" t="s">
        <v>1431</v>
      </c>
      <c r="M97" s="10"/>
      <c r="N97" s="10" t="s">
        <v>2315</v>
      </c>
      <c r="O97" s="10" t="s">
        <v>2019</v>
      </c>
    </row>
    <row r="98" spans="1:15" x14ac:dyDescent="0.3">
      <c r="A98" s="10" t="s">
        <v>1765</v>
      </c>
      <c r="B98" s="10" t="s">
        <v>2316</v>
      </c>
      <c r="C98" s="10" t="s">
        <v>2317</v>
      </c>
      <c r="D98" s="10" t="s">
        <v>247</v>
      </c>
      <c r="E98" s="10" t="s">
        <v>1431</v>
      </c>
      <c r="F98" s="10" t="s">
        <v>2318</v>
      </c>
      <c r="G98" s="10" t="s">
        <v>362</v>
      </c>
      <c r="H98" s="10" t="s">
        <v>123</v>
      </c>
      <c r="I98" s="10" t="s">
        <v>200</v>
      </c>
      <c r="J98" s="10" t="s">
        <v>366</v>
      </c>
      <c r="K98" s="31">
        <v>2492892</v>
      </c>
      <c r="L98" s="10" t="s">
        <v>1433</v>
      </c>
      <c r="M98" s="10" t="s">
        <v>2319</v>
      </c>
      <c r="N98" s="10" t="s">
        <v>2320</v>
      </c>
      <c r="O98" s="10"/>
    </row>
    <row r="99" spans="1:15" x14ac:dyDescent="0.3">
      <c r="A99" s="10" t="s">
        <v>1765</v>
      </c>
      <c r="B99" s="10" t="s">
        <v>2321</v>
      </c>
      <c r="C99" s="10" t="s">
        <v>2322</v>
      </c>
      <c r="D99" s="10" t="s">
        <v>259</v>
      </c>
      <c r="E99" s="10" t="s">
        <v>1431</v>
      </c>
      <c r="F99" s="10" t="s">
        <v>2318</v>
      </c>
      <c r="G99" s="10" t="s">
        <v>362</v>
      </c>
      <c r="H99" s="10" t="s">
        <v>123</v>
      </c>
      <c r="I99" s="10" t="s">
        <v>200</v>
      </c>
      <c r="J99" s="10" t="s">
        <v>366</v>
      </c>
      <c r="K99" s="31">
        <v>264000</v>
      </c>
      <c r="L99" s="10" t="s">
        <v>1433</v>
      </c>
      <c r="M99" s="10" t="s">
        <v>2092</v>
      </c>
      <c r="N99" s="10" t="s">
        <v>2320</v>
      </c>
      <c r="O99" s="10" t="s">
        <v>2019</v>
      </c>
    </row>
    <row r="100" spans="1:15" x14ac:dyDescent="0.3">
      <c r="A100" s="10" t="s">
        <v>1765</v>
      </c>
      <c r="B100" s="10" t="s">
        <v>2323</v>
      </c>
      <c r="C100" s="10" t="s">
        <v>2324</v>
      </c>
      <c r="D100" s="10" t="s">
        <v>259</v>
      </c>
      <c r="E100" s="10" t="s">
        <v>1431</v>
      </c>
      <c r="F100" s="10" t="s">
        <v>2318</v>
      </c>
      <c r="G100" s="10" t="s">
        <v>362</v>
      </c>
      <c r="H100" s="10" t="s">
        <v>123</v>
      </c>
      <c r="I100" s="10" t="s">
        <v>200</v>
      </c>
      <c r="J100" s="10" t="s">
        <v>366</v>
      </c>
      <c r="K100" s="31">
        <v>264000</v>
      </c>
      <c r="L100" s="10" t="s">
        <v>1431</v>
      </c>
      <c r="M100" s="10"/>
      <c r="N100" s="10" t="s">
        <v>2320</v>
      </c>
      <c r="O100" s="10" t="s">
        <v>2019</v>
      </c>
    </row>
    <row r="101" spans="1:15" x14ac:dyDescent="0.3">
      <c r="A101" s="10" t="s">
        <v>1765</v>
      </c>
      <c r="B101" s="10" t="s">
        <v>2325</v>
      </c>
      <c r="C101" s="10" t="s">
        <v>2326</v>
      </c>
      <c r="D101" s="10" t="s">
        <v>264</v>
      </c>
      <c r="E101" s="10" t="s">
        <v>1431</v>
      </c>
      <c r="F101" s="10" t="s">
        <v>2318</v>
      </c>
      <c r="G101" s="10" t="s">
        <v>362</v>
      </c>
      <c r="H101" s="10" t="s">
        <v>123</v>
      </c>
      <c r="I101" s="10" t="s">
        <v>200</v>
      </c>
      <c r="J101" s="10" t="s">
        <v>366</v>
      </c>
      <c r="K101" s="31">
        <v>264000</v>
      </c>
      <c r="L101" s="10" t="s">
        <v>1433</v>
      </c>
      <c r="M101" s="10" t="s">
        <v>2092</v>
      </c>
      <c r="N101" s="10" t="s">
        <v>2320</v>
      </c>
      <c r="O101" s="10" t="s">
        <v>2019</v>
      </c>
    </row>
    <row r="102" spans="1:15" x14ac:dyDescent="0.3">
      <c r="A102" s="10" t="s">
        <v>1766</v>
      </c>
      <c r="B102" s="10" t="s">
        <v>2327</v>
      </c>
      <c r="C102" s="10" t="s">
        <v>2328</v>
      </c>
      <c r="D102" s="10" t="s">
        <v>247</v>
      </c>
      <c r="E102" s="10" t="s">
        <v>1431</v>
      </c>
      <c r="F102" s="10" t="s">
        <v>2329</v>
      </c>
      <c r="G102" s="10" t="s">
        <v>506</v>
      </c>
      <c r="H102" s="10" t="s">
        <v>123</v>
      </c>
      <c r="I102" s="10" t="s">
        <v>191</v>
      </c>
      <c r="J102" s="10" t="s">
        <v>348</v>
      </c>
      <c r="K102" s="31">
        <v>61200</v>
      </c>
      <c r="L102" s="10" t="s">
        <v>1431</v>
      </c>
      <c r="M102" s="10"/>
      <c r="N102" s="10" t="s">
        <v>2330</v>
      </c>
      <c r="O102" s="10" t="s">
        <v>2052</v>
      </c>
    </row>
    <row r="103" spans="1:15" x14ac:dyDescent="0.3">
      <c r="A103" s="10" t="s">
        <v>1766</v>
      </c>
      <c r="B103" s="10" t="s">
        <v>2331</v>
      </c>
      <c r="C103" s="10" t="s">
        <v>2332</v>
      </c>
      <c r="D103" s="10" t="s">
        <v>259</v>
      </c>
      <c r="E103" s="10" t="s">
        <v>1431</v>
      </c>
      <c r="F103" s="10" t="s">
        <v>2333</v>
      </c>
      <c r="G103" s="10" t="s">
        <v>499</v>
      </c>
      <c r="H103" s="10" t="s">
        <v>123</v>
      </c>
      <c r="I103" s="10" t="s">
        <v>190</v>
      </c>
      <c r="J103" s="10" t="s">
        <v>348</v>
      </c>
      <c r="K103" s="31">
        <v>18840</v>
      </c>
      <c r="L103" s="10" t="s">
        <v>1431</v>
      </c>
      <c r="M103" s="10"/>
      <c r="N103" s="10" t="s">
        <v>2334</v>
      </c>
      <c r="O103" s="10" t="s">
        <v>2052</v>
      </c>
    </row>
    <row r="104" spans="1:15" x14ac:dyDescent="0.3">
      <c r="A104" s="10" t="s">
        <v>1767</v>
      </c>
      <c r="B104" s="10" t="s">
        <v>2335</v>
      </c>
      <c r="C104" s="10" t="s">
        <v>2336</v>
      </c>
      <c r="D104" s="10" t="s">
        <v>247</v>
      </c>
      <c r="E104" s="10" t="s">
        <v>1431</v>
      </c>
      <c r="F104" s="10" t="s">
        <v>397</v>
      </c>
      <c r="G104" s="10" t="s">
        <v>397</v>
      </c>
      <c r="H104" s="10" t="s">
        <v>123</v>
      </c>
      <c r="I104" s="10" t="s">
        <v>192</v>
      </c>
      <c r="J104" s="10" t="s">
        <v>348</v>
      </c>
      <c r="K104" s="31">
        <v>80004</v>
      </c>
      <c r="L104" s="10" t="s">
        <v>1431</v>
      </c>
      <c r="M104" s="10"/>
      <c r="N104" s="10" t="s">
        <v>2337</v>
      </c>
      <c r="O104" s="10" t="s">
        <v>2019</v>
      </c>
    </row>
    <row r="105" spans="1:15" x14ac:dyDescent="0.3">
      <c r="A105" s="10" t="s">
        <v>1767</v>
      </c>
      <c r="B105" s="10" t="s">
        <v>2338</v>
      </c>
      <c r="C105" s="10" t="s">
        <v>2339</v>
      </c>
      <c r="D105" s="10" t="s">
        <v>264</v>
      </c>
      <c r="E105" s="10" t="s">
        <v>1431</v>
      </c>
      <c r="F105" s="10"/>
      <c r="G105" s="10"/>
      <c r="H105" s="10"/>
      <c r="I105" s="10" t="s">
        <v>2064</v>
      </c>
      <c r="J105" s="10"/>
      <c r="K105" s="31">
        <v>0</v>
      </c>
      <c r="L105" s="10" t="s">
        <v>1433</v>
      </c>
      <c r="M105" s="10" t="s">
        <v>2065</v>
      </c>
      <c r="N105" s="10" t="s">
        <v>2340</v>
      </c>
      <c r="O105" s="10"/>
    </row>
    <row r="106" spans="1:15" x14ac:dyDescent="0.3">
      <c r="A106" s="10" t="s">
        <v>1767</v>
      </c>
      <c r="B106" s="10" t="s">
        <v>2341</v>
      </c>
      <c r="C106" s="10" t="s">
        <v>2342</v>
      </c>
      <c r="D106" s="10" t="s">
        <v>2079</v>
      </c>
      <c r="E106" s="10" t="s">
        <v>1431</v>
      </c>
      <c r="F106" s="10"/>
      <c r="G106" s="10"/>
      <c r="H106" s="10"/>
      <c r="I106" s="10" t="s">
        <v>2064</v>
      </c>
      <c r="J106" s="10"/>
      <c r="K106" s="31">
        <v>0</v>
      </c>
      <c r="L106" s="10" t="s">
        <v>1433</v>
      </c>
      <c r="M106" s="10" t="s">
        <v>2065</v>
      </c>
      <c r="N106" s="10" t="s">
        <v>2340</v>
      </c>
      <c r="O106" s="10"/>
    </row>
    <row r="107" spans="1:15" x14ac:dyDescent="0.3">
      <c r="A107" s="10" t="s">
        <v>1768</v>
      </c>
      <c r="B107" s="10" t="s">
        <v>2343</v>
      </c>
      <c r="C107" s="10" t="s">
        <v>2344</v>
      </c>
      <c r="D107" s="10" t="s">
        <v>247</v>
      </c>
      <c r="E107" s="10" t="s">
        <v>1431</v>
      </c>
      <c r="F107" s="10" t="s">
        <v>2345</v>
      </c>
      <c r="G107" s="10" t="s">
        <v>426</v>
      </c>
      <c r="H107" s="10" t="s">
        <v>123</v>
      </c>
      <c r="I107" s="10" t="s">
        <v>191</v>
      </c>
      <c r="J107" s="10" t="s">
        <v>348</v>
      </c>
      <c r="K107" s="31">
        <v>29916</v>
      </c>
      <c r="L107" s="10" t="s">
        <v>1431</v>
      </c>
      <c r="M107" s="10"/>
      <c r="N107" s="10" t="s">
        <v>2346</v>
      </c>
      <c r="O107" s="10"/>
    </row>
    <row r="108" spans="1:15" x14ac:dyDescent="0.3">
      <c r="A108" s="10" t="s">
        <v>1768</v>
      </c>
      <c r="B108" s="10" t="s">
        <v>2347</v>
      </c>
      <c r="C108" s="10" t="s">
        <v>2348</v>
      </c>
      <c r="D108" s="10" t="s">
        <v>259</v>
      </c>
      <c r="E108" s="10" t="s">
        <v>1431</v>
      </c>
      <c r="F108" s="10" t="s">
        <v>637</v>
      </c>
      <c r="G108" s="10" t="s">
        <v>637</v>
      </c>
      <c r="H108" s="10" t="s">
        <v>123</v>
      </c>
      <c r="I108" s="10" t="s">
        <v>190</v>
      </c>
      <c r="J108" s="10" t="s">
        <v>348</v>
      </c>
      <c r="K108" s="31">
        <v>33360</v>
      </c>
      <c r="L108" s="10" t="s">
        <v>1431</v>
      </c>
      <c r="M108" s="10"/>
      <c r="N108" s="10" t="s">
        <v>2349</v>
      </c>
      <c r="O108" s="10"/>
    </row>
    <row r="109" spans="1:15" x14ac:dyDescent="0.3">
      <c r="A109" s="10" t="s">
        <v>1769</v>
      </c>
      <c r="B109" s="10" t="s">
        <v>2350</v>
      </c>
      <c r="C109" s="10" t="s">
        <v>2351</v>
      </c>
      <c r="D109" s="10" t="s">
        <v>247</v>
      </c>
      <c r="E109" s="10" t="s">
        <v>1431</v>
      </c>
      <c r="F109" s="10" t="s">
        <v>2352</v>
      </c>
      <c r="G109" s="10" t="s">
        <v>355</v>
      </c>
      <c r="H109" s="10" t="s">
        <v>123</v>
      </c>
      <c r="I109" s="10" t="s">
        <v>191</v>
      </c>
      <c r="J109" s="10" t="s">
        <v>348</v>
      </c>
      <c r="K109" s="31">
        <v>62580</v>
      </c>
      <c r="L109" s="10" t="s">
        <v>1431</v>
      </c>
      <c r="M109" s="10"/>
      <c r="N109" s="10" t="s">
        <v>2353</v>
      </c>
      <c r="O109" s="10"/>
    </row>
    <row r="110" spans="1:15" x14ac:dyDescent="0.3">
      <c r="A110" s="10" t="s">
        <v>1769</v>
      </c>
      <c r="B110" s="10" t="s">
        <v>2354</v>
      </c>
      <c r="C110" s="10" t="s">
        <v>2355</v>
      </c>
      <c r="D110" s="10" t="s">
        <v>251</v>
      </c>
      <c r="E110" s="10" t="s">
        <v>1433</v>
      </c>
      <c r="F110" s="10"/>
      <c r="G110" s="10"/>
      <c r="H110" s="10"/>
      <c r="I110" s="10" t="s">
        <v>2064</v>
      </c>
      <c r="J110" s="10"/>
      <c r="K110" s="31">
        <v>90000</v>
      </c>
      <c r="L110" s="10" t="s">
        <v>1433</v>
      </c>
      <c r="M110" s="10" t="s">
        <v>2138</v>
      </c>
      <c r="N110" s="10" t="s">
        <v>2356</v>
      </c>
      <c r="O110" s="10"/>
    </row>
    <row r="111" spans="1:15" x14ac:dyDescent="0.3">
      <c r="A111" s="10" t="s">
        <v>1770</v>
      </c>
      <c r="B111" s="10" t="s">
        <v>2357</v>
      </c>
      <c r="C111" s="10" t="s">
        <v>2358</v>
      </c>
      <c r="D111" s="10" t="s">
        <v>247</v>
      </c>
      <c r="E111" s="10" t="s">
        <v>1431</v>
      </c>
      <c r="F111" s="10" t="s">
        <v>751</v>
      </c>
      <c r="G111" s="10" t="s">
        <v>751</v>
      </c>
      <c r="H111" s="10" t="s">
        <v>123</v>
      </c>
      <c r="I111" s="10" t="s">
        <v>203</v>
      </c>
      <c r="J111" s="10" t="s">
        <v>348</v>
      </c>
      <c r="K111" s="31">
        <v>48000</v>
      </c>
      <c r="L111" s="10" t="s">
        <v>1431</v>
      </c>
      <c r="M111" s="10"/>
      <c r="N111" s="10" t="s">
        <v>2359</v>
      </c>
      <c r="O111" s="10" t="s">
        <v>2052</v>
      </c>
    </row>
    <row r="112" spans="1:15" x14ac:dyDescent="0.3">
      <c r="A112" s="10" t="s">
        <v>1770</v>
      </c>
      <c r="B112" s="10" t="s">
        <v>2360</v>
      </c>
      <c r="C112" s="10" t="s">
        <v>2361</v>
      </c>
      <c r="D112" s="10" t="s">
        <v>259</v>
      </c>
      <c r="E112" s="10" t="s">
        <v>1431</v>
      </c>
      <c r="F112" s="10" t="s">
        <v>2362</v>
      </c>
      <c r="G112" s="10" t="s">
        <v>370</v>
      </c>
      <c r="H112" s="10" t="s">
        <v>123</v>
      </c>
      <c r="I112" s="10" t="s">
        <v>201</v>
      </c>
      <c r="J112" s="10" t="s">
        <v>348</v>
      </c>
      <c r="K112" s="31">
        <v>31200</v>
      </c>
      <c r="L112" s="10" t="s">
        <v>1433</v>
      </c>
      <c r="M112" s="10" t="s">
        <v>2092</v>
      </c>
      <c r="N112" s="10" t="s">
        <v>2363</v>
      </c>
      <c r="O112" s="10" t="s">
        <v>2019</v>
      </c>
    </row>
    <row r="113" spans="1:15" x14ac:dyDescent="0.3">
      <c r="A113" s="10" t="s">
        <v>1770</v>
      </c>
      <c r="B113" s="10" t="s">
        <v>2364</v>
      </c>
      <c r="C113" s="10" t="s">
        <v>2365</v>
      </c>
      <c r="D113" s="10" t="s">
        <v>259</v>
      </c>
      <c r="E113" s="10" t="s">
        <v>1431</v>
      </c>
      <c r="F113" s="10" t="s">
        <v>2362</v>
      </c>
      <c r="G113" s="10" t="s">
        <v>370</v>
      </c>
      <c r="H113" s="10" t="s">
        <v>123</v>
      </c>
      <c r="I113" s="10" t="s">
        <v>201</v>
      </c>
      <c r="J113" s="10" t="s">
        <v>348</v>
      </c>
      <c r="K113" s="31">
        <v>31200</v>
      </c>
      <c r="L113" s="10" t="s">
        <v>1433</v>
      </c>
      <c r="M113" s="10" t="s">
        <v>2092</v>
      </c>
      <c r="N113" s="10" t="s">
        <v>2363</v>
      </c>
      <c r="O113" s="10" t="s">
        <v>2019</v>
      </c>
    </row>
    <row r="114" spans="1:15" x14ac:dyDescent="0.3">
      <c r="A114" s="10" t="s">
        <v>1770</v>
      </c>
      <c r="B114" s="10" t="s">
        <v>2366</v>
      </c>
      <c r="C114" s="10" t="s">
        <v>2367</v>
      </c>
      <c r="D114" s="10" t="s">
        <v>259</v>
      </c>
      <c r="E114" s="10" t="s">
        <v>1431</v>
      </c>
      <c r="F114" s="10" t="s">
        <v>2362</v>
      </c>
      <c r="G114" s="10" t="s">
        <v>370</v>
      </c>
      <c r="H114" s="10" t="s">
        <v>123</v>
      </c>
      <c r="I114" s="10" t="s">
        <v>201</v>
      </c>
      <c r="J114" s="10" t="s">
        <v>348</v>
      </c>
      <c r="K114" s="31">
        <v>31200</v>
      </c>
      <c r="L114" s="10" t="s">
        <v>1431</v>
      </c>
      <c r="M114" s="10"/>
      <c r="N114" s="10" t="s">
        <v>2363</v>
      </c>
      <c r="O114" s="10" t="s">
        <v>2019</v>
      </c>
    </row>
    <row r="115" spans="1:15" x14ac:dyDescent="0.3">
      <c r="A115" s="10" t="s">
        <v>1770</v>
      </c>
      <c r="B115" s="10" t="s">
        <v>2368</v>
      </c>
      <c r="C115" s="10" t="s">
        <v>2369</v>
      </c>
      <c r="D115" s="10" t="s">
        <v>259</v>
      </c>
      <c r="E115" s="10" t="s">
        <v>1431</v>
      </c>
      <c r="F115" s="10" t="s">
        <v>2362</v>
      </c>
      <c r="G115" s="10" t="s">
        <v>370</v>
      </c>
      <c r="H115" s="10" t="s">
        <v>123</v>
      </c>
      <c r="I115" s="10" t="s">
        <v>201</v>
      </c>
      <c r="J115" s="10" t="s">
        <v>348</v>
      </c>
      <c r="K115" s="31">
        <v>31200</v>
      </c>
      <c r="L115" s="10" t="s">
        <v>1433</v>
      </c>
      <c r="M115" s="10" t="s">
        <v>2092</v>
      </c>
      <c r="N115" s="10" t="s">
        <v>2363</v>
      </c>
      <c r="O115" s="10" t="s">
        <v>2019</v>
      </c>
    </row>
    <row r="116" spans="1:15" x14ac:dyDescent="0.3">
      <c r="A116" s="10" t="s">
        <v>1771</v>
      </c>
      <c r="B116" s="10" t="s">
        <v>2370</v>
      </c>
      <c r="C116" s="10" t="s">
        <v>2371</v>
      </c>
      <c r="D116" s="10" t="s">
        <v>247</v>
      </c>
      <c r="E116" s="10" t="s">
        <v>1431</v>
      </c>
      <c r="F116" s="10" t="s">
        <v>2372</v>
      </c>
      <c r="G116" s="10" t="s">
        <v>756</v>
      </c>
      <c r="H116" s="10" t="s">
        <v>123</v>
      </c>
      <c r="I116" s="10" t="s">
        <v>197</v>
      </c>
      <c r="J116" s="10" t="s">
        <v>294</v>
      </c>
      <c r="K116" s="31">
        <v>48000</v>
      </c>
      <c r="L116" s="10" t="s">
        <v>1431</v>
      </c>
      <c r="M116" s="10"/>
      <c r="N116" s="10" t="s">
        <v>2373</v>
      </c>
      <c r="O116" s="10"/>
    </row>
    <row r="117" spans="1:15" x14ac:dyDescent="0.3">
      <c r="A117" s="10" t="s">
        <v>1771</v>
      </c>
      <c r="B117" s="10" t="s">
        <v>2374</v>
      </c>
      <c r="C117" s="10" t="s">
        <v>2375</v>
      </c>
      <c r="D117" s="10" t="s">
        <v>264</v>
      </c>
      <c r="E117" s="10" t="s">
        <v>1431</v>
      </c>
      <c r="F117" s="10" t="s">
        <v>2376</v>
      </c>
      <c r="G117" s="10" t="s">
        <v>489</v>
      </c>
      <c r="H117" s="10" t="s">
        <v>123</v>
      </c>
      <c r="I117" s="10" t="s">
        <v>191</v>
      </c>
      <c r="J117" s="10" t="s">
        <v>348</v>
      </c>
      <c r="K117" s="31">
        <v>55200</v>
      </c>
      <c r="L117" s="10" t="s">
        <v>1431</v>
      </c>
      <c r="M117" s="10"/>
      <c r="N117" s="10" t="s">
        <v>2377</v>
      </c>
      <c r="O117" s="10"/>
    </row>
    <row r="118" spans="1:15" x14ac:dyDescent="0.3">
      <c r="A118" s="10" t="s">
        <v>1772</v>
      </c>
      <c r="B118" s="10" t="s">
        <v>2378</v>
      </c>
      <c r="C118" s="10" t="s">
        <v>2379</v>
      </c>
      <c r="D118" s="10" t="s">
        <v>247</v>
      </c>
      <c r="E118" s="10" t="s">
        <v>1431</v>
      </c>
      <c r="F118" s="10" t="s">
        <v>2380</v>
      </c>
      <c r="G118" s="10" t="s">
        <v>471</v>
      </c>
      <c r="H118" s="10" t="s">
        <v>123</v>
      </c>
      <c r="I118" s="10" t="s">
        <v>197</v>
      </c>
      <c r="J118" s="10" t="s">
        <v>366</v>
      </c>
      <c r="K118" s="31">
        <v>123792</v>
      </c>
      <c r="L118" s="10" t="s">
        <v>1431</v>
      </c>
      <c r="M118" s="10"/>
      <c r="N118" s="10" t="s">
        <v>2381</v>
      </c>
      <c r="O118" s="10" t="s">
        <v>2019</v>
      </c>
    </row>
    <row r="119" spans="1:15" x14ac:dyDescent="0.3">
      <c r="A119" s="10" t="s">
        <v>1772</v>
      </c>
      <c r="B119" s="10" t="s">
        <v>2382</v>
      </c>
      <c r="C119" s="10" t="s">
        <v>2383</v>
      </c>
      <c r="D119" s="10" t="s">
        <v>264</v>
      </c>
      <c r="E119" s="10" t="s">
        <v>1431</v>
      </c>
      <c r="F119" s="10"/>
      <c r="G119" s="10"/>
      <c r="H119" s="10"/>
      <c r="I119" s="10" t="s">
        <v>2064</v>
      </c>
      <c r="J119" s="10"/>
      <c r="K119" s="31">
        <v>0</v>
      </c>
      <c r="L119" s="10" t="s">
        <v>1433</v>
      </c>
      <c r="M119" s="10" t="s">
        <v>2065</v>
      </c>
      <c r="N119" s="10" t="s">
        <v>2384</v>
      </c>
      <c r="O119" s="10" t="s">
        <v>2019</v>
      </c>
    </row>
    <row r="120" spans="1:15" x14ac:dyDescent="0.3">
      <c r="A120" s="10" t="s">
        <v>1773</v>
      </c>
      <c r="B120" s="10" t="s">
        <v>2385</v>
      </c>
      <c r="C120" s="10" t="s">
        <v>2386</v>
      </c>
      <c r="D120" s="10" t="s">
        <v>247</v>
      </c>
      <c r="E120" s="10" t="s">
        <v>1431</v>
      </c>
      <c r="F120" s="10" t="s">
        <v>2387</v>
      </c>
      <c r="G120" s="10" t="s">
        <v>361</v>
      </c>
      <c r="H120" s="10" t="s">
        <v>123</v>
      </c>
      <c r="I120" s="10" t="s">
        <v>198</v>
      </c>
      <c r="J120" s="10" t="s">
        <v>348</v>
      </c>
      <c r="K120" s="31">
        <v>28800</v>
      </c>
      <c r="L120" s="10" t="s">
        <v>1431</v>
      </c>
      <c r="M120" s="10"/>
      <c r="N120" s="10" t="s">
        <v>2388</v>
      </c>
      <c r="O120" s="10"/>
    </row>
    <row r="121" spans="1:15" x14ac:dyDescent="0.3">
      <c r="A121" s="10" t="s">
        <v>1773</v>
      </c>
      <c r="B121" s="10" t="s">
        <v>2389</v>
      </c>
      <c r="C121" s="10" t="s">
        <v>2390</v>
      </c>
      <c r="D121" s="10" t="s">
        <v>259</v>
      </c>
      <c r="E121" s="10" t="s">
        <v>1431</v>
      </c>
      <c r="F121" s="10" t="s">
        <v>2391</v>
      </c>
      <c r="G121" s="10" t="s">
        <v>415</v>
      </c>
      <c r="H121" s="10" t="s">
        <v>123</v>
      </c>
      <c r="I121" s="10" t="s">
        <v>204</v>
      </c>
      <c r="J121" s="10" t="s">
        <v>366</v>
      </c>
      <c r="K121" s="31">
        <v>58800</v>
      </c>
      <c r="L121" s="10" t="s">
        <v>1433</v>
      </c>
      <c r="M121" s="10" t="s">
        <v>2092</v>
      </c>
      <c r="N121" s="10" t="s">
        <v>2392</v>
      </c>
      <c r="O121" s="10" t="s">
        <v>2052</v>
      </c>
    </row>
    <row r="122" spans="1:15" x14ac:dyDescent="0.3">
      <c r="A122" s="10" t="s">
        <v>1773</v>
      </c>
      <c r="B122" s="10" t="s">
        <v>2393</v>
      </c>
      <c r="C122" s="10" t="s">
        <v>2394</v>
      </c>
      <c r="D122" s="10" t="s">
        <v>259</v>
      </c>
      <c r="E122" s="10" t="s">
        <v>1431</v>
      </c>
      <c r="F122" s="10" t="s">
        <v>2391</v>
      </c>
      <c r="G122" s="10" t="s">
        <v>415</v>
      </c>
      <c r="H122" s="10" t="s">
        <v>123</v>
      </c>
      <c r="I122" s="10" t="s">
        <v>204</v>
      </c>
      <c r="J122" s="10" t="s">
        <v>366</v>
      </c>
      <c r="K122" s="31">
        <v>58800</v>
      </c>
      <c r="L122" s="10" t="s">
        <v>1431</v>
      </c>
      <c r="M122" s="10"/>
      <c r="N122" s="10" t="s">
        <v>2392</v>
      </c>
      <c r="O122" s="10" t="s">
        <v>2052</v>
      </c>
    </row>
    <row r="123" spans="1:15" x14ac:dyDescent="0.3">
      <c r="A123" s="10" t="s">
        <v>1774</v>
      </c>
      <c r="B123" s="10" t="s">
        <v>2395</v>
      </c>
      <c r="C123" s="10" t="s">
        <v>2396</v>
      </c>
      <c r="D123" s="10" t="s">
        <v>247</v>
      </c>
      <c r="E123" s="10" t="s">
        <v>1431</v>
      </c>
      <c r="F123" s="10" t="s">
        <v>2397</v>
      </c>
      <c r="G123" s="10" t="s">
        <v>354</v>
      </c>
      <c r="H123" s="10" t="s">
        <v>123</v>
      </c>
      <c r="I123" s="10" t="s">
        <v>191</v>
      </c>
      <c r="J123" s="10" t="s">
        <v>348</v>
      </c>
      <c r="K123" s="31">
        <v>62400</v>
      </c>
      <c r="L123" s="10" t="s">
        <v>1431</v>
      </c>
      <c r="M123" s="10"/>
      <c r="N123" s="10" t="s">
        <v>2398</v>
      </c>
      <c r="O123" s="10" t="s">
        <v>2052</v>
      </c>
    </row>
    <row r="124" spans="1:15" x14ac:dyDescent="0.3">
      <c r="A124" s="10" t="s">
        <v>1775</v>
      </c>
      <c r="B124" s="10" t="s">
        <v>2399</v>
      </c>
      <c r="C124" s="10" t="s">
        <v>2400</v>
      </c>
      <c r="D124" s="10" t="s">
        <v>247</v>
      </c>
      <c r="E124" s="10" t="s">
        <v>1431</v>
      </c>
      <c r="F124" s="10" t="s">
        <v>470</v>
      </c>
      <c r="G124" s="10" t="s">
        <v>470</v>
      </c>
      <c r="H124" s="10" t="s">
        <v>123</v>
      </c>
      <c r="I124" s="10" t="s">
        <v>190</v>
      </c>
      <c r="J124" s="10" t="s">
        <v>348</v>
      </c>
      <c r="K124" s="31">
        <v>28452</v>
      </c>
      <c r="L124" s="10" t="s">
        <v>1431</v>
      </c>
      <c r="M124" s="10"/>
      <c r="N124" s="10" t="s">
        <v>2401</v>
      </c>
      <c r="O124" s="10" t="s">
        <v>2052</v>
      </c>
    </row>
    <row r="125" spans="1:15" x14ac:dyDescent="0.3">
      <c r="A125" s="10" t="s">
        <v>1775</v>
      </c>
      <c r="B125" s="10" t="s">
        <v>2402</v>
      </c>
      <c r="C125" s="10" t="s">
        <v>2403</v>
      </c>
      <c r="D125" s="10" t="s">
        <v>259</v>
      </c>
      <c r="E125" s="10" t="s">
        <v>1431</v>
      </c>
      <c r="F125" s="10" t="s">
        <v>2404</v>
      </c>
      <c r="G125" s="10" t="s">
        <v>586</v>
      </c>
      <c r="H125" s="10" t="s">
        <v>123</v>
      </c>
      <c r="I125" s="10" t="s">
        <v>195</v>
      </c>
      <c r="J125" s="10" t="s">
        <v>348</v>
      </c>
      <c r="K125" s="31">
        <v>41376</v>
      </c>
      <c r="L125" s="10" t="s">
        <v>1431</v>
      </c>
      <c r="M125" s="10"/>
      <c r="N125" s="10" t="s">
        <v>2405</v>
      </c>
      <c r="O125" s="10" t="s">
        <v>2052</v>
      </c>
    </row>
    <row r="126" spans="1:15" x14ac:dyDescent="0.3">
      <c r="A126" s="10" t="s">
        <v>1776</v>
      </c>
      <c r="B126" s="10" t="s">
        <v>2406</v>
      </c>
      <c r="C126" s="10" t="s">
        <v>2407</v>
      </c>
      <c r="D126" s="10" t="s">
        <v>247</v>
      </c>
      <c r="E126" s="10" t="s">
        <v>1431</v>
      </c>
      <c r="F126" s="10" t="s">
        <v>2408</v>
      </c>
      <c r="G126" s="10" t="s">
        <v>463</v>
      </c>
      <c r="H126" s="10" t="s">
        <v>123</v>
      </c>
      <c r="I126" s="10" t="s">
        <v>194</v>
      </c>
      <c r="J126" s="10" t="s">
        <v>366</v>
      </c>
      <c r="K126" s="31">
        <v>90000</v>
      </c>
      <c r="L126" s="10" t="s">
        <v>1431</v>
      </c>
      <c r="M126" s="10"/>
      <c r="N126" s="10" t="s">
        <v>2409</v>
      </c>
      <c r="O126" s="10"/>
    </row>
    <row r="127" spans="1:15" x14ac:dyDescent="0.3">
      <c r="A127" s="10" t="s">
        <v>1776</v>
      </c>
      <c r="B127" s="10" t="s">
        <v>2410</v>
      </c>
      <c r="C127" s="10" t="s">
        <v>2411</v>
      </c>
      <c r="D127" s="10" t="s">
        <v>2079</v>
      </c>
      <c r="E127" s="10" t="s">
        <v>1431</v>
      </c>
      <c r="F127" s="10"/>
      <c r="G127" s="10"/>
      <c r="H127" s="10"/>
      <c r="I127" s="10" t="s">
        <v>2064</v>
      </c>
      <c r="J127" s="10"/>
      <c r="K127" s="31">
        <v>0</v>
      </c>
      <c r="L127" s="10" t="s">
        <v>1433</v>
      </c>
      <c r="M127" s="10" t="s">
        <v>2065</v>
      </c>
      <c r="N127" s="10" t="s">
        <v>2412</v>
      </c>
      <c r="O127" s="10"/>
    </row>
    <row r="128" spans="1:15" x14ac:dyDescent="0.3">
      <c r="A128" s="10" t="s">
        <v>1777</v>
      </c>
      <c r="B128" s="10" t="s">
        <v>2413</v>
      </c>
      <c r="C128" s="10" t="s">
        <v>2414</v>
      </c>
      <c r="D128" s="10" t="s">
        <v>247</v>
      </c>
      <c r="E128" s="10" t="s">
        <v>1431</v>
      </c>
      <c r="F128" s="10"/>
      <c r="G128" s="10"/>
      <c r="H128" s="10"/>
      <c r="I128" s="10" t="s">
        <v>2064</v>
      </c>
      <c r="J128" s="10"/>
      <c r="K128" s="31">
        <v>20400</v>
      </c>
      <c r="L128" s="10" t="s">
        <v>1431</v>
      </c>
      <c r="M128" s="10"/>
      <c r="N128" s="10" t="s">
        <v>2415</v>
      </c>
      <c r="O128" s="10" t="s">
        <v>2052</v>
      </c>
    </row>
    <row r="129" spans="1:15" x14ac:dyDescent="0.3">
      <c r="A129" s="10" t="s">
        <v>1777</v>
      </c>
      <c r="B129" s="10" t="s">
        <v>2416</v>
      </c>
      <c r="C129" s="10" t="s">
        <v>2417</v>
      </c>
      <c r="D129" s="10" t="s">
        <v>259</v>
      </c>
      <c r="E129" s="10" t="s">
        <v>1431</v>
      </c>
      <c r="F129" s="10" t="s">
        <v>374</v>
      </c>
      <c r="G129" s="10" t="s">
        <v>374</v>
      </c>
      <c r="H129" s="10" t="s">
        <v>123</v>
      </c>
      <c r="I129" s="10" t="s">
        <v>197</v>
      </c>
      <c r="J129" s="10" t="s">
        <v>348</v>
      </c>
      <c r="K129" s="31">
        <v>18000</v>
      </c>
      <c r="L129" s="10" t="s">
        <v>1433</v>
      </c>
      <c r="M129" s="10" t="s">
        <v>2092</v>
      </c>
      <c r="N129" s="10" t="s">
        <v>2418</v>
      </c>
      <c r="O129" s="10"/>
    </row>
    <row r="130" spans="1:15" x14ac:dyDescent="0.3">
      <c r="A130" s="10" t="s">
        <v>1777</v>
      </c>
      <c r="B130" s="10" t="s">
        <v>2419</v>
      </c>
      <c r="C130" s="10" t="s">
        <v>2420</v>
      </c>
      <c r="D130" s="10" t="s">
        <v>259</v>
      </c>
      <c r="E130" s="10" t="s">
        <v>1431</v>
      </c>
      <c r="F130" s="10" t="s">
        <v>374</v>
      </c>
      <c r="G130" s="10" t="s">
        <v>374</v>
      </c>
      <c r="H130" s="10" t="s">
        <v>123</v>
      </c>
      <c r="I130" s="10" t="s">
        <v>197</v>
      </c>
      <c r="J130" s="10" t="s">
        <v>348</v>
      </c>
      <c r="K130" s="31">
        <v>18000</v>
      </c>
      <c r="L130" s="10" t="s">
        <v>1431</v>
      </c>
      <c r="M130" s="10"/>
      <c r="N130" s="10" t="s">
        <v>2418</v>
      </c>
      <c r="O130" s="10"/>
    </row>
    <row r="131" spans="1:15" x14ac:dyDescent="0.3">
      <c r="A131" s="10" t="s">
        <v>1777</v>
      </c>
      <c r="B131" s="10" t="s">
        <v>2421</v>
      </c>
      <c r="C131" s="10" t="s">
        <v>2422</v>
      </c>
      <c r="D131" s="10" t="s">
        <v>259</v>
      </c>
      <c r="E131" s="10" t="s">
        <v>1431</v>
      </c>
      <c r="F131" s="10" t="s">
        <v>374</v>
      </c>
      <c r="G131" s="10" t="s">
        <v>374</v>
      </c>
      <c r="H131" s="10" t="s">
        <v>123</v>
      </c>
      <c r="I131" s="10" t="s">
        <v>197</v>
      </c>
      <c r="J131" s="10" t="s">
        <v>348</v>
      </c>
      <c r="K131" s="31">
        <v>18000</v>
      </c>
      <c r="L131" s="10" t="s">
        <v>1433</v>
      </c>
      <c r="M131" s="10" t="s">
        <v>2092</v>
      </c>
      <c r="N131" s="10" t="s">
        <v>2418</v>
      </c>
      <c r="O131" s="10"/>
    </row>
    <row r="132" spans="1:15" x14ac:dyDescent="0.3">
      <c r="A132" s="10" t="s">
        <v>1778</v>
      </c>
      <c r="B132" s="10" t="s">
        <v>2423</v>
      </c>
      <c r="C132" s="10" t="s">
        <v>2424</v>
      </c>
      <c r="D132" s="10" t="s">
        <v>247</v>
      </c>
      <c r="E132" s="10" t="s">
        <v>1431</v>
      </c>
      <c r="F132" s="10"/>
      <c r="G132" s="10"/>
      <c r="H132" s="10"/>
      <c r="I132" s="10" t="s">
        <v>2064</v>
      </c>
      <c r="J132" s="10"/>
      <c r="K132" s="31">
        <v>0</v>
      </c>
      <c r="L132" s="10" t="s">
        <v>1433</v>
      </c>
      <c r="M132" s="10" t="s">
        <v>2065</v>
      </c>
      <c r="N132" s="10" t="s">
        <v>2425</v>
      </c>
      <c r="O132" s="10" t="s">
        <v>2052</v>
      </c>
    </row>
    <row r="133" spans="1:15" x14ac:dyDescent="0.3">
      <c r="A133" s="10" t="s">
        <v>1778</v>
      </c>
      <c r="B133" s="10" t="s">
        <v>2426</v>
      </c>
      <c r="C133" s="10" t="s">
        <v>2427</v>
      </c>
      <c r="D133" s="10" t="s">
        <v>251</v>
      </c>
      <c r="E133" s="10" t="s">
        <v>1433</v>
      </c>
      <c r="F133" s="10" t="s">
        <v>2428</v>
      </c>
      <c r="G133" s="10" t="s">
        <v>2428</v>
      </c>
      <c r="H133" s="10" t="s">
        <v>123</v>
      </c>
      <c r="I133" s="10" t="s">
        <v>191</v>
      </c>
      <c r="J133" s="10" t="s">
        <v>348</v>
      </c>
      <c r="K133" s="31">
        <v>150000</v>
      </c>
      <c r="L133" s="10" t="s">
        <v>1433</v>
      </c>
      <c r="M133" s="10" t="s">
        <v>2138</v>
      </c>
      <c r="N133" s="10" t="s">
        <v>2429</v>
      </c>
      <c r="O133" s="10" t="s">
        <v>2019</v>
      </c>
    </row>
    <row r="134" spans="1:15" x14ac:dyDescent="0.3">
      <c r="A134" s="10" t="s">
        <v>1779</v>
      </c>
      <c r="B134" s="10" t="s">
        <v>2430</v>
      </c>
      <c r="C134" s="10" t="s">
        <v>2431</v>
      </c>
      <c r="D134" s="10" t="s">
        <v>247</v>
      </c>
      <c r="E134" s="10" t="s">
        <v>1431</v>
      </c>
      <c r="F134" s="10" t="s">
        <v>434</v>
      </c>
      <c r="G134" s="10" t="s">
        <v>434</v>
      </c>
      <c r="H134" s="10" t="s">
        <v>123</v>
      </c>
      <c r="I134" s="10" t="s">
        <v>191</v>
      </c>
      <c r="J134" s="10" t="s">
        <v>348</v>
      </c>
      <c r="K134" s="31">
        <v>51564</v>
      </c>
      <c r="L134" s="10" t="s">
        <v>1431</v>
      </c>
      <c r="M134" s="10"/>
      <c r="N134" s="10" t="s">
        <v>2432</v>
      </c>
      <c r="O134" s="10"/>
    </row>
    <row r="135" spans="1:15" x14ac:dyDescent="0.3">
      <c r="A135" s="10" t="s">
        <v>1779</v>
      </c>
      <c r="B135" s="10" t="s">
        <v>2433</v>
      </c>
      <c r="C135" s="10" t="s">
        <v>2434</v>
      </c>
      <c r="D135" s="10" t="s">
        <v>259</v>
      </c>
      <c r="E135" s="10" t="s">
        <v>1431</v>
      </c>
      <c r="F135" s="10" t="s">
        <v>434</v>
      </c>
      <c r="G135" s="10" t="s">
        <v>434</v>
      </c>
      <c r="H135" s="10" t="s">
        <v>123</v>
      </c>
      <c r="I135" s="10" t="s">
        <v>191</v>
      </c>
      <c r="J135" s="10" t="s">
        <v>348</v>
      </c>
      <c r="K135" s="31">
        <v>62964</v>
      </c>
      <c r="L135" s="10" t="s">
        <v>1431</v>
      </c>
      <c r="M135" s="10"/>
      <c r="N135" s="10" t="s">
        <v>2435</v>
      </c>
      <c r="O135" s="10" t="s">
        <v>2019</v>
      </c>
    </row>
    <row r="136" spans="1:15" x14ac:dyDescent="0.3">
      <c r="A136" s="10" t="s">
        <v>1780</v>
      </c>
      <c r="B136" s="10" t="s">
        <v>2436</v>
      </c>
      <c r="C136" s="10" t="s">
        <v>2437</v>
      </c>
      <c r="D136" s="10" t="s">
        <v>247</v>
      </c>
      <c r="E136" s="10" t="s">
        <v>1431</v>
      </c>
      <c r="F136" s="10" t="s">
        <v>593</v>
      </c>
      <c r="G136" s="10" t="s">
        <v>593</v>
      </c>
      <c r="H136" s="10" t="s">
        <v>123</v>
      </c>
      <c r="I136" s="10" t="s">
        <v>194</v>
      </c>
      <c r="J136" s="10" t="s">
        <v>348</v>
      </c>
      <c r="K136" s="31">
        <v>600000</v>
      </c>
      <c r="L136" s="10" t="s">
        <v>1431</v>
      </c>
      <c r="M136" s="10"/>
      <c r="N136" s="10" t="s">
        <v>2438</v>
      </c>
      <c r="O136" s="10" t="s">
        <v>2052</v>
      </c>
    </row>
    <row r="137" spans="1:15" x14ac:dyDescent="0.3">
      <c r="A137" s="10" t="s">
        <v>1780</v>
      </c>
      <c r="B137" s="10" t="s">
        <v>2439</v>
      </c>
      <c r="C137" s="10" t="s">
        <v>2440</v>
      </c>
      <c r="D137" s="10" t="s">
        <v>259</v>
      </c>
      <c r="E137" s="10" t="s">
        <v>1431</v>
      </c>
      <c r="F137" s="10" t="s">
        <v>658</v>
      </c>
      <c r="G137" s="10" t="s">
        <v>658</v>
      </c>
      <c r="H137" s="10" t="s">
        <v>123</v>
      </c>
      <c r="I137" s="10" t="s">
        <v>195</v>
      </c>
      <c r="J137" s="10" t="s">
        <v>348</v>
      </c>
      <c r="K137" s="31">
        <v>96000</v>
      </c>
      <c r="L137" s="10" t="s">
        <v>1433</v>
      </c>
      <c r="M137" s="10" t="s">
        <v>2092</v>
      </c>
      <c r="N137" s="10" t="s">
        <v>2441</v>
      </c>
      <c r="O137" s="10" t="s">
        <v>2019</v>
      </c>
    </row>
    <row r="138" spans="1:15" x14ac:dyDescent="0.3">
      <c r="A138" s="10" t="s">
        <v>1780</v>
      </c>
      <c r="B138" s="10" t="s">
        <v>2442</v>
      </c>
      <c r="C138" s="10" t="s">
        <v>2443</v>
      </c>
      <c r="D138" s="10" t="s">
        <v>251</v>
      </c>
      <c r="E138" s="10" t="s">
        <v>1433</v>
      </c>
      <c r="F138" s="10" t="s">
        <v>658</v>
      </c>
      <c r="G138" s="10" t="s">
        <v>658</v>
      </c>
      <c r="H138" s="10" t="s">
        <v>123</v>
      </c>
      <c r="I138" s="10" t="s">
        <v>195</v>
      </c>
      <c r="J138" s="10" t="s">
        <v>348</v>
      </c>
      <c r="K138" s="31">
        <v>96000</v>
      </c>
      <c r="L138" s="10" t="s">
        <v>1433</v>
      </c>
      <c r="M138" s="10" t="s">
        <v>2138</v>
      </c>
      <c r="N138" s="10" t="s">
        <v>2441</v>
      </c>
      <c r="O138" s="10" t="s">
        <v>2019</v>
      </c>
    </row>
    <row r="139" spans="1:15" x14ac:dyDescent="0.3">
      <c r="A139" s="10" t="s">
        <v>1781</v>
      </c>
      <c r="B139" s="10" t="s">
        <v>2444</v>
      </c>
      <c r="C139" s="10" t="s">
        <v>2445</v>
      </c>
      <c r="D139" s="10" t="s">
        <v>247</v>
      </c>
      <c r="E139" s="10" t="s">
        <v>1431</v>
      </c>
      <c r="F139" s="10" t="s">
        <v>2446</v>
      </c>
      <c r="G139" s="10" t="s">
        <v>355</v>
      </c>
      <c r="H139" s="10" t="s">
        <v>123</v>
      </c>
      <c r="I139" s="10" t="s">
        <v>191</v>
      </c>
      <c r="J139" s="10" t="s">
        <v>348</v>
      </c>
      <c r="K139" s="31">
        <v>12000</v>
      </c>
      <c r="L139" s="10" t="s">
        <v>1431</v>
      </c>
      <c r="M139" s="10"/>
      <c r="N139" s="10" t="s">
        <v>2447</v>
      </c>
      <c r="O139" s="10" t="s">
        <v>2052</v>
      </c>
    </row>
    <row r="140" spans="1:15" x14ac:dyDescent="0.3">
      <c r="A140" s="10" t="s">
        <v>1781</v>
      </c>
      <c r="B140" s="10" t="s">
        <v>2448</v>
      </c>
      <c r="C140" s="10" t="s">
        <v>2449</v>
      </c>
      <c r="D140" s="10" t="s">
        <v>251</v>
      </c>
      <c r="E140" s="10" t="s">
        <v>1433</v>
      </c>
      <c r="F140" s="10" t="s">
        <v>354</v>
      </c>
      <c r="G140" s="10" t="s">
        <v>354</v>
      </c>
      <c r="H140" s="10" t="s">
        <v>123</v>
      </c>
      <c r="I140" s="10" t="s">
        <v>191</v>
      </c>
      <c r="J140" s="10" t="s">
        <v>348</v>
      </c>
      <c r="K140" s="31">
        <v>120000</v>
      </c>
      <c r="L140" s="10" t="s">
        <v>1433</v>
      </c>
      <c r="M140" s="10" t="s">
        <v>2138</v>
      </c>
      <c r="N140" s="10" t="s">
        <v>2450</v>
      </c>
      <c r="O140" s="10"/>
    </row>
    <row r="141" spans="1:15" x14ac:dyDescent="0.3">
      <c r="A141" s="10" t="s">
        <v>1782</v>
      </c>
      <c r="B141" s="10" t="s">
        <v>2451</v>
      </c>
      <c r="C141" s="10" t="s">
        <v>2452</v>
      </c>
      <c r="D141" s="10" t="s">
        <v>247</v>
      </c>
      <c r="E141" s="10" t="s">
        <v>1431</v>
      </c>
      <c r="F141" s="10" t="s">
        <v>2453</v>
      </c>
      <c r="G141" s="10" t="s">
        <v>359</v>
      </c>
      <c r="H141" s="10" t="s">
        <v>123</v>
      </c>
      <c r="I141" s="10" t="s">
        <v>190</v>
      </c>
      <c r="J141" s="10" t="s">
        <v>348</v>
      </c>
      <c r="K141" s="31">
        <v>99132</v>
      </c>
      <c r="L141" s="10" t="s">
        <v>1431</v>
      </c>
      <c r="M141" s="10"/>
      <c r="N141" s="10" t="s">
        <v>2454</v>
      </c>
      <c r="O141" s="10"/>
    </row>
    <row r="142" spans="1:15" x14ac:dyDescent="0.3">
      <c r="A142" s="10" t="s">
        <v>1782</v>
      </c>
      <c r="B142" s="10" t="s">
        <v>2455</v>
      </c>
      <c r="C142" s="10" t="s">
        <v>2456</v>
      </c>
      <c r="D142" s="10" t="s">
        <v>259</v>
      </c>
      <c r="E142" s="10" t="s">
        <v>1431</v>
      </c>
      <c r="F142" s="10" t="s">
        <v>2457</v>
      </c>
      <c r="G142" s="10" t="s">
        <v>359</v>
      </c>
      <c r="H142" s="10" t="s">
        <v>123</v>
      </c>
      <c r="I142" s="10" t="s">
        <v>190</v>
      </c>
      <c r="J142" s="10" t="s">
        <v>348</v>
      </c>
      <c r="K142" s="31">
        <v>24324</v>
      </c>
      <c r="L142" s="10" t="s">
        <v>1431</v>
      </c>
      <c r="M142" s="10"/>
      <c r="N142" s="10" t="s">
        <v>2458</v>
      </c>
      <c r="O142" s="10"/>
    </row>
    <row r="143" spans="1:15" x14ac:dyDescent="0.3">
      <c r="A143" s="10" t="s">
        <v>306</v>
      </c>
      <c r="B143" s="10" t="s">
        <v>2459</v>
      </c>
      <c r="C143" s="10" t="s">
        <v>2460</v>
      </c>
      <c r="D143" s="10" t="s">
        <v>247</v>
      </c>
      <c r="E143" s="10" t="s">
        <v>1431</v>
      </c>
      <c r="F143" s="10" t="s">
        <v>2461</v>
      </c>
      <c r="G143" s="10" t="s">
        <v>305</v>
      </c>
      <c r="H143" s="10" t="s">
        <v>119</v>
      </c>
      <c r="I143" s="10" t="s">
        <v>187</v>
      </c>
      <c r="J143" s="10" t="s">
        <v>249</v>
      </c>
      <c r="K143" s="31">
        <v>80004</v>
      </c>
      <c r="L143" s="10" t="s">
        <v>1431</v>
      </c>
      <c r="M143" s="10"/>
      <c r="N143" s="10" t="s">
        <v>2131</v>
      </c>
      <c r="O143" s="10" t="s">
        <v>2052</v>
      </c>
    </row>
    <row r="144" spans="1:15" x14ac:dyDescent="0.3">
      <c r="A144" s="10" t="s">
        <v>306</v>
      </c>
      <c r="B144" s="10" t="s">
        <v>2462</v>
      </c>
      <c r="C144" s="10" t="s">
        <v>2463</v>
      </c>
      <c r="D144" s="10" t="s">
        <v>259</v>
      </c>
      <c r="E144" s="10" t="s">
        <v>1431</v>
      </c>
      <c r="F144" s="10" t="s">
        <v>2464</v>
      </c>
      <c r="G144" s="10" t="s">
        <v>584</v>
      </c>
      <c r="H144" s="10" t="s">
        <v>123</v>
      </c>
      <c r="I144" s="10" t="s">
        <v>190</v>
      </c>
      <c r="J144" s="10" t="s">
        <v>348</v>
      </c>
      <c r="K144" s="31">
        <v>31200</v>
      </c>
      <c r="L144" s="10" t="s">
        <v>1431</v>
      </c>
      <c r="M144" s="10"/>
      <c r="N144" s="10" t="s">
        <v>2465</v>
      </c>
      <c r="O144" s="10"/>
    </row>
    <row r="145" spans="1:15" x14ac:dyDescent="0.3">
      <c r="A145" s="10" t="s">
        <v>1783</v>
      </c>
      <c r="B145" s="10" t="s">
        <v>2466</v>
      </c>
      <c r="C145" s="10" t="s">
        <v>2467</v>
      </c>
      <c r="D145" s="10" t="s">
        <v>247</v>
      </c>
      <c r="E145" s="10" t="s">
        <v>1431</v>
      </c>
      <c r="F145" s="10" t="s">
        <v>2063</v>
      </c>
      <c r="G145" s="10"/>
      <c r="H145" s="10"/>
      <c r="I145" s="10" t="s">
        <v>2064</v>
      </c>
      <c r="J145" s="10"/>
      <c r="K145" s="31">
        <v>0</v>
      </c>
      <c r="L145" s="10" t="s">
        <v>1433</v>
      </c>
      <c r="M145" s="10" t="s">
        <v>2065</v>
      </c>
      <c r="N145" s="10" t="s">
        <v>2468</v>
      </c>
      <c r="O145" s="10"/>
    </row>
    <row r="146" spans="1:15" x14ac:dyDescent="0.3">
      <c r="A146" s="10" t="s">
        <v>1783</v>
      </c>
      <c r="B146" s="10" t="s">
        <v>2469</v>
      </c>
      <c r="C146" s="10" t="s">
        <v>2470</v>
      </c>
      <c r="D146" s="10" t="s">
        <v>259</v>
      </c>
      <c r="E146" s="10" t="s">
        <v>1431</v>
      </c>
      <c r="F146" s="10" t="s">
        <v>699</v>
      </c>
      <c r="G146" s="10" t="s">
        <v>699</v>
      </c>
      <c r="H146" s="10" t="s">
        <v>123</v>
      </c>
      <c r="I146" s="10" t="s">
        <v>191</v>
      </c>
      <c r="J146" s="10" t="s">
        <v>348</v>
      </c>
      <c r="K146" s="31">
        <v>72000</v>
      </c>
      <c r="L146" s="10" t="s">
        <v>1431</v>
      </c>
      <c r="M146" s="10"/>
      <c r="N146" s="10" t="s">
        <v>2471</v>
      </c>
      <c r="O146" s="10"/>
    </row>
    <row r="147" spans="1:15" x14ac:dyDescent="0.3">
      <c r="A147" s="10" t="s">
        <v>1784</v>
      </c>
      <c r="B147" s="10" t="s">
        <v>2472</v>
      </c>
      <c r="C147" s="10" t="s">
        <v>2473</v>
      </c>
      <c r="D147" s="10" t="s">
        <v>247</v>
      </c>
      <c r="E147" s="10" t="s">
        <v>1431</v>
      </c>
      <c r="F147" s="10" t="s">
        <v>654</v>
      </c>
      <c r="G147" s="10" t="s">
        <v>654</v>
      </c>
      <c r="H147" s="10" t="s">
        <v>123</v>
      </c>
      <c r="I147" s="10" t="s">
        <v>195</v>
      </c>
      <c r="J147" s="10" t="s">
        <v>366</v>
      </c>
      <c r="K147" s="31">
        <v>33732</v>
      </c>
      <c r="L147" s="10" t="s">
        <v>1431</v>
      </c>
      <c r="M147" s="10"/>
      <c r="N147" s="10" t="s">
        <v>2474</v>
      </c>
      <c r="O147" s="10" t="s">
        <v>2052</v>
      </c>
    </row>
    <row r="148" spans="1:15" x14ac:dyDescent="0.3">
      <c r="A148" s="10" t="s">
        <v>1784</v>
      </c>
      <c r="B148" s="10" t="s">
        <v>2475</v>
      </c>
      <c r="C148" s="10" t="s">
        <v>2476</v>
      </c>
      <c r="D148" s="10" t="s">
        <v>259</v>
      </c>
      <c r="E148" s="10" t="s">
        <v>1431</v>
      </c>
      <c r="F148" s="10" t="s">
        <v>2477</v>
      </c>
      <c r="G148" s="10" t="s">
        <v>356</v>
      </c>
      <c r="H148" s="10" t="s">
        <v>123</v>
      </c>
      <c r="I148" s="10" t="s">
        <v>196</v>
      </c>
      <c r="J148" s="10" t="s">
        <v>348</v>
      </c>
      <c r="K148" s="31">
        <v>36624</v>
      </c>
      <c r="L148" s="10" t="s">
        <v>1431</v>
      </c>
      <c r="M148" s="10"/>
      <c r="N148" s="10" t="s">
        <v>2478</v>
      </c>
      <c r="O148" s="10"/>
    </row>
    <row r="149" spans="1:15" x14ac:dyDescent="0.3">
      <c r="A149" s="10" t="s">
        <v>1785</v>
      </c>
      <c r="B149" s="10" t="s">
        <v>2479</v>
      </c>
      <c r="C149" s="10" t="s">
        <v>2480</v>
      </c>
      <c r="D149" s="10" t="s">
        <v>247</v>
      </c>
      <c r="E149" s="10" t="s">
        <v>1431</v>
      </c>
      <c r="F149" s="10" t="s">
        <v>2481</v>
      </c>
      <c r="G149" s="10" t="s">
        <v>354</v>
      </c>
      <c r="H149" s="10" t="s">
        <v>123</v>
      </c>
      <c r="I149" s="10" t="s">
        <v>191</v>
      </c>
      <c r="J149" s="10" t="s">
        <v>348</v>
      </c>
      <c r="K149" s="31">
        <v>144000</v>
      </c>
      <c r="L149" s="10" t="s">
        <v>1431</v>
      </c>
      <c r="M149" s="10"/>
      <c r="N149" s="10" t="s">
        <v>2482</v>
      </c>
      <c r="O149" s="10"/>
    </row>
    <row r="150" spans="1:15" x14ac:dyDescent="0.3">
      <c r="A150" s="10" t="s">
        <v>1785</v>
      </c>
      <c r="B150" s="10" t="s">
        <v>2483</v>
      </c>
      <c r="C150" s="10" t="s">
        <v>2484</v>
      </c>
      <c r="D150" s="10" t="s">
        <v>2079</v>
      </c>
      <c r="E150" s="10" t="s">
        <v>1431</v>
      </c>
      <c r="F150" s="10"/>
      <c r="G150" s="10"/>
      <c r="H150" s="10"/>
      <c r="I150" s="10" t="s">
        <v>2064</v>
      </c>
      <c r="J150" s="10"/>
      <c r="K150" s="31">
        <v>0</v>
      </c>
      <c r="L150" s="10" t="s">
        <v>1433</v>
      </c>
      <c r="M150" s="10" t="s">
        <v>2065</v>
      </c>
      <c r="N150" s="10"/>
      <c r="O150" s="10"/>
    </row>
    <row r="151" spans="1:15" x14ac:dyDescent="0.3">
      <c r="A151" s="10" t="s">
        <v>1786</v>
      </c>
      <c r="B151" s="10" t="s">
        <v>2485</v>
      </c>
      <c r="C151" s="10" t="s">
        <v>2486</v>
      </c>
      <c r="D151" s="10" t="s">
        <v>247</v>
      </c>
      <c r="E151" s="10" t="s">
        <v>1431</v>
      </c>
      <c r="F151" s="10" t="s">
        <v>2487</v>
      </c>
      <c r="G151" s="10" t="s">
        <v>355</v>
      </c>
      <c r="H151" s="10" t="s">
        <v>123</v>
      </c>
      <c r="I151" s="10" t="s">
        <v>191</v>
      </c>
      <c r="J151" s="10" t="s">
        <v>348</v>
      </c>
      <c r="K151" s="31">
        <v>54000</v>
      </c>
      <c r="L151" s="10" t="s">
        <v>1431</v>
      </c>
      <c r="M151" s="10"/>
      <c r="N151" s="10" t="s">
        <v>2488</v>
      </c>
      <c r="O151" s="10"/>
    </row>
    <row r="152" spans="1:15" x14ac:dyDescent="0.3">
      <c r="A152" s="10" t="s">
        <v>1787</v>
      </c>
      <c r="B152" s="10" t="s">
        <v>2489</v>
      </c>
      <c r="C152" s="10" t="s">
        <v>2490</v>
      </c>
      <c r="D152" s="10" t="s">
        <v>247</v>
      </c>
      <c r="E152" s="10" t="s">
        <v>1431</v>
      </c>
      <c r="F152" s="10" t="s">
        <v>2491</v>
      </c>
      <c r="G152" s="10" t="s">
        <v>437</v>
      </c>
      <c r="H152" s="10" t="s">
        <v>123</v>
      </c>
      <c r="I152" s="10" t="s">
        <v>192</v>
      </c>
      <c r="J152" s="10" t="s">
        <v>348</v>
      </c>
      <c r="K152" s="31">
        <v>78732</v>
      </c>
      <c r="L152" s="10" t="s">
        <v>1431</v>
      </c>
      <c r="M152" s="10"/>
      <c r="N152" s="10" t="s">
        <v>2492</v>
      </c>
      <c r="O152" s="10"/>
    </row>
    <row r="153" spans="1:15" x14ac:dyDescent="0.3">
      <c r="A153" s="10" t="s">
        <v>1787</v>
      </c>
      <c r="B153" s="10" t="s">
        <v>2493</v>
      </c>
      <c r="C153" s="10" t="s">
        <v>2494</v>
      </c>
      <c r="D153" s="10" t="s">
        <v>264</v>
      </c>
      <c r="E153" s="10" t="s">
        <v>1431</v>
      </c>
      <c r="F153" s="10" t="s">
        <v>437</v>
      </c>
      <c r="G153" s="10" t="s">
        <v>437</v>
      </c>
      <c r="H153" s="10" t="s">
        <v>123</v>
      </c>
      <c r="I153" s="10" t="s">
        <v>192</v>
      </c>
      <c r="J153" s="10" t="s">
        <v>348</v>
      </c>
      <c r="K153" s="31">
        <v>54516</v>
      </c>
      <c r="L153" s="10" t="s">
        <v>1431</v>
      </c>
      <c r="M153" s="10"/>
      <c r="N153" s="10" t="s">
        <v>2495</v>
      </c>
      <c r="O153" s="10"/>
    </row>
    <row r="154" spans="1:15" x14ac:dyDescent="0.3">
      <c r="A154" s="10" t="s">
        <v>1788</v>
      </c>
      <c r="B154" s="10" t="s">
        <v>2496</v>
      </c>
      <c r="C154" s="10" t="s">
        <v>2497</v>
      </c>
      <c r="D154" s="10" t="s">
        <v>247</v>
      </c>
      <c r="E154" s="10" t="s">
        <v>1431</v>
      </c>
      <c r="F154" s="10" t="s">
        <v>2498</v>
      </c>
      <c r="G154" s="10" t="s">
        <v>356</v>
      </c>
      <c r="H154" s="10" t="s">
        <v>123</v>
      </c>
      <c r="I154" s="10" t="s">
        <v>196</v>
      </c>
      <c r="J154" s="10" t="s">
        <v>348</v>
      </c>
      <c r="K154" s="31">
        <v>144000</v>
      </c>
      <c r="L154" s="10" t="s">
        <v>1431</v>
      </c>
      <c r="M154" s="10"/>
      <c r="N154" s="10" t="s">
        <v>2499</v>
      </c>
      <c r="O154" s="10" t="s">
        <v>2019</v>
      </c>
    </row>
    <row r="155" spans="1:15" x14ac:dyDescent="0.3">
      <c r="A155" s="10" t="s">
        <v>1788</v>
      </c>
      <c r="B155" s="10" t="s">
        <v>2500</v>
      </c>
      <c r="C155" s="10" t="s">
        <v>2501</v>
      </c>
      <c r="D155" s="10" t="s">
        <v>259</v>
      </c>
      <c r="E155" s="10" t="s">
        <v>1431</v>
      </c>
      <c r="F155" s="10"/>
      <c r="G155" s="10"/>
      <c r="H155" s="10"/>
      <c r="I155" s="10" t="s">
        <v>2064</v>
      </c>
      <c r="J155" s="10"/>
      <c r="K155" s="31">
        <v>0</v>
      </c>
      <c r="L155" s="10" t="s">
        <v>1433</v>
      </c>
      <c r="M155" s="10" t="s">
        <v>2065</v>
      </c>
      <c r="N155" s="10" t="s">
        <v>2502</v>
      </c>
      <c r="O155" s="10"/>
    </row>
    <row r="156" spans="1:15" x14ac:dyDescent="0.3">
      <c r="A156" s="10" t="s">
        <v>1789</v>
      </c>
      <c r="B156" s="10" t="s">
        <v>2503</v>
      </c>
      <c r="C156" s="10" t="s">
        <v>2504</v>
      </c>
      <c r="D156" s="10" t="s">
        <v>247</v>
      </c>
      <c r="E156" s="10" t="s">
        <v>1431</v>
      </c>
      <c r="F156" s="10" t="s">
        <v>2505</v>
      </c>
      <c r="G156" s="10" t="s">
        <v>666</v>
      </c>
      <c r="H156" s="10" t="s">
        <v>123</v>
      </c>
      <c r="I156" s="10" t="s">
        <v>191</v>
      </c>
      <c r="J156" s="10" t="s">
        <v>348</v>
      </c>
      <c r="K156" s="31">
        <v>15840</v>
      </c>
      <c r="L156" s="10" t="s">
        <v>1431</v>
      </c>
      <c r="M156" s="10"/>
      <c r="N156" s="10" t="s">
        <v>2506</v>
      </c>
      <c r="O156" s="10"/>
    </row>
    <row r="157" spans="1:15" x14ac:dyDescent="0.3">
      <c r="A157" s="10" t="s">
        <v>1789</v>
      </c>
      <c r="B157" s="10" t="s">
        <v>2507</v>
      </c>
      <c r="C157" s="10" t="s">
        <v>2508</v>
      </c>
      <c r="D157" s="10" t="s">
        <v>251</v>
      </c>
      <c r="E157" s="10" t="s">
        <v>1433</v>
      </c>
      <c r="F157" s="10"/>
      <c r="G157" s="10"/>
      <c r="H157" s="10"/>
      <c r="I157" s="10" t="s">
        <v>2064</v>
      </c>
      <c r="J157" s="10"/>
      <c r="K157" s="31">
        <v>168000</v>
      </c>
      <c r="L157" s="10" t="s">
        <v>1433</v>
      </c>
      <c r="M157" s="10" t="s">
        <v>2138</v>
      </c>
      <c r="N157" s="10" t="s">
        <v>2509</v>
      </c>
      <c r="O157" s="10" t="s">
        <v>2019</v>
      </c>
    </row>
    <row r="158" spans="1:15" x14ac:dyDescent="0.3">
      <c r="A158" s="10" t="s">
        <v>1790</v>
      </c>
      <c r="B158" s="10" t="s">
        <v>2510</v>
      </c>
      <c r="C158" s="10" t="s">
        <v>2511</v>
      </c>
      <c r="D158" s="10" t="s">
        <v>247</v>
      </c>
      <c r="E158" s="10" t="s">
        <v>1431</v>
      </c>
      <c r="F158" s="10"/>
      <c r="G158" s="10"/>
      <c r="H158" s="10"/>
      <c r="I158" s="10" t="s">
        <v>2064</v>
      </c>
      <c r="J158" s="10"/>
      <c r="K158" s="31">
        <v>15600</v>
      </c>
      <c r="L158" s="10" t="s">
        <v>1431</v>
      </c>
      <c r="M158" s="10"/>
      <c r="N158" s="10" t="s">
        <v>2512</v>
      </c>
      <c r="O158" s="10"/>
    </row>
    <row r="159" spans="1:15" x14ac:dyDescent="0.3">
      <c r="A159" s="10" t="s">
        <v>1790</v>
      </c>
      <c r="B159" s="10" t="s">
        <v>2513</v>
      </c>
      <c r="C159" s="10" t="s">
        <v>2514</v>
      </c>
      <c r="D159" s="10" t="s">
        <v>251</v>
      </c>
      <c r="E159" s="10" t="s">
        <v>1433</v>
      </c>
      <c r="F159" s="10" t="s">
        <v>2515</v>
      </c>
      <c r="G159" s="10" t="s">
        <v>672</v>
      </c>
      <c r="H159" s="10" t="s">
        <v>123</v>
      </c>
      <c r="I159" s="10" t="s">
        <v>189</v>
      </c>
      <c r="J159" s="10" t="s">
        <v>348</v>
      </c>
      <c r="K159" s="31">
        <v>91200</v>
      </c>
      <c r="L159" s="10" t="s">
        <v>1433</v>
      </c>
      <c r="M159" s="10" t="s">
        <v>2138</v>
      </c>
      <c r="N159" s="10" t="s">
        <v>2516</v>
      </c>
      <c r="O159" s="10" t="s">
        <v>2019</v>
      </c>
    </row>
    <row r="160" spans="1:15" x14ac:dyDescent="0.3">
      <c r="A160" s="10" t="s">
        <v>1790</v>
      </c>
      <c r="B160" s="10" t="s">
        <v>2517</v>
      </c>
      <c r="C160" s="10" t="s">
        <v>2518</v>
      </c>
      <c r="D160" s="10" t="s">
        <v>259</v>
      </c>
      <c r="E160" s="10" t="s">
        <v>1431</v>
      </c>
      <c r="F160" s="10" t="s">
        <v>2515</v>
      </c>
      <c r="G160" s="10" t="s">
        <v>672</v>
      </c>
      <c r="H160" s="10" t="s">
        <v>123</v>
      </c>
      <c r="I160" s="10" t="s">
        <v>189</v>
      </c>
      <c r="J160" s="10" t="s">
        <v>348</v>
      </c>
      <c r="K160" s="31">
        <v>91200</v>
      </c>
      <c r="L160" s="10" t="s">
        <v>1433</v>
      </c>
      <c r="M160" s="10" t="s">
        <v>2092</v>
      </c>
      <c r="N160" s="10" t="s">
        <v>2516</v>
      </c>
      <c r="O160" s="10" t="s">
        <v>2019</v>
      </c>
    </row>
    <row r="161" spans="1:15" x14ac:dyDescent="0.3">
      <c r="A161" s="10" t="s">
        <v>1791</v>
      </c>
      <c r="B161" s="10" t="s">
        <v>2519</v>
      </c>
      <c r="C161" s="10" t="s">
        <v>2520</v>
      </c>
      <c r="D161" s="10" t="s">
        <v>247</v>
      </c>
      <c r="E161" s="10" t="s">
        <v>1431</v>
      </c>
      <c r="F161" s="10" t="s">
        <v>2521</v>
      </c>
      <c r="G161" s="10" t="s">
        <v>736</v>
      </c>
      <c r="H161" s="10" t="s">
        <v>123</v>
      </c>
      <c r="I161" s="10" t="s">
        <v>197</v>
      </c>
      <c r="J161" s="10" t="s">
        <v>348</v>
      </c>
      <c r="K161" s="31">
        <v>60000</v>
      </c>
      <c r="L161" s="10" t="s">
        <v>1431</v>
      </c>
      <c r="M161" s="10"/>
      <c r="N161" s="10" t="s">
        <v>2522</v>
      </c>
      <c r="O161" s="10" t="s">
        <v>2052</v>
      </c>
    </row>
    <row r="162" spans="1:15" x14ac:dyDescent="0.3">
      <c r="A162" s="10" t="s">
        <v>1792</v>
      </c>
      <c r="B162" s="10" t="s">
        <v>2523</v>
      </c>
      <c r="C162" s="10" t="s">
        <v>2524</v>
      </c>
      <c r="D162" s="10" t="s">
        <v>247</v>
      </c>
      <c r="E162" s="10" t="s">
        <v>1431</v>
      </c>
      <c r="F162" s="10" t="s">
        <v>451</v>
      </c>
      <c r="G162" s="10" t="s">
        <v>451</v>
      </c>
      <c r="H162" s="10" t="s">
        <v>123</v>
      </c>
      <c r="I162" s="10" t="s">
        <v>191</v>
      </c>
      <c r="J162" s="10" t="s">
        <v>348</v>
      </c>
      <c r="K162" s="31">
        <v>60660</v>
      </c>
      <c r="L162" s="10" t="s">
        <v>1431</v>
      </c>
      <c r="M162" s="10"/>
      <c r="N162" s="10" t="s">
        <v>2525</v>
      </c>
      <c r="O162" s="10"/>
    </row>
    <row r="163" spans="1:15" x14ac:dyDescent="0.3">
      <c r="A163" s="10" t="s">
        <v>1792</v>
      </c>
      <c r="B163" s="10" t="s">
        <v>2526</v>
      </c>
      <c r="C163" s="10" t="s">
        <v>2527</v>
      </c>
      <c r="D163" s="10" t="s">
        <v>264</v>
      </c>
      <c r="E163" s="10" t="s">
        <v>1431</v>
      </c>
      <c r="F163" s="10"/>
      <c r="G163" s="10"/>
      <c r="H163" s="10"/>
      <c r="I163" s="10" t="s">
        <v>2064</v>
      </c>
      <c r="J163" s="10"/>
      <c r="K163" s="31">
        <v>0</v>
      </c>
      <c r="L163" s="10" t="s">
        <v>1433</v>
      </c>
      <c r="M163" s="10" t="s">
        <v>2065</v>
      </c>
      <c r="N163" s="10" t="s">
        <v>2528</v>
      </c>
      <c r="O163" s="10"/>
    </row>
    <row r="164" spans="1:15" x14ac:dyDescent="0.3">
      <c r="A164" s="10" t="s">
        <v>1793</v>
      </c>
      <c r="B164" s="10" t="s">
        <v>2529</v>
      </c>
      <c r="C164" s="10" t="s">
        <v>2530</v>
      </c>
      <c r="D164" s="10" t="s">
        <v>247</v>
      </c>
      <c r="E164" s="10" t="s">
        <v>1431</v>
      </c>
      <c r="F164" s="10" t="s">
        <v>369</v>
      </c>
      <c r="G164" s="10" t="s">
        <v>369</v>
      </c>
      <c r="H164" s="10" t="s">
        <v>123</v>
      </c>
      <c r="I164" s="10" t="s">
        <v>194</v>
      </c>
      <c r="J164" s="10" t="s">
        <v>348</v>
      </c>
      <c r="K164" s="31">
        <v>36000</v>
      </c>
      <c r="L164" s="10" t="s">
        <v>1431</v>
      </c>
      <c r="M164" s="10"/>
      <c r="N164" s="10" t="s">
        <v>2531</v>
      </c>
      <c r="O164" s="10"/>
    </row>
    <row r="165" spans="1:15" x14ac:dyDescent="0.3">
      <c r="A165" s="10" t="s">
        <v>1793</v>
      </c>
      <c r="B165" s="10" t="s">
        <v>2532</v>
      </c>
      <c r="C165" s="10" t="s">
        <v>2533</v>
      </c>
      <c r="D165" s="10" t="s">
        <v>264</v>
      </c>
      <c r="E165" s="10" t="s">
        <v>1431</v>
      </c>
      <c r="F165" s="10" t="s">
        <v>622</v>
      </c>
      <c r="G165" s="10" t="s">
        <v>622</v>
      </c>
      <c r="H165" s="10" t="s">
        <v>123</v>
      </c>
      <c r="I165" s="10" t="s">
        <v>190</v>
      </c>
      <c r="J165" s="10" t="s">
        <v>348</v>
      </c>
      <c r="K165" s="31">
        <v>588000</v>
      </c>
      <c r="L165" s="10" t="s">
        <v>1431</v>
      </c>
      <c r="M165" s="10"/>
      <c r="N165" s="10" t="s">
        <v>2534</v>
      </c>
      <c r="O165" s="10"/>
    </row>
    <row r="166" spans="1:15" x14ac:dyDescent="0.3">
      <c r="A166" s="10" t="s">
        <v>1794</v>
      </c>
      <c r="B166" s="10" t="s">
        <v>2535</v>
      </c>
      <c r="C166" s="10" t="s">
        <v>2536</v>
      </c>
      <c r="D166" s="10" t="s">
        <v>247</v>
      </c>
      <c r="E166" s="10" t="s">
        <v>1431</v>
      </c>
      <c r="F166" s="10" t="s">
        <v>2537</v>
      </c>
      <c r="G166" s="10" t="s">
        <v>770</v>
      </c>
      <c r="H166" s="10"/>
      <c r="I166" s="10" t="s">
        <v>769</v>
      </c>
      <c r="J166" s="10" t="s">
        <v>348</v>
      </c>
      <c r="K166" s="31">
        <v>120000</v>
      </c>
      <c r="L166" s="10" t="s">
        <v>1431</v>
      </c>
      <c r="M166" s="10"/>
      <c r="N166" s="10" t="s">
        <v>2538</v>
      </c>
      <c r="O166" s="10"/>
    </row>
    <row r="167" spans="1:15" x14ac:dyDescent="0.3">
      <c r="A167" s="10" t="s">
        <v>1795</v>
      </c>
      <c r="B167" s="10" t="s">
        <v>2539</v>
      </c>
      <c r="C167" s="10" t="s">
        <v>2540</v>
      </c>
      <c r="D167" s="10" t="s">
        <v>247</v>
      </c>
      <c r="E167" s="10" t="s">
        <v>1431</v>
      </c>
      <c r="F167" s="10" t="s">
        <v>377</v>
      </c>
      <c r="G167" s="10" t="s">
        <v>377</v>
      </c>
      <c r="H167" s="10" t="s">
        <v>123</v>
      </c>
      <c r="I167" s="10" t="s">
        <v>191</v>
      </c>
      <c r="J167" s="10" t="s">
        <v>348</v>
      </c>
      <c r="K167" s="31">
        <v>50400</v>
      </c>
      <c r="L167" s="10" t="s">
        <v>1431</v>
      </c>
      <c r="M167" s="10"/>
      <c r="N167" s="10" t="s">
        <v>2541</v>
      </c>
      <c r="O167" s="10" t="s">
        <v>2052</v>
      </c>
    </row>
    <row r="168" spans="1:15" x14ac:dyDescent="0.3">
      <c r="A168" s="10" t="s">
        <v>1795</v>
      </c>
      <c r="B168" s="10" t="s">
        <v>2542</v>
      </c>
      <c r="C168" s="10" t="s">
        <v>2543</v>
      </c>
      <c r="D168" s="10" t="s">
        <v>259</v>
      </c>
      <c r="E168" s="10" t="s">
        <v>1431</v>
      </c>
      <c r="F168" s="10" t="s">
        <v>2544</v>
      </c>
      <c r="G168" s="10" t="s">
        <v>377</v>
      </c>
      <c r="H168" s="10" t="s">
        <v>123</v>
      </c>
      <c r="I168" s="10" t="s">
        <v>191</v>
      </c>
      <c r="J168" s="10" t="s">
        <v>348</v>
      </c>
      <c r="K168" s="31">
        <v>50400</v>
      </c>
      <c r="L168" s="10" t="s">
        <v>1431</v>
      </c>
      <c r="M168" s="10"/>
      <c r="N168" s="10" t="s">
        <v>2545</v>
      </c>
      <c r="O168" s="10"/>
    </row>
    <row r="169" spans="1:15" x14ac:dyDescent="0.3">
      <c r="A169" s="10" t="s">
        <v>1795</v>
      </c>
      <c r="B169" s="10" t="s">
        <v>2546</v>
      </c>
      <c r="C169" s="10" t="s">
        <v>2547</v>
      </c>
      <c r="D169" s="10" t="s">
        <v>259</v>
      </c>
      <c r="E169" s="10" t="s">
        <v>1431</v>
      </c>
      <c r="F169" s="10" t="s">
        <v>2544</v>
      </c>
      <c r="G169" s="10" t="s">
        <v>377</v>
      </c>
      <c r="H169" s="10" t="s">
        <v>123</v>
      </c>
      <c r="I169" s="10" t="s">
        <v>191</v>
      </c>
      <c r="J169" s="10" t="s">
        <v>348</v>
      </c>
      <c r="K169" s="31">
        <v>50400</v>
      </c>
      <c r="L169" s="10" t="s">
        <v>1433</v>
      </c>
      <c r="M169" s="10" t="s">
        <v>2092</v>
      </c>
      <c r="N169" s="10" t="s">
        <v>2545</v>
      </c>
      <c r="O169" s="10"/>
    </row>
    <row r="170" spans="1:15" x14ac:dyDescent="0.3">
      <c r="A170" s="10" t="s">
        <v>1796</v>
      </c>
      <c r="B170" s="10" t="s">
        <v>2548</v>
      </c>
      <c r="C170" s="10" t="s">
        <v>2549</v>
      </c>
      <c r="D170" s="10" t="s">
        <v>247</v>
      </c>
      <c r="E170" s="10" t="s">
        <v>1431</v>
      </c>
      <c r="F170" s="10" t="s">
        <v>2550</v>
      </c>
      <c r="G170" s="10" t="s">
        <v>697</v>
      </c>
      <c r="H170" s="10" t="s">
        <v>123</v>
      </c>
      <c r="I170" s="10" t="s">
        <v>194</v>
      </c>
      <c r="J170" s="10" t="s">
        <v>348</v>
      </c>
      <c r="K170" s="31">
        <v>75840</v>
      </c>
      <c r="L170" s="10" t="s">
        <v>1431</v>
      </c>
      <c r="M170" s="10"/>
      <c r="N170" s="10" t="s">
        <v>2551</v>
      </c>
      <c r="O170" s="10" t="s">
        <v>2052</v>
      </c>
    </row>
    <row r="171" spans="1:15" x14ac:dyDescent="0.3">
      <c r="A171" s="10" t="s">
        <v>1797</v>
      </c>
      <c r="B171" s="10" t="s">
        <v>2552</v>
      </c>
      <c r="C171" s="10" t="s">
        <v>2553</v>
      </c>
      <c r="D171" s="10" t="s">
        <v>247</v>
      </c>
      <c r="E171" s="10" t="s">
        <v>1431</v>
      </c>
      <c r="F171" s="10" t="s">
        <v>447</v>
      </c>
      <c r="G171" s="10" t="s">
        <v>447</v>
      </c>
      <c r="H171" s="10" t="s">
        <v>123</v>
      </c>
      <c r="I171" s="10" t="s">
        <v>190</v>
      </c>
      <c r="J171" s="10" t="s">
        <v>348</v>
      </c>
      <c r="K171" s="31">
        <v>54996</v>
      </c>
      <c r="L171" s="10" t="s">
        <v>1431</v>
      </c>
      <c r="M171" s="10"/>
      <c r="N171" s="10" t="s">
        <v>2554</v>
      </c>
      <c r="O171" s="10" t="s">
        <v>2052</v>
      </c>
    </row>
    <row r="172" spans="1:15" x14ac:dyDescent="0.3">
      <c r="A172" s="10" t="s">
        <v>263</v>
      </c>
      <c r="B172" s="10" t="s">
        <v>2555</v>
      </c>
      <c r="C172" s="10" t="s">
        <v>2556</v>
      </c>
      <c r="D172" s="10" t="s">
        <v>247</v>
      </c>
      <c r="E172" s="10" t="s">
        <v>1431</v>
      </c>
      <c r="F172" s="10" t="s">
        <v>2345</v>
      </c>
      <c r="G172" s="10" t="s">
        <v>426</v>
      </c>
      <c r="H172" s="10" t="s">
        <v>123</v>
      </c>
      <c r="I172" s="10" t="s">
        <v>191</v>
      </c>
      <c r="J172" s="10" t="s">
        <v>348</v>
      </c>
      <c r="K172" s="31">
        <v>30000</v>
      </c>
      <c r="L172" s="10" t="s">
        <v>1431</v>
      </c>
      <c r="M172" s="10"/>
      <c r="N172" s="10" t="s">
        <v>2557</v>
      </c>
      <c r="O172" s="10" t="s">
        <v>2052</v>
      </c>
    </row>
    <row r="173" spans="1:15" x14ac:dyDescent="0.3">
      <c r="A173" s="10" t="s">
        <v>263</v>
      </c>
      <c r="B173" s="10" t="s">
        <v>2558</v>
      </c>
      <c r="C173" s="10" t="s">
        <v>2559</v>
      </c>
      <c r="D173" s="10" t="s">
        <v>264</v>
      </c>
      <c r="E173" s="10" t="s">
        <v>1431</v>
      </c>
      <c r="F173" s="10" t="s">
        <v>2560</v>
      </c>
      <c r="G173" s="10" t="s">
        <v>262</v>
      </c>
      <c r="H173" s="10" t="s">
        <v>115</v>
      </c>
      <c r="I173" s="10" t="s">
        <v>185</v>
      </c>
      <c r="J173" s="10" t="s">
        <v>249</v>
      </c>
      <c r="K173" s="31">
        <v>133620</v>
      </c>
      <c r="L173" s="10" t="s">
        <v>1431</v>
      </c>
      <c r="M173" s="10"/>
      <c r="N173" s="10" t="s">
        <v>2561</v>
      </c>
      <c r="O173" s="10" t="s">
        <v>2052</v>
      </c>
    </row>
    <row r="174" spans="1:15" x14ac:dyDescent="0.3">
      <c r="A174" s="10" t="s">
        <v>263</v>
      </c>
      <c r="B174" s="10" t="s">
        <v>2562</v>
      </c>
      <c r="C174" s="10" t="s">
        <v>2563</v>
      </c>
      <c r="D174" s="10" t="s">
        <v>259</v>
      </c>
      <c r="E174" s="10" t="s">
        <v>1431</v>
      </c>
      <c r="F174" s="10" t="s">
        <v>2560</v>
      </c>
      <c r="G174" s="10" t="s">
        <v>262</v>
      </c>
      <c r="H174" s="10" t="s">
        <v>115</v>
      </c>
      <c r="I174" s="10" t="s">
        <v>185</v>
      </c>
      <c r="J174" s="10" t="s">
        <v>249</v>
      </c>
      <c r="K174" s="31">
        <v>133620</v>
      </c>
      <c r="L174" s="10" t="s">
        <v>1433</v>
      </c>
      <c r="M174" s="10" t="s">
        <v>2092</v>
      </c>
      <c r="N174" s="10" t="s">
        <v>2561</v>
      </c>
      <c r="O174" s="10" t="s">
        <v>2052</v>
      </c>
    </row>
    <row r="175" spans="1:15" x14ac:dyDescent="0.3">
      <c r="A175" s="10" t="s">
        <v>280</v>
      </c>
      <c r="B175" s="10" t="s">
        <v>2564</v>
      </c>
      <c r="C175" s="10" t="s">
        <v>2565</v>
      </c>
      <c r="D175" s="10" t="s">
        <v>247</v>
      </c>
      <c r="E175" s="10" t="s">
        <v>1431</v>
      </c>
      <c r="F175" s="10" t="s">
        <v>279</v>
      </c>
      <c r="G175" s="10" t="s">
        <v>279</v>
      </c>
      <c r="H175" s="10" t="s">
        <v>115</v>
      </c>
      <c r="I175" s="10" t="s">
        <v>185</v>
      </c>
      <c r="J175" s="10" t="s">
        <v>273</v>
      </c>
      <c r="K175" s="31">
        <v>80040</v>
      </c>
      <c r="L175" s="10" t="s">
        <v>1431</v>
      </c>
      <c r="M175" s="10"/>
      <c r="N175" s="10" t="s">
        <v>2566</v>
      </c>
      <c r="O175" s="10"/>
    </row>
    <row r="176" spans="1:15" x14ac:dyDescent="0.3">
      <c r="A176" s="10" t="s">
        <v>1798</v>
      </c>
      <c r="B176" s="10" t="s">
        <v>2567</v>
      </c>
      <c r="C176" s="10" t="s">
        <v>2568</v>
      </c>
      <c r="D176" s="10" t="s">
        <v>247</v>
      </c>
      <c r="E176" s="10" t="s">
        <v>1431</v>
      </c>
      <c r="F176" s="10" t="s">
        <v>2569</v>
      </c>
      <c r="G176" s="10" t="s">
        <v>408</v>
      </c>
      <c r="H176" s="10" t="s">
        <v>123</v>
      </c>
      <c r="I176" s="10" t="s">
        <v>203</v>
      </c>
      <c r="J176" s="10" t="s">
        <v>348</v>
      </c>
      <c r="K176" s="31">
        <v>120000</v>
      </c>
      <c r="L176" s="10" t="s">
        <v>1431</v>
      </c>
      <c r="M176" s="10"/>
      <c r="N176" s="10" t="s">
        <v>2570</v>
      </c>
      <c r="O176" s="10"/>
    </row>
    <row r="177" spans="1:15" x14ac:dyDescent="0.3">
      <c r="A177" s="10" t="s">
        <v>1799</v>
      </c>
      <c r="B177" s="10" t="s">
        <v>2571</v>
      </c>
      <c r="C177" s="10" t="s">
        <v>2572</v>
      </c>
      <c r="D177" s="10" t="s">
        <v>247</v>
      </c>
      <c r="E177" s="10" t="s">
        <v>1431</v>
      </c>
      <c r="F177" s="10" t="s">
        <v>2573</v>
      </c>
      <c r="G177" s="10" t="s">
        <v>634</v>
      </c>
      <c r="H177" s="10" t="s">
        <v>123</v>
      </c>
      <c r="I177" s="10" t="s">
        <v>192</v>
      </c>
      <c r="J177" s="10" t="s">
        <v>348</v>
      </c>
      <c r="K177" s="31">
        <v>108000</v>
      </c>
      <c r="L177" s="10" t="s">
        <v>1431</v>
      </c>
      <c r="M177" s="10"/>
      <c r="N177" s="10" t="s">
        <v>2574</v>
      </c>
      <c r="O177" s="10"/>
    </row>
    <row r="178" spans="1:15" x14ac:dyDescent="0.3">
      <c r="A178" s="10" t="s">
        <v>1800</v>
      </c>
      <c r="B178" s="10" t="s">
        <v>2575</v>
      </c>
      <c r="C178" s="10" t="s">
        <v>2576</v>
      </c>
      <c r="D178" s="10" t="s">
        <v>247</v>
      </c>
      <c r="E178" s="10" t="s">
        <v>1431</v>
      </c>
      <c r="F178" s="10" t="s">
        <v>546</v>
      </c>
      <c r="G178" s="10" t="s">
        <v>546</v>
      </c>
      <c r="H178" s="10" t="s">
        <v>123</v>
      </c>
      <c r="I178" s="10" t="s">
        <v>197</v>
      </c>
      <c r="J178" s="10" t="s">
        <v>348</v>
      </c>
      <c r="K178" s="31">
        <v>78768</v>
      </c>
      <c r="L178" s="10" t="s">
        <v>1431</v>
      </c>
      <c r="M178" s="10"/>
      <c r="N178" s="10" t="s">
        <v>2577</v>
      </c>
      <c r="O178" s="10" t="s">
        <v>2052</v>
      </c>
    </row>
    <row r="179" spans="1:15" x14ac:dyDescent="0.3">
      <c r="A179" s="10" t="s">
        <v>1800</v>
      </c>
      <c r="B179" s="10" t="s">
        <v>2578</v>
      </c>
      <c r="C179" s="10" t="s">
        <v>2579</v>
      </c>
      <c r="D179" s="10" t="s">
        <v>2079</v>
      </c>
      <c r="E179" s="10" t="s">
        <v>1431</v>
      </c>
      <c r="F179" s="10"/>
      <c r="G179" s="10"/>
      <c r="H179" s="10"/>
      <c r="I179" s="10" t="s">
        <v>2064</v>
      </c>
      <c r="J179" s="10"/>
      <c r="K179" s="31">
        <v>0</v>
      </c>
      <c r="L179" s="10" t="s">
        <v>1433</v>
      </c>
      <c r="M179" s="10" t="s">
        <v>2065</v>
      </c>
      <c r="N179" s="10" t="s">
        <v>2580</v>
      </c>
      <c r="O179" s="10"/>
    </row>
    <row r="180" spans="1:15" x14ac:dyDescent="0.3">
      <c r="A180" s="10" t="s">
        <v>1800</v>
      </c>
      <c r="B180" s="10" t="s">
        <v>2581</v>
      </c>
      <c r="C180" s="10" t="s">
        <v>2582</v>
      </c>
      <c r="D180" s="10" t="s">
        <v>259</v>
      </c>
      <c r="E180" s="10" t="s">
        <v>1431</v>
      </c>
      <c r="F180" s="10"/>
      <c r="G180" s="10"/>
      <c r="H180" s="10"/>
      <c r="I180" s="10" t="s">
        <v>2064</v>
      </c>
      <c r="J180" s="10"/>
      <c r="K180" s="31">
        <v>0</v>
      </c>
      <c r="L180" s="10" t="s">
        <v>1433</v>
      </c>
      <c r="M180" s="10" t="s">
        <v>2065</v>
      </c>
      <c r="N180" s="10" t="s">
        <v>2580</v>
      </c>
      <c r="O180" s="10"/>
    </row>
    <row r="181" spans="1:15" x14ac:dyDescent="0.3">
      <c r="A181" s="10" t="s">
        <v>1801</v>
      </c>
      <c r="B181" s="10" t="s">
        <v>2583</v>
      </c>
      <c r="C181" s="10" t="s">
        <v>2584</v>
      </c>
      <c r="D181" s="10" t="s">
        <v>247</v>
      </c>
      <c r="E181" s="10" t="s">
        <v>1431</v>
      </c>
      <c r="F181" s="10"/>
      <c r="G181" s="10"/>
      <c r="H181" s="10"/>
      <c r="I181" s="10" t="s">
        <v>2064</v>
      </c>
      <c r="J181" s="10"/>
      <c r="K181" s="31">
        <v>78000</v>
      </c>
      <c r="L181" s="10" t="s">
        <v>1431</v>
      </c>
      <c r="M181" s="10"/>
      <c r="N181" s="10" t="s">
        <v>2585</v>
      </c>
      <c r="O181" s="10"/>
    </row>
    <row r="182" spans="1:15" x14ac:dyDescent="0.3">
      <c r="A182" s="10" t="s">
        <v>1801</v>
      </c>
      <c r="B182" s="10" t="s">
        <v>2586</v>
      </c>
      <c r="C182" s="10" t="s">
        <v>2587</v>
      </c>
      <c r="D182" s="10" t="s">
        <v>259</v>
      </c>
      <c r="E182" s="10" t="s">
        <v>1431</v>
      </c>
      <c r="F182" s="10" t="s">
        <v>2588</v>
      </c>
      <c r="G182" s="10" t="s">
        <v>502</v>
      </c>
      <c r="H182" s="10" t="s">
        <v>123</v>
      </c>
      <c r="I182" s="10" t="s">
        <v>192</v>
      </c>
      <c r="J182" s="10" t="s">
        <v>348</v>
      </c>
      <c r="K182" s="31">
        <v>24000</v>
      </c>
      <c r="L182" s="10" t="s">
        <v>1431</v>
      </c>
      <c r="M182" s="10"/>
      <c r="N182" s="10" t="s">
        <v>2589</v>
      </c>
      <c r="O182" s="10"/>
    </row>
    <row r="183" spans="1:15" x14ac:dyDescent="0.3">
      <c r="A183" s="10" t="s">
        <v>272</v>
      </c>
      <c r="B183" s="10" t="s">
        <v>2590</v>
      </c>
      <c r="C183" s="10" t="s">
        <v>2591</v>
      </c>
      <c r="D183" s="10" t="s">
        <v>247</v>
      </c>
      <c r="E183" s="10" t="s">
        <v>1431</v>
      </c>
      <c r="F183" s="10" t="s">
        <v>2592</v>
      </c>
      <c r="G183" s="10" t="s">
        <v>271</v>
      </c>
      <c r="H183" s="10" t="s">
        <v>115</v>
      </c>
      <c r="I183" s="10" t="s">
        <v>185</v>
      </c>
      <c r="J183" s="10" t="s">
        <v>273</v>
      </c>
      <c r="K183" s="31">
        <v>118392</v>
      </c>
      <c r="L183" s="10" t="s">
        <v>1431</v>
      </c>
      <c r="M183" s="10"/>
      <c r="N183" s="10" t="s">
        <v>2593</v>
      </c>
      <c r="O183" s="10" t="s">
        <v>2019</v>
      </c>
    </row>
    <row r="184" spans="1:15" x14ac:dyDescent="0.3">
      <c r="A184" s="10" t="s">
        <v>272</v>
      </c>
      <c r="B184" s="10" t="s">
        <v>2594</v>
      </c>
      <c r="C184" s="10" t="s">
        <v>2595</v>
      </c>
      <c r="D184" s="10" t="s">
        <v>264</v>
      </c>
      <c r="E184" s="10" t="s">
        <v>1431</v>
      </c>
      <c r="F184" s="10" t="s">
        <v>2592</v>
      </c>
      <c r="G184" s="10" t="s">
        <v>271</v>
      </c>
      <c r="H184" s="10" t="s">
        <v>115</v>
      </c>
      <c r="I184" s="10" t="s">
        <v>185</v>
      </c>
      <c r="J184" s="10" t="s">
        <v>273</v>
      </c>
      <c r="K184" s="31">
        <v>183312</v>
      </c>
      <c r="L184" s="10" t="s">
        <v>1431</v>
      </c>
      <c r="M184" s="10"/>
      <c r="N184" s="10" t="s">
        <v>2596</v>
      </c>
      <c r="O184" s="10" t="s">
        <v>2019</v>
      </c>
    </row>
    <row r="185" spans="1:15" x14ac:dyDescent="0.3">
      <c r="A185" s="10" t="s">
        <v>1802</v>
      </c>
      <c r="B185" s="10" t="s">
        <v>2597</v>
      </c>
      <c r="C185" s="10" t="s">
        <v>2598</v>
      </c>
      <c r="D185" s="10" t="s">
        <v>247</v>
      </c>
      <c r="E185" s="10" t="s">
        <v>1431</v>
      </c>
      <c r="F185" s="10" t="s">
        <v>2063</v>
      </c>
      <c r="G185" s="10"/>
      <c r="H185" s="10"/>
      <c r="I185" s="10" t="s">
        <v>2064</v>
      </c>
      <c r="J185" s="10"/>
      <c r="K185" s="31">
        <v>78000</v>
      </c>
      <c r="L185" s="10" t="s">
        <v>1431</v>
      </c>
      <c r="M185" s="10"/>
      <c r="N185" s="10" t="s">
        <v>2599</v>
      </c>
      <c r="O185" s="10"/>
    </row>
    <row r="186" spans="1:15" x14ac:dyDescent="0.3">
      <c r="A186" s="10" t="s">
        <v>1802</v>
      </c>
      <c r="B186" s="10" t="s">
        <v>2600</v>
      </c>
      <c r="C186" s="10" t="s">
        <v>2601</v>
      </c>
      <c r="D186" s="10" t="s">
        <v>2079</v>
      </c>
      <c r="E186" s="10" t="s">
        <v>1431</v>
      </c>
      <c r="F186" s="10"/>
      <c r="G186" s="10"/>
      <c r="H186" s="10"/>
      <c r="I186" s="10" t="s">
        <v>2064</v>
      </c>
      <c r="J186" s="10"/>
      <c r="K186" s="31">
        <v>0</v>
      </c>
      <c r="L186" s="10" t="s">
        <v>1433</v>
      </c>
      <c r="M186" s="10" t="s">
        <v>2065</v>
      </c>
      <c r="N186" s="10" t="s">
        <v>2602</v>
      </c>
      <c r="O186" s="10"/>
    </row>
    <row r="187" spans="1:15" x14ac:dyDescent="0.3">
      <c r="A187" s="10" t="s">
        <v>1802</v>
      </c>
      <c r="B187" s="10" t="s">
        <v>2603</v>
      </c>
      <c r="C187" s="10" t="s">
        <v>2604</v>
      </c>
      <c r="D187" s="10" t="s">
        <v>264</v>
      </c>
      <c r="E187" s="10" t="s">
        <v>1431</v>
      </c>
      <c r="F187" s="10"/>
      <c r="G187" s="10"/>
      <c r="H187" s="10"/>
      <c r="I187" s="10" t="s">
        <v>2064</v>
      </c>
      <c r="J187" s="10"/>
      <c r="K187" s="31">
        <v>0</v>
      </c>
      <c r="L187" s="10" t="s">
        <v>1433</v>
      </c>
      <c r="M187" s="10" t="s">
        <v>2065</v>
      </c>
      <c r="N187" s="10" t="s">
        <v>2602</v>
      </c>
      <c r="O187" s="10"/>
    </row>
    <row r="188" spans="1:15" x14ac:dyDescent="0.3">
      <c r="A188" s="10" t="s">
        <v>303</v>
      </c>
      <c r="B188" s="10" t="s">
        <v>2605</v>
      </c>
      <c r="C188" s="10" t="s">
        <v>2606</v>
      </c>
      <c r="D188" s="10" t="s">
        <v>247</v>
      </c>
      <c r="E188" s="10" t="s">
        <v>1431</v>
      </c>
      <c r="F188" s="10" t="s">
        <v>2607</v>
      </c>
      <c r="G188" s="10" t="s">
        <v>302</v>
      </c>
      <c r="H188" s="10" t="s">
        <v>119</v>
      </c>
      <c r="I188" s="10" t="s">
        <v>187</v>
      </c>
      <c r="J188" s="10" t="s">
        <v>249</v>
      </c>
      <c r="K188" s="31">
        <v>72000</v>
      </c>
      <c r="L188" s="10" t="s">
        <v>1431</v>
      </c>
      <c r="M188" s="10"/>
      <c r="N188" s="10" t="s">
        <v>2608</v>
      </c>
      <c r="O188" s="10" t="s">
        <v>2052</v>
      </c>
    </row>
    <row r="189" spans="1:15" x14ac:dyDescent="0.3">
      <c r="A189" s="10" t="s">
        <v>1803</v>
      </c>
      <c r="B189" s="10" t="s">
        <v>2609</v>
      </c>
      <c r="C189" s="10" t="s">
        <v>2610</v>
      </c>
      <c r="D189" s="10" t="s">
        <v>247</v>
      </c>
      <c r="E189" s="10" t="s">
        <v>1431</v>
      </c>
      <c r="F189" s="10" t="s">
        <v>2611</v>
      </c>
      <c r="G189" s="10" t="s">
        <v>644</v>
      </c>
      <c r="H189" s="10" t="s">
        <v>123</v>
      </c>
      <c r="I189" s="10" t="s">
        <v>199</v>
      </c>
      <c r="J189" s="10" t="s">
        <v>366</v>
      </c>
      <c r="K189" s="31">
        <v>31440</v>
      </c>
      <c r="L189" s="10" t="s">
        <v>1431</v>
      </c>
      <c r="M189" s="10"/>
      <c r="N189" s="10" t="s">
        <v>2612</v>
      </c>
      <c r="O189" s="10" t="s">
        <v>2019</v>
      </c>
    </row>
    <row r="190" spans="1:15" x14ac:dyDescent="0.3">
      <c r="A190" s="10" t="s">
        <v>1803</v>
      </c>
      <c r="B190" s="10" t="s">
        <v>2613</v>
      </c>
      <c r="C190" s="10" t="s">
        <v>2565</v>
      </c>
      <c r="D190" s="10" t="s">
        <v>264</v>
      </c>
      <c r="E190" s="10" t="s">
        <v>1431</v>
      </c>
      <c r="F190" s="10" t="s">
        <v>576</v>
      </c>
      <c r="G190" s="10" t="s">
        <v>576</v>
      </c>
      <c r="H190" s="10" t="s">
        <v>123</v>
      </c>
      <c r="I190" s="10" t="s">
        <v>189</v>
      </c>
      <c r="J190" s="10" t="s">
        <v>348</v>
      </c>
      <c r="K190" s="31">
        <v>63564</v>
      </c>
      <c r="L190" s="10" t="s">
        <v>1431</v>
      </c>
      <c r="M190" s="10"/>
      <c r="N190" s="10" t="s">
        <v>2614</v>
      </c>
      <c r="O190" s="10" t="s">
        <v>2019</v>
      </c>
    </row>
    <row r="191" spans="1:15" x14ac:dyDescent="0.3">
      <c r="A191" s="10" t="s">
        <v>1804</v>
      </c>
      <c r="B191" s="10" t="s">
        <v>2615</v>
      </c>
      <c r="C191" s="10" t="s">
        <v>2616</v>
      </c>
      <c r="D191" s="10" t="s">
        <v>247</v>
      </c>
      <c r="E191" s="10" t="s">
        <v>1431</v>
      </c>
      <c r="F191" s="10" t="s">
        <v>2617</v>
      </c>
      <c r="G191" s="10" t="s">
        <v>357</v>
      </c>
      <c r="H191" s="10" t="s">
        <v>123</v>
      </c>
      <c r="I191" s="10" t="s">
        <v>195</v>
      </c>
      <c r="J191" s="10" t="s">
        <v>348</v>
      </c>
      <c r="K191" s="31">
        <v>39600</v>
      </c>
      <c r="L191" s="10" t="s">
        <v>1431</v>
      </c>
      <c r="M191" s="10"/>
      <c r="N191" s="10" t="s">
        <v>2618</v>
      </c>
      <c r="O191" s="10"/>
    </row>
    <row r="192" spans="1:15" x14ac:dyDescent="0.3">
      <c r="A192" s="10" t="s">
        <v>1804</v>
      </c>
      <c r="B192" s="10" t="s">
        <v>2619</v>
      </c>
      <c r="C192" s="10" t="s">
        <v>2620</v>
      </c>
      <c r="D192" s="10" t="s">
        <v>259</v>
      </c>
      <c r="E192" s="10" t="s">
        <v>1431</v>
      </c>
      <c r="F192" s="10"/>
      <c r="G192" s="10"/>
      <c r="H192" s="10"/>
      <c r="I192" s="10" t="s">
        <v>2064</v>
      </c>
      <c r="J192" s="10"/>
      <c r="K192" s="31">
        <v>0</v>
      </c>
      <c r="L192" s="10" t="s">
        <v>1433</v>
      </c>
      <c r="M192" s="10" t="s">
        <v>2065</v>
      </c>
      <c r="N192" s="10" t="s">
        <v>2621</v>
      </c>
      <c r="O192" s="10"/>
    </row>
    <row r="193" spans="1:15" x14ac:dyDescent="0.3">
      <c r="A193" s="10" t="s">
        <v>1805</v>
      </c>
      <c r="B193" s="10" t="s">
        <v>2622</v>
      </c>
      <c r="C193" s="10" t="s">
        <v>2623</v>
      </c>
      <c r="D193" s="10" t="s">
        <v>247</v>
      </c>
      <c r="E193" s="10" t="s">
        <v>1431</v>
      </c>
      <c r="F193" s="10" t="s">
        <v>2624</v>
      </c>
      <c r="G193" s="10" t="s">
        <v>360</v>
      </c>
      <c r="H193" s="10" t="s">
        <v>123</v>
      </c>
      <c r="I193" s="10" t="s">
        <v>191</v>
      </c>
      <c r="J193" s="10" t="s">
        <v>348</v>
      </c>
      <c r="K193" s="31">
        <v>60000</v>
      </c>
      <c r="L193" s="10" t="s">
        <v>1431</v>
      </c>
      <c r="M193" s="10"/>
      <c r="N193" s="10" t="s">
        <v>2625</v>
      </c>
      <c r="O193" s="10"/>
    </row>
    <row r="194" spans="1:15" x14ac:dyDescent="0.3">
      <c r="A194" s="10" t="s">
        <v>275</v>
      </c>
      <c r="B194" s="10" t="s">
        <v>2626</v>
      </c>
      <c r="C194" s="10" t="s">
        <v>2627</v>
      </c>
      <c r="D194" s="10" t="s">
        <v>247</v>
      </c>
      <c r="E194" s="10" t="s">
        <v>1431</v>
      </c>
      <c r="F194" s="10" t="s">
        <v>2628</v>
      </c>
      <c r="G194" s="10" t="s">
        <v>278</v>
      </c>
      <c r="H194" s="10" t="s">
        <v>115</v>
      </c>
      <c r="I194" s="10" t="s">
        <v>185</v>
      </c>
      <c r="J194" s="10" t="s">
        <v>273</v>
      </c>
      <c r="K194" s="31">
        <v>72372</v>
      </c>
      <c r="L194" s="10" t="s">
        <v>1431</v>
      </c>
      <c r="M194" s="10"/>
      <c r="N194" s="10" t="s">
        <v>2629</v>
      </c>
      <c r="O194" s="10" t="s">
        <v>2052</v>
      </c>
    </row>
    <row r="195" spans="1:15" x14ac:dyDescent="0.3">
      <c r="A195" s="10" t="s">
        <v>275</v>
      </c>
      <c r="B195" s="10" t="s">
        <v>2630</v>
      </c>
      <c r="C195" s="10" t="s">
        <v>2631</v>
      </c>
      <c r="D195" s="10" t="s">
        <v>259</v>
      </c>
      <c r="E195" s="10" t="s">
        <v>1431</v>
      </c>
      <c r="F195" s="10" t="s">
        <v>274</v>
      </c>
      <c r="G195" s="10" t="s">
        <v>274</v>
      </c>
      <c r="H195" s="10" t="s">
        <v>115</v>
      </c>
      <c r="I195" s="10" t="s">
        <v>185</v>
      </c>
      <c r="J195" s="10" t="s">
        <v>249</v>
      </c>
      <c r="K195" s="31">
        <v>107172</v>
      </c>
      <c r="L195" s="10" t="s">
        <v>1431</v>
      </c>
      <c r="M195" s="10"/>
      <c r="N195" s="10" t="s">
        <v>2632</v>
      </c>
      <c r="O195" s="10" t="s">
        <v>2052</v>
      </c>
    </row>
    <row r="196" spans="1:15" x14ac:dyDescent="0.3">
      <c r="A196" s="10" t="s">
        <v>1806</v>
      </c>
      <c r="B196" s="10" t="s">
        <v>2633</v>
      </c>
      <c r="C196" s="10" t="s">
        <v>2634</v>
      </c>
      <c r="D196" s="10" t="s">
        <v>247</v>
      </c>
      <c r="E196" s="10" t="s">
        <v>1431</v>
      </c>
      <c r="F196" s="10" t="s">
        <v>2635</v>
      </c>
      <c r="G196" s="10" t="s">
        <v>354</v>
      </c>
      <c r="H196" s="10" t="s">
        <v>123</v>
      </c>
      <c r="I196" s="10" t="s">
        <v>191</v>
      </c>
      <c r="J196" s="10" t="s">
        <v>348</v>
      </c>
      <c r="K196" s="31">
        <v>60000</v>
      </c>
      <c r="L196" s="10" t="s">
        <v>1431</v>
      </c>
      <c r="M196" s="10"/>
      <c r="N196" s="10" t="s">
        <v>2636</v>
      </c>
      <c r="O196" s="10" t="s">
        <v>2052</v>
      </c>
    </row>
    <row r="197" spans="1:15" x14ac:dyDescent="0.3">
      <c r="A197" s="10" t="s">
        <v>1806</v>
      </c>
      <c r="B197" s="10" t="s">
        <v>2637</v>
      </c>
      <c r="C197" s="10" t="s">
        <v>2638</v>
      </c>
      <c r="D197" s="10" t="s">
        <v>259</v>
      </c>
      <c r="E197" s="10" t="s">
        <v>1431</v>
      </c>
      <c r="F197" s="10"/>
      <c r="G197" s="10"/>
      <c r="H197" s="10"/>
      <c r="I197" s="10" t="s">
        <v>2064</v>
      </c>
      <c r="J197" s="10"/>
      <c r="K197" s="31">
        <v>0</v>
      </c>
      <c r="L197" s="10" t="s">
        <v>1433</v>
      </c>
      <c r="M197" s="10" t="s">
        <v>2065</v>
      </c>
      <c r="N197" s="10"/>
      <c r="O197" s="10"/>
    </row>
    <row r="198" spans="1:15" x14ac:dyDescent="0.3">
      <c r="A198" s="10" t="s">
        <v>1807</v>
      </c>
      <c r="B198" s="10" t="s">
        <v>2639</v>
      </c>
      <c r="C198" s="10" t="s">
        <v>2640</v>
      </c>
      <c r="D198" s="10" t="s">
        <v>247</v>
      </c>
      <c r="E198" s="10" t="s">
        <v>1431</v>
      </c>
      <c r="F198" s="10" t="s">
        <v>393</v>
      </c>
      <c r="G198" s="10" t="s">
        <v>393</v>
      </c>
      <c r="H198" s="10" t="s">
        <v>123</v>
      </c>
      <c r="I198" s="10" t="s">
        <v>192</v>
      </c>
      <c r="J198" s="10" t="s">
        <v>348</v>
      </c>
      <c r="K198" s="31">
        <v>113448</v>
      </c>
      <c r="L198" s="10" t="s">
        <v>1431</v>
      </c>
      <c r="M198" s="10"/>
      <c r="N198" s="10" t="s">
        <v>2641</v>
      </c>
      <c r="O198" s="10" t="s">
        <v>2052</v>
      </c>
    </row>
    <row r="199" spans="1:15" x14ac:dyDescent="0.3">
      <c r="A199" s="10" t="s">
        <v>1808</v>
      </c>
      <c r="B199" s="10" t="s">
        <v>2642</v>
      </c>
      <c r="C199" s="10" t="s">
        <v>2643</v>
      </c>
      <c r="D199" s="10" t="s">
        <v>247</v>
      </c>
      <c r="E199" s="10" t="s">
        <v>1431</v>
      </c>
      <c r="F199" s="10" t="s">
        <v>768</v>
      </c>
      <c r="G199" s="10" t="s">
        <v>768</v>
      </c>
      <c r="H199" s="10"/>
      <c r="I199" s="10" t="s">
        <v>769</v>
      </c>
      <c r="J199" s="10" t="s">
        <v>348</v>
      </c>
      <c r="K199" s="31">
        <v>84240</v>
      </c>
      <c r="L199" s="10" t="s">
        <v>1431</v>
      </c>
      <c r="M199" s="10"/>
      <c r="N199" s="10" t="s">
        <v>2644</v>
      </c>
      <c r="O199" s="10" t="s">
        <v>2052</v>
      </c>
    </row>
    <row r="200" spans="1:15" x14ac:dyDescent="0.3">
      <c r="A200" s="10" t="s">
        <v>1808</v>
      </c>
      <c r="B200" s="10" t="s">
        <v>2645</v>
      </c>
      <c r="C200" s="10" t="s">
        <v>2646</v>
      </c>
      <c r="D200" s="10" t="s">
        <v>2079</v>
      </c>
      <c r="E200" s="10" t="s">
        <v>1431</v>
      </c>
      <c r="F200" s="10"/>
      <c r="G200" s="10"/>
      <c r="H200" s="10"/>
      <c r="I200" s="10" t="s">
        <v>2064</v>
      </c>
      <c r="J200" s="10"/>
      <c r="K200" s="31">
        <v>0</v>
      </c>
      <c r="L200" s="10" t="s">
        <v>1433</v>
      </c>
      <c r="M200" s="10" t="s">
        <v>2065</v>
      </c>
      <c r="N200" s="10" t="s">
        <v>2647</v>
      </c>
      <c r="O200" s="10"/>
    </row>
    <row r="201" spans="1:15" x14ac:dyDescent="0.3">
      <c r="A201" s="10" t="s">
        <v>1808</v>
      </c>
      <c r="B201" s="10" t="s">
        <v>2648</v>
      </c>
      <c r="C201" s="10" t="s">
        <v>2649</v>
      </c>
      <c r="D201" s="10" t="s">
        <v>2079</v>
      </c>
      <c r="E201" s="10" t="s">
        <v>1431</v>
      </c>
      <c r="F201" s="10"/>
      <c r="G201" s="10"/>
      <c r="H201" s="10"/>
      <c r="I201" s="10" t="s">
        <v>2064</v>
      </c>
      <c r="J201" s="10"/>
      <c r="K201" s="31">
        <v>0</v>
      </c>
      <c r="L201" s="10" t="s">
        <v>1433</v>
      </c>
      <c r="M201" s="10" t="s">
        <v>2065</v>
      </c>
      <c r="N201" s="10" t="s">
        <v>2647</v>
      </c>
      <c r="O201" s="10"/>
    </row>
    <row r="202" spans="1:15" x14ac:dyDescent="0.3">
      <c r="A202" s="10" t="s">
        <v>1808</v>
      </c>
      <c r="B202" s="10" t="s">
        <v>2650</v>
      </c>
      <c r="C202" s="10" t="s">
        <v>2651</v>
      </c>
      <c r="D202" s="10" t="s">
        <v>2079</v>
      </c>
      <c r="E202" s="10" t="s">
        <v>1431</v>
      </c>
      <c r="F202" s="10"/>
      <c r="G202" s="10"/>
      <c r="H202" s="10"/>
      <c r="I202" s="10" t="s">
        <v>2064</v>
      </c>
      <c r="J202" s="10"/>
      <c r="K202" s="31">
        <v>0</v>
      </c>
      <c r="L202" s="10" t="s">
        <v>1433</v>
      </c>
      <c r="M202" s="10" t="s">
        <v>2065</v>
      </c>
      <c r="N202" s="10" t="s">
        <v>2647</v>
      </c>
      <c r="O202" s="10"/>
    </row>
    <row r="203" spans="1:15" x14ac:dyDescent="0.3">
      <c r="A203" s="10" t="s">
        <v>1809</v>
      </c>
      <c r="B203" s="10" t="s">
        <v>2652</v>
      </c>
      <c r="C203" s="10" t="s">
        <v>2653</v>
      </c>
      <c r="D203" s="10" t="s">
        <v>247</v>
      </c>
      <c r="E203" s="10" t="s">
        <v>1431</v>
      </c>
      <c r="F203" s="10" t="s">
        <v>2654</v>
      </c>
      <c r="G203" s="10" t="s">
        <v>677</v>
      </c>
      <c r="H203" s="10" t="s">
        <v>123</v>
      </c>
      <c r="I203" s="10" t="s">
        <v>191</v>
      </c>
      <c r="J203" s="10" t="s">
        <v>348</v>
      </c>
      <c r="K203" s="31">
        <v>75552</v>
      </c>
      <c r="L203" s="10" t="s">
        <v>1431</v>
      </c>
      <c r="M203" s="10"/>
      <c r="N203" s="10" t="s">
        <v>2655</v>
      </c>
      <c r="O203" s="10" t="s">
        <v>2052</v>
      </c>
    </row>
    <row r="204" spans="1:15" x14ac:dyDescent="0.3">
      <c r="A204" s="10" t="s">
        <v>1810</v>
      </c>
      <c r="B204" s="10" t="s">
        <v>2656</v>
      </c>
      <c r="C204" s="10" t="s">
        <v>2657</v>
      </c>
      <c r="D204" s="10" t="s">
        <v>247</v>
      </c>
      <c r="E204" s="10" t="s">
        <v>1431</v>
      </c>
      <c r="F204" s="10" t="s">
        <v>2658</v>
      </c>
      <c r="G204" s="10" t="s">
        <v>378</v>
      </c>
      <c r="H204" s="10" t="s">
        <v>123</v>
      </c>
      <c r="I204" s="10" t="s">
        <v>189</v>
      </c>
      <c r="J204" s="10" t="s">
        <v>348</v>
      </c>
      <c r="K204" s="31">
        <v>38400</v>
      </c>
      <c r="L204" s="10" t="s">
        <v>1431</v>
      </c>
      <c r="M204" s="10"/>
      <c r="N204" s="10" t="s">
        <v>2659</v>
      </c>
      <c r="O204" s="10"/>
    </row>
    <row r="205" spans="1:15" x14ac:dyDescent="0.3">
      <c r="A205" s="10" t="s">
        <v>1810</v>
      </c>
      <c r="B205" s="10" t="s">
        <v>2660</v>
      </c>
      <c r="C205" s="10" t="s">
        <v>2661</v>
      </c>
      <c r="D205" s="10" t="s">
        <v>259</v>
      </c>
      <c r="E205" s="10" t="s">
        <v>1431</v>
      </c>
      <c r="F205" s="10" t="s">
        <v>2662</v>
      </c>
      <c r="G205" s="10" t="s">
        <v>356</v>
      </c>
      <c r="H205" s="10" t="s">
        <v>123</v>
      </c>
      <c r="I205" s="10" t="s">
        <v>196</v>
      </c>
      <c r="J205" s="10" t="s">
        <v>348</v>
      </c>
      <c r="K205" s="31">
        <v>120000</v>
      </c>
      <c r="L205" s="10" t="s">
        <v>1431</v>
      </c>
      <c r="M205" s="10"/>
      <c r="N205" s="10" t="s">
        <v>2663</v>
      </c>
      <c r="O205" s="10"/>
    </row>
    <row r="206" spans="1:15" x14ac:dyDescent="0.3">
      <c r="A206" s="10" t="s">
        <v>1811</v>
      </c>
      <c r="B206" s="10" t="s">
        <v>2664</v>
      </c>
      <c r="C206" s="10" t="s">
        <v>2665</v>
      </c>
      <c r="D206" s="10" t="s">
        <v>247</v>
      </c>
      <c r="E206" s="10" t="s">
        <v>1431</v>
      </c>
      <c r="F206" s="10" t="s">
        <v>357</v>
      </c>
      <c r="G206" s="10" t="s">
        <v>357</v>
      </c>
      <c r="H206" s="10" t="s">
        <v>123</v>
      </c>
      <c r="I206" s="10" t="s">
        <v>195</v>
      </c>
      <c r="J206" s="10" t="s">
        <v>348</v>
      </c>
      <c r="K206" s="31">
        <v>62088</v>
      </c>
      <c r="L206" s="10" t="s">
        <v>1431</v>
      </c>
      <c r="M206" s="10"/>
      <c r="N206" s="10" t="s">
        <v>2359</v>
      </c>
      <c r="O206" s="10"/>
    </row>
    <row r="207" spans="1:15" x14ac:dyDescent="0.3">
      <c r="A207" s="10" t="s">
        <v>1811</v>
      </c>
      <c r="B207" s="10" t="s">
        <v>2666</v>
      </c>
      <c r="C207" s="10" t="s">
        <v>2667</v>
      </c>
      <c r="D207" s="10" t="s">
        <v>259</v>
      </c>
      <c r="E207" s="10" t="s">
        <v>1431</v>
      </c>
      <c r="F207" s="10" t="s">
        <v>623</v>
      </c>
      <c r="G207" s="10" t="s">
        <v>623</v>
      </c>
      <c r="H207" s="10" t="s">
        <v>123</v>
      </c>
      <c r="I207" s="10" t="s">
        <v>191</v>
      </c>
      <c r="J207" s="10" t="s">
        <v>348</v>
      </c>
      <c r="K207" s="31">
        <v>31200</v>
      </c>
      <c r="L207" s="10" t="s">
        <v>1431</v>
      </c>
      <c r="M207" s="10"/>
      <c r="N207" s="10" t="s">
        <v>2668</v>
      </c>
      <c r="O207" s="10"/>
    </row>
    <row r="208" spans="1:15" x14ac:dyDescent="0.3">
      <c r="A208" s="10" t="s">
        <v>1812</v>
      </c>
      <c r="B208" s="10" t="s">
        <v>2669</v>
      </c>
      <c r="C208" s="10" t="s">
        <v>2670</v>
      </c>
      <c r="D208" s="10" t="s">
        <v>247</v>
      </c>
      <c r="E208" s="10" t="s">
        <v>1431</v>
      </c>
      <c r="F208" s="10" t="s">
        <v>671</v>
      </c>
      <c r="G208" s="10" t="s">
        <v>671</v>
      </c>
      <c r="H208" s="10" t="s">
        <v>123</v>
      </c>
      <c r="I208" s="10" t="s">
        <v>191</v>
      </c>
      <c r="J208" s="10" t="s">
        <v>348</v>
      </c>
      <c r="K208" s="31">
        <v>93168</v>
      </c>
      <c r="L208" s="10" t="s">
        <v>1431</v>
      </c>
      <c r="M208" s="10"/>
      <c r="N208" s="10" t="s">
        <v>2671</v>
      </c>
      <c r="O208" s="10" t="s">
        <v>2052</v>
      </c>
    </row>
    <row r="209" spans="1:15" x14ac:dyDescent="0.3">
      <c r="A209" s="10" t="s">
        <v>1812</v>
      </c>
      <c r="B209" s="10" t="s">
        <v>2672</v>
      </c>
      <c r="C209" s="10" t="s">
        <v>2673</v>
      </c>
      <c r="D209" s="10" t="s">
        <v>2079</v>
      </c>
      <c r="E209" s="10" t="s">
        <v>1431</v>
      </c>
      <c r="F209" s="10"/>
      <c r="G209" s="10"/>
      <c r="H209" s="10"/>
      <c r="I209" s="10" t="s">
        <v>2064</v>
      </c>
      <c r="J209" s="10"/>
      <c r="K209" s="31">
        <v>0</v>
      </c>
      <c r="L209" s="10" t="s">
        <v>1433</v>
      </c>
      <c r="M209" s="10" t="s">
        <v>2065</v>
      </c>
      <c r="N209" s="10" t="s">
        <v>2674</v>
      </c>
      <c r="O209" s="10"/>
    </row>
    <row r="210" spans="1:15" x14ac:dyDescent="0.3">
      <c r="A210" s="10" t="s">
        <v>1812</v>
      </c>
      <c r="B210" s="10" t="s">
        <v>2675</v>
      </c>
      <c r="C210" s="10" t="s">
        <v>2676</v>
      </c>
      <c r="D210" s="10" t="s">
        <v>2079</v>
      </c>
      <c r="E210" s="10" t="s">
        <v>1431</v>
      </c>
      <c r="F210" s="10"/>
      <c r="G210" s="10"/>
      <c r="H210" s="10"/>
      <c r="I210" s="10" t="s">
        <v>2064</v>
      </c>
      <c r="J210" s="10"/>
      <c r="K210" s="31">
        <v>0</v>
      </c>
      <c r="L210" s="10" t="s">
        <v>1433</v>
      </c>
      <c r="M210" s="10" t="s">
        <v>2065</v>
      </c>
      <c r="N210" s="10" t="s">
        <v>2674</v>
      </c>
      <c r="O210" s="10"/>
    </row>
    <row r="211" spans="1:15" x14ac:dyDescent="0.3">
      <c r="A211" s="10" t="s">
        <v>1813</v>
      </c>
      <c r="B211" s="10" t="s">
        <v>2677</v>
      </c>
      <c r="C211" s="10" t="s">
        <v>2678</v>
      </c>
      <c r="D211" s="10" t="s">
        <v>247</v>
      </c>
      <c r="E211" s="10" t="s">
        <v>1431</v>
      </c>
      <c r="F211" s="10" t="s">
        <v>2679</v>
      </c>
      <c r="G211" s="10" t="s">
        <v>645</v>
      </c>
      <c r="H211" s="10" t="s">
        <v>123</v>
      </c>
      <c r="I211" s="10" t="s">
        <v>194</v>
      </c>
      <c r="J211" s="10" t="s">
        <v>366</v>
      </c>
      <c r="K211" s="31">
        <v>34800</v>
      </c>
      <c r="L211" s="10" t="s">
        <v>1431</v>
      </c>
      <c r="M211" s="10"/>
      <c r="N211" s="10" t="s">
        <v>2680</v>
      </c>
      <c r="O211" s="10" t="s">
        <v>2052</v>
      </c>
    </row>
    <row r="212" spans="1:15" x14ac:dyDescent="0.3">
      <c r="A212" s="10" t="s">
        <v>1813</v>
      </c>
      <c r="B212" s="10" t="s">
        <v>2681</v>
      </c>
      <c r="C212" s="10" t="s">
        <v>2682</v>
      </c>
      <c r="D212" s="10" t="s">
        <v>251</v>
      </c>
      <c r="E212" s="10" t="s">
        <v>1433</v>
      </c>
      <c r="F212" s="10" t="s">
        <v>2683</v>
      </c>
      <c r="G212" s="10" t="s">
        <v>2684</v>
      </c>
      <c r="H212" s="10" t="s">
        <v>121</v>
      </c>
      <c r="I212" s="10" t="s">
        <v>188</v>
      </c>
      <c r="J212" s="10" t="s">
        <v>348</v>
      </c>
      <c r="K212" s="31">
        <v>158136</v>
      </c>
      <c r="L212" s="10" t="s">
        <v>1433</v>
      </c>
      <c r="M212" s="10" t="s">
        <v>2138</v>
      </c>
      <c r="N212" s="10" t="s">
        <v>2685</v>
      </c>
      <c r="O212" s="10"/>
    </row>
    <row r="213" spans="1:15" x14ac:dyDescent="0.3">
      <c r="A213" s="10" t="s">
        <v>1814</v>
      </c>
      <c r="B213" s="10" t="s">
        <v>2686</v>
      </c>
      <c r="C213" s="10" t="s">
        <v>2687</v>
      </c>
      <c r="D213" s="10" t="s">
        <v>247</v>
      </c>
      <c r="E213" s="10" t="s">
        <v>1431</v>
      </c>
      <c r="F213" s="10" t="s">
        <v>2397</v>
      </c>
      <c r="G213" s="10" t="s">
        <v>354</v>
      </c>
      <c r="H213" s="10" t="s">
        <v>123</v>
      </c>
      <c r="I213" s="10" t="s">
        <v>191</v>
      </c>
      <c r="J213" s="10" t="s">
        <v>348</v>
      </c>
      <c r="K213" s="31">
        <v>26400</v>
      </c>
      <c r="L213" s="10" t="s">
        <v>1431</v>
      </c>
      <c r="M213" s="10"/>
      <c r="N213" s="10" t="s">
        <v>2688</v>
      </c>
      <c r="O213" s="10" t="s">
        <v>2052</v>
      </c>
    </row>
    <row r="214" spans="1:15" x14ac:dyDescent="0.3">
      <c r="A214" s="10" t="s">
        <v>1814</v>
      </c>
      <c r="B214" s="10" t="s">
        <v>2689</v>
      </c>
      <c r="C214" s="10" t="s">
        <v>2690</v>
      </c>
      <c r="D214" s="10" t="s">
        <v>264</v>
      </c>
      <c r="E214" s="10" t="s">
        <v>1431</v>
      </c>
      <c r="F214" s="10" t="s">
        <v>2691</v>
      </c>
      <c r="G214" s="10" t="s">
        <v>508</v>
      </c>
      <c r="H214" s="10" t="s">
        <v>123</v>
      </c>
      <c r="I214" s="10" t="s">
        <v>197</v>
      </c>
      <c r="J214" s="10" t="s">
        <v>348</v>
      </c>
      <c r="K214" s="31">
        <v>70836</v>
      </c>
      <c r="L214" s="10" t="s">
        <v>1431</v>
      </c>
      <c r="M214" s="10"/>
      <c r="N214" s="10" t="s">
        <v>2692</v>
      </c>
      <c r="O214" s="10"/>
    </row>
    <row r="215" spans="1:15" x14ac:dyDescent="0.3">
      <c r="A215" s="10" t="s">
        <v>1815</v>
      </c>
      <c r="B215" s="10" t="s">
        <v>2693</v>
      </c>
      <c r="C215" s="10" t="s">
        <v>2694</v>
      </c>
      <c r="D215" s="10" t="s">
        <v>247</v>
      </c>
      <c r="E215" s="10" t="s">
        <v>1431</v>
      </c>
      <c r="F215" s="10" t="s">
        <v>387</v>
      </c>
      <c r="G215" s="10" t="s">
        <v>387</v>
      </c>
      <c r="H215" s="10" t="s">
        <v>123</v>
      </c>
      <c r="I215" s="10" t="s">
        <v>206</v>
      </c>
      <c r="J215" s="10" t="s">
        <v>348</v>
      </c>
      <c r="K215" s="31">
        <v>75948</v>
      </c>
      <c r="L215" s="10" t="s">
        <v>1431</v>
      </c>
      <c r="M215" s="10"/>
      <c r="N215" s="10" t="s">
        <v>2695</v>
      </c>
      <c r="O215" s="10"/>
    </row>
    <row r="216" spans="1:15" x14ac:dyDescent="0.3">
      <c r="A216" s="10" t="s">
        <v>1815</v>
      </c>
      <c r="B216" s="10" t="s">
        <v>2696</v>
      </c>
      <c r="C216" s="10" t="s">
        <v>2697</v>
      </c>
      <c r="D216" s="10" t="s">
        <v>259</v>
      </c>
      <c r="E216" s="10" t="s">
        <v>1431</v>
      </c>
      <c r="F216" s="10" t="s">
        <v>2698</v>
      </c>
      <c r="G216" s="10" t="s">
        <v>642</v>
      </c>
      <c r="H216" s="10" t="s">
        <v>123</v>
      </c>
      <c r="I216" s="10" t="s">
        <v>196</v>
      </c>
      <c r="J216" s="10" t="s">
        <v>366</v>
      </c>
      <c r="K216" s="31">
        <v>51600</v>
      </c>
      <c r="L216" s="10" t="s">
        <v>1431</v>
      </c>
      <c r="M216" s="10"/>
      <c r="N216" s="10" t="s">
        <v>2699</v>
      </c>
      <c r="O216" s="10" t="s">
        <v>2052</v>
      </c>
    </row>
    <row r="217" spans="1:15" x14ac:dyDescent="0.3">
      <c r="A217" s="10" t="s">
        <v>1816</v>
      </c>
      <c r="B217" s="10" t="s">
        <v>2700</v>
      </c>
      <c r="C217" s="10" t="s">
        <v>2701</v>
      </c>
      <c r="D217" s="10" t="s">
        <v>247</v>
      </c>
      <c r="E217" s="10" t="s">
        <v>1431</v>
      </c>
      <c r="F217" s="10" t="s">
        <v>2702</v>
      </c>
      <c r="G217" s="10" t="s">
        <v>676</v>
      </c>
      <c r="H217" s="10" t="s">
        <v>123</v>
      </c>
      <c r="I217" s="10" t="s">
        <v>191</v>
      </c>
      <c r="J217" s="10" t="s">
        <v>348</v>
      </c>
      <c r="K217" s="31">
        <v>85236</v>
      </c>
      <c r="L217" s="10" t="s">
        <v>1431</v>
      </c>
      <c r="M217" s="10"/>
      <c r="N217" s="10" t="s">
        <v>2703</v>
      </c>
      <c r="O217" s="10" t="s">
        <v>2052</v>
      </c>
    </row>
    <row r="218" spans="1:15" x14ac:dyDescent="0.3">
      <c r="A218" s="10" t="s">
        <v>1817</v>
      </c>
      <c r="B218" s="10" t="s">
        <v>2704</v>
      </c>
      <c r="C218" s="10" t="s">
        <v>2705</v>
      </c>
      <c r="D218" s="10" t="s">
        <v>247</v>
      </c>
      <c r="E218" s="10" t="s">
        <v>1431</v>
      </c>
      <c r="F218" s="10" t="s">
        <v>387</v>
      </c>
      <c r="G218" s="10" t="s">
        <v>387</v>
      </c>
      <c r="H218" s="10" t="s">
        <v>123</v>
      </c>
      <c r="I218" s="10" t="s">
        <v>206</v>
      </c>
      <c r="J218" s="10" t="s">
        <v>348</v>
      </c>
      <c r="K218" s="31">
        <v>14400</v>
      </c>
      <c r="L218" s="10" t="s">
        <v>1431</v>
      </c>
      <c r="M218" s="10"/>
      <c r="N218" s="10" t="s">
        <v>2525</v>
      </c>
      <c r="O218" s="10"/>
    </row>
    <row r="219" spans="1:15" x14ac:dyDescent="0.3">
      <c r="A219" s="10" t="s">
        <v>1817</v>
      </c>
      <c r="B219" s="10" t="s">
        <v>2706</v>
      </c>
      <c r="C219" s="10" t="s">
        <v>2707</v>
      </c>
      <c r="D219" s="10" t="s">
        <v>259</v>
      </c>
      <c r="E219" s="10" t="s">
        <v>1431</v>
      </c>
      <c r="F219" s="10" t="s">
        <v>2708</v>
      </c>
      <c r="G219" s="10" t="s">
        <v>371</v>
      </c>
      <c r="H219" s="10" t="s">
        <v>123</v>
      </c>
      <c r="I219" s="10" t="s">
        <v>204</v>
      </c>
      <c r="J219" s="10" t="s">
        <v>366</v>
      </c>
      <c r="K219" s="31">
        <v>48000</v>
      </c>
      <c r="L219" s="10" t="s">
        <v>1433</v>
      </c>
      <c r="M219" s="10" t="s">
        <v>2092</v>
      </c>
      <c r="N219" s="10" t="s">
        <v>2709</v>
      </c>
      <c r="O219" s="10" t="s">
        <v>2052</v>
      </c>
    </row>
    <row r="220" spans="1:15" x14ac:dyDescent="0.3">
      <c r="A220" s="10" t="s">
        <v>1817</v>
      </c>
      <c r="B220" s="10" t="s">
        <v>2710</v>
      </c>
      <c r="C220" s="10" t="s">
        <v>2711</v>
      </c>
      <c r="D220" s="10" t="s">
        <v>259</v>
      </c>
      <c r="E220" s="10" t="s">
        <v>1431</v>
      </c>
      <c r="F220" s="10" t="s">
        <v>2708</v>
      </c>
      <c r="G220" s="10" t="s">
        <v>371</v>
      </c>
      <c r="H220" s="10" t="s">
        <v>123</v>
      </c>
      <c r="I220" s="10" t="s">
        <v>204</v>
      </c>
      <c r="J220" s="10" t="s">
        <v>366</v>
      </c>
      <c r="K220" s="31">
        <v>48000</v>
      </c>
      <c r="L220" s="10" t="s">
        <v>1431</v>
      </c>
      <c r="M220" s="10"/>
      <c r="N220" s="10" t="s">
        <v>2709</v>
      </c>
      <c r="O220" s="10" t="s">
        <v>2052</v>
      </c>
    </row>
    <row r="221" spans="1:15" x14ac:dyDescent="0.3">
      <c r="A221" s="10" t="s">
        <v>1817</v>
      </c>
      <c r="B221" s="10" t="s">
        <v>2712</v>
      </c>
      <c r="C221" s="10" t="s">
        <v>2713</v>
      </c>
      <c r="D221" s="10" t="s">
        <v>259</v>
      </c>
      <c r="E221" s="10" t="s">
        <v>1431</v>
      </c>
      <c r="F221" s="10" t="s">
        <v>2708</v>
      </c>
      <c r="G221" s="10" t="s">
        <v>371</v>
      </c>
      <c r="H221" s="10" t="s">
        <v>123</v>
      </c>
      <c r="I221" s="10" t="s">
        <v>204</v>
      </c>
      <c r="J221" s="10" t="s">
        <v>366</v>
      </c>
      <c r="K221" s="31">
        <v>48000</v>
      </c>
      <c r="L221" s="10" t="s">
        <v>1433</v>
      </c>
      <c r="M221" s="10" t="s">
        <v>2092</v>
      </c>
      <c r="N221" s="10" t="s">
        <v>2709</v>
      </c>
      <c r="O221" s="10" t="s">
        <v>2052</v>
      </c>
    </row>
    <row r="222" spans="1:15" x14ac:dyDescent="0.3">
      <c r="A222" s="10" t="s">
        <v>1818</v>
      </c>
      <c r="B222" s="10" t="s">
        <v>2714</v>
      </c>
      <c r="C222" s="10" t="s">
        <v>2715</v>
      </c>
      <c r="D222" s="10" t="s">
        <v>247</v>
      </c>
      <c r="E222" s="10" t="s">
        <v>1431</v>
      </c>
      <c r="F222" s="10" t="s">
        <v>2716</v>
      </c>
      <c r="G222" s="10" t="s">
        <v>592</v>
      </c>
      <c r="H222" s="10" t="s">
        <v>123</v>
      </c>
      <c r="I222" s="10" t="s">
        <v>191</v>
      </c>
      <c r="J222" s="10" t="s">
        <v>348</v>
      </c>
      <c r="K222" s="31">
        <v>62400</v>
      </c>
      <c r="L222" s="10" t="s">
        <v>1431</v>
      </c>
      <c r="M222" s="10"/>
      <c r="N222" s="10" t="s">
        <v>2717</v>
      </c>
      <c r="O222" s="10"/>
    </row>
    <row r="223" spans="1:15" x14ac:dyDescent="0.3">
      <c r="A223" s="10" t="s">
        <v>1819</v>
      </c>
      <c r="B223" s="10" t="s">
        <v>2718</v>
      </c>
      <c r="C223" s="10" t="s">
        <v>2719</v>
      </c>
      <c r="D223" s="10" t="s">
        <v>247</v>
      </c>
      <c r="E223" s="10" t="s">
        <v>1431</v>
      </c>
      <c r="F223" s="10" t="s">
        <v>2720</v>
      </c>
      <c r="G223" s="10" t="s">
        <v>629</v>
      </c>
      <c r="H223" s="10" t="s">
        <v>123</v>
      </c>
      <c r="I223" s="10" t="s">
        <v>197</v>
      </c>
      <c r="J223" s="10" t="s">
        <v>348</v>
      </c>
      <c r="K223" s="31">
        <v>48000</v>
      </c>
      <c r="L223" s="10" t="s">
        <v>1431</v>
      </c>
      <c r="M223" s="10"/>
      <c r="N223" s="10" t="s">
        <v>2334</v>
      </c>
      <c r="O223" s="10"/>
    </row>
    <row r="224" spans="1:15" x14ac:dyDescent="0.3">
      <c r="A224" s="10" t="s">
        <v>1819</v>
      </c>
      <c r="B224" s="10" t="s">
        <v>2721</v>
      </c>
      <c r="C224" s="10" t="s">
        <v>2722</v>
      </c>
      <c r="D224" s="10" t="s">
        <v>259</v>
      </c>
      <c r="E224" s="10" t="s">
        <v>1431</v>
      </c>
      <c r="F224" s="10" t="s">
        <v>617</v>
      </c>
      <c r="G224" s="10" t="s">
        <v>617</v>
      </c>
      <c r="H224" s="10" t="s">
        <v>123</v>
      </c>
      <c r="I224" s="10" t="s">
        <v>203</v>
      </c>
      <c r="J224" s="10" t="s">
        <v>348</v>
      </c>
      <c r="K224" s="31">
        <v>38400</v>
      </c>
      <c r="L224" s="10" t="s">
        <v>1431</v>
      </c>
      <c r="M224" s="10"/>
      <c r="N224" s="10" t="s">
        <v>2723</v>
      </c>
      <c r="O224" s="10"/>
    </row>
    <row r="225" spans="1:15" x14ac:dyDescent="0.3">
      <c r="A225" s="10" t="s">
        <v>1820</v>
      </c>
      <c r="B225" s="10" t="s">
        <v>2724</v>
      </c>
      <c r="C225" s="10" t="s">
        <v>2725</v>
      </c>
      <c r="D225" s="10" t="s">
        <v>247</v>
      </c>
      <c r="E225" s="10" t="s">
        <v>1431</v>
      </c>
      <c r="F225" s="10" t="s">
        <v>2726</v>
      </c>
      <c r="G225" s="10" t="s">
        <v>476</v>
      </c>
      <c r="H225" s="10" t="s">
        <v>123</v>
      </c>
      <c r="I225" s="10" t="s">
        <v>190</v>
      </c>
      <c r="J225" s="10" t="s">
        <v>348</v>
      </c>
      <c r="K225" s="31">
        <v>24000</v>
      </c>
      <c r="L225" s="10" t="s">
        <v>1431</v>
      </c>
      <c r="M225" s="10"/>
      <c r="N225" s="10" t="s">
        <v>2727</v>
      </c>
      <c r="O225" s="10"/>
    </row>
    <row r="226" spans="1:15" x14ac:dyDescent="0.3">
      <c r="A226" s="10" t="s">
        <v>1820</v>
      </c>
      <c r="B226" s="10" t="s">
        <v>2728</v>
      </c>
      <c r="C226" s="10" t="s">
        <v>2729</v>
      </c>
      <c r="D226" s="10" t="s">
        <v>259</v>
      </c>
      <c r="E226" s="10" t="s">
        <v>1431</v>
      </c>
      <c r="F226" s="10" t="s">
        <v>720</v>
      </c>
      <c r="G226" s="10" t="s">
        <v>720</v>
      </c>
      <c r="H226" s="10" t="s">
        <v>123</v>
      </c>
      <c r="I226" s="10" t="s">
        <v>190</v>
      </c>
      <c r="J226" s="10" t="s">
        <v>348</v>
      </c>
      <c r="K226" s="31">
        <v>42000</v>
      </c>
      <c r="L226" s="10" t="s">
        <v>1431</v>
      </c>
      <c r="M226" s="10"/>
      <c r="N226" s="10" t="s">
        <v>2730</v>
      </c>
      <c r="O226" s="10"/>
    </row>
    <row r="227" spans="1:15" x14ac:dyDescent="0.3">
      <c r="A227" s="10" t="s">
        <v>1821</v>
      </c>
      <c r="B227" s="10" t="s">
        <v>2731</v>
      </c>
      <c r="C227" s="10" t="s">
        <v>2732</v>
      </c>
      <c r="D227" s="10" t="s">
        <v>247</v>
      </c>
      <c r="E227" s="10" t="s">
        <v>1431</v>
      </c>
      <c r="F227" s="10" t="s">
        <v>2733</v>
      </c>
      <c r="G227" s="10" t="s">
        <v>430</v>
      </c>
      <c r="H227" s="10" t="s">
        <v>123</v>
      </c>
      <c r="I227" s="10" t="s">
        <v>203</v>
      </c>
      <c r="J227" s="10" t="s">
        <v>348</v>
      </c>
      <c r="K227" s="31">
        <v>123600</v>
      </c>
      <c r="L227" s="10" t="s">
        <v>1431</v>
      </c>
      <c r="M227" s="10"/>
      <c r="N227" s="10" t="s">
        <v>2734</v>
      </c>
      <c r="O227" s="10" t="s">
        <v>2019</v>
      </c>
    </row>
    <row r="228" spans="1:15" x14ac:dyDescent="0.3">
      <c r="A228" s="10" t="s">
        <v>1821</v>
      </c>
      <c r="B228" s="10" t="s">
        <v>2735</v>
      </c>
      <c r="C228" s="10" t="s">
        <v>2736</v>
      </c>
      <c r="D228" s="10" t="s">
        <v>264</v>
      </c>
      <c r="E228" s="10" t="s">
        <v>1431</v>
      </c>
      <c r="F228" s="10" t="s">
        <v>2737</v>
      </c>
      <c r="G228" s="10"/>
      <c r="H228" s="10"/>
      <c r="I228" s="10" t="s">
        <v>2064</v>
      </c>
      <c r="J228" s="10"/>
      <c r="K228" s="31">
        <v>0</v>
      </c>
      <c r="L228" s="10" t="s">
        <v>1433</v>
      </c>
      <c r="M228" s="10" t="s">
        <v>2065</v>
      </c>
      <c r="N228" s="10" t="s">
        <v>2738</v>
      </c>
      <c r="O228" s="10" t="s">
        <v>2019</v>
      </c>
    </row>
    <row r="229" spans="1:15" x14ac:dyDescent="0.3">
      <c r="A229" s="10" t="s">
        <v>1822</v>
      </c>
      <c r="B229" s="10" t="s">
        <v>2739</v>
      </c>
      <c r="C229" s="10" t="s">
        <v>2740</v>
      </c>
      <c r="D229" s="10" t="s">
        <v>247</v>
      </c>
      <c r="E229" s="10" t="s">
        <v>1431</v>
      </c>
      <c r="F229" s="10" t="s">
        <v>2305</v>
      </c>
      <c r="G229" s="10" t="s">
        <v>355</v>
      </c>
      <c r="H229" s="10" t="s">
        <v>123</v>
      </c>
      <c r="I229" s="10" t="s">
        <v>191</v>
      </c>
      <c r="J229" s="10" t="s">
        <v>348</v>
      </c>
      <c r="K229" s="31">
        <v>101148</v>
      </c>
      <c r="L229" s="10" t="s">
        <v>1431</v>
      </c>
      <c r="M229" s="10"/>
      <c r="N229" s="10" t="s">
        <v>2741</v>
      </c>
      <c r="O229" s="10" t="s">
        <v>2052</v>
      </c>
    </row>
    <row r="230" spans="1:15" x14ac:dyDescent="0.3">
      <c r="A230" s="10" t="s">
        <v>1822</v>
      </c>
      <c r="B230" s="10" t="s">
        <v>2742</v>
      </c>
      <c r="C230" s="10" t="s">
        <v>2743</v>
      </c>
      <c r="D230" s="10" t="s">
        <v>259</v>
      </c>
      <c r="E230" s="10" t="s">
        <v>1431</v>
      </c>
      <c r="F230" s="10"/>
      <c r="G230" s="10"/>
      <c r="H230" s="10"/>
      <c r="I230" s="10" t="s">
        <v>2064</v>
      </c>
      <c r="J230" s="10"/>
      <c r="K230" s="31">
        <v>0</v>
      </c>
      <c r="L230" s="10" t="s">
        <v>1433</v>
      </c>
      <c r="M230" s="10" t="s">
        <v>2065</v>
      </c>
      <c r="N230" s="10" t="s">
        <v>2102</v>
      </c>
      <c r="O230" s="10" t="s">
        <v>2052</v>
      </c>
    </row>
    <row r="231" spans="1:15" x14ac:dyDescent="0.3">
      <c r="A231" s="10" t="s">
        <v>1823</v>
      </c>
      <c r="B231" s="10" t="s">
        <v>2744</v>
      </c>
      <c r="C231" s="10" t="s">
        <v>2745</v>
      </c>
      <c r="D231" s="10" t="s">
        <v>247</v>
      </c>
      <c r="E231" s="10" t="s">
        <v>1431</v>
      </c>
      <c r="F231" s="10" t="s">
        <v>2746</v>
      </c>
      <c r="G231" s="10" t="s">
        <v>679</v>
      </c>
      <c r="H231" s="10" t="s">
        <v>123</v>
      </c>
      <c r="I231" s="10" t="s">
        <v>200</v>
      </c>
      <c r="J231" s="10" t="s">
        <v>366</v>
      </c>
      <c r="K231" s="31">
        <v>125004</v>
      </c>
      <c r="L231" s="10" t="s">
        <v>1431</v>
      </c>
      <c r="M231" s="10"/>
      <c r="N231" s="10" t="s">
        <v>2747</v>
      </c>
      <c r="O231" s="10"/>
    </row>
    <row r="232" spans="1:15" x14ac:dyDescent="0.3">
      <c r="A232" s="10" t="s">
        <v>1824</v>
      </c>
      <c r="B232" s="10" t="s">
        <v>2748</v>
      </c>
      <c r="C232" s="10" t="s">
        <v>2749</v>
      </c>
      <c r="D232" s="10" t="s">
        <v>247</v>
      </c>
      <c r="E232" s="10" t="s">
        <v>1431</v>
      </c>
      <c r="F232" s="10" t="s">
        <v>2750</v>
      </c>
      <c r="G232" s="10" t="s">
        <v>538</v>
      </c>
      <c r="H232" s="10" t="s">
        <v>123</v>
      </c>
      <c r="I232" s="10" t="s">
        <v>197</v>
      </c>
      <c r="J232" s="10" t="s">
        <v>294</v>
      </c>
      <c r="K232" s="31">
        <v>66000</v>
      </c>
      <c r="L232" s="10" t="s">
        <v>1431</v>
      </c>
      <c r="M232" s="10"/>
      <c r="N232" s="10" t="s">
        <v>2751</v>
      </c>
      <c r="O232" s="10"/>
    </row>
    <row r="233" spans="1:15" x14ac:dyDescent="0.3">
      <c r="A233" s="10" t="s">
        <v>1825</v>
      </c>
      <c r="B233" s="10" t="s">
        <v>2752</v>
      </c>
      <c r="C233" s="10" t="s">
        <v>2256</v>
      </c>
      <c r="D233" s="10" t="s">
        <v>247</v>
      </c>
      <c r="E233" s="10" t="s">
        <v>1431</v>
      </c>
      <c r="F233" s="10" t="s">
        <v>2257</v>
      </c>
      <c r="G233" s="10" t="s">
        <v>427</v>
      </c>
      <c r="H233" s="10" t="s">
        <v>123</v>
      </c>
      <c r="I233" s="10" t="s">
        <v>207</v>
      </c>
      <c r="J233" s="10" t="s">
        <v>348</v>
      </c>
      <c r="K233" s="31">
        <v>120000</v>
      </c>
      <c r="L233" s="10" t="s">
        <v>1431</v>
      </c>
      <c r="M233" s="10"/>
      <c r="N233" s="10" t="s">
        <v>2258</v>
      </c>
      <c r="O233" s="10"/>
    </row>
    <row r="234" spans="1:15" x14ac:dyDescent="0.3">
      <c r="A234" s="10" t="s">
        <v>286</v>
      </c>
      <c r="B234" s="10" t="s">
        <v>2753</v>
      </c>
      <c r="C234" s="10" t="s">
        <v>2754</v>
      </c>
      <c r="D234" s="10" t="s">
        <v>247</v>
      </c>
      <c r="E234" s="10" t="s">
        <v>1431</v>
      </c>
      <c r="F234" s="10" t="s">
        <v>2755</v>
      </c>
      <c r="G234" s="10" t="s">
        <v>285</v>
      </c>
      <c r="H234" s="10" t="s">
        <v>115</v>
      </c>
      <c r="I234" s="10" t="s">
        <v>185</v>
      </c>
      <c r="J234" s="10" t="s">
        <v>287</v>
      </c>
      <c r="K234" s="31">
        <v>103200</v>
      </c>
      <c r="L234" s="10" t="s">
        <v>1431</v>
      </c>
      <c r="M234" s="10"/>
      <c r="N234" s="10" t="s">
        <v>2756</v>
      </c>
      <c r="O234" s="10" t="s">
        <v>2052</v>
      </c>
    </row>
    <row r="235" spans="1:15" x14ac:dyDescent="0.3">
      <c r="A235" s="10" t="s">
        <v>286</v>
      </c>
      <c r="B235" s="10" t="s">
        <v>2757</v>
      </c>
      <c r="C235" s="10" t="s">
        <v>2758</v>
      </c>
      <c r="D235" s="10" t="s">
        <v>259</v>
      </c>
      <c r="E235" s="10" t="s">
        <v>1431</v>
      </c>
      <c r="F235" s="10" t="s">
        <v>573</v>
      </c>
      <c r="G235" s="10" t="s">
        <v>573</v>
      </c>
      <c r="H235" s="10" t="s">
        <v>123</v>
      </c>
      <c r="I235" s="10" t="s">
        <v>190</v>
      </c>
      <c r="J235" s="10" t="s">
        <v>348</v>
      </c>
      <c r="K235" s="31">
        <v>37200</v>
      </c>
      <c r="L235" s="10" t="s">
        <v>1431</v>
      </c>
      <c r="M235" s="10"/>
      <c r="N235" s="10" t="s">
        <v>2759</v>
      </c>
      <c r="O235" s="10" t="s">
        <v>2052</v>
      </c>
    </row>
    <row r="236" spans="1:15" x14ac:dyDescent="0.3">
      <c r="A236" s="10" t="s">
        <v>283</v>
      </c>
      <c r="B236" s="10" t="s">
        <v>2760</v>
      </c>
      <c r="C236" s="10" t="s">
        <v>2761</v>
      </c>
      <c r="D236" s="10" t="s">
        <v>247</v>
      </c>
      <c r="E236" s="10" t="s">
        <v>1431</v>
      </c>
      <c r="F236" s="10" t="s">
        <v>768</v>
      </c>
      <c r="G236" s="10" t="s">
        <v>768</v>
      </c>
      <c r="H236" s="10"/>
      <c r="I236" s="10" t="s">
        <v>769</v>
      </c>
      <c r="J236" s="10" t="s">
        <v>348</v>
      </c>
      <c r="K236" s="31">
        <v>141780</v>
      </c>
      <c r="L236" s="10" t="s">
        <v>1431</v>
      </c>
      <c r="M236" s="10"/>
      <c r="N236" s="10" t="s">
        <v>2762</v>
      </c>
      <c r="O236" s="10" t="s">
        <v>2019</v>
      </c>
    </row>
    <row r="237" spans="1:15" x14ac:dyDescent="0.3">
      <c r="A237" s="10" t="s">
        <v>283</v>
      </c>
      <c r="B237" s="10" t="s">
        <v>2763</v>
      </c>
      <c r="C237" s="10" t="s">
        <v>2764</v>
      </c>
      <c r="D237" s="10" t="s">
        <v>259</v>
      </c>
      <c r="E237" s="10" t="s">
        <v>1431</v>
      </c>
      <c r="F237" s="10" t="s">
        <v>2765</v>
      </c>
      <c r="G237" s="10" t="s">
        <v>282</v>
      </c>
      <c r="H237" s="10" t="s">
        <v>115</v>
      </c>
      <c r="I237" s="10" t="s">
        <v>185</v>
      </c>
      <c r="J237" s="10" t="s">
        <v>273</v>
      </c>
      <c r="K237" s="31">
        <v>118356</v>
      </c>
      <c r="L237" s="10" t="s">
        <v>1431</v>
      </c>
      <c r="M237" s="10"/>
      <c r="N237" s="10" t="s">
        <v>2766</v>
      </c>
      <c r="O237" s="10"/>
    </row>
    <row r="238" spans="1:15" x14ac:dyDescent="0.3">
      <c r="A238" s="10" t="s">
        <v>1826</v>
      </c>
      <c r="B238" s="10" t="s">
        <v>2767</v>
      </c>
      <c r="C238" s="10" t="s">
        <v>2768</v>
      </c>
      <c r="D238" s="10" t="s">
        <v>247</v>
      </c>
      <c r="E238" s="10" t="s">
        <v>1431</v>
      </c>
      <c r="F238" s="10" t="s">
        <v>585</v>
      </c>
      <c r="G238" s="10" t="s">
        <v>585</v>
      </c>
      <c r="H238" s="10" t="s">
        <v>123</v>
      </c>
      <c r="I238" s="10" t="s">
        <v>197</v>
      </c>
      <c r="J238" s="10" t="s">
        <v>348</v>
      </c>
      <c r="K238" s="31">
        <v>34056</v>
      </c>
      <c r="L238" s="10" t="s">
        <v>1431</v>
      </c>
      <c r="M238" s="10"/>
      <c r="N238" s="10" t="s">
        <v>2769</v>
      </c>
      <c r="O238" s="10" t="s">
        <v>2052</v>
      </c>
    </row>
    <row r="239" spans="1:15" x14ac:dyDescent="0.3">
      <c r="A239" s="10" t="s">
        <v>1826</v>
      </c>
      <c r="B239" s="10" t="s">
        <v>2770</v>
      </c>
      <c r="C239" s="10" t="s">
        <v>2771</v>
      </c>
      <c r="D239" s="10" t="s">
        <v>259</v>
      </c>
      <c r="E239" s="10" t="s">
        <v>1431</v>
      </c>
      <c r="F239" s="10" t="s">
        <v>357</v>
      </c>
      <c r="G239" s="10" t="s">
        <v>357</v>
      </c>
      <c r="H239" s="10" t="s">
        <v>123</v>
      </c>
      <c r="I239" s="10" t="s">
        <v>195</v>
      </c>
      <c r="J239" s="10" t="s">
        <v>348</v>
      </c>
      <c r="K239" s="31">
        <v>31056</v>
      </c>
      <c r="L239" s="10" t="s">
        <v>1431</v>
      </c>
      <c r="M239" s="10"/>
      <c r="N239" s="10" t="s">
        <v>2772</v>
      </c>
      <c r="O239" s="10" t="s">
        <v>2052</v>
      </c>
    </row>
    <row r="240" spans="1:15" x14ac:dyDescent="0.3">
      <c r="A240" s="10" t="s">
        <v>1826</v>
      </c>
      <c r="B240" s="10" t="s">
        <v>2773</v>
      </c>
      <c r="C240" s="10" t="s">
        <v>2774</v>
      </c>
      <c r="D240" s="10" t="s">
        <v>259</v>
      </c>
      <c r="E240" s="10" t="s">
        <v>1431</v>
      </c>
      <c r="F240" s="10" t="s">
        <v>357</v>
      </c>
      <c r="G240" s="10" t="s">
        <v>357</v>
      </c>
      <c r="H240" s="10" t="s">
        <v>123</v>
      </c>
      <c r="I240" s="10" t="s">
        <v>195</v>
      </c>
      <c r="J240" s="10" t="s">
        <v>348</v>
      </c>
      <c r="K240" s="31">
        <v>31056</v>
      </c>
      <c r="L240" s="10" t="s">
        <v>1433</v>
      </c>
      <c r="M240" s="10" t="s">
        <v>2092</v>
      </c>
      <c r="N240" s="10" t="s">
        <v>2772</v>
      </c>
      <c r="O240" s="10" t="s">
        <v>2052</v>
      </c>
    </row>
    <row r="241" spans="1:15" x14ac:dyDescent="0.3">
      <c r="A241" s="10" t="s">
        <v>1827</v>
      </c>
      <c r="B241" s="10" t="s">
        <v>2775</v>
      </c>
      <c r="C241" s="10" t="s">
        <v>2776</v>
      </c>
      <c r="D241" s="10" t="s">
        <v>247</v>
      </c>
      <c r="E241" s="10" t="s">
        <v>1431</v>
      </c>
      <c r="F241" s="10" t="s">
        <v>2777</v>
      </c>
      <c r="G241" s="10" t="s">
        <v>356</v>
      </c>
      <c r="H241" s="10" t="s">
        <v>123</v>
      </c>
      <c r="I241" s="10" t="s">
        <v>196</v>
      </c>
      <c r="J241" s="10" t="s">
        <v>348</v>
      </c>
      <c r="K241" s="31">
        <v>43200</v>
      </c>
      <c r="L241" s="10" t="s">
        <v>1431</v>
      </c>
      <c r="M241" s="10"/>
      <c r="N241" s="10" t="s">
        <v>2778</v>
      </c>
      <c r="O241" s="10" t="s">
        <v>2052</v>
      </c>
    </row>
    <row r="242" spans="1:15" x14ac:dyDescent="0.3">
      <c r="A242" s="10" t="s">
        <v>1827</v>
      </c>
      <c r="B242" s="10" t="s">
        <v>2779</v>
      </c>
      <c r="C242" s="10" t="s">
        <v>2780</v>
      </c>
      <c r="D242" s="10" t="s">
        <v>259</v>
      </c>
      <c r="E242" s="10" t="s">
        <v>1431</v>
      </c>
      <c r="F242" s="10" t="s">
        <v>691</v>
      </c>
      <c r="G242" s="10" t="s">
        <v>691</v>
      </c>
      <c r="H242" s="10" t="s">
        <v>123</v>
      </c>
      <c r="I242" s="10" t="s">
        <v>194</v>
      </c>
      <c r="J242" s="10" t="s">
        <v>348</v>
      </c>
      <c r="K242" s="31">
        <v>44568</v>
      </c>
      <c r="L242" s="10" t="s">
        <v>1431</v>
      </c>
      <c r="M242" s="10"/>
      <c r="N242" s="10" t="s">
        <v>2781</v>
      </c>
      <c r="O242" s="10" t="s">
        <v>2052</v>
      </c>
    </row>
    <row r="243" spans="1:15" x14ac:dyDescent="0.3">
      <c r="A243" s="10" t="s">
        <v>1828</v>
      </c>
      <c r="B243" s="10" t="s">
        <v>2782</v>
      </c>
      <c r="C243" s="10" t="s">
        <v>2783</v>
      </c>
      <c r="D243" s="10" t="s">
        <v>247</v>
      </c>
      <c r="E243" s="10" t="s">
        <v>1431</v>
      </c>
      <c r="F243" s="10" t="s">
        <v>2784</v>
      </c>
      <c r="G243" s="10" t="s">
        <v>594</v>
      </c>
      <c r="H243" s="10" t="s">
        <v>123</v>
      </c>
      <c r="I243" s="10" t="s">
        <v>205</v>
      </c>
      <c r="J243" s="10" t="s">
        <v>348</v>
      </c>
      <c r="K243" s="31">
        <v>118236</v>
      </c>
      <c r="L243" s="10" t="s">
        <v>1431</v>
      </c>
      <c r="M243" s="10"/>
      <c r="N243" s="10" t="s">
        <v>2785</v>
      </c>
      <c r="O243" s="10"/>
    </row>
    <row r="244" spans="1:15" x14ac:dyDescent="0.3">
      <c r="A244" s="10" t="s">
        <v>1829</v>
      </c>
      <c r="B244" s="10" t="s">
        <v>2786</v>
      </c>
      <c r="C244" s="10" t="s">
        <v>2787</v>
      </c>
      <c r="D244" s="10" t="s">
        <v>247</v>
      </c>
      <c r="E244" s="10" t="s">
        <v>1431</v>
      </c>
      <c r="F244" s="10" t="s">
        <v>2788</v>
      </c>
      <c r="G244" s="10" t="s">
        <v>369</v>
      </c>
      <c r="H244" s="10" t="s">
        <v>123</v>
      </c>
      <c r="I244" s="10" t="s">
        <v>194</v>
      </c>
      <c r="J244" s="10" t="s">
        <v>348</v>
      </c>
      <c r="K244" s="31">
        <v>64992</v>
      </c>
      <c r="L244" s="10" t="s">
        <v>1431</v>
      </c>
      <c r="M244" s="10"/>
      <c r="N244" s="10" t="s">
        <v>2789</v>
      </c>
      <c r="O244" s="10"/>
    </row>
    <row r="245" spans="1:15" x14ac:dyDescent="0.3">
      <c r="A245" s="10" t="s">
        <v>1829</v>
      </c>
      <c r="B245" s="10" t="s">
        <v>2790</v>
      </c>
      <c r="C245" s="10" t="s">
        <v>2791</v>
      </c>
      <c r="D245" s="10" t="s">
        <v>259</v>
      </c>
      <c r="E245" s="10" t="s">
        <v>1431</v>
      </c>
      <c r="F245" s="10" t="s">
        <v>2792</v>
      </c>
      <c r="G245" s="10" t="s">
        <v>482</v>
      </c>
      <c r="H245" s="10" t="s">
        <v>123</v>
      </c>
      <c r="I245" s="10" t="s">
        <v>191</v>
      </c>
      <c r="J245" s="10" t="s">
        <v>348</v>
      </c>
      <c r="K245" s="31">
        <v>91344</v>
      </c>
      <c r="L245" s="10" t="s">
        <v>1431</v>
      </c>
      <c r="M245" s="10"/>
      <c r="N245" s="10" t="s">
        <v>2793</v>
      </c>
      <c r="O245" s="10"/>
    </row>
    <row r="246" spans="1:15" x14ac:dyDescent="0.3">
      <c r="A246" s="10" t="s">
        <v>1830</v>
      </c>
      <c r="B246" s="10" t="s">
        <v>2794</v>
      </c>
      <c r="C246" s="10" t="s">
        <v>2795</v>
      </c>
      <c r="D246" s="10" t="s">
        <v>247</v>
      </c>
      <c r="E246" s="10" t="s">
        <v>1431</v>
      </c>
      <c r="F246" s="10" t="s">
        <v>2796</v>
      </c>
      <c r="G246" s="10" t="s">
        <v>360</v>
      </c>
      <c r="H246" s="10" t="s">
        <v>123</v>
      </c>
      <c r="I246" s="10" t="s">
        <v>191</v>
      </c>
      <c r="J246" s="10" t="s">
        <v>294</v>
      </c>
      <c r="K246" s="31">
        <v>55800</v>
      </c>
      <c r="L246" s="10" t="s">
        <v>1431</v>
      </c>
      <c r="M246" s="10"/>
      <c r="N246" s="10" t="s">
        <v>2797</v>
      </c>
      <c r="O246" s="10"/>
    </row>
    <row r="247" spans="1:15" x14ac:dyDescent="0.3">
      <c r="A247" s="10" t="s">
        <v>1831</v>
      </c>
      <c r="B247" s="10" t="s">
        <v>2798</v>
      </c>
      <c r="C247" s="10" t="s">
        <v>2799</v>
      </c>
      <c r="D247" s="10" t="s">
        <v>247</v>
      </c>
      <c r="E247" s="10" t="s">
        <v>1431</v>
      </c>
      <c r="F247" s="10"/>
      <c r="G247" s="10"/>
      <c r="H247" s="10"/>
      <c r="I247" s="10" t="s">
        <v>2064</v>
      </c>
      <c r="J247" s="10"/>
      <c r="K247" s="31">
        <v>100848</v>
      </c>
      <c r="L247" s="10" t="s">
        <v>1431</v>
      </c>
      <c r="M247" s="10"/>
      <c r="N247" s="10" t="s">
        <v>2800</v>
      </c>
      <c r="O247" s="10" t="s">
        <v>2052</v>
      </c>
    </row>
    <row r="248" spans="1:15" x14ac:dyDescent="0.3">
      <c r="A248" s="10" t="s">
        <v>1831</v>
      </c>
      <c r="B248" s="10" t="s">
        <v>2801</v>
      </c>
      <c r="C248" s="10" t="s">
        <v>2802</v>
      </c>
      <c r="D248" s="10" t="s">
        <v>2079</v>
      </c>
      <c r="E248" s="10" t="s">
        <v>1431</v>
      </c>
      <c r="F248" s="10"/>
      <c r="G248" s="10"/>
      <c r="H248" s="10"/>
      <c r="I248" s="10" t="s">
        <v>2064</v>
      </c>
      <c r="J248" s="10"/>
      <c r="K248" s="31">
        <v>0</v>
      </c>
      <c r="L248" s="10" t="s">
        <v>1433</v>
      </c>
      <c r="M248" s="10" t="s">
        <v>2065</v>
      </c>
      <c r="N248" s="10" t="s">
        <v>2803</v>
      </c>
      <c r="O248" s="10"/>
    </row>
    <row r="249" spans="1:15" x14ac:dyDescent="0.3">
      <c r="A249" s="10" t="s">
        <v>1832</v>
      </c>
      <c r="B249" s="10" t="s">
        <v>2804</v>
      </c>
      <c r="C249" s="10" t="s">
        <v>2805</v>
      </c>
      <c r="D249" s="10" t="s">
        <v>247</v>
      </c>
      <c r="E249" s="10" t="s">
        <v>1431</v>
      </c>
      <c r="F249" s="10" t="s">
        <v>640</v>
      </c>
      <c r="G249" s="10" t="s">
        <v>640</v>
      </c>
      <c r="H249" s="10" t="s">
        <v>123</v>
      </c>
      <c r="I249" s="10" t="s">
        <v>194</v>
      </c>
      <c r="J249" s="10" t="s">
        <v>348</v>
      </c>
      <c r="K249" s="31">
        <v>12000</v>
      </c>
      <c r="L249" s="10" t="s">
        <v>1431</v>
      </c>
      <c r="M249" s="10"/>
      <c r="N249" s="10" t="s">
        <v>2806</v>
      </c>
      <c r="O249" s="10"/>
    </row>
    <row r="250" spans="1:15" x14ac:dyDescent="0.3">
      <c r="A250" s="10" t="s">
        <v>1832</v>
      </c>
      <c r="B250" s="10" t="s">
        <v>2807</v>
      </c>
      <c r="C250" s="10" t="s">
        <v>2808</v>
      </c>
      <c r="D250" s="10" t="s">
        <v>251</v>
      </c>
      <c r="E250" s="10" t="s">
        <v>1433</v>
      </c>
      <c r="F250" s="10" t="s">
        <v>2809</v>
      </c>
      <c r="G250" s="10" t="s">
        <v>655</v>
      </c>
      <c r="H250" s="10" t="s">
        <v>123</v>
      </c>
      <c r="I250" s="10" t="s">
        <v>196</v>
      </c>
      <c r="J250" s="10" t="s">
        <v>366</v>
      </c>
      <c r="K250" s="31">
        <v>3600</v>
      </c>
      <c r="L250" s="10" t="s">
        <v>1433</v>
      </c>
      <c r="M250" s="10" t="s">
        <v>2138</v>
      </c>
      <c r="N250" s="10" t="s">
        <v>2810</v>
      </c>
      <c r="O250" s="10" t="s">
        <v>2019</v>
      </c>
    </row>
    <row r="251" spans="1:15" x14ac:dyDescent="0.3">
      <c r="A251" s="10" t="s">
        <v>1832</v>
      </c>
      <c r="B251" s="10" t="s">
        <v>2811</v>
      </c>
      <c r="C251" s="10" t="s">
        <v>2812</v>
      </c>
      <c r="D251" s="10" t="s">
        <v>264</v>
      </c>
      <c r="E251" s="10" t="s">
        <v>1431</v>
      </c>
      <c r="F251" s="10" t="s">
        <v>2809</v>
      </c>
      <c r="G251" s="10" t="s">
        <v>655</v>
      </c>
      <c r="H251" s="10" t="s">
        <v>123</v>
      </c>
      <c r="I251" s="10" t="s">
        <v>196</v>
      </c>
      <c r="J251" s="10" t="s">
        <v>366</v>
      </c>
      <c r="K251" s="31">
        <v>3600</v>
      </c>
      <c r="L251" s="10" t="s">
        <v>1431</v>
      </c>
      <c r="M251" s="10"/>
      <c r="N251" s="10" t="s">
        <v>2810</v>
      </c>
      <c r="O251" s="10" t="s">
        <v>2019</v>
      </c>
    </row>
    <row r="252" spans="1:15" x14ac:dyDescent="0.3">
      <c r="A252" s="10" t="s">
        <v>1833</v>
      </c>
      <c r="B252" s="10" t="s">
        <v>2813</v>
      </c>
      <c r="C252" s="10" t="s">
        <v>2814</v>
      </c>
      <c r="D252" s="10" t="s">
        <v>247</v>
      </c>
      <c r="E252" s="10" t="s">
        <v>1431</v>
      </c>
      <c r="F252" s="10" t="s">
        <v>2815</v>
      </c>
      <c r="G252" s="10" t="s">
        <v>492</v>
      </c>
      <c r="H252" s="10" t="s">
        <v>123</v>
      </c>
      <c r="I252" s="10" t="s">
        <v>196</v>
      </c>
      <c r="J252" s="10" t="s">
        <v>366</v>
      </c>
      <c r="K252" s="31">
        <v>79080</v>
      </c>
      <c r="L252" s="10" t="s">
        <v>1431</v>
      </c>
      <c r="M252" s="10"/>
      <c r="N252" s="10" t="s">
        <v>2816</v>
      </c>
      <c r="O252" s="10" t="s">
        <v>2052</v>
      </c>
    </row>
    <row r="253" spans="1:15" x14ac:dyDescent="0.3">
      <c r="A253" s="10" t="s">
        <v>1834</v>
      </c>
      <c r="B253" s="10" t="s">
        <v>2817</v>
      </c>
      <c r="C253" s="10" t="s">
        <v>2818</v>
      </c>
      <c r="D253" s="10" t="s">
        <v>247</v>
      </c>
      <c r="E253" s="10" t="s">
        <v>1431</v>
      </c>
      <c r="F253" s="10" t="s">
        <v>432</v>
      </c>
      <c r="G253" s="10" t="s">
        <v>432</v>
      </c>
      <c r="H253" s="10" t="s">
        <v>123</v>
      </c>
      <c r="I253" s="10" t="s">
        <v>189</v>
      </c>
      <c r="J253" s="10" t="s">
        <v>348</v>
      </c>
      <c r="K253" s="31">
        <v>65256</v>
      </c>
      <c r="L253" s="10" t="s">
        <v>1431</v>
      </c>
      <c r="M253" s="10"/>
      <c r="N253" s="10" t="s">
        <v>2819</v>
      </c>
      <c r="O253" s="10" t="s">
        <v>2019</v>
      </c>
    </row>
    <row r="254" spans="1:15" x14ac:dyDescent="0.3">
      <c r="A254" s="10" t="s">
        <v>1835</v>
      </c>
      <c r="B254" s="10" t="s">
        <v>2820</v>
      </c>
      <c r="C254" s="10" t="s">
        <v>2821</v>
      </c>
      <c r="D254" s="10" t="s">
        <v>247</v>
      </c>
      <c r="E254" s="10" t="s">
        <v>1431</v>
      </c>
      <c r="F254" s="10" t="s">
        <v>433</v>
      </c>
      <c r="G254" s="10" t="s">
        <v>433</v>
      </c>
      <c r="H254" s="10" t="s">
        <v>123</v>
      </c>
      <c r="I254" s="10" t="s">
        <v>193</v>
      </c>
      <c r="J254" s="10" t="s">
        <v>348</v>
      </c>
      <c r="K254" s="31">
        <v>54000</v>
      </c>
      <c r="L254" s="10" t="s">
        <v>1431</v>
      </c>
      <c r="M254" s="10"/>
      <c r="N254" s="10" t="s">
        <v>2822</v>
      </c>
      <c r="O254" s="10"/>
    </row>
    <row r="255" spans="1:15" x14ac:dyDescent="0.3">
      <c r="A255" s="10" t="s">
        <v>1835</v>
      </c>
      <c r="B255" s="10" t="s">
        <v>2823</v>
      </c>
      <c r="C255" s="10" t="s">
        <v>2824</v>
      </c>
      <c r="D255" s="10" t="s">
        <v>2079</v>
      </c>
      <c r="E255" s="10" t="s">
        <v>1431</v>
      </c>
      <c r="F255" s="10"/>
      <c r="G255" s="10"/>
      <c r="H255" s="10"/>
      <c r="I255" s="10" t="s">
        <v>2064</v>
      </c>
      <c r="J255" s="10"/>
      <c r="K255" s="31">
        <v>0</v>
      </c>
      <c r="L255" s="10" t="s">
        <v>1433</v>
      </c>
      <c r="M255" s="10" t="s">
        <v>2065</v>
      </c>
      <c r="N255" s="10" t="s">
        <v>2825</v>
      </c>
      <c r="O255" s="10"/>
    </row>
    <row r="256" spans="1:15" x14ac:dyDescent="0.3">
      <c r="A256" s="10" t="s">
        <v>1835</v>
      </c>
      <c r="B256" s="10" t="s">
        <v>2826</v>
      </c>
      <c r="C256" s="10" t="s">
        <v>2827</v>
      </c>
      <c r="D256" s="10" t="s">
        <v>2079</v>
      </c>
      <c r="E256" s="10" t="s">
        <v>1431</v>
      </c>
      <c r="F256" s="10"/>
      <c r="G256" s="10"/>
      <c r="H256" s="10"/>
      <c r="I256" s="10" t="s">
        <v>2064</v>
      </c>
      <c r="J256" s="10"/>
      <c r="K256" s="31">
        <v>0</v>
      </c>
      <c r="L256" s="10" t="s">
        <v>1433</v>
      </c>
      <c r="M256" s="10" t="s">
        <v>2065</v>
      </c>
      <c r="N256" s="10" t="s">
        <v>2825</v>
      </c>
      <c r="O256" s="10"/>
    </row>
    <row r="257" spans="1:15" x14ac:dyDescent="0.3">
      <c r="A257" s="10" t="s">
        <v>1835</v>
      </c>
      <c r="B257" s="10" t="s">
        <v>2828</v>
      </c>
      <c r="C257" s="10" t="s">
        <v>2829</v>
      </c>
      <c r="D257" s="10" t="s">
        <v>264</v>
      </c>
      <c r="E257" s="10" t="s">
        <v>1431</v>
      </c>
      <c r="F257" s="10"/>
      <c r="G257" s="10"/>
      <c r="H257" s="10"/>
      <c r="I257" s="10" t="s">
        <v>2064</v>
      </c>
      <c r="J257" s="10"/>
      <c r="K257" s="31">
        <v>0</v>
      </c>
      <c r="L257" s="10" t="s">
        <v>1433</v>
      </c>
      <c r="M257" s="10" t="s">
        <v>2065</v>
      </c>
      <c r="N257" s="10" t="s">
        <v>2825</v>
      </c>
      <c r="O257" s="10"/>
    </row>
    <row r="258" spans="1:15" x14ac:dyDescent="0.3">
      <c r="A258" s="10" t="s">
        <v>1836</v>
      </c>
      <c r="B258" s="10" t="s">
        <v>2830</v>
      </c>
      <c r="C258" s="10" t="s">
        <v>2831</v>
      </c>
      <c r="D258" s="10" t="s">
        <v>247</v>
      </c>
      <c r="E258" s="10" t="s">
        <v>1431</v>
      </c>
      <c r="F258" s="10" t="s">
        <v>2477</v>
      </c>
      <c r="G258" s="10" t="s">
        <v>356</v>
      </c>
      <c r="H258" s="10" t="s">
        <v>123</v>
      </c>
      <c r="I258" s="10" t="s">
        <v>196</v>
      </c>
      <c r="J258" s="10" t="s">
        <v>348</v>
      </c>
      <c r="K258" s="31">
        <v>84888</v>
      </c>
      <c r="L258" s="10" t="s">
        <v>1431</v>
      </c>
      <c r="M258" s="10"/>
      <c r="N258" s="10" t="s">
        <v>2832</v>
      </c>
      <c r="O258" s="10" t="s">
        <v>2052</v>
      </c>
    </row>
    <row r="259" spans="1:15" x14ac:dyDescent="0.3">
      <c r="A259" s="10" t="s">
        <v>1836</v>
      </c>
      <c r="B259" s="10" t="s">
        <v>2833</v>
      </c>
      <c r="C259" s="10" t="s">
        <v>2834</v>
      </c>
      <c r="D259" s="10" t="s">
        <v>2079</v>
      </c>
      <c r="E259" s="10" t="s">
        <v>1431</v>
      </c>
      <c r="F259" s="10"/>
      <c r="G259" s="10"/>
      <c r="H259" s="10"/>
      <c r="I259" s="10" t="s">
        <v>2064</v>
      </c>
      <c r="J259" s="10"/>
      <c r="K259" s="31">
        <v>0</v>
      </c>
      <c r="L259" s="10" t="s">
        <v>1433</v>
      </c>
      <c r="M259" s="10" t="s">
        <v>2065</v>
      </c>
      <c r="N259" s="10" t="s">
        <v>2835</v>
      </c>
      <c r="O259" s="10"/>
    </row>
    <row r="260" spans="1:15" x14ac:dyDescent="0.3">
      <c r="A260" s="10" t="s">
        <v>1837</v>
      </c>
      <c r="B260" s="10" t="s">
        <v>2836</v>
      </c>
      <c r="C260" s="10" t="s">
        <v>2837</v>
      </c>
      <c r="D260" s="10" t="s">
        <v>247</v>
      </c>
      <c r="E260" s="10" t="s">
        <v>1431</v>
      </c>
      <c r="F260" s="10" t="s">
        <v>2838</v>
      </c>
      <c r="G260" s="10" t="s">
        <v>599</v>
      </c>
      <c r="H260" s="10" t="s">
        <v>123</v>
      </c>
      <c r="I260" s="10" t="s">
        <v>191</v>
      </c>
      <c r="J260" s="10" t="s">
        <v>348</v>
      </c>
      <c r="K260" s="31">
        <v>96000</v>
      </c>
      <c r="L260" s="10" t="s">
        <v>1431</v>
      </c>
      <c r="M260" s="10"/>
      <c r="N260" s="10" t="s">
        <v>2839</v>
      </c>
      <c r="O260" s="10" t="s">
        <v>2019</v>
      </c>
    </row>
    <row r="261" spans="1:15" x14ac:dyDescent="0.3">
      <c r="A261" s="10" t="s">
        <v>1837</v>
      </c>
      <c r="B261" s="10" t="s">
        <v>2840</v>
      </c>
      <c r="C261" s="10" t="s">
        <v>2841</v>
      </c>
      <c r="D261" s="10" t="s">
        <v>264</v>
      </c>
      <c r="E261" s="10" t="s">
        <v>1431</v>
      </c>
      <c r="F261" s="10"/>
      <c r="G261" s="10"/>
      <c r="H261" s="10"/>
      <c r="I261" s="10" t="s">
        <v>2064</v>
      </c>
      <c r="J261" s="10"/>
      <c r="K261" s="31">
        <v>0</v>
      </c>
      <c r="L261" s="10" t="s">
        <v>1433</v>
      </c>
      <c r="M261" s="10" t="s">
        <v>2065</v>
      </c>
      <c r="N261" s="10" t="s">
        <v>2842</v>
      </c>
      <c r="O261" s="10"/>
    </row>
    <row r="262" spans="1:15" x14ac:dyDescent="0.3">
      <c r="A262" s="10" t="s">
        <v>1837</v>
      </c>
      <c r="B262" s="10" t="s">
        <v>2843</v>
      </c>
      <c r="C262" s="10" t="s">
        <v>2844</v>
      </c>
      <c r="D262" s="10" t="s">
        <v>2079</v>
      </c>
      <c r="E262" s="10" t="s">
        <v>1431</v>
      </c>
      <c r="F262" s="10"/>
      <c r="G262" s="10"/>
      <c r="H262" s="10"/>
      <c r="I262" s="10" t="s">
        <v>2064</v>
      </c>
      <c r="J262" s="10"/>
      <c r="K262" s="31">
        <v>0</v>
      </c>
      <c r="L262" s="10" t="s">
        <v>1433</v>
      </c>
      <c r="M262" s="10" t="s">
        <v>2065</v>
      </c>
      <c r="N262" s="10" t="s">
        <v>2842</v>
      </c>
      <c r="O262" s="10"/>
    </row>
    <row r="263" spans="1:15" x14ac:dyDescent="0.3">
      <c r="A263" s="10" t="s">
        <v>1837</v>
      </c>
      <c r="B263" s="10" t="s">
        <v>2845</v>
      </c>
      <c r="C263" s="10" t="s">
        <v>2846</v>
      </c>
      <c r="D263" s="10" t="s">
        <v>2079</v>
      </c>
      <c r="E263" s="10" t="s">
        <v>1431</v>
      </c>
      <c r="F263" s="10"/>
      <c r="G263" s="10"/>
      <c r="H263" s="10"/>
      <c r="I263" s="10" t="s">
        <v>2064</v>
      </c>
      <c r="J263" s="10"/>
      <c r="K263" s="31">
        <v>0</v>
      </c>
      <c r="L263" s="10" t="s">
        <v>1433</v>
      </c>
      <c r="M263" s="10" t="s">
        <v>2065</v>
      </c>
      <c r="N263" s="10" t="s">
        <v>2842</v>
      </c>
      <c r="O263" s="10"/>
    </row>
    <row r="264" spans="1:15" x14ac:dyDescent="0.3">
      <c r="A264" s="10" t="s">
        <v>1838</v>
      </c>
      <c r="B264" s="10" t="s">
        <v>2847</v>
      </c>
      <c r="C264" s="10" t="s">
        <v>2848</v>
      </c>
      <c r="D264" s="10" t="s">
        <v>247</v>
      </c>
      <c r="E264" s="10" t="s">
        <v>1431</v>
      </c>
      <c r="F264" s="10" t="s">
        <v>397</v>
      </c>
      <c r="G264" s="10" t="s">
        <v>397</v>
      </c>
      <c r="H264" s="10" t="s">
        <v>123</v>
      </c>
      <c r="I264" s="10" t="s">
        <v>192</v>
      </c>
      <c r="J264" s="10" t="s">
        <v>348</v>
      </c>
      <c r="K264" s="31">
        <v>44160</v>
      </c>
      <c r="L264" s="10" t="s">
        <v>1431</v>
      </c>
      <c r="M264" s="10"/>
      <c r="N264" s="10" t="s">
        <v>2849</v>
      </c>
      <c r="O264" s="10"/>
    </row>
    <row r="265" spans="1:15" x14ac:dyDescent="0.3">
      <c r="A265" s="10" t="s">
        <v>1838</v>
      </c>
      <c r="B265" s="10" t="s">
        <v>2850</v>
      </c>
      <c r="C265" s="10" t="s">
        <v>2851</v>
      </c>
      <c r="D265" s="10" t="s">
        <v>259</v>
      </c>
      <c r="E265" s="10" t="s">
        <v>1431</v>
      </c>
      <c r="F265" s="10" t="s">
        <v>704</v>
      </c>
      <c r="G265" s="10" t="s">
        <v>704</v>
      </c>
      <c r="H265" s="10" t="s">
        <v>123</v>
      </c>
      <c r="I265" s="10" t="s">
        <v>190</v>
      </c>
      <c r="J265" s="10" t="s">
        <v>348</v>
      </c>
      <c r="K265" s="31">
        <v>36000</v>
      </c>
      <c r="L265" s="10" t="s">
        <v>1431</v>
      </c>
      <c r="M265" s="10"/>
      <c r="N265" s="10" t="s">
        <v>2852</v>
      </c>
      <c r="O265" s="10"/>
    </row>
    <row r="266" spans="1:15" x14ac:dyDescent="0.3">
      <c r="A266" s="10" t="s">
        <v>1839</v>
      </c>
      <c r="B266" s="10" t="s">
        <v>2853</v>
      </c>
      <c r="C266" s="10" t="s">
        <v>2854</v>
      </c>
      <c r="D266" s="10" t="s">
        <v>247</v>
      </c>
      <c r="E266" s="10" t="s">
        <v>1431</v>
      </c>
      <c r="F266" s="10" t="s">
        <v>2855</v>
      </c>
      <c r="G266" s="10" t="s">
        <v>354</v>
      </c>
      <c r="H266" s="10" t="s">
        <v>123</v>
      </c>
      <c r="I266" s="10" t="s">
        <v>191</v>
      </c>
      <c r="J266" s="10" t="s">
        <v>348</v>
      </c>
      <c r="K266" s="31">
        <v>61008</v>
      </c>
      <c r="L266" s="10" t="s">
        <v>1431</v>
      </c>
      <c r="M266" s="10"/>
      <c r="N266" s="10" t="s">
        <v>2856</v>
      </c>
      <c r="O266" s="10" t="s">
        <v>2052</v>
      </c>
    </row>
    <row r="267" spans="1:15" x14ac:dyDescent="0.3">
      <c r="A267" s="10" t="s">
        <v>1840</v>
      </c>
      <c r="B267" s="10" t="s">
        <v>2857</v>
      </c>
      <c r="C267" s="10" t="s">
        <v>2858</v>
      </c>
      <c r="D267" s="10" t="s">
        <v>247</v>
      </c>
      <c r="E267" s="10" t="s">
        <v>1431</v>
      </c>
      <c r="F267" s="10" t="s">
        <v>2859</v>
      </c>
      <c r="G267" s="10" t="s">
        <v>493</v>
      </c>
      <c r="H267" s="10" t="s">
        <v>123</v>
      </c>
      <c r="I267" s="10" t="s">
        <v>202</v>
      </c>
      <c r="J267" s="10" t="s">
        <v>348</v>
      </c>
      <c r="K267" s="31">
        <v>69996</v>
      </c>
      <c r="L267" s="10" t="s">
        <v>1431</v>
      </c>
      <c r="M267" s="10"/>
      <c r="N267" s="10" t="s">
        <v>2860</v>
      </c>
      <c r="O267" s="10"/>
    </row>
    <row r="268" spans="1:15" x14ac:dyDescent="0.3">
      <c r="A268" s="10" t="s">
        <v>290</v>
      </c>
      <c r="B268" s="10" t="s">
        <v>2861</v>
      </c>
      <c r="C268" s="10" t="s">
        <v>2862</v>
      </c>
      <c r="D268" s="10" t="s">
        <v>247</v>
      </c>
      <c r="E268" s="10" t="s">
        <v>1431</v>
      </c>
      <c r="F268" s="10" t="s">
        <v>2863</v>
      </c>
      <c r="G268" s="10" t="s">
        <v>289</v>
      </c>
      <c r="H268" s="10" t="s">
        <v>117</v>
      </c>
      <c r="I268" s="10" t="s">
        <v>186</v>
      </c>
      <c r="J268" s="10" t="s">
        <v>273</v>
      </c>
      <c r="K268" s="31">
        <v>64488</v>
      </c>
      <c r="L268" s="10" t="s">
        <v>1431</v>
      </c>
      <c r="M268" s="10"/>
      <c r="N268" s="10" t="s">
        <v>2864</v>
      </c>
      <c r="O268" s="10" t="s">
        <v>2052</v>
      </c>
    </row>
    <row r="269" spans="1:15" x14ac:dyDescent="0.3">
      <c r="A269" s="10" t="s">
        <v>1841</v>
      </c>
      <c r="B269" s="10" t="s">
        <v>2865</v>
      </c>
      <c r="C269" s="10" t="s">
        <v>2866</v>
      </c>
      <c r="D269" s="10" t="s">
        <v>247</v>
      </c>
      <c r="E269" s="10" t="s">
        <v>1431</v>
      </c>
      <c r="F269" s="10" t="s">
        <v>600</v>
      </c>
      <c r="G269" s="10" t="s">
        <v>600</v>
      </c>
      <c r="H269" s="10" t="s">
        <v>123</v>
      </c>
      <c r="I269" s="10" t="s">
        <v>190</v>
      </c>
      <c r="J269" s="10" t="s">
        <v>348</v>
      </c>
      <c r="K269" s="31">
        <v>9600</v>
      </c>
      <c r="L269" s="10" t="s">
        <v>1431</v>
      </c>
      <c r="M269" s="10"/>
      <c r="N269" s="10" t="s">
        <v>2405</v>
      </c>
      <c r="O269" s="10"/>
    </row>
    <row r="270" spans="1:15" x14ac:dyDescent="0.3">
      <c r="A270" s="10" t="s">
        <v>1841</v>
      </c>
      <c r="B270" s="10" t="s">
        <v>2867</v>
      </c>
      <c r="C270" s="10" t="s">
        <v>2868</v>
      </c>
      <c r="D270" s="10" t="s">
        <v>264</v>
      </c>
      <c r="E270" s="10" t="s">
        <v>1431</v>
      </c>
      <c r="F270" s="10" t="s">
        <v>665</v>
      </c>
      <c r="G270" s="10" t="s">
        <v>665</v>
      </c>
      <c r="H270" s="10" t="s">
        <v>123</v>
      </c>
      <c r="I270" s="10" t="s">
        <v>190</v>
      </c>
      <c r="J270" s="10" t="s">
        <v>348</v>
      </c>
      <c r="K270" s="31">
        <v>20100</v>
      </c>
      <c r="L270" s="10" t="s">
        <v>1431</v>
      </c>
      <c r="M270" s="10"/>
      <c r="N270" s="10" t="s">
        <v>2695</v>
      </c>
      <c r="O270" s="10"/>
    </row>
    <row r="271" spans="1:15" x14ac:dyDescent="0.3">
      <c r="A271" s="10" t="s">
        <v>1842</v>
      </c>
      <c r="B271" s="10" t="s">
        <v>2869</v>
      </c>
      <c r="C271" s="10" t="s">
        <v>2870</v>
      </c>
      <c r="D271" s="10" t="s">
        <v>247</v>
      </c>
      <c r="E271" s="10" t="s">
        <v>1431</v>
      </c>
      <c r="F271" s="10" t="s">
        <v>675</v>
      </c>
      <c r="G271" s="10" t="s">
        <v>675</v>
      </c>
      <c r="H271" s="10" t="s">
        <v>123</v>
      </c>
      <c r="I271" s="10" t="s">
        <v>205</v>
      </c>
      <c r="J271" s="10" t="s">
        <v>348</v>
      </c>
      <c r="K271" s="31">
        <v>120000</v>
      </c>
      <c r="L271" s="10" t="s">
        <v>1431</v>
      </c>
      <c r="M271" s="10"/>
      <c r="N271" s="10" t="s">
        <v>2871</v>
      </c>
      <c r="O271" s="10" t="s">
        <v>2019</v>
      </c>
    </row>
    <row r="272" spans="1:15" x14ac:dyDescent="0.3">
      <c r="A272" s="10" t="s">
        <v>1842</v>
      </c>
      <c r="B272" s="10" t="s">
        <v>2872</v>
      </c>
      <c r="C272" s="10" t="s">
        <v>2873</v>
      </c>
      <c r="D272" s="10" t="s">
        <v>264</v>
      </c>
      <c r="E272" s="10" t="s">
        <v>1431</v>
      </c>
      <c r="F272" s="10" t="s">
        <v>2498</v>
      </c>
      <c r="G272" s="10" t="s">
        <v>356</v>
      </c>
      <c r="H272" s="10" t="s">
        <v>123</v>
      </c>
      <c r="I272" s="10" t="s">
        <v>196</v>
      </c>
      <c r="J272" s="10" t="s">
        <v>348</v>
      </c>
      <c r="K272" s="31">
        <v>26400</v>
      </c>
      <c r="L272" s="10" t="s">
        <v>1431</v>
      </c>
      <c r="M272" s="10"/>
      <c r="N272" s="10" t="s">
        <v>2874</v>
      </c>
      <c r="O272" s="10" t="s">
        <v>2019</v>
      </c>
    </row>
    <row r="273" spans="1:15" x14ac:dyDescent="0.3">
      <c r="A273" s="10" t="s">
        <v>1843</v>
      </c>
      <c r="B273" s="10" t="s">
        <v>2875</v>
      </c>
      <c r="C273" s="10" t="s">
        <v>2876</v>
      </c>
      <c r="D273" s="10" t="s">
        <v>247</v>
      </c>
      <c r="E273" s="10" t="s">
        <v>1431</v>
      </c>
      <c r="F273" s="10" t="s">
        <v>2877</v>
      </c>
      <c r="G273" s="10" t="s">
        <v>667</v>
      </c>
      <c r="H273" s="10" t="s">
        <v>123</v>
      </c>
      <c r="I273" s="10" t="s">
        <v>196</v>
      </c>
      <c r="J273" s="10" t="s">
        <v>366</v>
      </c>
      <c r="K273" s="31">
        <v>73164</v>
      </c>
      <c r="L273" s="10" t="s">
        <v>1431</v>
      </c>
      <c r="M273" s="10"/>
      <c r="N273" s="10" t="s">
        <v>2878</v>
      </c>
      <c r="O273" s="10"/>
    </row>
    <row r="274" spans="1:15" x14ac:dyDescent="0.3">
      <c r="A274" s="10" t="s">
        <v>1844</v>
      </c>
      <c r="B274" s="10" t="s">
        <v>2879</v>
      </c>
      <c r="C274" s="10" t="s">
        <v>2880</v>
      </c>
      <c r="D274" s="10" t="s">
        <v>247</v>
      </c>
      <c r="E274" s="10" t="s">
        <v>1431</v>
      </c>
      <c r="F274" s="10" t="s">
        <v>555</v>
      </c>
      <c r="G274" s="10" t="s">
        <v>555</v>
      </c>
      <c r="H274" s="10" t="s">
        <v>123</v>
      </c>
      <c r="I274" s="10" t="s">
        <v>199</v>
      </c>
      <c r="J274" s="10" t="s">
        <v>366</v>
      </c>
      <c r="K274" s="31">
        <v>36000</v>
      </c>
      <c r="L274" s="10" t="s">
        <v>1431</v>
      </c>
      <c r="M274" s="10"/>
      <c r="N274" s="10" t="s">
        <v>2881</v>
      </c>
      <c r="O274" s="10"/>
    </row>
    <row r="275" spans="1:15" x14ac:dyDescent="0.3">
      <c r="A275" s="10" t="s">
        <v>1844</v>
      </c>
      <c r="B275" s="10" t="s">
        <v>2882</v>
      </c>
      <c r="C275" s="10" t="s">
        <v>2883</v>
      </c>
      <c r="D275" s="10" t="s">
        <v>259</v>
      </c>
      <c r="E275" s="10" t="s">
        <v>1431</v>
      </c>
      <c r="F275" s="10" t="s">
        <v>2884</v>
      </c>
      <c r="G275" s="10" t="s">
        <v>396</v>
      </c>
      <c r="H275" s="10" t="s">
        <v>123</v>
      </c>
      <c r="I275" s="10" t="s">
        <v>192</v>
      </c>
      <c r="J275" s="10" t="s">
        <v>348</v>
      </c>
      <c r="K275" s="31">
        <v>18000</v>
      </c>
      <c r="L275" s="10" t="s">
        <v>1433</v>
      </c>
      <c r="M275" s="10" t="s">
        <v>2092</v>
      </c>
      <c r="N275" s="10" t="s">
        <v>2885</v>
      </c>
      <c r="O275" s="10"/>
    </row>
    <row r="276" spans="1:15" x14ac:dyDescent="0.3">
      <c r="A276" s="10" t="s">
        <v>1844</v>
      </c>
      <c r="B276" s="10" t="s">
        <v>2886</v>
      </c>
      <c r="C276" s="10" t="s">
        <v>2887</v>
      </c>
      <c r="D276" s="10" t="s">
        <v>259</v>
      </c>
      <c r="E276" s="10" t="s">
        <v>1431</v>
      </c>
      <c r="F276" s="10" t="s">
        <v>2884</v>
      </c>
      <c r="G276" s="10" t="s">
        <v>396</v>
      </c>
      <c r="H276" s="10" t="s">
        <v>123</v>
      </c>
      <c r="I276" s="10" t="s">
        <v>192</v>
      </c>
      <c r="J276" s="10" t="s">
        <v>348</v>
      </c>
      <c r="K276" s="31">
        <v>18000</v>
      </c>
      <c r="L276" s="10" t="s">
        <v>1431</v>
      </c>
      <c r="M276" s="10"/>
      <c r="N276" s="10" t="s">
        <v>2885</v>
      </c>
      <c r="O276" s="10"/>
    </row>
    <row r="277" spans="1:15" x14ac:dyDescent="0.3">
      <c r="A277" s="10" t="s">
        <v>253</v>
      </c>
      <c r="B277" s="10" t="s">
        <v>2888</v>
      </c>
      <c r="C277" s="10" t="s">
        <v>2889</v>
      </c>
      <c r="D277" s="10" t="s">
        <v>247</v>
      </c>
      <c r="E277" s="10" t="s">
        <v>1431</v>
      </c>
      <c r="F277" s="10" t="s">
        <v>2890</v>
      </c>
      <c r="G277" s="10" t="s">
        <v>245</v>
      </c>
      <c r="H277" s="10" t="s">
        <v>113</v>
      </c>
      <c r="I277" s="10" t="s">
        <v>184</v>
      </c>
      <c r="J277" s="10" t="s">
        <v>249</v>
      </c>
      <c r="K277" s="31">
        <v>56700</v>
      </c>
      <c r="L277" s="10" t="s">
        <v>1431</v>
      </c>
      <c r="M277" s="10"/>
      <c r="N277" s="10" t="s">
        <v>2891</v>
      </c>
      <c r="O277" s="10" t="s">
        <v>2052</v>
      </c>
    </row>
    <row r="278" spans="1:15" x14ac:dyDescent="0.3">
      <c r="A278" s="10" t="s">
        <v>1845</v>
      </c>
      <c r="B278" s="10" t="s">
        <v>2892</v>
      </c>
      <c r="C278" s="10" t="s">
        <v>2893</v>
      </c>
      <c r="D278" s="10" t="s">
        <v>247</v>
      </c>
      <c r="E278" s="10" t="s">
        <v>1431</v>
      </c>
      <c r="F278" s="10" t="s">
        <v>526</v>
      </c>
      <c r="G278" s="10" t="s">
        <v>526</v>
      </c>
      <c r="H278" s="10" t="s">
        <v>123</v>
      </c>
      <c r="I278" s="10" t="s">
        <v>191</v>
      </c>
      <c r="J278" s="10" t="s">
        <v>348</v>
      </c>
      <c r="K278" s="31">
        <v>108000</v>
      </c>
      <c r="L278" s="10" t="s">
        <v>1431</v>
      </c>
      <c r="M278" s="10"/>
      <c r="N278" s="10" t="s">
        <v>2894</v>
      </c>
      <c r="O278" s="10" t="s">
        <v>2052</v>
      </c>
    </row>
    <row r="279" spans="1:15" x14ac:dyDescent="0.3">
      <c r="A279" s="10" t="s">
        <v>1846</v>
      </c>
      <c r="B279" s="10" t="s">
        <v>2895</v>
      </c>
      <c r="C279" s="10" t="s">
        <v>2896</v>
      </c>
      <c r="D279" s="10" t="s">
        <v>247</v>
      </c>
      <c r="E279" s="10" t="s">
        <v>1431</v>
      </c>
      <c r="F279" s="10" t="s">
        <v>407</v>
      </c>
      <c r="G279" s="10" t="s">
        <v>407</v>
      </c>
      <c r="H279" s="10" t="s">
        <v>123</v>
      </c>
      <c r="I279" s="10" t="s">
        <v>191</v>
      </c>
      <c r="J279" s="10" t="s">
        <v>348</v>
      </c>
      <c r="K279" s="31">
        <v>57588</v>
      </c>
      <c r="L279" s="10" t="s">
        <v>1431</v>
      </c>
      <c r="M279" s="10"/>
      <c r="N279" s="10" t="s">
        <v>2897</v>
      </c>
      <c r="O279" s="10"/>
    </row>
    <row r="280" spans="1:15" x14ac:dyDescent="0.3">
      <c r="A280" s="10" t="s">
        <v>1846</v>
      </c>
      <c r="B280" s="10" t="s">
        <v>2898</v>
      </c>
      <c r="C280" s="10" t="s">
        <v>2899</v>
      </c>
      <c r="D280" s="10" t="s">
        <v>259</v>
      </c>
      <c r="E280" s="10" t="s">
        <v>1431</v>
      </c>
      <c r="F280" s="10" t="s">
        <v>407</v>
      </c>
      <c r="G280" s="10" t="s">
        <v>407</v>
      </c>
      <c r="H280" s="10" t="s">
        <v>123</v>
      </c>
      <c r="I280" s="10" t="s">
        <v>191</v>
      </c>
      <c r="J280" s="10" t="s">
        <v>348</v>
      </c>
      <c r="K280" s="31">
        <v>97896</v>
      </c>
      <c r="L280" s="10" t="s">
        <v>1431</v>
      </c>
      <c r="M280" s="10"/>
      <c r="N280" s="10" t="s">
        <v>2900</v>
      </c>
      <c r="O280" s="10"/>
    </row>
    <row r="281" spans="1:15" x14ac:dyDescent="0.3">
      <c r="A281" s="10" t="s">
        <v>1847</v>
      </c>
      <c r="B281" s="10" t="s">
        <v>2901</v>
      </c>
      <c r="C281" s="10" t="s">
        <v>2902</v>
      </c>
      <c r="D281" s="10" t="s">
        <v>247</v>
      </c>
      <c r="E281" s="10" t="s">
        <v>1431</v>
      </c>
      <c r="F281" s="10" t="s">
        <v>512</v>
      </c>
      <c r="G281" s="10" t="s">
        <v>512</v>
      </c>
      <c r="H281" s="10" t="s">
        <v>123</v>
      </c>
      <c r="I281" s="10" t="s">
        <v>189</v>
      </c>
      <c r="J281" s="10" t="s">
        <v>348</v>
      </c>
      <c r="K281" s="31">
        <v>88464</v>
      </c>
      <c r="L281" s="10" t="s">
        <v>1431</v>
      </c>
      <c r="M281" s="10"/>
      <c r="N281" s="10" t="s">
        <v>2903</v>
      </c>
      <c r="O281" s="10" t="s">
        <v>2052</v>
      </c>
    </row>
    <row r="282" spans="1:15" x14ac:dyDescent="0.3">
      <c r="A282" s="10" t="s">
        <v>1847</v>
      </c>
      <c r="B282" s="10" t="s">
        <v>2904</v>
      </c>
      <c r="C282" s="10" t="s">
        <v>2905</v>
      </c>
      <c r="D282" s="10" t="s">
        <v>2079</v>
      </c>
      <c r="E282" s="10" t="s">
        <v>1431</v>
      </c>
      <c r="F282" s="10"/>
      <c r="G282" s="10"/>
      <c r="H282" s="10"/>
      <c r="I282" s="10" t="s">
        <v>2064</v>
      </c>
      <c r="J282" s="10"/>
      <c r="K282" s="31">
        <v>0</v>
      </c>
      <c r="L282" s="10" t="s">
        <v>1433</v>
      </c>
      <c r="M282" s="10" t="s">
        <v>2065</v>
      </c>
      <c r="N282" s="10" t="s">
        <v>2906</v>
      </c>
      <c r="O282" s="10"/>
    </row>
    <row r="283" spans="1:15" x14ac:dyDescent="0.3">
      <c r="A283" s="10" t="s">
        <v>1848</v>
      </c>
      <c r="B283" s="10" t="s">
        <v>2907</v>
      </c>
      <c r="C283" s="10" t="s">
        <v>2908</v>
      </c>
      <c r="D283" s="10" t="s">
        <v>247</v>
      </c>
      <c r="E283" s="10" t="s">
        <v>1431</v>
      </c>
      <c r="F283" s="10" t="s">
        <v>712</v>
      </c>
      <c r="G283" s="10" t="s">
        <v>712</v>
      </c>
      <c r="H283" s="10" t="s">
        <v>123</v>
      </c>
      <c r="I283" s="10" t="s">
        <v>191</v>
      </c>
      <c r="J283" s="10" t="s">
        <v>348</v>
      </c>
      <c r="K283" s="31">
        <v>47664</v>
      </c>
      <c r="L283" s="10" t="s">
        <v>1431</v>
      </c>
      <c r="M283" s="10"/>
      <c r="N283" s="10" t="s">
        <v>2909</v>
      </c>
      <c r="O283" s="10"/>
    </row>
    <row r="284" spans="1:15" x14ac:dyDescent="0.3">
      <c r="A284" s="10" t="s">
        <v>1848</v>
      </c>
      <c r="B284" s="10" t="s">
        <v>2910</v>
      </c>
      <c r="C284" s="10" t="s">
        <v>2911</v>
      </c>
      <c r="D284" s="10" t="s">
        <v>259</v>
      </c>
      <c r="E284" s="10" t="s">
        <v>1431</v>
      </c>
      <c r="F284" s="10" t="s">
        <v>429</v>
      </c>
      <c r="G284" s="10" t="s">
        <v>429</v>
      </c>
      <c r="H284" s="10" t="s">
        <v>123</v>
      </c>
      <c r="I284" s="10" t="s">
        <v>193</v>
      </c>
      <c r="J284" s="10" t="s">
        <v>348</v>
      </c>
      <c r="K284" s="31">
        <v>126000</v>
      </c>
      <c r="L284" s="10" t="s">
        <v>1433</v>
      </c>
      <c r="M284" s="10" t="s">
        <v>2092</v>
      </c>
      <c r="N284" s="10" t="s">
        <v>2912</v>
      </c>
      <c r="O284" s="10"/>
    </row>
    <row r="285" spans="1:15" x14ac:dyDescent="0.3">
      <c r="A285" s="10" t="s">
        <v>1848</v>
      </c>
      <c r="B285" s="10" t="s">
        <v>2913</v>
      </c>
      <c r="C285" s="10" t="s">
        <v>2914</v>
      </c>
      <c r="D285" s="10" t="s">
        <v>264</v>
      </c>
      <c r="E285" s="10" t="s">
        <v>1431</v>
      </c>
      <c r="F285" s="10" t="s">
        <v>429</v>
      </c>
      <c r="G285" s="10" t="s">
        <v>429</v>
      </c>
      <c r="H285" s="10" t="s">
        <v>123</v>
      </c>
      <c r="I285" s="10" t="s">
        <v>193</v>
      </c>
      <c r="J285" s="10" t="s">
        <v>348</v>
      </c>
      <c r="K285" s="31">
        <v>126000</v>
      </c>
      <c r="L285" s="10" t="s">
        <v>1431</v>
      </c>
      <c r="M285" s="10"/>
      <c r="N285" s="10" t="s">
        <v>2912</v>
      </c>
      <c r="O285" s="10"/>
    </row>
    <row r="286" spans="1:15" x14ac:dyDescent="0.3">
      <c r="A286" s="10" t="s">
        <v>1849</v>
      </c>
      <c r="B286" s="10" t="s">
        <v>2915</v>
      </c>
      <c r="C286" s="10" t="s">
        <v>2916</v>
      </c>
      <c r="D286" s="10" t="s">
        <v>247</v>
      </c>
      <c r="E286" s="10" t="s">
        <v>1431</v>
      </c>
      <c r="F286" s="10" t="s">
        <v>2917</v>
      </c>
      <c r="G286" s="10" t="s">
        <v>659</v>
      </c>
      <c r="H286" s="10" t="s">
        <v>123</v>
      </c>
      <c r="I286" s="10" t="s">
        <v>194</v>
      </c>
      <c r="J286" s="10" t="s">
        <v>294</v>
      </c>
      <c r="K286" s="31">
        <v>118404</v>
      </c>
      <c r="L286" s="10" t="s">
        <v>1431</v>
      </c>
      <c r="M286" s="10"/>
      <c r="N286" s="10" t="s">
        <v>2918</v>
      </c>
      <c r="O286" s="10"/>
    </row>
    <row r="287" spans="1:15" x14ac:dyDescent="0.3">
      <c r="A287" s="10" t="s">
        <v>1849</v>
      </c>
      <c r="B287" s="10" t="s">
        <v>2919</v>
      </c>
      <c r="C287" s="10" t="s">
        <v>2920</v>
      </c>
      <c r="D287" s="10" t="s">
        <v>259</v>
      </c>
      <c r="E287" s="10" t="s">
        <v>1431</v>
      </c>
      <c r="F287" s="10" t="s">
        <v>2921</v>
      </c>
      <c r="G287" s="10" t="s">
        <v>737</v>
      </c>
      <c r="H287" s="10" t="s">
        <v>123</v>
      </c>
      <c r="I287" s="10" t="s">
        <v>197</v>
      </c>
      <c r="J287" s="10" t="s">
        <v>348</v>
      </c>
      <c r="K287" s="31">
        <v>60000</v>
      </c>
      <c r="L287" s="10" t="s">
        <v>1431</v>
      </c>
      <c r="M287" s="10"/>
      <c r="N287" s="10" t="s">
        <v>2922</v>
      </c>
      <c r="O287" s="10" t="s">
        <v>2052</v>
      </c>
    </row>
    <row r="288" spans="1:15" x14ac:dyDescent="0.3">
      <c r="A288" s="10" t="s">
        <v>1850</v>
      </c>
      <c r="B288" s="10" t="s">
        <v>2923</v>
      </c>
      <c r="C288" s="10" t="s">
        <v>2924</v>
      </c>
      <c r="D288" s="10" t="s">
        <v>247</v>
      </c>
      <c r="E288" s="10" t="s">
        <v>1431</v>
      </c>
      <c r="F288" s="10" t="s">
        <v>2063</v>
      </c>
      <c r="G288" s="10"/>
      <c r="H288" s="10"/>
      <c r="I288" s="10" t="s">
        <v>2064</v>
      </c>
      <c r="J288" s="10"/>
      <c r="K288" s="31">
        <v>0</v>
      </c>
      <c r="L288" s="10" t="s">
        <v>1433</v>
      </c>
      <c r="M288" s="10" t="s">
        <v>2065</v>
      </c>
      <c r="N288" s="10" t="s">
        <v>2925</v>
      </c>
      <c r="O288" s="10"/>
    </row>
    <row r="289" spans="1:15" x14ac:dyDescent="0.3">
      <c r="A289" s="10" t="s">
        <v>1850</v>
      </c>
      <c r="B289" s="10" t="s">
        <v>2926</v>
      </c>
      <c r="C289" s="10" t="s">
        <v>2927</v>
      </c>
      <c r="D289" s="10" t="s">
        <v>251</v>
      </c>
      <c r="E289" s="10" t="s">
        <v>1433</v>
      </c>
      <c r="F289" s="10" t="s">
        <v>2928</v>
      </c>
      <c r="G289" s="10"/>
      <c r="H289" s="10"/>
      <c r="I289" s="10" t="s">
        <v>2064</v>
      </c>
      <c r="J289" s="10"/>
      <c r="K289" s="31">
        <v>1152000</v>
      </c>
      <c r="L289" s="10" t="s">
        <v>1433</v>
      </c>
      <c r="M289" s="10" t="s">
        <v>2138</v>
      </c>
      <c r="N289" s="10" t="s">
        <v>2929</v>
      </c>
      <c r="O289" s="10"/>
    </row>
    <row r="290" spans="1:15" x14ac:dyDescent="0.3">
      <c r="A290" s="10" t="s">
        <v>297</v>
      </c>
      <c r="B290" s="10" t="s">
        <v>2930</v>
      </c>
      <c r="C290" s="10" t="s">
        <v>2931</v>
      </c>
      <c r="D290" s="10" t="s">
        <v>247</v>
      </c>
      <c r="E290" s="10" t="s">
        <v>1431</v>
      </c>
      <c r="F290" s="10" t="s">
        <v>2932</v>
      </c>
      <c r="G290" s="10" t="s">
        <v>296</v>
      </c>
      <c r="H290" s="10" t="s">
        <v>117</v>
      </c>
      <c r="I290" s="10" t="s">
        <v>186</v>
      </c>
      <c r="J290" s="10" t="s">
        <v>294</v>
      </c>
      <c r="K290" s="31">
        <v>124860</v>
      </c>
      <c r="L290" s="10" t="s">
        <v>1431</v>
      </c>
      <c r="M290" s="10"/>
      <c r="N290" s="10" t="s">
        <v>2933</v>
      </c>
      <c r="O290" s="10" t="s">
        <v>2019</v>
      </c>
    </row>
    <row r="291" spans="1:15" x14ac:dyDescent="0.3">
      <c r="A291" s="10" t="s">
        <v>297</v>
      </c>
      <c r="B291" s="10" t="s">
        <v>2934</v>
      </c>
      <c r="C291" s="10" t="s">
        <v>2935</v>
      </c>
      <c r="D291" s="10" t="s">
        <v>264</v>
      </c>
      <c r="E291" s="10" t="s">
        <v>1431</v>
      </c>
      <c r="F291" s="10" t="s">
        <v>387</v>
      </c>
      <c r="G291" s="10" t="s">
        <v>387</v>
      </c>
      <c r="H291" s="10" t="s">
        <v>123</v>
      </c>
      <c r="I291" s="10" t="s">
        <v>206</v>
      </c>
      <c r="J291" s="10" t="s">
        <v>348</v>
      </c>
      <c r="K291" s="31">
        <v>48000</v>
      </c>
      <c r="L291" s="10" t="s">
        <v>1431</v>
      </c>
      <c r="M291" s="10"/>
      <c r="N291" s="10" t="s">
        <v>2936</v>
      </c>
      <c r="O291" s="10" t="s">
        <v>2019</v>
      </c>
    </row>
    <row r="292" spans="1:15" x14ac:dyDescent="0.3">
      <c r="A292" s="10" t="s">
        <v>1851</v>
      </c>
      <c r="B292" s="10" t="s">
        <v>2937</v>
      </c>
      <c r="C292" s="10" t="s">
        <v>2938</v>
      </c>
      <c r="D292" s="10" t="s">
        <v>247</v>
      </c>
      <c r="E292" s="10" t="s">
        <v>1431</v>
      </c>
      <c r="F292" s="10" t="s">
        <v>2939</v>
      </c>
      <c r="G292" s="10" t="s">
        <v>358</v>
      </c>
      <c r="H292" s="10" t="s">
        <v>123</v>
      </c>
      <c r="I292" s="10" t="s">
        <v>190</v>
      </c>
      <c r="J292" s="10" t="s">
        <v>348</v>
      </c>
      <c r="K292" s="31">
        <v>58404</v>
      </c>
      <c r="L292" s="10" t="s">
        <v>1431</v>
      </c>
      <c r="M292" s="10"/>
      <c r="N292" s="10" t="s">
        <v>2940</v>
      </c>
      <c r="O292" s="10"/>
    </row>
    <row r="293" spans="1:15" x14ac:dyDescent="0.3">
      <c r="A293" s="10" t="s">
        <v>1852</v>
      </c>
      <c r="B293" s="10" t="s">
        <v>2941</v>
      </c>
      <c r="C293" s="10" t="s">
        <v>2942</v>
      </c>
      <c r="D293" s="10" t="s">
        <v>247</v>
      </c>
      <c r="E293" s="10" t="s">
        <v>1431</v>
      </c>
      <c r="F293" s="10" t="s">
        <v>2305</v>
      </c>
      <c r="G293" s="10" t="s">
        <v>355</v>
      </c>
      <c r="H293" s="10" t="s">
        <v>123</v>
      </c>
      <c r="I293" s="10" t="s">
        <v>191</v>
      </c>
      <c r="J293" s="10" t="s">
        <v>348</v>
      </c>
      <c r="K293" s="31">
        <v>41028</v>
      </c>
      <c r="L293" s="10" t="s">
        <v>1431</v>
      </c>
      <c r="M293" s="10"/>
      <c r="N293" s="10" t="s">
        <v>2943</v>
      </c>
      <c r="O293" s="10"/>
    </row>
    <row r="294" spans="1:15" x14ac:dyDescent="0.3">
      <c r="A294" s="10" t="s">
        <v>1853</v>
      </c>
      <c r="B294" s="10" t="s">
        <v>2944</v>
      </c>
      <c r="C294" s="10" t="s">
        <v>2945</v>
      </c>
      <c r="D294" s="10" t="s">
        <v>247</v>
      </c>
      <c r="E294" s="10" t="s">
        <v>1431</v>
      </c>
      <c r="F294" s="10" t="s">
        <v>2946</v>
      </c>
      <c r="G294" s="10" t="s">
        <v>646</v>
      </c>
      <c r="H294" s="10" t="s">
        <v>123</v>
      </c>
      <c r="I294" s="10" t="s">
        <v>194</v>
      </c>
      <c r="J294" s="10" t="s">
        <v>348</v>
      </c>
      <c r="K294" s="31">
        <v>102480</v>
      </c>
      <c r="L294" s="10" t="s">
        <v>1431</v>
      </c>
      <c r="M294" s="10"/>
      <c r="N294" s="10" t="s">
        <v>2947</v>
      </c>
      <c r="O294" s="10"/>
    </row>
    <row r="295" spans="1:15" x14ac:dyDescent="0.3">
      <c r="A295" s="10" t="s">
        <v>1853</v>
      </c>
      <c r="B295" s="10" t="s">
        <v>2948</v>
      </c>
      <c r="C295" s="10" t="s">
        <v>2949</v>
      </c>
      <c r="D295" s="10" t="s">
        <v>264</v>
      </c>
      <c r="E295" s="10" t="s">
        <v>1431</v>
      </c>
      <c r="F295" s="10" t="s">
        <v>2950</v>
      </c>
      <c r="G295" s="10" t="s">
        <v>643</v>
      </c>
      <c r="H295" s="10" t="s">
        <v>123</v>
      </c>
      <c r="I295" s="10" t="s">
        <v>191</v>
      </c>
      <c r="J295" s="10" t="s">
        <v>348</v>
      </c>
      <c r="K295" s="31">
        <v>2400</v>
      </c>
      <c r="L295" s="10" t="s">
        <v>1431</v>
      </c>
      <c r="M295" s="10"/>
      <c r="N295" s="10" t="s">
        <v>2951</v>
      </c>
      <c r="O295" s="10"/>
    </row>
    <row r="296" spans="1:15" x14ac:dyDescent="0.3">
      <c r="A296" s="10" t="s">
        <v>1854</v>
      </c>
      <c r="B296" s="10" t="s">
        <v>2952</v>
      </c>
      <c r="C296" s="10" t="s">
        <v>2953</v>
      </c>
      <c r="D296" s="10" t="s">
        <v>247</v>
      </c>
      <c r="E296" s="10" t="s">
        <v>1431</v>
      </c>
      <c r="F296" s="10" t="s">
        <v>2954</v>
      </c>
      <c r="G296" s="10" t="s">
        <v>750</v>
      </c>
      <c r="H296" s="10" t="s">
        <v>123</v>
      </c>
      <c r="I296" s="10" t="s">
        <v>189</v>
      </c>
      <c r="J296" s="10" t="s">
        <v>348</v>
      </c>
      <c r="K296" s="31">
        <v>69600</v>
      </c>
      <c r="L296" s="10" t="s">
        <v>1431</v>
      </c>
      <c r="M296" s="10"/>
      <c r="N296" s="10" t="s">
        <v>2955</v>
      </c>
      <c r="O296" s="10" t="s">
        <v>2052</v>
      </c>
    </row>
    <row r="297" spans="1:15" x14ac:dyDescent="0.3">
      <c r="A297" s="10" t="s">
        <v>1854</v>
      </c>
      <c r="B297" s="10" t="s">
        <v>2956</v>
      </c>
      <c r="C297" s="10" t="s">
        <v>2957</v>
      </c>
      <c r="D297" s="10" t="s">
        <v>2079</v>
      </c>
      <c r="E297" s="10" t="s">
        <v>1431</v>
      </c>
      <c r="F297" s="10"/>
      <c r="G297" s="10"/>
      <c r="H297" s="10"/>
      <c r="I297" s="10" t="s">
        <v>2064</v>
      </c>
      <c r="J297" s="10"/>
      <c r="K297" s="31">
        <v>0</v>
      </c>
      <c r="L297" s="10" t="s">
        <v>1433</v>
      </c>
      <c r="M297" s="10" t="s">
        <v>2065</v>
      </c>
      <c r="N297" s="10" t="s">
        <v>2958</v>
      </c>
      <c r="O297" s="10"/>
    </row>
    <row r="298" spans="1:15" x14ac:dyDescent="0.3">
      <c r="A298" s="10" t="s">
        <v>1855</v>
      </c>
      <c r="B298" s="10" t="s">
        <v>2959</v>
      </c>
      <c r="C298" s="10" t="s">
        <v>2960</v>
      </c>
      <c r="D298" s="10" t="s">
        <v>247</v>
      </c>
      <c r="E298" s="10" t="s">
        <v>1431</v>
      </c>
      <c r="F298" s="10" t="s">
        <v>2961</v>
      </c>
      <c r="G298" s="10" t="s">
        <v>686</v>
      </c>
      <c r="H298" s="10" t="s">
        <v>123</v>
      </c>
      <c r="I298" s="10" t="s">
        <v>192</v>
      </c>
      <c r="J298" s="10" t="s">
        <v>348</v>
      </c>
      <c r="K298" s="31">
        <v>28800</v>
      </c>
      <c r="L298" s="10" t="s">
        <v>1431</v>
      </c>
      <c r="M298" s="10"/>
      <c r="N298" s="10" t="s">
        <v>2962</v>
      </c>
      <c r="O298" s="10" t="s">
        <v>2019</v>
      </c>
    </row>
    <row r="299" spans="1:15" x14ac:dyDescent="0.3">
      <c r="A299" s="10" t="s">
        <v>1855</v>
      </c>
      <c r="B299" s="10" t="s">
        <v>2963</v>
      </c>
      <c r="C299" s="10" t="s">
        <v>2964</v>
      </c>
      <c r="D299" s="10" t="s">
        <v>259</v>
      </c>
      <c r="E299" s="10" t="s">
        <v>1431</v>
      </c>
      <c r="F299" s="10"/>
      <c r="G299" s="10"/>
      <c r="H299" s="10"/>
      <c r="I299" s="10" t="s">
        <v>2064</v>
      </c>
      <c r="J299" s="10"/>
      <c r="K299" s="31">
        <v>0</v>
      </c>
      <c r="L299" s="10" t="s">
        <v>1433</v>
      </c>
      <c r="M299" s="10" t="s">
        <v>2065</v>
      </c>
      <c r="N299" s="10" t="s">
        <v>2965</v>
      </c>
      <c r="O299" s="10"/>
    </row>
    <row r="300" spans="1:15" x14ac:dyDescent="0.3">
      <c r="A300" s="10" t="s">
        <v>1855</v>
      </c>
      <c r="B300" s="10" t="s">
        <v>2966</v>
      </c>
      <c r="C300" s="10" t="s">
        <v>2967</v>
      </c>
      <c r="D300" s="10" t="s">
        <v>2079</v>
      </c>
      <c r="E300" s="10" t="s">
        <v>1431</v>
      </c>
      <c r="F300" s="10"/>
      <c r="G300" s="10"/>
      <c r="H300" s="10"/>
      <c r="I300" s="10" t="s">
        <v>2064</v>
      </c>
      <c r="J300" s="10"/>
      <c r="K300" s="31">
        <v>0</v>
      </c>
      <c r="L300" s="10" t="s">
        <v>1433</v>
      </c>
      <c r="M300" s="10" t="s">
        <v>2065</v>
      </c>
      <c r="N300" s="10" t="s">
        <v>2965</v>
      </c>
      <c r="O300" s="10"/>
    </row>
    <row r="301" spans="1:15" x14ac:dyDescent="0.3">
      <c r="A301" s="10" t="s">
        <v>1855</v>
      </c>
      <c r="B301" s="10" t="s">
        <v>2968</v>
      </c>
      <c r="C301" s="10" t="s">
        <v>2969</v>
      </c>
      <c r="D301" s="10" t="s">
        <v>264</v>
      </c>
      <c r="E301" s="10" t="s">
        <v>1431</v>
      </c>
      <c r="F301" s="10"/>
      <c r="G301" s="10"/>
      <c r="H301" s="10"/>
      <c r="I301" s="10" t="s">
        <v>2064</v>
      </c>
      <c r="J301" s="10"/>
      <c r="K301" s="31">
        <v>0</v>
      </c>
      <c r="L301" s="10" t="s">
        <v>1433</v>
      </c>
      <c r="M301" s="10" t="s">
        <v>2065</v>
      </c>
      <c r="N301" s="10" t="s">
        <v>2965</v>
      </c>
      <c r="O301" s="10"/>
    </row>
    <row r="302" spans="1:15" x14ac:dyDescent="0.3">
      <c r="A302" s="10" t="s">
        <v>1855</v>
      </c>
      <c r="B302" s="10" t="s">
        <v>2970</v>
      </c>
      <c r="C302" s="10" t="s">
        <v>2971</v>
      </c>
      <c r="D302" s="10" t="s">
        <v>2079</v>
      </c>
      <c r="E302" s="10" t="s">
        <v>1431</v>
      </c>
      <c r="F302" s="10"/>
      <c r="G302" s="10"/>
      <c r="H302" s="10"/>
      <c r="I302" s="10" t="s">
        <v>2064</v>
      </c>
      <c r="J302" s="10"/>
      <c r="K302" s="31">
        <v>0</v>
      </c>
      <c r="L302" s="10" t="s">
        <v>1433</v>
      </c>
      <c r="M302" s="10" t="s">
        <v>2065</v>
      </c>
      <c r="N302" s="10" t="s">
        <v>2965</v>
      </c>
      <c r="O302" s="10"/>
    </row>
    <row r="303" spans="1:15" x14ac:dyDescent="0.3">
      <c r="A303" s="10" t="s">
        <v>1856</v>
      </c>
      <c r="B303" s="10" t="s">
        <v>2972</v>
      </c>
      <c r="C303" s="10" t="s">
        <v>2973</v>
      </c>
      <c r="D303" s="10" t="s">
        <v>247</v>
      </c>
      <c r="E303" s="10" t="s">
        <v>1431</v>
      </c>
      <c r="F303" s="10" t="s">
        <v>2974</v>
      </c>
      <c r="G303" s="10" t="s">
        <v>356</v>
      </c>
      <c r="H303" s="10" t="s">
        <v>123</v>
      </c>
      <c r="I303" s="10" t="s">
        <v>196</v>
      </c>
      <c r="J303" s="10" t="s">
        <v>348</v>
      </c>
      <c r="K303" s="31">
        <v>60000</v>
      </c>
      <c r="L303" s="10" t="s">
        <v>1431</v>
      </c>
      <c r="M303" s="10"/>
      <c r="N303" s="10" t="s">
        <v>2975</v>
      </c>
      <c r="O303" s="10"/>
    </row>
    <row r="304" spans="1:15" x14ac:dyDescent="0.3">
      <c r="A304" s="10" t="s">
        <v>1856</v>
      </c>
      <c r="B304" s="10" t="s">
        <v>2976</v>
      </c>
      <c r="C304" s="10" t="s">
        <v>2977</v>
      </c>
      <c r="D304" s="10" t="s">
        <v>259</v>
      </c>
      <c r="E304" s="10" t="s">
        <v>1431</v>
      </c>
      <c r="F304" s="10" t="s">
        <v>2978</v>
      </c>
      <c r="G304" s="10" t="s">
        <v>771</v>
      </c>
      <c r="H304" s="10"/>
      <c r="I304" s="10" t="s">
        <v>769</v>
      </c>
      <c r="J304" s="10" t="s">
        <v>348</v>
      </c>
      <c r="K304" s="31">
        <v>72000</v>
      </c>
      <c r="L304" s="10" t="s">
        <v>1431</v>
      </c>
      <c r="M304" s="10"/>
      <c r="N304" s="10" t="s">
        <v>2979</v>
      </c>
      <c r="O304" s="10" t="s">
        <v>2019</v>
      </c>
    </row>
    <row r="305" spans="1:15" x14ac:dyDescent="0.3">
      <c r="A305" s="10" t="s">
        <v>1857</v>
      </c>
      <c r="B305" s="10" t="s">
        <v>2980</v>
      </c>
      <c r="C305" s="10" t="s">
        <v>2981</v>
      </c>
      <c r="D305" s="10" t="s">
        <v>247</v>
      </c>
      <c r="E305" s="10" t="s">
        <v>1431</v>
      </c>
      <c r="F305" s="10" t="s">
        <v>2982</v>
      </c>
      <c r="G305" s="10" t="s">
        <v>419</v>
      </c>
      <c r="H305" s="10" t="s">
        <v>123</v>
      </c>
      <c r="I305" s="10" t="s">
        <v>194</v>
      </c>
      <c r="J305" s="10" t="s">
        <v>348</v>
      </c>
      <c r="K305" s="31">
        <v>128280</v>
      </c>
      <c r="L305" s="10" t="s">
        <v>1431</v>
      </c>
      <c r="M305" s="10"/>
      <c r="N305" s="10" t="s">
        <v>2983</v>
      </c>
      <c r="O305" s="10" t="s">
        <v>2019</v>
      </c>
    </row>
    <row r="306" spans="1:15" x14ac:dyDescent="0.3">
      <c r="A306" s="10" t="s">
        <v>1857</v>
      </c>
      <c r="B306" s="10" t="s">
        <v>2984</v>
      </c>
      <c r="C306" s="10" t="s">
        <v>2985</v>
      </c>
      <c r="D306" s="10" t="s">
        <v>264</v>
      </c>
      <c r="E306" s="10" t="s">
        <v>1431</v>
      </c>
      <c r="F306" s="10" t="s">
        <v>752</v>
      </c>
      <c r="G306" s="10" t="s">
        <v>752</v>
      </c>
      <c r="H306" s="10" t="s">
        <v>123</v>
      </c>
      <c r="I306" s="10" t="s">
        <v>191</v>
      </c>
      <c r="J306" s="10" t="s">
        <v>348</v>
      </c>
      <c r="K306" s="31">
        <v>33600</v>
      </c>
      <c r="L306" s="10" t="s">
        <v>1431</v>
      </c>
      <c r="M306" s="10"/>
      <c r="N306" s="10" t="s">
        <v>2986</v>
      </c>
      <c r="O306" s="10"/>
    </row>
    <row r="307" spans="1:15" x14ac:dyDescent="0.3">
      <c r="A307" s="10" t="s">
        <v>1858</v>
      </c>
      <c r="B307" s="10" t="s">
        <v>2987</v>
      </c>
      <c r="C307" s="10" t="s">
        <v>2988</v>
      </c>
      <c r="D307" s="10" t="s">
        <v>247</v>
      </c>
      <c r="E307" s="10" t="s">
        <v>1431</v>
      </c>
      <c r="F307" s="10" t="s">
        <v>369</v>
      </c>
      <c r="G307" s="10" t="s">
        <v>369</v>
      </c>
      <c r="H307" s="10" t="s">
        <v>123</v>
      </c>
      <c r="I307" s="10" t="s">
        <v>194</v>
      </c>
      <c r="J307" s="10" t="s">
        <v>348</v>
      </c>
      <c r="K307" s="31">
        <v>120000</v>
      </c>
      <c r="L307" s="10" t="s">
        <v>1431</v>
      </c>
      <c r="M307" s="10"/>
      <c r="N307" s="10" t="s">
        <v>2989</v>
      </c>
      <c r="O307" s="10"/>
    </row>
    <row r="308" spans="1:15" x14ac:dyDescent="0.3">
      <c r="A308" s="10" t="s">
        <v>1858</v>
      </c>
      <c r="B308" s="10" t="s">
        <v>2990</v>
      </c>
      <c r="C308" s="10" t="s">
        <v>2991</v>
      </c>
      <c r="D308" s="10" t="s">
        <v>264</v>
      </c>
      <c r="E308" s="10" t="s">
        <v>1431</v>
      </c>
      <c r="F308" s="10" t="s">
        <v>2992</v>
      </c>
      <c r="G308" s="10" t="s">
        <v>638</v>
      </c>
      <c r="H308" s="10" t="s">
        <v>123</v>
      </c>
      <c r="I308" s="10" t="s">
        <v>191</v>
      </c>
      <c r="J308" s="10" t="s">
        <v>348</v>
      </c>
      <c r="K308" s="31">
        <v>57600</v>
      </c>
      <c r="L308" s="10" t="s">
        <v>1431</v>
      </c>
      <c r="M308" s="10"/>
      <c r="N308" s="10" t="s">
        <v>2993</v>
      </c>
      <c r="O308" s="10" t="s">
        <v>2052</v>
      </c>
    </row>
    <row r="309" spans="1:15" x14ac:dyDescent="0.3">
      <c r="A309" s="10" t="s">
        <v>1859</v>
      </c>
      <c r="B309" s="10" t="s">
        <v>2994</v>
      </c>
      <c r="C309" s="10" t="s">
        <v>2995</v>
      </c>
      <c r="D309" s="10" t="s">
        <v>247</v>
      </c>
      <c r="E309" s="10" t="s">
        <v>1431</v>
      </c>
      <c r="F309" s="10" t="s">
        <v>2996</v>
      </c>
      <c r="G309" s="10" t="s">
        <v>652</v>
      </c>
      <c r="H309" s="10" t="s">
        <v>123</v>
      </c>
      <c r="I309" s="10" t="s">
        <v>194</v>
      </c>
      <c r="J309" s="10" t="s">
        <v>348</v>
      </c>
      <c r="K309" s="31">
        <v>94800</v>
      </c>
      <c r="L309" s="10" t="s">
        <v>1431</v>
      </c>
      <c r="M309" s="10"/>
      <c r="N309" s="10" t="s">
        <v>2997</v>
      </c>
      <c r="O309" s="10"/>
    </row>
    <row r="310" spans="1:15" x14ac:dyDescent="0.3">
      <c r="A310" s="10" t="s">
        <v>1860</v>
      </c>
      <c r="B310" s="10" t="s">
        <v>2998</v>
      </c>
      <c r="C310" s="10" t="s">
        <v>2999</v>
      </c>
      <c r="D310" s="10" t="s">
        <v>247</v>
      </c>
      <c r="E310" s="10" t="s">
        <v>1431</v>
      </c>
      <c r="F310" s="10" t="s">
        <v>556</v>
      </c>
      <c r="G310" s="10" t="s">
        <v>556</v>
      </c>
      <c r="H310" s="10" t="s">
        <v>123</v>
      </c>
      <c r="I310" s="10" t="s">
        <v>190</v>
      </c>
      <c r="J310" s="10" t="s">
        <v>348</v>
      </c>
      <c r="K310" s="31">
        <v>41568</v>
      </c>
      <c r="L310" s="10" t="s">
        <v>1431</v>
      </c>
      <c r="M310" s="10"/>
      <c r="N310" s="10" t="s">
        <v>3000</v>
      </c>
      <c r="O310" s="10" t="s">
        <v>2019</v>
      </c>
    </row>
    <row r="311" spans="1:15" x14ac:dyDescent="0.3">
      <c r="A311" s="10" t="s">
        <v>1860</v>
      </c>
      <c r="B311" s="10" t="s">
        <v>3001</v>
      </c>
      <c r="C311" s="10" t="s">
        <v>3002</v>
      </c>
      <c r="D311" s="10" t="s">
        <v>259</v>
      </c>
      <c r="E311" s="10" t="s">
        <v>1431</v>
      </c>
      <c r="F311" s="10" t="s">
        <v>3003</v>
      </c>
      <c r="G311" s="10" t="s">
        <v>630</v>
      </c>
      <c r="H311" s="10" t="s">
        <v>123</v>
      </c>
      <c r="I311" s="10" t="s">
        <v>197</v>
      </c>
      <c r="J311" s="10" t="s">
        <v>287</v>
      </c>
      <c r="K311" s="31">
        <v>40200</v>
      </c>
      <c r="L311" s="10" t="s">
        <v>1431</v>
      </c>
      <c r="M311" s="10"/>
      <c r="N311" s="10" t="s">
        <v>2699</v>
      </c>
      <c r="O311" s="10" t="s">
        <v>2019</v>
      </c>
    </row>
    <row r="312" spans="1:15" x14ac:dyDescent="0.3">
      <c r="A312" s="10" t="s">
        <v>1861</v>
      </c>
      <c r="B312" s="10" t="s">
        <v>3004</v>
      </c>
      <c r="C312" s="10" t="s">
        <v>3005</v>
      </c>
      <c r="D312" s="10" t="s">
        <v>247</v>
      </c>
      <c r="E312" s="10" t="s">
        <v>1431</v>
      </c>
      <c r="F312" s="10" t="s">
        <v>3006</v>
      </c>
      <c r="G312" s="10" t="s">
        <v>527</v>
      </c>
      <c r="H312" s="10" t="s">
        <v>123</v>
      </c>
      <c r="I312" s="10" t="s">
        <v>204</v>
      </c>
      <c r="J312" s="10" t="s">
        <v>366</v>
      </c>
      <c r="K312" s="31">
        <v>90000</v>
      </c>
      <c r="L312" s="10" t="s">
        <v>1431</v>
      </c>
      <c r="M312" s="10"/>
      <c r="N312" s="10" t="s">
        <v>3007</v>
      </c>
      <c r="O312" s="10"/>
    </row>
    <row r="313" spans="1:15" x14ac:dyDescent="0.3">
      <c r="A313" s="10" t="s">
        <v>1861</v>
      </c>
      <c r="B313" s="10" t="s">
        <v>3008</v>
      </c>
      <c r="C313" s="10" t="s">
        <v>3009</v>
      </c>
      <c r="D313" s="10" t="s">
        <v>264</v>
      </c>
      <c r="E313" s="10" t="s">
        <v>1431</v>
      </c>
      <c r="F313" s="10"/>
      <c r="G313" s="10"/>
      <c r="H313" s="10"/>
      <c r="I313" s="10" t="s">
        <v>2064</v>
      </c>
      <c r="J313" s="10"/>
      <c r="K313" s="31">
        <v>0</v>
      </c>
      <c r="L313" s="10" t="s">
        <v>1433</v>
      </c>
      <c r="M313" s="10" t="s">
        <v>2065</v>
      </c>
      <c r="N313" s="10" t="s">
        <v>3010</v>
      </c>
      <c r="O313" s="10" t="s">
        <v>2019</v>
      </c>
    </row>
    <row r="314" spans="1:15" x14ac:dyDescent="0.3">
      <c r="A314" s="10" t="s">
        <v>1862</v>
      </c>
      <c r="B314" s="10" t="s">
        <v>3011</v>
      </c>
      <c r="C314" s="10" t="s">
        <v>3012</v>
      </c>
      <c r="D314" s="10" t="s">
        <v>247</v>
      </c>
      <c r="E314" s="10" t="s">
        <v>1431</v>
      </c>
      <c r="F314" s="10" t="s">
        <v>3013</v>
      </c>
      <c r="G314" s="10" t="s">
        <v>360</v>
      </c>
      <c r="H314" s="10" t="s">
        <v>123</v>
      </c>
      <c r="I314" s="10" t="s">
        <v>191</v>
      </c>
      <c r="J314" s="10" t="s">
        <v>348</v>
      </c>
      <c r="K314" s="31">
        <v>0</v>
      </c>
      <c r="L314" s="10" t="s">
        <v>1433</v>
      </c>
      <c r="M314" s="10" t="s">
        <v>2065</v>
      </c>
      <c r="N314" s="10" t="s">
        <v>3014</v>
      </c>
      <c r="O314" s="10"/>
    </row>
    <row r="315" spans="1:15" x14ac:dyDescent="0.3">
      <c r="A315" s="10" t="s">
        <v>1862</v>
      </c>
      <c r="B315" s="10" t="s">
        <v>3015</v>
      </c>
      <c r="C315" s="10" t="s">
        <v>3016</v>
      </c>
      <c r="D315" s="10" t="s">
        <v>251</v>
      </c>
      <c r="E315" s="10" t="s">
        <v>1433</v>
      </c>
      <c r="F315" s="10" t="s">
        <v>3017</v>
      </c>
      <c r="G315" s="10" t="s">
        <v>533</v>
      </c>
      <c r="H315" s="10" t="s">
        <v>123</v>
      </c>
      <c r="I315" s="10" t="s">
        <v>193</v>
      </c>
      <c r="J315" s="10" t="s">
        <v>348</v>
      </c>
      <c r="K315" s="31">
        <v>300000</v>
      </c>
      <c r="L315" s="10" t="s">
        <v>1433</v>
      </c>
      <c r="M315" s="10" t="s">
        <v>2138</v>
      </c>
      <c r="N315" s="10" t="s">
        <v>3018</v>
      </c>
      <c r="O315" s="10" t="s">
        <v>2019</v>
      </c>
    </row>
    <row r="316" spans="1:15" x14ac:dyDescent="0.3">
      <c r="A316" s="10" t="s">
        <v>1862</v>
      </c>
      <c r="B316" s="10" t="s">
        <v>3019</v>
      </c>
      <c r="C316" s="10" t="s">
        <v>3020</v>
      </c>
      <c r="D316" s="10" t="s">
        <v>259</v>
      </c>
      <c r="E316" s="10" t="s">
        <v>1431</v>
      </c>
      <c r="F316" s="10" t="s">
        <v>3017</v>
      </c>
      <c r="G316" s="10" t="s">
        <v>533</v>
      </c>
      <c r="H316" s="10" t="s">
        <v>123</v>
      </c>
      <c r="I316" s="10" t="s">
        <v>193</v>
      </c>
      <c r="J316" s="10" t="s">
        <v>348</v>
      </c>
      <c r="K316" s="31">
        <v>300000</v>
      </c>
      <c r="L316" s="10" t="s">
        <v>1431</v>
      </c>
      <c r="M316" s="10"/>
      <c r="N316" s="10" t="s">
        <v>3018</v>
      </c>
      <c r="O316" s="10" t="s">
        <v>2019</v>
      </c>
    </row>
    <row r="317" spans="1:15" x14ac:dyDescent="0.3">
      <c r="A317" s="10" t="s">
        <v>1863</v>
      </c>
      <c r="B317" s="10" t="s">
        <v>3021</v>
      </c>
      <c r="C317" s="10" t="s">
        <v>2256</v>
      </c>
      <c r="D317" s="10" t="s">
        <v>247</v>
      </c>
      <c r="E317" s="10" t="s">
        <v>1431</v>
      </c>
      <c r="F317" s="10" t="s">
        <v>3022</v>
      </c>
      <c r="G317" s="10" t="s">
        <v>520</v>
      </c>
      <c r="H317" s="10" t="s">
        <v>123</v>
      </c>
      <c r="I317" s="10" t="s">
        <v>207</v>
      </c>
      <c r="J317" s="10" t="s">
        <v>366</v>
      </c>
      <c r="K317" s="31">
        <v>120000</v>
      </c>
      <c r="L317" s="10" t="s">
        <v>1431</v>
      </c>
      <c r="M317" s="10"/>
      <c r="N317" s="10" t="s">
        <v>2258</v>
      </c>
      <c r="O317" s="10"/>
    </row>
    <row r="318" spans="1:15" x14ac:dyDescent="0.3">
      <c r="A318" s="10" t="s">
        <v>1864</v>
      </c>
      <c r="B318" s="10" t="s">
        <v>3023</v>
      </c>
      <c r="C318" s="10" t="s">
        <v>3024</v>
      </c>
      <c r="D318" s="10" t="s">
        <v>247</v>
      </c>
      <c r="E318" s="10" t="s">
        <v>1431</v>
      </c>
      <c r="F318" s="10" t="s">
        <v>3025</v>
      </c>
      <c r="G318" s="10" t="s">
        <v>354</v>
      </c>
      <c r="H318" s="10" t="s">
        <v>123</v>
      </c>
      <c r="I318" s="10" t="s">
        <v>191</v>
      </c>
      <c r="J318" s="10" t="s">
        <v>348</v>
      </c>
      <c r="K318" s="31">
        <v>11520</v>
      </c>
      <c r="L318" s="10" t="s">
        <v>1431</v>
      </c>
      <c r="M318" s="10"/>
      <c r="N318" s="10" t="s">
        <v>3026</v>
      </c>
      <c r="O318" s="10"/>
    </row>
    <row r="319" spans="1:15" x14ac:dyDescent="0.3">
      <c r="A319" s="10" t="s">
        <v>1864</v>
      </c>
      <c r="B319" s="10" t="s">
        <v>3027</v>
      </c>
      <c r="C319" s="10" t="s">
        <v>3028</v>
      </c>
      <c r="D319" s="10" t="s">
        <v>251</v>
      </c>
      <c r="E319" s="10" t="s">
        <v>1433</v>
      </c>
      <c r="F319" s="10" t="s">
        <v>3029</v>
      </c>
      <c r="G319" s="10" t="s">
        <v>3030</v>
      </c>
      <c r="H319" s="10" t="s">
        <v>123</v>
      </c>
      <c r="I319" s="10" t="s">
        <v>189</v>
      </c>
      <c r="J319" s="10" t="s">
        <v>348</v>
      </c>
      <c r="K319" s="31">
        <v>149436</v>
      </c>
      <c r="L319" s="10" t="s">
        <v>1433</v>
      </c>
      <c r="M319" s="10" t="s">
        <v>2138</v>
      </c>
      <c r="N319" s="10" t="s">
        <v>3031</v>
      </c>
      <c r="O319" s="10"/>
    </row>
    <row r="320" spans="1:15" x14ac:dyDescent="0.3">
      <c r="A320" s="10" t="s">
        <v>1865</v>
      </c>
      <c r="B320" s="10" t="s">
        <v>3032</v>
      </c>
      <c r="C320" s="10" t="s">
        <v>3033</v>
      </c>
      <c r="D320" s="10" t="s">
        <v>247</v>
      </c>
      <c r="E320" s="10" t="s">
        <v>1431</v>
      </c>
      <c r="F320" s="10" t="s">
        <v>3034</v>
      </c>
      <c r="G320" s="10" t="s">
        <v>355</v>
      </c>
      <c r="H320" s="10" t="s">
        <v>123</v>
      </c>
      <c r="I320" s="10" t="s">
        <v>191</v>
      </c>
      <c r="J320" s="10" t="s">
        <v>348</v>
      </c>
      <c r="K320" s="31">
        <v>43752</v>
      </c>
      <c r="L320" s="10" t="s">
        <v>1431</v>
      </c>
      <c r="M320" s="10"/>
      <c r="N320" s="10" t="s">
        <v>3035</v>
      </c>
      <c r="O320" s="10" t="s">
        <v>2052</v>
      </c>
    </row>
    <row r="321" spans="1:15" x14ac:dyDescent="0.3">
      <c r="A321" s="10" t="s">
        <v>1866</v>
      </c>
      <c r="B321" s="10" t="s">
        <v>3036</v>
      </c>
      <c r="C321" s="10" t="s">
        <v>3037</v>
      </c>
      <c r="D321" s="10" t="s">
        <v>247</v>
      </c>
      <c r="E321" s="10" t="s">
        <v>1431</v>
      </c>
      <c r="F321" s="10"/>
      <c r="G321" s="10"/>
      <c r="H321" s="10"/>
      <c r="I321" s="10" t="s">
        <v>2064</v>
      </c>
      <c r="J321" s="10"/>
      <c r="K321" s="31">
        <v>0</v>
      </c>
      <c r="L321" s="10" t="s">
        <v>1433</v>
      </c>
      <c r="M321" s="10" t="s">
        <v>2065</v>
      </c>
      <c r="N321" s="10" t="s">
        <v>3038</v>
      </c>
      <c r="O321" s="10"/>
    </row>
    <row r="322" spans="1:15" x14ac:dyDescent="0.3">
      <c r="A322" s="10" t="s">
        <v>1866</v>
      </c>
      <c r="B322" s="10" t="s">
        <v>3039</v>
      </c>
      <c r="C322" s="10" t="s">
        <v>3040</v>
      </c>
      <c r="D322" s="10" t="s">
        <v>264</v>
      </c>
      <c r="E322" s="10" t="s">
        <v>1431</v>
      </c>
      <c r="F322" s="10"/>
      <c r="G322" s="10"/>
      <c r="H322" s="10"/>
      <c r="I322" s="10" t="s">
        <v>2064</v>
      </c>
      <c r="J322" s="10"/>
      <c r="K322" s="31">
        <v>0</v>
      </c>
      <c r="L322" s="10" t="s">
        <v>1433</v>
      </c>
      <c r="M322" s="10" t="s">
        <v>2065</v>
      </c>
      <c r="N322" s="10" t="s">
        <v>3041</v>
      </c>
      <c r="O322" s="10"/>
    </row>
    <row r="323" spans="1:15" x14ac:dyDescent="0.3">
      <c r="A323" s="10" t="s">
        <v>1867</v>
      </c>
      <c r="B323" s="10" t="s">
        <v>3042</v>
      </c>
      <c r="C323" s="10" t="s">
        <v>3043</v>
      </c>
      <c r="D323" s="10" t="s">
        <v>247</v>
      </c>
      <c r="E323" s="10" t="s">
        <v>1431</v>
      </c>
      <c r="F323" s="10" t="s">
        <v>684</v>
      </c>
      <c r="G323" s="10" t="s">
        <v>684</v>
      </c>
      <c r="H323" s="10" t="s">
        <v>123</v>
      </c>
      <c r="I323" s="10" t="s">
        <v>194</v>
      </c>
      <c r="J323" s="10" t="s">
        <v>348</v>
      </c>
      <c r="K323" s="31">
        <v>52800</v>
      </c>
      <c r="L323" s="10" t="s">
        <v>1431</v>
      </c>
      <c r="M323" s="10"/>
      <c r="N323" s="10" t="s">
        <v>3044</v>
      </c>
      <c r="O323" s="10"/>
    </row>
    <row r="324" spans="1:15" x14ac:dyDescent="0.3">
      <c r="A324" s="10" t="s">
        <v>1868</v>
      </c>
      <c r="B324" s="10" t="s">
        <v>3045</v>
      </c>
      <c r="C324" s="10" t="s">
        <v>3046</v>
      </c>
      <c r="D324" s="10" t="s">
        <v>247</v>
      </c>
      <c r="E324" s="10" t="s">
        <v>1431</v>
      </c>
      <c r="F324" s="10" t="s">
        <v>378</v>
      </c>
      <c r="G324" s="10" t="s">
        <v>378</v>
      </c>
      <c r="H324" s="10" t="s">
        <v>123</v>
      </c>
      <c r="I324" s="10" t="s">
        <v>189</v>
      </c>
      <c r="J324" s="10" t="s">
        <v>348</v>
      </c>
      <c r="K324" s="31">
        <v>54000</v>
      </c>
      <c r="L324" s="10" t="s">
        <v>1431</v>
      </c>
      <c r="M324" s="10"/>
      <c r="N324" s="10" t="s">
        <v>3047</v>
      </c>
      <c r="O324" s="10"/>
    </row>
    <row r="325" spans="1:15" x14ac:dyDescent="0.3">
      <c r="A325" s="10" t="s">
        <v>1868</v>
      </c>
      <c r="B325" s="10" t="s">
        <v>3048</v>
      </c>
      <c r="C325" s="10" t="s">
        <v>3049</v>
      </c>
      <c r="D325" s="10" t="s">
        <v>259</v>
      </c>
      <c r="E325" s="10" t="s">
        <v>1431</v>
      </c>
      <c r="F325" s="10" t="s">
        <v>3050</v>
      </c>
      <c r="G325" s="10" t="s">
        <v>509</v>
      </c>
      <c r="H325" s="10" t="s">
        <v>123</v>
      </c>
      <c r="I325" s="10" t="s">
        <v>189</v>
      </c>
      <c r="J325" s="10" t="s">
        <v>348</v>
      </c>
      <c r="K325" s="31">
        <v>71400</v>
      </c>
      <c r="L325" s="10" t="s">
        <v>1431</v>
      </c>
      <c r="M325" s="10"/>
      <c r="N325" s="10" t="s">
        <v>3051</v>
      </c>
      <c r="O325" s="10"/>
    </row>
    <row r="326" spans="1:15" x14ac:dyDescent="0.3">
      <c r="A326" s="10" t="s">
        <v>1869</v>
      </c>
      <c r="B326" s="10" t="s">
        <v>3052</v>
      </c>
      <c r="C326" s="10" t="s">
        <v>3053</v>
      </c>
      <c r="D326" s="10" t="s">
        <v>247</v>
      </c>
      <c r="E326" s="10" t="s">
        <v>1431</v>
      </c>
      <c r="F326" s="10" t="s">
        <v>3054</v>
      </c>
      <c r="G326" s="10" t="s">
        <v>683</v>
      </c>
      <c r="H326" s="10" t="s">
        <v>123</v>
      </c>
      <c r="I326" s="10" t="s">
        <v>190</v>
      </c>
      <c r="J326" s="10" t="s">
        <v>348</v>
      </c>
      <c r="K326" s="31">
        <v>30000</v>
      </c>
      <c r="L326" s="10" t="s">
        <v>1431</v>
      </c>
      <c r="M326" s="10"/>
      <c r="N326" s="10" t="s">
        <v>3055</v>
      </c>
      <c r="O326" s="10"/>
    </row>
    <row r="327" spans="1:15" x14ac:dyDescent="0.3">
      <c r="A327" s="10" t="s">
        <v>1870</v>
      </c>
      <c r="B327" s="10" t="s">
        <v>3056</v>
      </c>
      <c r="C327" s="10" t="s">
        <v>3057</v>
      </c>
      <c r="D327" s="10" t="s">
        <v>247</v>
      </c>
      <c r="E327" s="10" t="s">
        <v>1431</v>
      </c>
      <c r="F327" s="10" t="s">
        <v>657</v>
      </c>
      <c r="G327" s="10" t="s">
        <v>657</v>
      </c>
      <c r="H327" s="10" t="s">
        <v>123</v>
      </c>
      <c r="I327" s="10" t="s">
        <v>198</v>
      </c>
      <c r="J327" s="10" t="s">
        <v>348</v>
      </c>
      <c r="K327" s="31">
        <v>24000</v>
      </c>
      <c r="L327" s="10" t="s">
        <v>1431</v>
      </c>
      <c r="M327" s="10"/>
      <c r="N327" s="10" t="s">
        <v>3058</v>
      </c>
      <c r="O327" s="10" t="s">
        <v>2019</v>
      </c>
    </row>
    <row r="328" spans="1:15" x14ac:dyDescent="0.3">
      <c r="A328" s="10" t="s">
        <v>1870</v>
      </c>
      <c r="B328" s="10" t="s">
        <v>3059</v>
      </c>
      <c r="C328" s="10" t="s">
        <v>3060</v>
      </c>
      <c r="D328" s="10" t="s">
        <v>264</v>
      </c>
      <c r="E328" s="10" t="s">
        <v>1431</v>
      </c>
      <c r="F328" s="10" t="s">
        <v>3061</v>
      </c>
      <c r="G328" s="10" t="s">
        <v>430</v>
      </c>
      <c r="H328" s="10" t="s">
        <v>123</v>
      </c>
      <c r="I328" s="10" t="s">
        <v>203</v>
      </c>
      <c r="J328" s="10" t="s">
        <v>348</v>
      </c>
      <c r="K328" s="31">
        <v>78840</v>
      </c>
      <c r="L328" s="10" t="s">
        <v>1431</v>
      </c>
      <c r="M328" s="10"/>
      <c r="N328" s="10" t="s">
        <v>3062</v>
      </c>
      <c r="O328" s="10" t="s">
        <v>2019</v>
      </c>
    </row>
    <row r="329" spans="1:15" x14ac:dyDescent="0.3">
      <c r="A329" s="10" t="s">
        <v>1871</v>
      </c>
      <c r="B329" s="10" t="s">
        <v>3063</v>
      </c>
      <c r="C329" s="10" t="s">
        <v>3064</v>
      </c>
      <c r="D329" s="10" t="s">
        <v>247</v>
      </c>
      <c r="E329" s="10" t="s">
        <v>1431</v>
      </c>
      <c r="F329" s="10" t="s">
        <v>3065</v>
      </c>
      <c r="G329" s="10" t="s">
        <v>379</v>
      </c>
      <c r="H329" s="10" t="s">
        <v>123</v>
      </c>
      <c r="I329" s="10" t="s">
        <v>200</v>
      </c>
      <c r="J329" s="10" t="s">
        <v>294</v>
      </c>
      <c r="K329" s="31">
        <v>48000</v>
      </c>
      <c r="L329" s="10" t="s">
        <v>1431</v>
      </c>
      <c r="M329" s="10"/>
      <c r="N329" s="10" t="s">
        <v>3066</v>
      </c>
      <c r="O329" s="10"/>
    </row>
    <row r="330" spans="1:15" x14ac:dyDescent="0.3">
      <c r="A330" s="10" t="s">
        <v>1871</v>
      </c>
      <c r="B330" s="10" t="s">
        <v>3067</v>
      </c>
      <c r="C330" s="10" t="s">
        <v>3068</v>
      </c>
      <c r="D330" s="10" t="s">
        <v>259</v>
      </c>
      <c r="E330" s="10" t="s">
        <v>1431</v>
      </c>
      <c r="F330" s="10" t="s">
        <v>3065</v>
      </c>
      <c r="G330" s="10" t="s">
        <v>379</v>
      </c>
      <c r="H330" s="10" t="s">
        <v>123</v>
      </c>
      <c r="I330" s="10" t="s">
        <v>200</v>
      </c>
      <c r="J330" s="10" t="s">
        <v>294</v>
      </c>
      <c r="K330" s="31">
        <v>46200</v>
      </c>
      <c r="L330" s="10" t="s">
        <v>1433</v>
      </c>
      <c r="M330" s="10" t="s">
        <v>2092</v>
      </c>
      <c r="N330" s="10" t="s">
        <v>3069</v>
      </c>
      <c r="O330" s="10" t="s">
        <v>2052</v>
      </c>
    </row>
    <row r="331" spans="1:15" x14ac:dyDescent="0.3">
      <c r="A331" s="10" t="s">
        <v>1871</v>
      </c>
      <c r="B331" s="10" t="s">
        <v>3070</v>
      </c>
      <c r="C331" s="10" t="s">
        <v>3071</v>
      </c>
      <c r="D331" s="10" t="s">
        <v>259</v>
      </c>
      <c r="E331" s="10" t="s">
        <v>1431</v>
      </c>
      <c r="F331" s="10" t="s">
        <v>3065</v>
      </c>
      <c r="G331" s="10" t="s">
        <v>379</v>
      </c>
      <c r="H331" s="10" t="s">
        <v>123</v>
      </c>
      <c r="I331" s="10" t="s">
        <v>200</v>
      </c>
      <c r="J331" s="10" t="s">
        <v>294</v>
      </c>
      <c r="K331" s="31">
        <v>46200</v>
      </c>
      <c r="L331" s="10" t="s">
        <v>1431</v>
      </c>
      <c r="M331" s="10"/>
      <c r="N331" s="10" t="s">
        <v>3069</v>
      </c>
      <c r="O331" s="10" t="s">
        <v>2052</v>
      </c>
    </row>
    <row r="332" spans="1:15" x14ac:dyDescent="0.3">
      <c r="A332" s="10" t="s">
        <v>1872</v>
      </c>
      <c r="B332" s="10" t="s">
        <v>3072</v>
      </c>
      <c r="C332" s="10" t="s">
        <v>3073</v>
      </c>
      <c r="D332" s="10" t="s">
        <v>247</v>
      </c>
      <c r="E332" s="10" t="s">
        <v>1431</v>
      </c>
      <c r="F332" s="10" t="s">
        <v>3074</v>
      </c>
      <c r="G332" s="10" t="s">
        <v>355</v>
      </c>
      <c r="H332" s="10" t="s">
        <v>123</v>
      </c>
      <c r="I332" s="10" t="s">
        <v>191</v>
      </c>
      <c r="J332" s="10" t="s">
        <v>348</v>
      </c>
      <c r="K332" s="31">
        <v>64536</v>
      </c>
      <c r="L332" s="10" t="s">
        <v>1431</v>
      </c>
      <c r="M332" s="10"/>
      <c r="N332" s="10" t="s">
        <v>3075</v>
      </c>
      <c r="O332" s="10"/>
    </row>
    <row r="333" spans="1:15" x14ac:dyDescent="0.3">
      <c r="A333" s="10" t="s">
        <v>1873</v>
      </c>
      <c r="B333" s="10" t="s">
        <v>3076</v>
      </c>
      <c r="C333" s="10" t="s">
        <v>3077</v>
      </c>
      <c r="D333" s="10" t="s">
        <v>247</v>
      </c>
      <c r="E333" s="10" t="s">
        <v>1431</v>
      </c>
      <c r="F333" s="10" t="s">
        <v>619</v>
      </c>
      <c r="G333" s="10" t="s">
        <v>619</v>
      </c>
      <c r="H333" s="10" t="s">
        <v>123</v>
      </c>
      <c r="I333" s="10" t="s">
        <v>191</v>
      </c>
      <c r="J333" s="10" t="s">
        <v>348</v>
      </c>
      <c r="K333" s="31">
        <v>75324</v>
      </c>
      <c r="L333" s="10" t="s">
        <v>1431</v>
      </c>
      <c r="M333" s="10"/>
      <c r="N333" s="10" t="s">
        <v>3078</v>
      </c>
      <c r="O333" s="10" t="s">
        <v>2052</v>
      </c>
    </row>
    <row r="334" spans="1:15" x14ac:dyDescent="0.3">
      <c r="A334" s="10" t="s">
        <v>1873</v>
      </c>
      <c r="B334" s="10" t="s">
        <v>3079</v>
      </c>
      <c r="C334" s="10" t="s">
        <v>3080</v>
      </c>
      <c r="D334" s="10" t="s">
        <v>259</v>
      </c>
      <c r="E334" s="10" t="s">
        <v>1431</v>
      </c>
      <c r="F334" s="10" t="s">
        <v>591</v>
      </c>
      <c r="G334" s="10" t="s">
        <v>591</v>
      </c>
      <c r="H334" s="10" t="s">
        <v>123</v>
      </c>
      <c r="I334" s="10" t="s">
        <v>190</v>
      </c>
      <c r="J334" s="10" t="s">
        <v>348</v>
      </c>
      <c r="K334" s="31">
        <v>38544</v>
      </c>
      <c r="L334" s="10" t="s">
        <v>1431</v>
      </c>
      <c r="M334" s="10"/>
      <c r="N334" s="10" t="s">
        <v>3081</v>
      </c>
      <c r="O334" s="10"/>
    </row>
    <row r="335" spans="1:15" x14ac:dyDescent="0.3">
      <c r="A335" s="10" t="s">
        <v>1874</v>
      </c>
      <c r="B335" s="10" t="s">
        <v>3082</v>
      </c>
      <c r="C335" s="10" t="s">
        <v>3083</v>
      </c>
      <c r="D335" s="10" t="s">
        <v>247</v>
      </c>
      <c r="E335" s="10" t="s">
        <v>1431</v>
      </c>
      <c r="F335" s="10" t="s">
        <v>386</v>
      </c>
      <c r="G335" s="10" t="s">
        <v>386</v>
      </c>
      <c r="H335" s="10" t="s">
        <v>123</v>
      </c>
      <c r="I335" s="10" t="s">
        <v>197</v>
      </c>
      <c r="J335" s="10" t="s">
        <v>348</v>
      </c>
      <c r="K335" s="31">
        <v>84996</v>
      </c>
      <c r="L335" s="10" t="s">
        <v>1431</v>
      </c>
      <c r="M335" s="10"/>
      <c r="N335" s="10" t="s">
        <v>3084</v>
      </c>
      <c r="O335" s="10"/>
    </row>
    <row r="336" spans="1:15" x14ac:dyDescent="0.3">
      <c r="A336" s="10" t="s">
        <v>1874</v>
      </c>
      <c r="B336" s="10" t="s">
        <v>3085</v>
      </c>
      <c r="C336" s="10" t="s">
        <v>3086</v>
      </c>
      <c r="D336" s="10" t="s">
        <v>259</v>
      </c>
      <c r="E336" s="10" t="s">
        <v>1431</v>
      </c>
      <c r="F336" s="10"/>
      <c r="G336" s="10"/>
      <c r="H336" s="10"/>
      <c r="I336" s="10" t="s">
        <v>2064</v>
      </c>
      <c r="J336" s="10"/>
      <c r="K336" s="31">
        <v>0</v>
      </c>
      <c r="L336" s="10" t="s">
        <v>1433</v>
      </c>
      <c r="M336" s="10" t="s">
        <v>2065</v>
      </c>
      <c r="N336" s="10"/>
      <c r="O336" s="10"/>
    </row>
    <row r="337" spans="1:15" x14ac:dyDescent="0.3">
      <c r="A337" s="10" t="s">
        <v>1874</v>
      </c>
      <c r="B337" s="10" t="s">
        <v>3087</v>
      </c>
      <c r="C337" s="10" t="s">
        <v>3088</v>
      </c>
      <c r="D337" s="10" t="s">
        <v>2079</v>
      </c>
      <c r="E337" s="10" t="s">
        <v>1431</v>
      </c>
      <c r="F337" s="10"/>
      <c r="G337" s="10"/>
      <c r="H337" s="10"/>
      <c r="I337" s="10" t="s">
        <v>2064</v>
      </c>
      <c r="J337" s="10"/>
      <c r="K337" s="31">
        <v>0</v>
      </c>
      <c r="L337" s="10" t="s">
        <v>1433</v>
      </c>
      <c r="M337" s="10" t="s">
        <v>2065</v>
      </c>
      <c r="N337" s="10"/>
      <c r="O337" s="10"/>
    </row>
    <row r="338" spans="1:15" x14ac:dyDescent="0.3">
      <c r="A338" s="10" t="s">
        <v>1875</v>
      </c>
      <c r="B338" s="10" t="s">
        <v>3089</v>
      </c>
      <c r="C338" s="10" t="s">
        <v>3090</v>
      </c>
      <c r="D338" s="10" t="s">
        <v>247</v>
      </c>
      <c r="E338" s="10" t="s">
        <v>1431</v>
      </c>
      <c r="F338" s="10" t="s">
        <v>3091</v>
      </c>
      <c r="G338" s="10" t="s">
        <v>347</v>
      </c>
      <c r="H338" s="10" t="s">
        <v>121</v>
      </c>
      <c r="I338" s="10" t="s">
        <v>188</v>
      </c>
      <c r="J338" s="10" t="s">
        <v>348</v>
      </c>
      <c r="K338" s="31">
        <v>60000</v>
      </c>
      <c r="L338" s="10" t="s">
        <v>1431</v>
      </c>
      <c r="M338" s="10"/>
      <c r="N338" s="10" t="s">
        <v>3092</v>
      </c>
      <c r="O338" s="10"/>
    </row>
    <row r="339" spans="1:15" x14ac:dyDescent="0.3">
      <c r="A339" s="10" t="s">
        <v>1875</v>
      </c>
      <c r="B339" s="10" t="s">
        <v>3093</v>
      </c>
      <c r="C339" s="10" t="s">
        <v>3094</v>
      </c>
      <c r="D339" s="10" t="s">
        <v>264</v>
      </c>
      <c r="E339" s="10" t="s">
        <v>1431</v>
      </c>
      <c r="F339" s="10" t="s">
        <v>689</v>
      </c>
      <c r="G339" s="10" t="s">
        <v>689</v>
      </c>
      <c r="H339" s="10" t="s">
        <v>123</v>
      </c>
      <c r="I339" s="10" t="s">
        <v>191</v>
      </c>
      <c r="J339" s="10" t="s">
        <v>348</v>
      </c>
      <c r="K339" s="31">
        <v>13200</v>
      </c>
      <c r="L339" s="10" t="s">
        <v>1431</v>
      </c>
      <c r="M339" s="10"/>
      <c r="N339" s="10" t="s">
        <v>3095</v>
      </c>
      <c r="O339" s="10" t="s">
        <v>2052</v>
      </c>
    </row>
    <row r="340" spans="1:15" x14ac:dyDescent="0.3">
      <c r="A340" s="10" t="s">
        <v>1876</v>
      </c>
      <c r="B340" s="10" t="s">
        <v>3096</v>
      </c>
      <c r="C340" s="10" t="s">
        <v>3097</v>
      </c>
      <c r="D340" s="10" t="s">
        <v>247</v>
      </c>
      <c r="E340" s="10" t="s">
        <v>1431</v>
      </c>
      <c r="F340" s="10" t="s">
        <v>772</v>
      </c>
      <c r="G340" s="10" t="s">
        <v>772</v>
      </c>
      <c r="H340" s="10"/>
      <c r="I340" s="10" t="s">
        <v>769</v>
      </c>
      <c r="J340" s="10" t="s">
        <v>348</v>
      </c>
      <c r="K340" s="31">
        <v>0</v>
      </c>
      <c r="L340" s="10" t="s">
        <v>1433</v>
      </c>
      <c r="M340" s="10" t="s">
        <v>2065</v>
      </c>
      <c r="N340" s="10" t="s">
        <v>3098</v>
      </c>
      <c r="O340" s="10" t="s">
        <v>2052</v>
      </c>
    </row>
    <row r="341" spans="1:15" x14ac:dyDescent="0.3">
      <c r="A341" s="10" t="s">
        <v>1876</v>
      </c>
      <c r="B341" s="10" t="s">
        <v>3099</v>
      </c>
      <c r="C341" s="10" t="s">
        <v>3100</v>
      </c>
      <c r="D341" s="10" t="s">
        <v>251</v>
      </c>
      <c r="E341" s="10" t="s">
        <v>1433</v>
      </c>
      <c r="F341" s="10"/>
      <c r="G341" s="10"/>
      <c r="H341" s="10"/>
      <c r="I341" s="10" t="s">
        <v>2064</v>
      </c>
      <c r="J341" s="10"/>
      <c r="K341" s="31">
        <v>1392000</v>
      </c>
      <c r="L341" s="10" t="s">
        <v>1433</v>
      </c>
      <c r="M341" s="10" t="s">
        <v>2138</v>
      </c>
      <c r="N341" s="10" t="s">
        <v>3101</v>
      </c>
      <c r="O341" s="10" t="s">
        <v>2019</v>
      </c>
    </row>
    <row r="342" spans="1:15" x14ac:dyDescent="0.3">
      <c r="A342" s="10" t="s">
        <v>1877</v>
      </c>
      <c r="B342" s="10" t="s">
        <v>3102</v>
      </c>
      <c r="C342" s="10" t="s">
        <v>3103</v>
      </c>
      <c r="D342" s="10" t="s">
        <v>247</v>
      </c>
      <c r="E342" s="10" t="s">
        <v>1431</v>
      </c>
      <c r="F342" s="10" t="s">
        <v>678</v>
      </c>
      <c r="G342" s="10" t="s">
        <v>678</v>
      </c>
      <c r="H342" s="10" t="s">
        <v>123</v>
      </c>
      <c r="I342" s="10" t="s">
        <v>193</v>
      </c>
      <c r="J342" s="10" t="s">
        <v>348</v>
      </c>
      <c r="K342" s="31">
        <v>72156</v>
      </c>
      <c r="L342" s="10" t="s">
        <v>1431</v>
      </c>
      <c r="M342" s="10"/>
      <c r="N342" s="10" t="s">
        <v>3104</v>
      </c>
      <c r="O342" s="10"/>
    </row>
    <row r="343" spans="1:15" x14ac:dyDescent="0.3">
      <c r="A343" s="10" t="s">
        <v>1878</v>
      </c>
      <c r="B343" s="10" t="s">
        <v>3105</v>
      </c>
      <c r="C343" s="10" t="s">
        <v>3106</v>
      </c>
      <c r="D343" s="10" t="s">
        <v>247</v>
      </c>
      <c r="E343" s="10" t="s">
        <v>1431</v>
      </c>
      <c r="F343" s="10" t="s">
        <v>552</v>
      </c>
      <c r="G343" s="10" t="s">
        <v>552</v>
      </c>
      <c r="H343" s="10" t="s">
        <v>123</v>
      </c>
      <c r="I343" s="10" t="s">
        <v>197</v>
      </c>
      <c r="J343" s="10" t="s">
        <v>348</v>
      </c>
      <c r="K343" s="31">
        <v>41760</v>
      </c>
      <c r="L343" s="10" t="s">
        <v>1431</v>
      </c>
      <c r="M343" s="10"/>
      <c r="N343" s="10" t="s">
        <v>3107</v>
      </c>
      <c r="O343" s="10"/>
    </row>
    <row r="344" spans="1:15" x14ac:dyDescent="0.3">
      <c r="A344" s="10" t="s">
        <v>1878</v>
      </c>
      <c r="B344" s="10" t="s">
        <v>3108</v>
      </c>
      <c r="C344" s="10" t="s">
        <v>3109</v>
      </c>
      <c r="D344" s="10" t="s">
        <v>259</v>
      </c>
      <c r="E344" s="10" t="s">
        <v>1431</v>
      </c>
      <c r="F344" s="10" t="s">
        <v>3110</v>
      </c>
      <c r="G344" s="10" t="s">
        <v>355</v>
      </c>
      <c r="H344" s="10" t="s">
        <v>123</v>
      </c>
      <c r="I344" s="10" t="s">
        <v>191</v>
      </c>
      <c r="J344" s="10" t="s">
        <v>348</v>
      </c>
      <c r="K344" s="31">
        <v>41280</v>
      </c>
      <c r="L344" s="10" t="s">
        <v>1433</v>
      </c>
      <c r="M344" s="10" t="s">
        <v>2092</v>
      </c>
      <c r="N344" s="10" t="s">
        <v>3111</v>
      </c>
      <c r="O344" s="10" t="s">
        <v>2052</v>
      </c>
    </row>
    <row r="345" spans="1:15" x14ac:dyDescent="0.3">
      <c r="A345" s="10" t="s">
        <v>1878</v>
      </c>
      <c r="B345" s="10" t="s">
        <v>3112</v>
      </c>
      <c r="C345" s="10" t="s">
        <v>3113</v>
      </c>
      <c r="D345" s="10" t="s">
        <v>259</v>
      </c>
      <c r="E345" s="10" t="s">
        <v>1431</v>
      </c>
      <c r="F345" s="10" t="s">
        <v>3110</v>
      </c>
      <c r="G345" s="10" t="s">
        <v>355</v>
      </c>
      <c r="H345" s="10" t="s">
        <v>123</v>
      </c>
      <c r="I345" s="10" t="s">
        <v>191</v>
      </c>
      <c r="J345" s="10" t="s">
        <v>348</v>
      </c>
      <c r="K345" s="31">
        <v>41280</v>
      </c>
      <c r="L345" s="10" t="s">
        <v>1433</v>
      </c>
      <c r="M345" s="10" t="s">
        <v>2092</v>
      </c>
      <c r="N345" s="10" t="s">
        <v>3111</v>
      </c>
      <c r="O345" s="10" t="s">
        <v>2052</v>
      </c>
    </row>
    <row r="346" spans="1:15" x14ac:dyDescent="0.3">
      <c r="A346" s="10" t="s">
        <v>1878</v>
      </c>
      <c r="B346" s="10" t="s">
        <v>3114</v>
      </c>
      <c r="C346" s="10" t="s">
        <v>3115</v>
      </c>
      <c r="D346" s="10" t="s">
        <v>259</v>
      </c>
      <c r="E346" s="10" t="s">
        <v>1431</v>
      </c>
      <c r="F346" s="10" t="s">
        <v>3110</v>
      </c>
      <c r="G346" s="10" t="s">
        <v>355</v>
      </c>
      <c r="H346" s="10" t="s">
        <v>123</v>
      </c>
      <c r="I346" s="10" t="s">
        <v>191</v>
      </c>
      <c r="J346" s="10" t="s">
        <v>348</v>
      </c>
      <c r="K346" s="31">
        <v>41280</v>
      </c>
      <c r="L346" s="10" t="s">
        <v>1431</v>
      </c>
      <c r="M346" s="10"/>
      <c r="N346" s="10" t="s">
        <v>3111</v>
      </c>
      <c r="O346" s="10" t="s">
        <v>2052</v>
      </c>
    </row>
    <row r="347" spans="1:15" x14ac:dyDescent="0.3">
      <c r="A347" s="10" t="s">
        <v>300</v>
      </c>
      <c r="B347" s="10" t="s">
        <v>3116</v>
      </c>
      <c r="C347" s="10" t="s">
        <v>3117</v>
      </c>
      <c r="D347" s="10" t="s">
        <v>247</v>
      </c>
      <c r="E347" s="10" t="s">
        <v>1431</v>
      </c>
      <c r="F347" s="10" t="s">
        <v>3118</v>
      </c>
      <c r="G347" s="10" t="s">
        <v>299</v>
      </c>
      <c r="H347" s="10" t="s">
        <v>119</v>
      </c>
      <c r="I347" s="10" t="s">
        <v>187</v>
      </c>
      <c r="J347" s="10" t="s">
        <v>273</v>
      </c>
      <c r="K347" s="31">
        <v>60000</v>
      </c>
      <c r="L347" s="10" t="s">
        <v>1431</v>
      </c>
      <c r="M347" s="10"/>
      <c r="N347" s="10" t="s">
        <v>3119</v>
      </c>
      <c r="O347" s="10"/>
    </row>
    <row r="348" spans="1:15" x14ac:dyDescent="0.3">
      <c r="A348" s="10" t="s">
        <v>300</v>
      </c>
      <c r="B348" s="10" t="s">
        <v>3120</v>
      </c>
      <c r="C348" s="10" t="s">
        <v>3121</v>
      </c>
      <c r="D348" s="10" t="s">
        <v>259</v>
      </c>
      <c r="E348" s="10" t="s">
        <v>1431</v>
      </c>
      <c r="F348" s="10" t="s">
        <v>3122</v>
      </c>
      <c r="G348" s="10" t="s">
        <v>299</v>
      </c>
      <c r="H348" s="10" t="s">
        <v>119</v>
      </c>
      <c r="I348" s="10" t="s">
        <v>187</v>
      </c>
      <c r="J348" s="10" t="s">
        <v>273</v>
      </c>
      <c r="K348" s="31">
        <v>45600</v>
      </c>
      <c r="L348" s="10" t="s">
        <v>1431</v>
      </c>
      <c r="M348" s="10"/>
      <c r="N348" s="10" t="s">
        <v>3123</v>
      </c>
      <c r="O348" s="10"/>
    </row>
    <row r="349" spans="1:15" x14ac:dyDescent="0.3">
      <c r="A349" s="10" t="s">
        <v>1879</v>
      </c>
      <c r="B349" s="10" t="s">
        <v>3124</v>
      </c>
      <c r="C349" s="10" t="s">
        <v>3125</v>
      </c>
      <c r="D349" s="10" t="s">
        <v>247</v>
      </c>
      <c r="E349" s="10" t="s">
        <v>1431</v>
      </c>
      <c r="F349" s="10" t="s">
        <v>505</v>
      </c>
      <c r="G349" s="10" t="s">
        <v>505</v>
      </c>
      <c r="H349" s="10" t="s">
        <v>123</v>
      </c>
      <c r="I349" s="10" t="s">
        <v>191</v>
      </c>
      <c r="J349" s="10" t="s">
        <v>348</v>
      </c>
      <c r="K349" s="31">
        <v>29460</v>
      </c>
      <c r="L349" s="10" t="s">
        <v>1431</v>
      </c>
      <c r="M349" s="10"/>
      <c r="N349" s="10" t="s">
        <v>3126</v>
      </c>
      <c r="O349" s="10" t="s">
        <v>2019</v>
      </c>
    </row>
    <row r="350" spans="1:15" x14ac:dyDescent="0.3">
      <c r="A350" s="10" t="s">
        <v>1879</v>
      </c>
      <c r="B350" s="10" t="s">
        <v>3127</v>
      </c>
      <c r="C350" s="10" t="s">
        <v>3128</v>
      </c>
      <c r="D350" s="10" t="s">
        <v>264</v>
      </c>
      <c r="E350" s="10" t="s">
        <v>1431</v>
      </c>
      <c r="F350" s="10" t="s">
        <v>3129</v>
      </c>
      <c r="G350" s="10" t="s">
        <v>405</v>
      </c>
      <c r="H350" s="10" t="s">
        <v>123</v>
      </c>
      <c r="I350" s="10" t="s">
        <v>197</v>
      </c>
      <c r="J350" s="10" t="s">
        <v>348</v>
      </c>
      <c r="K350" s="31">
        <v>73800</v>
      </c>
      <c r="L350" s="10" t="s">
        <v>1431</v>
      </c>
      <c r="M350" s="10"/>
      <c r="N350" s="10" t="s">
        <v>3130</v>
      </c>
      <c r="O350" s="10" t="s">
        <v>2019</v>
      </c>
    </row>
    <row r="351" spans="1:15" x14ac:dyDescent="0.3">
      <c r="A351" s="10" t="s">
        <v>1880</v>
      </c>
      <c r="B351" s="10" t="s">
        <v>3131</v>
      </c>
      <c r="C351" s="10" t="s">
        <v>3132</v>
      </c>
      <c r="D351" s="10" t="s">
        <v>247</v>
      </c>
      <c r="E351" s="10" t="s">
        <v>1431</v>
      </c>
      <c r="F351" s="10" t="s">
        <v>545</v>
      </c>
      <c r="G351" s="10" t="s">
        <v>545</v>
      </c>
      <c r="H351" s="10" t="s">
        <v>123</v>
      </c>
      <c r="I351" s="10" t="s">
        <v>192</v>
      </c>
      <c r="J351" s="10" t="s">
        <v>348</v>
      </c>
      <c r="K351" s="31">
        <v>51768</v>
      </c>
      <c r="L351" s="10" t="s">
        <v>1431</v>
      </c>
      <c r="M351" s="10"/>
      <c r="N351" s="10" t="s">
        <v>3133</v>
      </c>
      <c r="O351" s="10" t="s">
        <v>2052</v>
      </c>
    </row>
    <row r="352" spans="1:15" x14ac:dyDescent="0.3">
      <c r="A352" s="10" t="s">
        <v>1880</v>
      </c>
      <c r="B352" s="10" t="s">
        <v>3134</v>
      </c>
      <c r="C352" s="10" t="s">
        <v>3135</v>
      </c>
      <c r="D352" s="10" t="s">
        <v>259</v>
      </c>
      <c r="E352" s="10" t="s">
        <v>1431</v>
      </c>
      <c r="F352" s="10" t="s">
        <v>735</v>
      </c>
      <c r="G352" s="10" t="s">
        <v>735</v>
      </c>
      <c r="H352" s="10" t="s">
        <v>123</v>
      </c>
      <c r="I352" s="10" t="s">
        <v>195</v>
      </c>
      <c r="J352" s="10" t="s">
        <v>348</v>
      </c>
      <c r="K352" s="31">
        <v>82596</v>
      </c>
      <c r="L352" s="10" t="s">
        <v>1431</v>
      </c>
      <c r="M352" s="10"/>
      <c r="N352" s="10" t="s">
        <v>3136</v>
      </c>
      <c r="O352" s="10"/>
    </row>
    <row r="353" spans="1:15" x14ac:dyDescent="0.3">
      <c r="A353" s="10" t="s">
        <v>1881</v>
      </c>
      <c r="B353" s="10" t="s">
        <v>3137</v>
      </c>
      <c r="C353" s="10" t="s">
        <v>3138</v>
      </c>
      <c r="D353" s="10" t="s">
        <v>247</v>
      </c>
      <c r="E353" s="10" t="s">
        <v>1431</v>
      </c>
      <c r="F353" s="10" t="s">
        <v>3013</v>
      </c>
      <c r="G353" s="10" t="s">
        <v>360</v>
      </c>
      <c r="H353" s="10" t="s">
        <v>123</v>
      </c>
      <c r="I353" s="10" t="s">
        <v>191</v>
      </c>
      <c r="J353" s="10" t="s">
        <v>348</v>
      </c>
      <c r="K353" s="31">
        <v>0</v>
      </c>
      <c r="L353" s="10" t="s">
        <v>1433</v>
      </c>
      <c r="M353" s="10" t="s">
        <v>2065</v>
      </c>
      <c r="N353" s="10" t="s">
        <v>3139</v>
      </c>
      <c r="O353" s="10" t="s">
        <v>2052</v>
      </c>
    </row>
    <row r="354" spans="1:15" x14ac:dyDescent="0.3">
      <c r="A354" s="10" t="s">
        <v>1881</v>
      </c>
      <c r="B354" s="10" t="s">
        <v>3140</v>
      </c>
      <c r="C354" s="10" t="s">
        <v>3141</v>
      </c>
      <c r="D354" s="10" t="s">
        <v>259</v>
      </c>
      <c r="E354" s="10" t="s">
        <v>1431</v>
      </c>
      <c r="F354" s="10" t="s">
        <v>3013</v>
      </c>
      <c r="G354" s="10" t="s">
        <v>360</v>
      </c>
      <c r="H354" s="10" t="s">
        <v>123</v>
      </c>
      <c r="I354" s="10" t="s">
        <v>191</v>
      </c>
      <c r="J354" s="10" t="s">
        <v>348</v>
      </c>
      <c r="K354" s="31">
        <v>0</v>
      </c>
      <c r="L354" s="10" t="s">
        <v>1433</v>
      </c>
      <c r="M354" s="10" t="s">
        <v>2065</v>
      </c>
      <c r="N354" s="10" t="s">
        <v>3142</v>
      </c>
      <c r="O354" s="10" t="s">
        <v>2052</v>
      </c>
    </row>
    <row r="355" spans="1:15" x14ac:dyDescent="0.3">
      <c r="A355" s="10" t="s">
        <v>1881</v>
      </c>
      <c r="B355" s="10" t="s">
        <v>3143</v>
      </c>
      <c r="C355" s="10" t="s">
        <v>3144</v>
      </c>
      <c r="D355" s="10" t="s">
        <v>251</v>
      </c>
      <c r="E355" s="10" t="s">
        <v>1433</v>
      </c>
      <c r="F355" s="10" t="s">
        <v>3013</v>
      </c>
      <c r="G355" s="10" t="s">
        <v>360</v>
      </c>
      <c r="H355" s="10" t="s">
        <v>123</v>
      </c>
      <c r="I355" s="10" t="s">
        <v>191</v>
      </c>
      <c r="J355" s="10" t="s">
        <v>348</v>
      </c>
      <c r="K355" s="31">
        <v>0</v>
      </c>
      <c r="L355" s="10" t="s">
        <v>1433</v>
      </c>
      <c r="M355" s="10" t="s">
        <v>2138</v>
      </c>
      <c r="N355" s="10" t="s">
        <v>3142</v>
      </c>
      <c r="O355" s="10" t="s">
        <v>2052</v>
      </c>
    </row>
    <row r="356" spans="1:15" x14ac:dyDescent="0.3">
      <c r="A356" s="10" t="s">
        <v>267</v>
      </c>
      <c r="B356" s="10" t="s">
        <v>3145</v>
      </c>
      <c r="C356" s="10" t="s">
        <v>3146</v>
      </c>
      <c r="D356" s="10" t="s">
        <v>247</v>
      </c>
      <c r="E356" s="10" t="s">
        <v>1431</v>
      </c>
      <c r="F356" s="10" t="s">
        <v>3147</v>
      </c>
      <c r="G356" s="10" t="s">
        <v>266</v>
      </c>
      <c r="H356" s="10" t="s">
        <v>115</v>
      </c>
      <c r="I356" s="10" t="s">
        <v>185</v>
      </c>
      <c r="J356" s="10" t="s">
        <v>249</v>
      </c>
      <c r="K356" s="31">
        <v>83160</v>
      </c>
      <c r="L356" s="10" t="s">
        <v>1431</v>
      </c>
      <c r="M356" s="10"/>
      <c r="N356" s="10" t="s">
        <v>3148</v>
      </c>
      <c r="O356" s="10" t="s">
        <v>2052</v>
      </c>
    </row>
    <row r="357" spans="1:15" x14ac:dyDescent="0.3">
      <c r="A357" s="10" t="s">
        <v>1882</v>
      </c>
      <c r="B357" s="10" t="s">
        <v>3149</v>
      </c>
      <c r="C357" s="10" t="s">
        <v>3150</v>
      </c>
      <c r="D357" s="10" t="s">
        <v>247</v>
      </c>
      <c r="E357" s="10" t="s">
        <v>1431</v>
      </c>
      <c r="F357" s="10" t="s">
        <v>3151</v>
      </c>
      <c r="G357" s="10" t="s">
        <v>768</v>
      </c>
      <c r="H357" s="10"/>
      <c r="I357" s="10" t="s">
        <v>769</v>
      </c>
      <c r="J357" s="10" t="s">
        <v>348</v>
      </c>
      <c r="K357" s="31">
        <v>83472</v>
      </c>
      <c r="L357" s="10" t="s">
        <v>1431</v>
      </c>
      <c r="M357" s="10"/>
      <c r="N357" s="10" t="s">
        <v>3152</v>
      </c>
      <c r="O357" s="10"/>
    </row>
    <row r="358" spans="1:15" x14ac:dyDescent="0.3">
      <c r="A358" s="10" t="s">
        <v>1883</v>
      </c>
      <c r="B358" s="10" t="s">
        <v>3153</v>
      </c>
      <c r="C358" s="10" t="s">
        <v>3154</v>
      </c>
      <c r="D358" s="10" t="s">
        <v>247</v>
      </c>
      <c r="E358" s="10" t="s">
        <v>1431</v>
      </c>
      <c r="F358" s="10" t="s">
        <v>673</v>
      </c>
      <c r="G358" s="10" t="s">
        <v>673</v>
      </c>
      <c r="H358" s="10" t="s">
        <v>123</v>
      </c>
      <c r="I358" s="10" t="s">
        <v>203</v>
      </c>
      <c r="J358" s="10" t="s">
        <v>348</v>
      </c>
      <c r="K358" s="31">
        <v>81600</v>
      </c>
      <c r="L358" s="10" t="s">
        <v>1431</v>
      </c>
      <c r="M358" s="10"/>
      <c r="N358" s="10" t="s">
        <v>3155</v>
      </c>
      <c r="O358" s="10" t="s">
        <v>2052</v>
      </c>
    </row>
    <row r="359" spans="1:15" x14ac:dyDescent="0.3">
      <c r="A359" s="10" t="s">
        <v>1884</v>
      </c>
      <c r="B359" s="10" t="s">
        <v>3156</v>
      </c>
      <c r="C359" s="10" t="s">
        <v>3157</v>
      </c>
      <c r="D359" s="10" t="s">
        <v>247</v>
      </c>
      <c r="E359" s="10" t="s">
        <v>1431</v>
      </c>
      <c r="F359" s="10" t="s">
        <v>3158</v>
      </c>
      <c r="G359" s="10" t="s">
        <v>726</v>
      </c>
      <c r="H359" s="10" t="s">
        <v>123</v>
      </c>
      <c r="I359" s="10" t="s">
        <v>189</v>
      </c>
      <c r="J359" s="10" t="s">
        <v>348</v>
      </c>
      <c r="K359" s="31">
        <v>103200</v>
      </c>
      <c r="L359" s="10" t="s">
        <v>1431</v>
      </c>
      <c r="M359" s="10"/>
      <c r="N359" s="10" t="s">
        <v>3159</v>
      </c>
      <c r="O359" s="10"/>
    </row>
    <row r="360" spans="1:15" x14ac:dyDescent="0.3">
      <c r="A360" s="10" t="s">
        <v>1884</v>
      </c>
      <c r="B360" s="10" t="s">
        <v>3160</v>
      </c>
      <c r="C360" s="10" t="s">
        <v>3161</v>
      </c>
      <c r="D360" s="10" t="s">
        <v>2079</v>
      </c>
      <c r="E360" s="10" t="s">
        <v>1431</v>
      </c>
      <c r="F360" s="10"/>
      <c r="G360" s="10"/>
      <c r="H360" s="10"/>
      <c r="I360" s="10" t="s">
        <v>2064</v>
      </c>
      <c r="J360" s="10"/>
      <c r="K360" s="31">
        <v>0</v>
      </c>
      <c r="L360" s="10" t="s">
        <v>1433</v>
      </c>
      <c r="M360" s="10" t="s">
        <v>2065</v>
      </c>
      <c r="N360" s="10" t="s">
        <v>3162</v>
      </c>
      <c r="O360" s="10"/>
    </row>
    <row r="361" spans="1:15" x14ac:dyDescent="0.3">
      <c r="A361" s="10" t="s">
        <v>1884</v>
      </c>
      <c r="B361" s="10" t="s">
        <v>3163</v>
      </c>
      <c r="C361" s="10" t="s">
        <v>3164</v>
      </c>
      <c r="D361" s="10" t="s">
        <v>2079</v>
      </c>
      <c r="E361" s="10" t="s">
        <v>1431</v>
      </c>
      <c r="F361" s="10"/>
      <c r="G361" s="10"/>
      <c r="H361" s="10"/>
      <c r="I361" s="10" t="s">
        <v>2064</v>
      </c>
      <c r="J361" s="10"/>
      <c r="K361" s="31">
        <v>0</v>
      </c>
      <c r="L361" s="10" t="s">
        <v>1433</v>
      </c>
      <c r="M361" s="10" t="s">
        <v>2065</v>
      </c>
      <c r="N361" s="10" t="s">
        <v>3162</v>
      </c>
      <c r="O361" s="10"/>
    </row>
    <row r="362" spans="1:15" x14ac:dyDescent="0.3">
      <c r="A362" s="10" t="s">
        <v>1885</v>
      </c>
      <c r="B362" s="10" t="s">
        <v>3165</v>
      </c>
      <c r="C362" s="10" t="s">
        <v>3166</v>
      </c>
      <c r="D362" s="10" t="s">
        <v>247</v>
      </c>
      <c r="E362" s="10" t="s">
        <v>1431</v>
      </c>
      <c r="F362" s="10" t="s">
        <v>3167</v>
      </c>
      <c r="G362" s="10" t="s">
        <v>587</v>
      </c>
      <c r="H362" s="10" t="s">
        <v>123</v>
      </c>
      <c r="I362" s="10" t="s">
        <v>194</v>
      </c>
      <c r="J362" s="10" t="s">
        <v>348</v>
      </c>
      <c r="K362" s="31">
        <v>53796</v>
      </c>
      <c r="L362" s="10" t="s">
        <v>1431</v>
      </c>
      <c r="M362" s="10"/>
      <c r="N362" s="10" t="s">
        <v>3168</v>
      </c>
      <c r="O362" s="10"/>
    </row>
    <row r="363" spans="1:15" x14ac:dyDescent="0.3">
      <c r="A363" s="10" t="s">
        <v>1885</v>
      </c>
      <c r="B363" s="10" t="s">
        <v>3169</v>
      </c>
      <c r="C363" s="10" t="s">
        <v>3170</v>
      </c>
      <c r="D363" s="10" t="s">
        <v>251</v>
      </c>
      <c r="E363" s="10" t="s">
        <v>1433</v>
      </c>
      <c r="F363" s="10" t="s">
        <v>3171</v>
      </c>
      <c r="G363" s="10" t="s">
        <v>587</v>
      </c>
      <c r="H363" s="10" t="s">
        <v>123</v>
      </c>
      <c r="I363" s="10" t="s">
        <v>194</v>
      </c>
      <c r="J363" s="10" t="s">
        <v>348</v>
      </c>
      <c r="K363" s="31">
        <v>228000</v>
      </c>
      <c r="L363" s="10" t="s">
        <v>1433</v>
      </c>
      <c r="M363" s="10" t="s">
        <v>2138</v>
      </c>
      <c r="N363" s="10" t="s">
        <v>3172</v>
      </c>
      <c r="O363" s="10" t="s">
        <v>2019</v>
      </c>
    </row>
    <row r="364" spans="1:15" x14ac:dyDescent="0.3">
      <c r="A364" s="10" t="s">
        <v>1886</v>
      </c>
      <c r="B364" s="10" t="s">
        <v>3173</v>
      </c>
      <c r="C364" s="10" t="s">
        <v>3174</v>
      </c>
      <c r="D364" s="10" t="s">
        <v>247</v>
      </c>
      <c r="E364" s="10" t="s">
        <v>1431</v>
      </c>
      <c r="F364" s="10" t="s">
        <v>483</v>
      </c>
      <c r="G364" s="10" t="s">
        <v>483</v>
      </c>
      <c r="H364" s="10" t="s">
        <v>123</v>
      </c>
      <c r="I364" s="10" t="s">
        <v>198</v>
      </c>
      <c r="J364" s="10" t="s">
        <v>348</v>
      </c>
      <c r="K364" s="31">
        <v>15000</v>
      </c>
      <c r="L364" s="10" t="s">
        <v>1431</v>
      </c>
      <c r="M364" s="10"/>
      <c r="N364" s="10" t="s">
        <v>3175</v>
      </c>
      <c r="O364" s="10"/>
    </row>
    <row r="365" spans="1:15" x14ac:dyDescent="0.3">
      <c r="A365" s="10" t="s">
        <v>1887</v>
      </c>
      <c r="B365" s="10" t="s">
        <v>3176</v>
      </c>
      <c r="C365" s="10" t="s">
        <v>3177</v>
      </c>
      <c r="D365" s="10" t="s">
        <v>247</v>
      </c>
      <c r="E365" s="10" t="s">
        <v>1431</v>
      </c>
      <c r="F365" s="10" t="s">
        <v>431</v>
      </c>
      <c r="G365" s="10" t="s">
        <v>431</v>
      </c>
      <c r="H365" s="10" t="s">
        <v>123</v>
      </c>
      <c r="I365" s="10" t="s">
        <v>190</v>
      </c>
      <c r="J365" s="10" t="s">
        <v>348</v>
      </c>
      <c r="K365" s="31">
        <v>20088</v>
      </c>
      <c r="L365" s="10" t="s">
        <v>1431</v>
      </c>
      <c r="M365" s="10"/>
      <c r="N365" s="10" t="s">
        <v>3178</v>
      </c>
      <c r="O365" s="10" t="s">
        <v>2052</v>
      </c>
    </row>
    <row r="366" spans="1:15" x14ac:dyDescent="0.3">
      <c r="A366" s="10" t="s">
        <v>1887</v>
      </c>
      <c r="B366" s="10" t="s">
        <v>3179</v>
      </c>
      <c r="C366" s="10" t="s">
        <v>3180</v>
      </c>
      <c r="D366" s="10" t="s">
        <v>259</v>
      </c>
      <c r="E366" s="10" t="s">
        <v>1431</v>
      </c>
      <c r="F366" s="10" t="s">
        <v>403</v>
      </c>
      <c r="G366" s="10" t="s">
        <v>403</v>
      </c>
      <c r="H366" s="10" t="s">
        <v>123</v>
      </c>
      <c r="I366" s="10" t="s">
        <v>190</v>
      </c>
      <c r="J366" s="10" t="s">
        <v>348</v>
      </c>
      <c r="K366" s="31">
        <v>48000</v>
      </c>
      <c r="L366" s="10" t="s">
        <v>1431</v>
      </c>
      <c r="M366" s="10"/>
      <c r="N366" s="10" t="s">
        <v>3181</v>
      </c>
      <c r="O366" s="10" t="s">
        <v>2019</v>
      </c>
    </row>
    <row r="367" spans="1:15" x14ac:dyDescent="0.3">
      <c r="A367" s="10" t="s">
        <v>1887</v>
      </c>
      <c r="B367" s="10" t="s">
        <v>3182</v>
      </c>
      <c r="C367" s="10" t="s">
        <v>3183</v>
      </c>
      <c r="D367" s="10" t="s">
        <v>259</v>
      </c>
      <c r="E367" s="10" t="s">
        <v>1431</v>
      </c>
      <c r="F367" s="10" t="s">
        <v>403</v>
      </c>
      <c r="G367" s="10" t="s">
        <v>403</v>
      </c>
      <c r="H367" s="10" t="s">
        <v>123</v>
      </c>
      <c r="I367" s="10" t="s">
        <v>190</v>
      </c>
      <c r="J367" s="10" t="s">
        <v>348</v>
      </c>
      <c r="K367" s="31">
        <v>48000</v>
      </c>
      <c r="L367" s="10" t="s">
        <v>1433</v>
      </c>
      <c r="M367" s="10" t="s">
        <v>2092</v>
      </c>
      <c r="N367" s="10" t="s">
        <v>3181</v>
      </c>
      <c r="O367" s="10" t="s">
        <v>2019</v>
      </c>
    </row>
    <row r="368" spans="1:15" x14ac:dyDescent="0.3">
      <c r="A368" s="10" t="s">
        <v>1888</v>
      </c>
      <c r="B368" s="10" t="s">
        <v>3184</v>
      </c>
      <c r="C368" s="10" t="s">
        <v>3185</v>
      </c>
      <c r="D368" s="10" t="s">
        <v>247</v>
      </c>
      <c r="E368" s="10" t="s">
        <v>1431</v>
      </c>
      <c r="F368" s="10" t="s">
        <v>701</v>
      </c>
      <c r="G368" s="10" t="s">
        <v>701</v>
      </c>
      <c r="H368" s="10" t="s">
        <v>123</v>
      </c>
      <c r="I368" s="10" t="s">
        <v>191</v>
      </c>
      <c r="J368" s="10" t="s">
        <v>348</v>
      </c>
      <c r="K368" s="31">
        <v>38400</v>
      </c>
      <c r="L368" s="10" t="s">
        <v>1431</v>
      </c>
      <c r="M368" s="10"/>
      <c r="N368" s="10" t="s">
        <v>3186</v>
      </c>
      <c r="O368" s="10" t="s">
        <v>2052</v>
      </c>
    </row>
    <row r="369" spans="1:15" x14ac:dyDescent="0.3">
      <c r="A369" s="10" t="s">
        <v>1888</v>
      </c>
      <c r="B369" s="10" t="s">
        <v>3187</v>
      </c>
      <c r="C369" s="10" t="s">
        <v>3188</v>
      </c>
      <c r="D369" s="10" t="s">
        <v>2079</v>
      </c>
      <c r="E369" s="10" t="s">
        <v>1431</v>
      </c>
      <c r="F369" s="10" t="s">
        <v>3189</v>
      </c>
      <c r="G369" s="10" t="s">
        <v>410</v>
      </c>
      <c r="H369" s="10" t="s">
        <v>123</v>
      </c>
      <c r="I369" s="10" t="s">
        <v>197</v>
      </c>
      <c r="J369" s="10" t="s">
        <v>273</v>
      </c>
      <c r="K369" s="31">
        <v>45120</v>
      </c>
      <c r="L369" s="10" t="s">
        <v>1433</v>
      </c>
      <c r="M369" s="10" t="s">
        <v>2092</v>
      </c>
      <c r="N369" s="10" t="s">
        <v>3190</v>
      </c>
      <c r="O369" s="10"/>
    </row>
    <row r="370" spans="1:15" x14ac:dyDescent="0.3">
      <c r="A370" s="10" t="s">
        <v>1888</v>
      </c>
      <c r="B370" s="10" t="s">
        <v>3191</v>
      </c>
      <c r="C370" s="10" t="s">
        <v>3192</v>
      </c>
      <c r="D370" s="10" t="s">
        <v>264</v>
      </c>
      <c r="E370" s="10" t="s">
        <v>1431</v>
      </c>
      <c r="F370" s="10" t="s">
        <v>3189</v>
      </c>
      <c r="G370" s="10" t="s">
        <v>410</v>
      </c>
      <c r="H370" s="10" t="s">
        <v>123</v>
      </c>
      <c r="I370" s="10" t="s">
        <v>197</v>
      </c>
      <c r="J370" s="10" t="s">
        <v>273</v>
      </c>
      <c r="K370" s="31">
        <v>45120</v>
      </c>
      <c r="L370" s="10" t="s">
        <v>1431</v>
      </c>
      <c r="M370" s="10"/>
      <c r="N370" s="10" t="s">
        <v>3190</v>
      </c>
      <c r="O370" s="10"/>
    </row>
    <row r="371" spans="1:15" x14ac:dyDescent="0.3">
      <c r="A371" s="10" t="s">
        <v>1889</v>
      </c>
      <c r="B371" s="10" t="s">
        <v>3193</v>
      </c>
      <c r="C371" s="10" t="s">
        <v>3194</v>
      </c>
      <c r="D371" s="10" t="s">
        <v>247</v>
      </c>
      <c r="E371" s="10" t="s">
        <v>1431</v>
      </c>
      <c r="F371" s="10" t="s">
        <v>3195</v>
      </c>
      <c r="G371" s="10" t="s">
        <v>524</v>
      </c>
      <c r="H371" s="10" t="s">
        <v>123</v>
      </c>
      <c r="I371" s="10" t="s">
        <v>197</v>
      </c>
      <c r="J371" s="10" t="s">
        <v>366</v>
      </c>
      <c r="K371" s="31">
        <v>45600</v>
      </c>
      <c r="L371" s="10" t="s">
        <v>1431</v>
      </c>
      <c r="M371" s="10"/>
      <c r="N371" s="10" t="s">
        <v>3196</v>
      </c>
      <c r="O371" s="10"/>
    </row>
    <row r="372" spans="1:15" x14ac:dyDescent="0.3">
      <c r="A372" s="10" t="s">
        <v>1889</v>
      </c>
      <c r="B372" s="10" t="s">
        <v>3197</v>
      </c>
      <c r="C372" s="10" t="s">
        <v>3198</v>
      </c>
      <c r="D372" s="10" t="s">
        <v>264</v>
      </c>
      <c r="E372" s="10" t="s">
        <v>1431</v>
      </c>
      <c r="F372" s="10" t="s">
        <v>2635</v>
      </c>
      <c r="G372" s="10" t="s">
        <v>354</v>
      </c>
      <c r="H372" s="10" t="s">
        <v>123</v>
      </c>
      <c r="I372" s="10" t="s">
        <v>191</v>
      </c>
      <c r="J372" s="10" t="s">
        <v>348</v>
      </c>
      <c r="K372" s="31">
        <v>68124</v>
      </c>
      <c r="L372" s="10" t="s">
        <v>1431</v>
      </c>
      <c r="M372" s="10"/>
      <c r="N372" s="10" t="s">
        <v>3199</v>
      </c>
      <c r="O372" s="10"/>
    </row>
    <row r="373" spans="1:15" x14ac:dyDescent="0.3">
      <c r="A373" s="10" t="s">
        <v>1890</v>
      </c>
      <c r="B373" s="10" t="s">
        <v>3200</v>
      </c>
      <c r="C373" s="10" t="s">
        <v>3201</v>
      </c>
      <c r="D373" s="10" t="s">
        <v>247</v>
      </c>
      <c r="E373" s="10" t="s">
        <v>1431</v>
      </c>
      <c r="F373" s="10"/>
      <c r="G373" s="10"/>
      <c r="H373" s="10"/>
      <c r="I373" s="10" t="s">
        <v>2064</v>
      </c>
      <c r="J373" s="10"/>
      <c r="K373" s="31">
        <v>33600</v>
      </c>
      <c r="L373" s="10" t="s">
        <v>1431</v>
      </c>
      <c r="M373" s="10"/>
      <c r="N373" s="10" t="s">
        <v>3202</v>
      </c>
      <c r="O373" s="10"/>
    </row>
    <row r="374" spans="1:15" x14ac:dyDescent="0.3">
      <c r="A374" s="10" t="s">
        <v>1890</v>
      </c>
      <c r="B374" s="10" t="s">
        <v>3203</v>
      </c>
      <c r="C374" s="10" t="s">
        <v>3204</v>
      </c>
      <c r="D374" s="10" t="s">
        <v>2079</v>
      </c>
      <c r="E374" s="10" t="s">
        <v>1431</v>
      </c>
      <c r="F374" s="10" t="s">
        <v>3205</v>
      </c>
      <c r="G374" s="10" t="s">
        <v>361</v>
      </c>
      <c r="H374" s="10" t="s">
        <v>123</v>
      </c>
      <c r="I374" s="10" t="s">
        <v>198</v>
      </c>
      <c r="J374" s="10" t="s">
        <v>348</v>
      </c>
      <c r="K374" s="31">
        <v>23700</v>
      </c>
      <c r="L374" s="10" t="s">
        <v>1433</v>
      </c>
      <c r="M374" s="10" t="s">
        <v>2092</v>
      </c>
      <c r="N374" s="10" t="s">
        <v>3206</v>
      </c>
      <c r="O374" s="10"/>
    </row>
    <row r="375" spans="1:15" x14ac:dyDescent="0.3">
      <c r="A375" s="10" t="s">
        <v>1890</v>
      </c>
      <c r="B375" s="10" t="s">
        <v>3207</v>
      </c>
      <c r="C375" s="10" t="s">
        <v>3208</v>
      </c>
      <c r="D375" s="10" t="s">
        <v>259</v>
      </c>
      <c r="E375" s="10" t="s">
        <v>1431</v>
      </c>
      <c r="F375" s="10" t="s">
        <v>3205</v>
      </c>
      <c r="G375" s="10" t="s">
        <v>361</v>
      </c>
      <c r="H375" s="10" t="s">
        <v>123</v>
      </c>
      <c r="I375" s="10" t="s">
        <v>198</v>
      </c>
      <c r="J375" s="10" t="s">
        <v>348</v>
      </c>
      <c r="K375" s="31">
        <v>23700</v>
      </c>
      <c r="L375" s="10" t="s">
        <v>1433</v>
      </c>
      <c r="M375" s="10" t="s">
        <v>2092</v>
      </c>
      <c r="N375" s="10" t="s">
        <v>3206</v>
      </c>
      <c r="O375" s="10"/>
    </row>
    <row r="376" spans="1:15" x14ac:dyDescent="0.3">
      <c r="A376" s="10" t="s">
        <v>1890</v>
      </c>
      <c r="B376" s="10" t="s">
        <v>3209</v>
      </c>
      <c r="C376" s="10" t="s">
        <v>3210</v>
      </c>
      <c r="D376" s="10" t="s">
        <v>259</v>
      </c>
      <c r="E376" s="10" t="s">
        <v>1431</v>
      </c>
      <c r="F376" s="10" t="s">
        <v>3205</v>
      </c>
      <c r="G376" s="10" t="s">
        <v>361</v>
      </c>
      <c r="H376" s="10" t="s">
        <v>123</v>
      </c>
      <c r="I376" s="10" t="s">
        <v>198</v>
      </c>
      <c r="J376" s="10" t="s">
        <v>348</v>
      </c>
      <c r="K376" s="31">
        <v>23700</v>
      </c>
      <c r="L376" s="10" t="s">
        <v>1433</v>
      </c>
      <c r="M376" s="10" t="s">
        <v>2092</v>
      </c>
      <c r="N376" s="10" t="s">
        <v>3206</v>
      </c>
      <c r="O376" s="10"/>
    </row>
    <row r="377" spans="1:15" x14ac:dyDescent="0.3">
      <c r="A377" s="10" t="s">
        <v>1890</v>
      </c>
      <c r="B377" s="10" t="s">
        <v>3211</v>
      </c>
      <c r="C377" s="10" t="s">
        <v>3212</v>
      </c>
      <c r="D377" s="10" t="s">
        <v>259</v>
      </c>
      <c r="E377" s="10" t="s">
        <v>1431</v>
      </c>
      <c r="F377" s="10" t="s">
        <v>3205</v>
      </c>
      <c r="G377" s="10" t="s">
        <v>361</v>
      </c>
      <c r="H377" s="10" t="s">
        <v>123</v>
      </c>
      <c r="I377" s="10" t="s">
        <v>198</v>
      </c>
      <c r="J377" s="10" t="s">
        <v>348</v>
      </c>
      <c r="K377" s="31">
        <v>23700</v>
      </c>
      <c r="L377" s="10" t="s">
        <v>1431</v>
      </c>
      <c r="M377" s="10"/>
      <c r="N377" s="10" t="s">
        <v>3206</v>
      </c>
      <c r="O377" s="10"/>
    </row>
    <row r="378" spans="1:15" x14ac:dyDescent="0.3">
      <c r="A378" s="10" t="s">
        <v>1891</v>
      </c>
      <c r="B378" s="10" t="s">
        <v>3213</v>
      </c>
      <c r="C378" s="10" t="s">
        <v>3214</v>
      </c>
      <c r="D378" s="10" t="s">
        <v>247</v>
      </c>
      <c r="E378" s="10" t="s">
        <v>1431</v>
      </c>
      <c r="F378" s="10" t="s">
        <v>3215</v>
      </c>
      <c r="G378" s="10" t="s">
        <v>356</v>
      </c>
      <c r="H378" s="10" t="s">
        <v>123</v>
      </c>
      <c r="I378" s="10" t="s">
        <v>196</v>
      </c>
      <c r="J378" s="10" t="s">
        <v>348</v>
      </c>
      <c r="K378" s="31">
        <v>132000</v>
      </c>
      <c r="L378" s="10" t="s">
        <v>1431</v>
      </c>
      <c r="M378" s="10"/>
      <c r="N378" s="10" t="s">
        <v>3216</v>
      </c>
      <c r="O378" s="10" t="s">
        <v>2052</v>
      </c>
    </row>
    <row r="379" spans="1:15" x14ac:dyDescent="0.3">
      <c r="A379" s="10" t="s">
        <v>1892</v>
      </c>
      <c r="B379" s="10" t="s">
        <v>3217</v>
      </c>
      <c r="C379" s="10" t="s">
        <v>3218</v>
      </c>
      <c r="D379" s="10" t="s">
        <v>247</v>
      </c>
      <c r="E379" s="10" t="s">
        <v>1431</v>
      </c>
      <c r="F379" s="10" t="s">
        <v>3219</v>
      </c>
      <c r="G379" s="10" t="s">
        <v>355</v>
      </c>
      <c r="H379" s="10" t="s">
        <v>123</v>
      </c>
      <c r="I379" s="10" t="s">
        <v>191</v>
      </c>
      <c r="J379" s="10" t="s">
        <v>348</v>
      </c>
      <c r="K379" s="31">
        <v>79476</v>
      </c>
      <c r="L379" s="10" t="s">
        <v>1431</v>
      </c>
      <c r="M379" s="10"/>
      <c r="N379" s="10" t="s">
        <v>3220</v>
      </c>
      <c r="O379" s="10"/>
    </row>
    <row r="380" spans="1:15" x14ac:dyDescent="0.3">
      <c r="A380" s="10" t="s">
        <v>1892</v>
      </c>
      <c r="B380" s="10" t="s">
        <v>3221</v>
      </c>
      <c r="C380" s="10" t="s">
        <v>3222</v>
      </c>
      <c r="D380" s="10" t="s">
        <v>264</v>
      </c>
      <c r="E380" s="10" t="s">
        <v>1431</v>
      </c>
      <c r="F380" s="10"/>
      <c r="G380" s="10"/>
      <c r="H380" s="10"/>
      <c r="I380" s="10" t="s">
        <v>2064</v>
      </c>
      <c r="J380" s="10"/>
      <c r="K380" s="31">
        <v>0</v>
      </c>
      <c r="L380" s="10" t="s">
        <v>1433</v>
      </c>
      <c r="M380" s="10" t="s">
        <v>2065</v>
      </c>
      <c r="N380" s="10" t="s">
        <v>3223</v>
      </c>
      <c r="O380" s="10" t="s">
        <v>2019</v>
      </c>
    </row>
    <row r="381" spans="1:15" x14ac:dyDescent="0.3">
      <c r="A381" s="10" t="s">
        <v>1892</v>
      </c>
      <c r="B381" s="10" t="s">
        <v>3224</v>
      </c>
      <c r="C381" s="10" t="s">
        <v>3225</v>
      </c>
      <c r="D381" s="10" t="s">
        <v>2079</v>
      </c>
      <c r="E381" s="10" t="s">
        <v>1431</v>
      </c>
      <c r="F381" s="10"/>
      <c r="G381" s="10"/>
      <c r="H381" s="10"/>
      <c r="I381" s="10" t="s">
        <v>2064</v>
      </c>
      <c r="J381" s="10"/>
      <c r="K381" s="31">
        <v>0</v>
      </c>
      <c r="L381" s="10" t="s">
        <v>1433</v>
      </c>
      <c r="M381" s="10" t="s">
        <v>2065</v>
      </c>
      <c r="N381" s="10" t="s">
        <v>3223</v>
      </c>
      <c r="O381" s="10" t="s">
        <v>2019</v>
      </c>
    </row>
    <row r="382" spans="1:15" x14ac:dyDescent="0.3">
      <c r="A382" s="10" t="s">
        <v>1893</v>
      </c>
      <c r="B382" s="10" t="s">
        <v>3226</v>
      </c>
      <c r="C382" s="10" t="s">
        <v>3227</v>
      </c>
      <c r="D382" s="10" t="s">
        <v>247</v>
      </c>
      <c r="E382" s="10" t="s">
        <v>1431</v>
      </c>
      <c r="F382" s="10" t="s">
        <v>2928</v>
      </c>
      <c r="G382" s="10"/>
      <c r="H382" s="10"/>
      <c r="I382" s="10" t="s">
        <v>2064</v>
      </c>
      <c r="J382" s="10"/>
      <c r="K382" s="31">
        <v>0</v>
      </c>
      <c r="L382" s="10" t="s">
        <v>1433</v>
      </c>
      <c r="M382" s="10" t="s">
        <v>2065</v>
      </c>
      <c r="N382" s="10" t="s">
        <v>3228</v>
      </c>
      <c r="O382" s="10"/>
    </row>
    <row r="383" spans="1:15" x14ac:dyDescent="0.3">
      <c r="A383" s="10" t="s">
        <v>1893</v>
      </c>
      <c r="B383" s="10" t="s">
        <v>3229</v>
      </c>
      <c r="C383" s="10" t="s">
        <v>3230</v>
      </c>
      <c r="D383" s="10" t="s">
        <v>2079</v>
      </c>
      <c r="E383" s="10" t="s">
        <v>1431</v>
      </c>
      <c r="F383" s="10" t="s">
        <v>3231</v>
      </c>
      <c r="G383" s="10" t="s">
        <v>388</v>
      </c>
      <c r="H383" s="10" t="s">
        <v>123</v>
      </c>
      <c r="I383" s="10" t="s">
        <v>199</v>
      </c>
      <c r="J383" s="10" t="s">
        <v>348</v>
      </c>
      <c r="K383" s="31">
        <v>28800</v>
      </c>
      <c r="L383" s="10" t="s">
        <v>1433</v>
      </c>
      <c r="M383" s="10" t="s">
        <v>2092</v>
      </c>
      <c r="N383" s="10" t="s">
        <v>3232</v>
      </c>
      <c r="O383" s="10"/>
    </row>
    <row r="384" spans="1:15" x14ac:dyDescent="0.3">
      <c r="A384" s="10" t="s">
        <v>1893</v>
      </c>
      <c r="B384" s="10" t="s">
        <v>3233</v>
      </c>
      <c r="C384" s="10" t="s">
        <v>3234</v>
      </c>
      <c r="D384" s="10" t="s">
        <v>259</v>
      </c>
      <c r="E384" s="10" t="s">
        <v>1431</v>
      </c>
      <c r="F384" s="10" t="s">
        <v>3231</v>
      </c>
      <c r="G384" s="10" t="s">
        <v>388</v>
      </c>
      <c r="H384" s="10" t="s">
        <v>123</v>
      </c>
      <c r="I384" s="10" t="s">
        <v>199</v>
      </c>
      <c r="J384" s="10" t="s">
        <v>348</v>
      </c>
      <c r="K384" s="31">
        <v>28800</v>
      </c>
      <c r="L384" s="10" t="s">
        <v>1433</v>
      </c>
      <c r="M384" s="10" t="s">
        <v>2092</v>
      </c>
      <c r="N384" s="10" t="s">
        <v>3232</v>
      </c>
      <c r="O384" s="10"/>
    </row>
    <row r="385" spans="1:15" x14ac:dyDescent="0.3">
      <c r="A385" s="10" t="s">
        <v>1893</v>
      </c>
      <c r="B385" s="10" t="s">
        <v>3235</v>
      </c>
      <c r="C385" s="10" t="s">
        <v>3236</v>
      </c>
      <c r="D385" s="10" t="s">
        <v>259</v>
      </c>
      <c r="E385" s="10" t="s">
        <v>1431</v>
      </c>
      <c r="F385" s="10" t="s">
        <v>3231</v>
      </c>
      <c r="G385" s="10" t="s">
        <v>388</v>
      </c>
      <c r="H385" s="10" t="s">
        <v>123</v>
      </c>
      <c r="I385" s="10" t="s">
        <v>199</v>
      </c>
      <c r="J385" s="10" t="s">
        <v>348</v>
      </c>
      <c r="K385" s="31">
        <v>28800</v>
      </c>
      <c r="L385" s="10" t="s">
        <v>1431</v>
      </c>
      <c r="M385" s="10"/>
      <c r="N385" s="10" t="s">
        <v>3232</v>
      </c>
      <c r="O385" s="10"/>
    </row>
    <row r="386" spans="1:15" x14ac:dyDescent="0.3">
      <c r="A386" s="10" t="s">
        <v>1894</v>
      </c>
      <c r="B386" s="10" t="s">
        <v>3237</v>
      </c>
      <c r="C386" s="10" t="s">
        <v>3238</v>
      </c>
      <c r="D386" s="10" t="s">
        <v>247</v>
      </c>
      <c r="E386" s="10" t="s">
        <v>1431</v>
      </c>
      <c r="F386" s="10" t="s">
        <v>500</v>
      </c>
      <c r="G386" s="10" t="s">
        <v>500</v>
      </c>
      <c r="H386" s="10" t="s">
        <v>123</v>
      </c>
      <c r="I386" s="10" t="s">
        <v>205</v>
      </c>
      <c r="J386" s="10" t="s">
        <v>348</v>
      </c>
      <c r="K386" s="31">
        <v>27384</v>
      </c>
      <c r="L386" s="10" t="s">
        <v>1431</v>
      </c>
      <c r="M386" s="10"/>
      <c r="N386" s="10" t="s">
        <v>3239</v>
      </c>
      <c r="O386" s="10" t="s">
        <v>2052</v>
      </c>
    </row>
    <row r="387" spans="1:15" x14ac:dyDescent="0.3">
      <c r="A387" s="10" t="s">
        <v>1895</v>
      </c>
      <c r="B387" s="10" t="s">
        <v>3240</v>
      </c>
      <c r="C387" s="10" t="s">
        <v>3241</v>
      </c>
      <c r="D387" s="10" t="s">
        <v>247</v>
      </c>
      <c r="E387" s="10" t="s">
        <v>1431</v>
      </c>
      <c r="F387" s="10" t="s">
        <v>2737</v>
      </c>
      <c r="G387" s="10"/>
      <c r="H387" s="10"/>
      <c r="I387" s="10" t="s">
        <v>2064</v>
      </c>
      <c r="J387" s="10"/>
      <c r="K387" s="31">
        <v>60000</v>
      </c>
      <c r="L387" s="10" t="s">
        <v>1431</v>
      </c>
      <c r="M387" s="10"/>
      <c r="N387" s="10" t="s">
        <v>3242</v>
      </c>
      <c r="O387" s="10" t="s">
        <v>2019</v>
      </c>
    </row>
    <row r="388" spans="1:15" x14ac:dyDescent="0.3">
      <c r="A388" s="10" t="s">
        <v>1895</v>
      </c>
      <c r="B388" s="10" t="s">
        <v>3243</v>
      </c>
      <c r="C388" s="10" t="s">
        <v>3244</v>
      </c>
      <c r="D388" s="10" t="s">
        <v>264</v>
      </c>
      <c r="E388" s="10" t="s">
        <v>1431</v>
      </c>
      <c r="F388" s="10" t="s">
        <v>2982</v>
      </c>
      <c r="G388" s="10" t="s">
        <v>419</v>
      </c>
      <c r="H388" s="10" t="s">
        <v>123</v>
      </c>
      <c r="I388" s="10" t="s">
        <v>194</v>
      </c>
      <c r="J388" s="10" t="s">
        <v>348</v>
      </c>
      <c r="K388" s="31">
        <v>120000</v>
      </c>
      <c r="L388" s="10" t="s">
        <v>1431</v>
      </c>
      <c r="M388" s="10"/>
      <c r="N388" s="10" t="s">
        <v>3245</v>
      </c>
      <c r="O388" s="10"/>
    </row>
    <row r="389" spans="1:15" x14ac:dyDescent="0.3">
      <c r="A389" s="10" t="s">
        <v>1896</v>
      </c>
      <c r="B389" s="10" t="s">
        <v>3246</v>
      </c>
      <c r="C389" s="10" t="s">
        <v>3247</v>
      </c>
      <c r="D389" s="10" t="s">
        <v>247</v>
      </c>
      <c r="E389" s="10" t="s">
        <v>1431</v>
      </c>
      <c r="F389" s="10" t="s">
        <v>513</v>
      </c>
      <c r="G389" s="10" t="s">
        <v>513</v>
      </c>
      <c r="H389" s="10" t="s">
        <v>123</v>
      </c>
      <c r="I389" s="10" t="s">
        <v>189</v>
      </c>
      <c r="J389" s="10" t="s">
        <v>348</v>
      </c>
      <c r="K389" s="31">
        <v>84996</v>
      </c>
      <c r="L389" s="10" t="s">
        <v>1431</v>
      </c>
      <c r="M389" s="10"/>
      <c r="N389" s="10" t="s">
        <v>3248</v>
      </c>
      <c r="O389" s="10" t="s">
        <v>2052</v>
      </c>
    </row>
    <row r="390" spans="1:15" x14ac:dyDescent="0.3">
      <c r="A390" s="10" t="s">
        <v>1897</v>
      </c>
      <c r="B390" s="10" t="s">
        <v>3249</v>
      </c>
      <c r="C390" s="10" t="s">
        <v>3250</v>
      </c>
      <c r="D390" s="10" t="s">
        <v>247</v>
      </c>
      <c r="E390" s="10" t="s">
        <v>1431</v>
      </c>
      <c r="F390" s="10" t="s">
        <v>431</v>
      </c>
      <c r="G390" s="10" t="s">
        <v>431</v>
      </c>
      <c r="H390" s="10" t="s">
        <v>123</v>
      </c>
      <c r="I390" s="10" t="s">
        <v>190</v>
      </c>
      <c r="J390" s="10" t="s">
        <v>348</v>
      </c>
      <c r="K390" s="31">
        <v>73836</v>
      </c>
      <c r="L390" s="10" t="s">
        <v>1431</v>
      </c>
      <c r="M390" s="10"/>
      <c r="N390" s="10" t="s">
        <v>3251</v>
      </c>
      <c r="O390" s="10"/>
    </row>
    <row r="391" spans="1:15" x14ac:dyDescent="0.3">
      <c r="A391" s="10" t="s">
        <v>1898</v>
      </c>
      <c r="B391" s="10" t="s">
        <v>3252</v>
      </c>
      <c r="C391" s="10" t="s">
        <v>3253</v>
      </c>
      <c r="D391" s="10" t="s">
        <v>247</v>
      </c>
      <c r="E391" s="10" t="s">
        <v>1431</v>
      </c>
      <c r="F391" s="10" t="s">
        <v>3254</v>
      </c>
      <c r="G391" s="10" t="s">
        <v>620</v>
      </c>
      <c r="H391" s="10" t="s">
        <v>123</v>
      </c>
      <c r="I391" s="10" t="s">
        <v>197</v>
      </c>
      <c r="J391" s="10" t="s">
        <v>366</v>
      </c>
      <c r="K391" s="31">
        <v>50400</v>
      </c>
      <c r="L391" s="10" t="s">
        <v>1431</v>
      </c>
      <c r="M391" s="10"/>
      <c r="N391" s="10" t="s">
        <v>3255</v>
      </c>
      <c r="O391" s="10"/>
    </row>
    <row r="392" spans="1:15" x14ac:dyDescent="0.3">
      <c r="A392" s="10" t="s">
        <v>1898</v>
      </c>
      <c r="B392" s="10" t="s">
        <v>3256</v>
      </c>
      <c r="C392" s="10" t="s">
        <v>3257</v>
      </c>
      <c r="D392" s="10" t="s">
        <v>264</v>
      </c>
      <c r="E392" s="10" t="s">
        <v>1431</v>
      </c>
      <c r="F392" s="10"/>
      <c r="G392" s="10"/>
      <c r="H392" s="10"/>
      <c r="I392" s="10" t="s">
        <v>2064</v>
      </c>
      <c r="J392" s="10"/>
      <c r="K392" s="31">
        <v>0</v>
      </c>
      <c r="L392" s="10" t="s">
        <v>1433</v>
      </c>
      <c r="M392" s="10" t="s">
        <v>2065</v>
      </c>
      <c r="N392" s="10" t="s">
        <v>3258</v>
      </c>
      <c r="O392" s="10"/>
    </row>
    <row r="393" spans="1:15" x14ac:dyDescent="0.3">
      <c r="A393" s="10" t="s">
        <v>1898</v>
      </c>
      <c r="B393" s="10" t="s">
        <v>3259</v>
      </c>
      <c r="C393" s="10" t="s">
        <v>3260</v>
      </c>
      <c r="D393" s="10" t="s">
        <v>2079</v>
      </c>
      <c r="E393" s="10" t="s">
        <v>1431</v>
      </c>
      <c r="F393" s="10"/>
      <c r="G393" s="10"/>
      <c r="H393" s="10"/>
      <c r="I393" s="10" t="s">
        <v>2064</v>
      </c>
      <c r="J393" s="10"/>
      <c r="K393" s="31">
        <v>0</v>
      </c>
      <c r="L393" s="10" t="s">
        <v>1433</v>
      </c>
      <c r="M393" s="10" t="s">
        <v>2065</v>
      </c>
      <c r="N393" s="10" t="s">
        <v>3258</v>
      </c>
      <c r="O393" s="10"/>
    </row>
    <row r="394" spans="1:15" x14ac:dyDescent="0.3">
      <c r="A394" s="10" t="s">
        <v>1899</v>
      </c>
      <c r="B394" s="10" t="s">
        <v>3261</v>
      </c>
      <c r="C394" s="10" t="s">
        <v>3262</v>
      </c>
      <c r="D394" s="10" t="s">
        <v>247</v>
      </c>
      <c r="E394" s="10" t="s">
        <v>1431</v>
      </c>
      <c r="F394" s="10" t="s">
        <v>386</v>
      </c>
      <c r="G394" s="10" t="s">
        <v>386</v>
      </c>
      <c r="H394" s="10" t="s">
        <v>123</v>
      </c>
      <c r="I394" s="10" t="s">
        <v>197</v>
      </c>
      <c r="J394" s="10" t="s">
        <v>348</v>
      </c>
      <c r="K394" s="31">
        <v>88944</v>
      </c>
      <c r="L394" s="10" t="s">
        <v>1431</v>
      </c>
      <c r="M394" s="10"/>
      <c r="N394" s="10" t="s">
        <v>3263</v>
      </c>
      <c r="O394" s="10" t="s">
        <v>2052</v>
      </c>
    </row>
    <row r="395" spans="1:15" x14ac:dyDescent="0.3">
      <c r="A395" s="10" t="s">
        <v>1899</v>
      </c>
      <c r="B395" s="10" t="s">
        <v>3264</v>
      </c>
      <c r="C395" s="10" t="s">
        <v>3265</v>
      </c>
      <c r="D395" s="10" t="s">
        <v>259</v>
      </c>
      <c r="E395" s="10" t="s">
        <v>1431</v>
      </c>
      <c r="F395" s="10" t="s">
        <v>386</v>
      </c>
      <c r="G395" s="10" t="s">
        <v>386</v>
      </c>
      <c r="H395" s="10" t="s">
        <v>123</v>
      </c>
      <c r="I395" s="10" t="s">
        <v>197</v>
      </c>
      <c r="J395" s="10" t="s">
        <v>348</v>
      </c>
      <c r="K395" s="31">
        <v>31200</v>
      </c>
      <c r="L395" s="10" t="s">
        <v>1431</v>
      </c>
      <c r="M395" s="10"/>
      <c r="N395" s="10" t="s">
        <v>2401</v>
      </c>
      <c r="O395" s="10" t="s">
        <v>2052</v>
      </c>
    </row>
    <row r="396" spans="1:15" x14ac:dyDescent="0.3">
      <c r="A396" s="10" t="s">
        <v>1900</v>
      </c>
      <c r="B396" s="10" t="s">
        <v>3266</v>
      </c>
      <c r="C396" s="10" t="s">
        <v>3267</v>
      </c>
      <c r="D396" s="10" t="s">
        <v>247</v>
      </c>
      <c r="E396" s="10" t="s">
        <v>1431</v>
      </c>
      <c r="F396" s="10" t="s">
        <v>3268</v>
      </c>
      <c r="G396" s="10" t="s">
        <v>745</v>
      </c>
      <c r="H396" s="10" t="s">
        <v>123</v>
      </c>
      <c r="I396" s="10" t="s">
        <v>193</v>
      </c>
      <c r="J396" s="10" t="s">
        <v>366</v>
      </c>
      <c r="K396" s="31">
        <v>181236</v>
      </c>
      <c r="L396" s="10" t="s">
        <v>1431</v>
      </c>
      <c r="M396" s="10"/>
      <c r="N396" s="10" t="s">
        <v>3269</v>
      </c>
      <c r="O396" s="10"/>
    </row>
    <row r="397" spans="1:15" x14ac:dyDescent="0.3">
      <c r="A397" s="10" t="s">
        <v>1900</v>
      </c>
      <c r="B397" s="10" t="s">
        <v>3270</v>
      </c>
      <c r="C397" s="10" t="s">
        <v>3271</v>
      </c>
      <c r="D397" s="10" t="s">
        <v>264</v>
      </c>
      <c r="E397" s="10" t="s">
        <v>1431</v>
      </c>
      <c r="F397" s="10" t="s">
        <v>3272</v>
      </c>
      <c r="G397" s="10" t="s">
        <v>583</v>
      </c>
      <c r="H397" s="10" t="s">
        <v>123</v>
      </c>
      <c r="I397" s="10" t="s">
        <v>189</v>
      </c>
      <c r="J397" s="10" t="s">
        <v>348</v>
      </c>
      <c r="K397" s="31">
        <v>58980</v>
      </c>
      <c r="L397" s="10" t="s">
        <v>1431</v>
      </c>
      <c r="M397" s="10"/>
      <c r="N397" s="10" t="s">
        <v>3273</v>
      </c>
      <c r="O397" s="10"/>
    </row>
    <row r="398" spans="1:15" x14ac:dyDescent="0.3">
      <c r="A398" s="10" t="s">
        <v>1901</v>
      </c>
      <c r="B398" s="10" t="s">
        <v>3274</v>
      </c>
      <c r="C398" s="10" t="s">
        <v>3275</v>
      </c>
      <c r="D398" s="10" t="s">
        <v>247</v>
      </c>
      <c r="E398" s="10" t="s">
        <v>1431</v>
      </c>
      <c r="F398" s="10" t="s">
        <v>639</v>
      </c>
      <c r="G398" s="10" t="s">
        <v>639</v>
      </c>
      <c r="H398" s="10" t="s">
        <v>123</v>
      </c>
      <c r="I398" s="10" t="s">
        <v>191</v>
      </c>
      <c r="J398" s="10" t="s">
        <v>348</v>
      </c>
      <c r="K398" s="31">
        <v>65520</v>
      </c>
      <c r="L398" s="10" t="s">
        <v>1431</v>
      </c>
      <c r="M398" s="10"/>
      <c r="N398" s="10" t="s">
        <v>3276</v>
      </c>
      <c r="O398" s="10"/>
    </row>
    <row r="399" spans="1:15" x14ac:dyDescent="0.3">
      <c r="A399" s="10" t="s">
        <v>1901</v>
      </c>
      <c r="B399" s="10" t="s">
        <v>3277</v>
      </c>
      <c r="C399" s="10" t="s">
        <v>3278</v>
      </c>
      <c r="D399" s="10" t="s">
        <v>259</v>
      </c>
      <c r="E399" s="10" t="s">
        <v>1431</v>
      </c>
      <c r="F399" s="10" t="s">
        <v>3279</v>
      </c>
      <c r="G399" s="10" t="s">
        <v>398</v>
      </c>
      <c r="H399" s="10" t="s">
        <v>123</v>
      </c>
      <c r="I399" s="10" t="s">
        <v>195</v>
      </c>
      <c r="J399" s="10" t="s">
        <v>294</v>
      </c>
      <c r="K399" s="31">
        <v>40320</v>
      </c>
      <c r="L399" s="10" t="s">
        <v>1431</v>
      </c>
      <c r="M399" s="10"/>
      <c r="N399" s="10" t="s">
        <v>3280</v>
      </c>
      <c r="O399" s="10"/>
    </row>
    <row r="400" spans="1:15" x14ac:dyDescent="0.3">
      <c r="A400" s="10" t="s">
        <v>1901</v>
      </c>
      <c r="B400" s="10" t="s">
        <v>3281</v>
      </c>
      <c r="C400" s="10" t="s">
        <v>3282</v>
      </c>
      <c r="D400" s="10" t="s">
        <v>2079</v>
      </c>
      <c r="E400" s="10" t="s">
        <v>1431</v>
      </c>
      <c r="F400" s="10" t="s">
        <v>3279</v>
      </c>
      <c r="G400" s="10" t="s">
        <v>398</v>
      </c>
      <c r="H400" s="10" t="s">
        <v>123</v>
      </c>
      <c r="I400" s="10" t="s">
        <v>195</v>
      </c>
      <c r="J400" s="10" t="s">
        <v>294</v>
      </c>
      <c r="K400" s="31">
        <v>40320</v>
      </c>
      <c r="L400" s="10" t="s">
        <v>1433</v>
      </c>
      <c r="M400" s="10" t="s">
        <v>2092</v>
      </c>
      <c r="N400" s="10" t="s">
        <v>3280</v>
      </c>
      <c r="O400" s="10"/>
    </row>
    <row r="401" spans="1:15" x14ac:dyDescent="0.3">
      <c r="A401" s="10" t="s">
        <v>1902</v>
      </c>
      <c r="B401" s="10" t="s">
        <v>3283</v>
      </c>
      <c r="C401" s="10" t="s">
        <v>3284</v>
      </c>
      <c r="D401" s="10" t="s">
        <v>247</v>
      </c>
      <c r="E401" s="10" t="s">
        <v>1431</v>
      </c>
      <c r="F401" s="10" t="s">
        <v>625</v>
      </c>
      <c r="G401" s="10" t="s">
        <v>625</v>
      </c>
      <c r="H401" s="10" t="s">
        <v>123</v>
      </c>
      <c r="I401" s="10" t="s">
        <v>204</v>
      </c>
      <c r="J401" s="10" t="s">
        <v>366</v>
      </c>
      <c r="K401" s="31">
        <v>54000</v>
      </c>
      <c r="L401" s="10" t="s">
        <v>1431</v>
      </c>
      <c r="M401" s="10"/>
      <c r="N401" s="10" t="s">
        <v>3285</v>
      </c>
      <c r="O401" s="10"/>
    </row>
    <row r="402" spans="1:15" x14ac:dyDescent="0.3">
      <c r="A402" s="10" t="s">
        <v>1903</v>
      </c>
      <c r="B402" s="10" t="s">
        <v>3286</v>
      </c>
      <c r="C402" s="10" t="s">
        <v>3287</v>
      </c>
      <c r="D402" s="10" t="s">
        <v>247</v>
      </c>
      <c r="E402" s="10" t="s">
        <v>1431</v>
      </c>
      <c r="F402" s="10" t="s">
        <v>3288</v>
      </c>
      <c r="G402" s="10" t="s">
        <v>536</v>
      </c>
      <c r="H402" s="10" t="s">
        <v>123</v>
      </c>
      <c r="I402" s="10" t="s">
        <v>197</v>
      </c>
      <c r="J402" s="10" t="s">
        <v>348</v>
      </c>
      <c r="K402" s="31">
        <v>66000</v>
      </c>
      <c r="L402" s="10" t="s">
        <v>1431</v>
      </c>
      <c r="M402" s="10"/>
      <c r="N402" s="10" t="s">
        <v>3289</v>
      </c>
      <c r="O402" s="10" t="s">
        <v>2019</v>
      </c>
    </row>
    <row r="403" spans="1:15" x14ac:dyDescent="0.3">
      <c r="A403" s="10" t="s">
        <v>1903</v>
      </c>
      <c r="B403" s="10" t="s">
        <v>3290</v>
      </c>
      <c r="C403" s="10" t="s">
        <v>3291</v>
      </c>
      <c r="D403" s="10" t="s">
        <v>264</v>
      </c>
      <c r="E403" s="10" t="s">
        <v>1431</v>
      </c>
      <c r="F403" s="10" t="s">
        <v>614</v>
      </c>
      <c r="G403" s="10" t="s">
        <v>614</v>
      </c>
      <c r="H403" s="10" t="s">
        <v>123</v>
      </c>
      <c r="I403" s="10" t="s">
        <v>191</v>
      </c>
      <c r="J403" s="10" t="s">
        <v>348</v>
      </c>
      <c r="K403" s="31">
        <v>106632</v>
      </c>
      <c r="L403" s="10" t="s">
        <v>1431</v>
      </c>
      <c r="M403" s="10"/>
      <c r="N403" s="10" t="s">
        <v>3292</v>
      </c>
      <c r="O403" s="10" t="s">
        <v>2019</v>
      </c>
    </row>
    <row r="404" spans="1:15" x14ac:dyDescent="0.3">
      <c r="A404" s="10" t="s">
        <v>254</v>
      </c>
      <c r="B404" s="10" t="s">
        <v>3293</v>
      </c>
      <c r="C404" s="10" t="s">
        <v>3294</v>
      </c>
      <c r="D404" s="10" t="s">
        <v>247</v>
      </c>
      <c r="E404" s="10" t="s">
        <v>1431</v>
      </c>
      <c r="F404" s="10" t="s">
        <v>2890</v>
      </c>
      <c r="G404" s="10" t="s">
        <v>245</v>
      </c>
      <c r="H404" s="10" t="s">
        <v>113</v>
      </c>
      <c r="I404" s="10" t="s">
        <v>184</v>
      </c>
      <c r="J404" s="10" t="s">
        <v>249</v>
      </c>
      <c r="K404" s="31">
        <v>58812</v>
      </c>
      <c r="L404" s="10" t="s">
        <v>1431</v>
      </c>
      <c r="M404" s="10"/>
      <c r="N404" s="10" t="s">
        <v>3295</v>
      </c>
      <c r="O404" s="10"/>
    </row>
    <row r="405" spans="1:15" x14ac:dyDescent="0.3">
      <c r="A405" s="10" t="s">
        <v>1904</v>
      </c>
      <c r="B405" s="10" t="s">
        <v>3296</v>
      </c>
      <c r="C405" s="10" t="s">
        <v>3297</v>
      </c>
      <c r="D405" s="10" t="s">
        <v>247</v>
      </c>
      <c r="E405" s="10" t="s">
        <v>1431</v>
      </c>
      <c r="F405" s="10" t="s">
        <v>596</v>
      </c>
      <c r="G405" s="10" t="s">
        <v>596</v>
      </c>
      <c r="H405" s="10" t="s">
        <v>123</v>
      </c>
      <c r="I405" s="10" t="s">
        <v>197</v>
      </c>
      <c r="J405" s="10" t="s">
        <v>348</v>
      </c>
      <c r="K405" s="31">
        <v>216000</v>
      </c>
      <c r="L405" s="10" t="s">
        <v>1431</v>
      </c>
      <c r="M405" s="10"/>
      <c r="N405" s="10" t="s">
        <v>3298</v>
      </c>
      <c r="O405" s="10" t="s">
        <v>2052</v>
      </c>
    </row>
    <row r="406" spans="1:15" x14ac:dyDescent="0.3">
      <c r="A406" s="10" t="s">
        <v>1905</v>
      </c>
      <c r="B406" s="10" t="s">
        <v>3299</v>
      </c>
      <c r="C406" s="10" t="s">
        <v>3300</v>
      </c>
      <c r="D406" s="10" t="s">
        <v>247</v>
      </c>
      <c r="E406" s="10" t="s">
        <v>1431</v>
      </c>
      <c r="F406" s="10"/>
      <c r="G406" s="10"/>
      <c r="H406" s="10"/>
      <c r="I406" s="10" t="s">
        <v>2064</v>
      </c>
      <c r="J406" s="10"/>
      <c r="K406" s="31">
        <v>0</v>
      </c>
      <c r="L406" s="10" t="s">
        <v>1433</v>
      </c>
      <c r="M406" s="10" t="s">
        <v>2065</v>
      </c>
      <c r="N406" s="10" t="s">
        <v>3301</v>
      </c>
      <c r="O406" s="10"/>
    </row>
    <row r="407" spans="1:15" x14ac:dyDescent="0.3">
      <c r="A407" s="10" t="s">
        <v>1905</v>
      </c>
      <c r="B407" s="10" t="s">
        <v>3302</v>
      </c>
      <c r="C407" s="10" t="s">
        <v>3303</v>
      </c>
      <c r="D407" s="10" t="s">
        <v>251</v>
      </c>
      <c r="E407" s="10" t="s">
        <v>1433</v>
      </c>
      <c r="F407" s="10" t="s">
        <v>3304</v>
      </c>
      <c r="G407" s="10" t="s">
        <v>3305</v>
      </c>
      <c r="H407" s="10" t="s">
        <v>123</v>
      </c>
      <c r="I407" s="10" t="s">
        <v>199</v>
      </c>
      <c r="J407" s="10" t="s">
        <v>348</v>
      </c>
      <c r="K407" s="31">
        <v>78000</v>
      </c>
      <c r="L407" s="10" t="s">
        <v>1433</v>
      </c>
      <c r="M407" s="10" t="s">
        <v>2138</v>
      </c>
      <c r="N407" s="10" t="s">
        <v>3306</v>
      </c>
      <c r="O407" s="10" t="s">
        <v>2019</v>
      </c>
    </row>
    <row r="408" spans="1:15" x14ac:dyDescent="0.3">
      <c r="A408" s="10" t="s">
        <v>1906</v>
      </c>
      <c r="B408" s="10" t="s">
        <v>3307</v>
      </c>
      <c r="C408" s="10" t="s">
        <v>3308</v>
      </c>
      <c r="D408" s="10" t="s">
        <v>247</v>
      </c>
      <c r="E408" s="10" t="s">
        <v>1431</v>
      </c>
      <c r="F408" s="10" t="s">
        <v>3309</v>
      </c>
      <c r="G408" s="10" t="s">
        <v>404</v>
      </c>
      <c r="H408" s="10" t="s">
        <v>123</v>
      </c>
      <c r="I408" s="10" t="s">
        <v>189</v>
      </c>
      <c r="J408" s="10" t="s">
        <v>348</v>
      </c>
      <c r="K408" s="31">
        <v>96000</v>
      </c>
      <c r="L408" s="10" t="s">
        <v>1431</v>
      </c>
      <c r="M408" s="10"/>
      <c r="N408" s="10" t="s">
        <v>3310</v>
      </c>
      <c r="O408" s="10"/>
    </row>
    <row r="409" spans="1:15" x14ac:dyDescent="0.3">
      <c r="A409" s="10" t="s">
        <v>1906</v>
      </c>
      <c r="B409" s="10" t="s">
        <v>3311</v>
      </c>
      <c r="C409" s="10" t="s">
        <v>3312</v>
      </c>
      <c r="D409" s="10" t="s">
        <v>259</v>
      </c>
      <c r="E409" s="10" t="s">
        <v>1431</v>
      </c>
      <c r="F409" s="10" t="s">
        <v>3313</v>
      </c>
      <c r="G409" s="10" t="s">
        <v>404</v>
      </c>
      <c r="H409" s="10" t="s">
        <v>123</v>
      </c>
      <c r="I409" s="10" t="s">
        <v>189</v>
      </c>
      <c r="J409" s="10" t="s">
        <v>348</v>
      </c>
      <c r="K409" s="31">
        <v>90000</v>
      </c>
      <c r="L409" s="10" t="s">
        <v>1431</v>
      </c>
      <c r="M409" s="10"/>
      <c r="N409" s="10" t="s">
        <v>3314</v>
      </c>
      <c r="O409" s="10"/>
    </row>
    <row r="410" spans="1:15" x14ac:dyDescent="0.3">
      <c r="A410" s="10" t="s">
        <v>1907</v>
      </c>
      <c r="B410" s="10" t="s">
        <v>3315</v>
      </c>
      <c r="C410" s="10" t="s">
        <v>3316</v>
      </c>
      <c r="D410" s="10" t="s">
        <v>247</v>
      </c>
      <c r="E410" s="10" t="s">
        <v>1431</v>
      </c>
      <c r="F410" s="10" t="s">
        <v>459</v>
      </c>
      <c r="G410" s="10" t="s">
        <v>459</v>
      </c>
      <c r="H410" s="10" t="s">
        <v>123</v>
      </c>
      <c r="I410" s="10" t="s">
        <v>191</v>
      </c>
      <c r="J410" s="10" t="s">
        <v>348</v>
      </c>
      <c r="K410" s="31">
        <v>42000</v>
      </c>
      <c r="L410" s="10" t="s">
        <v>1431</v>
      </c>
      <c r="M410" s="10"/>
      <c r="N410" s="10" t="s">
        <v>3317</v>
      </c>
      <c r="O410" s="10"/>
    </row>
    <row r="411" spans="1:15" x14ac:dyDescent="0.3">
      <c r="A411" s="10" t="s">
        <v>1907</v>
      </c>
      <c r="B411" s="10" t="s">
        <v>3318</v>
      </c>
      <c r="C411" s="10" t="s">
        <v>3319</v>
      </c>
      <c r="D411" s="10" t="s">
        <v>264</v>
      </c>
      <c r="E411" s="10" t="s">
        <v>1431</v>
      </c>
      <c r="F411" s="10" t="s">
        <v>3320</v>
      </c>
      <c r="G411" s="10" t="s">
        <v>435</v>
      </c>
      <c r="H411" s="10" t="s">
        <v>123</v>
      </c>
      <c r="I411" s="10" t="s">
        <v>189</v>
      </c>
      <c r="J411" s="10" t="s">
        <v>348</v>
      </c>
      <c r="K411" s="31">
        <v>64800</v>
      </c>
      <c r="L411" s="10" t="s">
        <v>1431</v>
      </c>
      <c r="M411" s="10"/>
      <c r="N411" s="10" t="s">
        <v>3321</v>
      </c>
      <c r="O411" s="10"/>
    </row>
    <row r="412" spans="1:15" x14ac:dyDescent="0.3">
      <c r="A412" s="10" t="s">
        <v>1908</v>
      </c>
      <c r="B412" s="10" t="s">
        <v>3322</v>
      </c>
      <c r="C412" s="10" t="s">
        <v>3323</v>
      </c>
      <c r="D412" s="10" t="s">
        <v>247</v>
      </c>
      <c r="E412" s="10" t="s">
        <v>1431</v>
      </c>
      <c r="F412" s="10" t="s">
        <v>485</v>
      </c>
      <c r="G412" s="10" t="s">
        <v>485</v>
      </c>
      <c r="H412" s="10" t="s">
        <v>123</v>
      </c>
      <c r="I412" s="10" t="s">
        <v>189</v>
      </c>
      <c r="J412" s="10" t="s">
        <v>348</v>
      </c>
      <c r="K412" s="31">
        <v>58704</v>
      </c>
      <c r="L412" s="10" t="s">
        <v>1431</v>
      </c>
      <c r="M412" s="10"/>
      <c r="N412" s="10" t="s">
        <v>3324</v>
      </c>
      <c r="O412" s="10" t="s">
        <v>2052</v>
      </c>
    </row>
    <row r="413" spans="1:15" x14ac:dyDescent="0.3">
      <c r="A413" s="10" t="s">
        <v>1908</v>
      </c>
      <c r="B413" s="10" t="s">
        <v>3325</v>
      </c>
      <c r="C413" s="10" t="s">
        <v>3326</v>
      </c>
      <c r="D413" s="10" t="s">
        <v>259</v>
      </c>
      <c r="E413" s="10" t="s">
        <v>1431</v>
      </c>
      <c r="F413" s="10"/>
      <c r="G413" s="10"/>
      <c r="H413" s="10"/>
      <c r="I413" s="10" t="s">
        <v>2064</v>
      </c>
      <c r="J413" s="10"/>
      <c r="K413" s="31">
        <v>24192</v>
      </c>
      <c r="L413" s="10" t="s">
        <v>1431</v>
      </c>
      <c r="M413" s="10"/>
      <c r="N413" s="10" t="s">
        <v>3327</v>
      </c>
      <c r="O413" s="10" t="s">
        <v>2019</v>
      </c>
    </row>
    <row r="414" spans="1:15" x14ac:dyDescent="0.3">
      <c r="A414" s="10" t="s">
        <v>1909</v>
      </c>
      <c r="B414" s="10" t="s">
        <v>3328</v>
      </c>
      <c r="C414" s="10" t="s">
        <v>3329</v>
      </c>
      <c r="D414" s="10" t="s">
        <v>247</v>
      </c>
      <c r="E414" s="10" t="s">
        <v>1431</v>
      </c>
      <c r="F414" s="10" t="s">
        <v>2453</v>
      </c>
      <c r="G414" s="10" t="s">
        <v>359</v>
      </c>
      <c r="H414" s="10" t="s">
        <v>123</v>
      </c>
      <c r="I414" s="10" t="s">
        <v>190</v>
      </c>
      <c r="J414" s="10" t="s">
        <v>348</v>
      </c>
      <c r="K414" s="31">
        <v>42000</v>
      </c>
      <c r="L414" s="10" t="s">
        <v>1431</v>
      </c>
      <c r="M414" s="10"/>
      <c r="N414" s="10" t="s">
        <v>3330</v>
      </c>
      <c r="O414" s="10"/>
    </row>
    <row r="415" spans="1:15" x14ac:dyDescent="0.3">
      <c r="A415" s="10" t="s">
        <v>1909</v>
      </c>
      <c r="B415" s="10" t="s">
        <v>3331</v>
      </c>
      <c r="C415" s="10" t="s">
        <v>3332</v>
      </c>
      <c r="D415" s="10" t="s">
        <v>259</v>
      </c>
      <c r="E415" s="10" t="s">
        <v>1431</v>
      </c>
      <c r="F415" s="10" t="s">
        <v>3333</v>
      </c>
      <c r="G415" s="10" t="s">
        <v>359</v>
      </c>
      <c r="H415" s="10" t="s">
        <v>123</v>
      </c>
      <c r="I415" s="10" t="s">
        <v>190</v>
      </c>
      <c r="J415" s="10" t="s">
        <v>348</v>
      </c>
      <c r="K415" s="31">
        <v>36000</v>
      </c>
      <c r="L415" s="10" t="s">
        <v>1431</v>
      </c>
      <c r="M415" s="10"/>
      <c r="N415" s="10" t="s">
        <v>3334</v>
      </c>
      <c r="O415" s="10"/>
    </row>
    <row r="416" spans="1:15" x14ac:dyDescent="0.3">
      <c r="A416" s="10" t="s">
        <v>1910</v>
      </c>
      <c r="B416" s="10" t="s">
        <v>3335</v>
      </c>
      <c r="C416" s="10" t="s">
        <v>3336</v>
      </c>
      <c r="D416" s="10" t="s">
        <v>247</v>
      </c>
      <c r="E416" s="10" t="s">
        <v>1431</v>
      </c>
      <c r="F416" s="10" t="s">
        <v>564</v>
      </c>
      <c r="G416" s="10" t="s">
        <v>564</v>
      </c>
      <c r="H416" s="10" t="s">
        <v>123</v>
      </c>
      <c r="I416" s="10" t="s">
        <v>195</v>
      </c>
      <c r="J416" s="10" t="s">
        <v>348</v>
      </c>
      <c r="K416" s="31">
        <v>50760</v>
      </c>
      <c r="L416" s="10" t="s">
        <v>1431</v>
      </c>
      <c r="M416" s="10"/>
      <c r="N416" s="10" t="s">
        <v>3337</v>
      </c>
      <c r="O416" s="10" t="s">
        <v>2052</v>
      </c>
    </row>
    <row r="417" spans="1:15" x14ac:dyDescent="0.3">
      <c r="A417" s="10" t="s">
        <v>1910</v>
      </c>
      <c r="B417" s="10" t="s">
        <v>3338</v>
      </c>
      <c r="C417" s="10" t="s">
        <v>3339</v>
      </c>
      <c r="D417" s="10" t="s">
        <v>259</v>
      </c>
      <c r="E417" s="10" t="s">
        <v>1431</v>
      </c>
      <c r="F417" s="10" t="s">
        <v>3340</v>
      </c>
      <c r="G417" s="10" t="s">
        <v>354</v>
      </c>
      <c r="H417" s="10" t="s">
        <v>123</v>
      </c>
      <c r="I417" s="10" t="s">
        <v>191</v>
      </c>
      <c r="J417" s="10" t="s">
        <v>348</v>
      </c>
      <c r="K417" s="31">
        <v>38400</v>
      </c>
      <c r="L417" s="10" t="s">
        <v>1431</v>
      </c>
      <c r="M417" s="10"/>
      <c r="N417" s="10" t="s">
        <v>3341</v>
      </c>
      <c r="O417" s="10" t="s">
        <v>2052</v>
      </c>
    </row>
    <row r="418" spans="1:15" x14ac:dyDescent="0.3">
      <c r="A418" s="10" t="s">
        <v>1911</v>
      </c>
      <c r="B418" s="10" t="s">
        <v>3342</v>
      </c>
      <c r="C418" s="10" t="s">
        <v>3343</v>
      </c>
      <c r="D418" s="10" t="s">
        <v>247</v>
      </c>
      <c r="E418" s="10" t="s">
        <v>1431</v>
      </c>
      <c r="F418" s="10" t="s">
        <v>603</v>
      </c>
      <c r="G418" s="10" t="s">
        <v>603</v>
      </c>
      <c r="H418" s="10" t="s">
        <v>123</v>
      </c>
      <c r="I418" s="10" t="s">
        <v>195</v>
      </c>
      <c r="J418" s="10" t="s">
        <v>348</v>
      </c>
      <c r="K418" s="31">
        <v>145020</v>
      </c>
      <c r="L418" s="10" t="s">
        <v>1431</v>
      </c>
      <c r="M418" s="10"/>
      <c r="N418" s="10" t="s">
        <v>3344</v>
      </c>
      <c r="O418" s="10" t="s">
        <v>2019</v>
      </c>
    </row>
    <row r="419" spans="1:15" x14ac:dyDescent="0.3">
      <c r="A419" s="10" t="s">
        <v>1912</v>
      </c>
      <c r="B419" s="10" t="s">
        <v>3345</v>
      </c>
      <c r="C419" s="10" t="s">
        <v>3346</v>
      </c>
      <c r="D419" s="10" t="s">
        <v>247</v>
      </c>
      <c r="E419" s="10" t="s">
        <v>1431</v>
      </c>
      <c r="F419" s="10" t="s">
        <v>2063</v>
      </c>
      <c r="G419" s="10"/>
      <c r="H419" s="10"/>
      <c r="I419" s="10" t="s">
        <v>2064</v>
      </c>
      <c r="J419" s="10"/>
      <c r="K419" s="31">
        <v>36000</v>
      </c>
      <c r="L419" s="10" t="s">
        <v>1431</v>
      </c>
      <c r="M419" s="10"/>
      <c r="N419" s="10" t="s">
        <v>3347</v>
      </c>
      <c r="O419" s="10" t="s">
        <v>2019</v>
      </c>
    </row>
    <row r="420" spans="1:15" x14ac:dyDescent="0.3">
      <c r="A420" s="10" t="s">
        <v>1912</v>
      </c>
      <c r="B420" s="10" t="s">
        <v>3348</v>
      </c>
      <c r="C420" s="10" t="s">
        <v>3349</v>
      </c>
      <c r="D420" s="10" t="s">
        <v>251</v>
      </c>
      <c r="E420" s="10" t="s">
        <v>1433</v>
      </c>
      <c r="F420" s="10" t="s">
        <v>503</v>
      </c>
      <c r="G420" s="10" t="s">
        <v>503</v>
      </c>
      <c r="H420" s="10" t="s">
        <v>123</v>
      </c>
      <c r="I420" s="10" t="s">
        <v>197</v>
      </c>
      <c r="J420" s="10" t="s">
        <v>348</v>
      </c>
      <c r="K420" s="31">
        <v>108000</v>
      </c>
      <c r="L420" s="10" t="s">
        <v>1433</v>
      </c>
      <c r="M420" s="10" t="s">
        <v>2138</v>
      </c>
      <c r="N420" s="10" t="s">
        <v>3350</v>
      </c>
      <c r="O420" s="10"/>
    </row>
    <row r="421" spans="1:15" x14ac:dyDescent="0.3">
      <c r="A421" s="10" t="s">
        <v>1912</v>
      </c>
      <c r="B421" s="10" t="s">
        <v>3351</v>
      </c>
      <c r="C421" s="10" t="s">
        <v>3352</v>
      </c>
      <c r="D421" s="10" t="s">
        <v>264</v>
      </c>
      <c r="E421" s="10" t="s">
        <v>1431</v>
      </c>
      <c r="F421" s="10" t="s">
        <v>503</v>
      </c>
      <c r="G421" s="10" t="s">
        <v>503</v>
      </c>
      <c r="H421" s="10" t="s">
        <v>123</v>
      </c>
      <c r="I421" s="10" t="s">
        <v>197</v>
      </c>
      <c r="J421" s="10" t="s">
        <v>348</v>
      </c>
      <c r="K421" s="31">
        <v>108000</v>
      </c>
      <c r="L421" s="10" t="s">
        <v>1431</v>
      </c>
      <c r="M421" s="10"/>
      <c r="N421" s="10" t="s">
        <v>3350</v>
      </c>
      <c r="O421" s="10"/>
    </row>
    <row r="422" spans="1:15" x14ac:dyDescent="0.3">
      <c r="A422" s="10" t="s">
        <v>1913</v>
      </c>
      <c r="B422" s="10" t="s">
        <v>3353</v>
      </c>
      <c r="C422" s="10" t="s">
        <v>3354</v>
      </c>
      <c r="D422" s="10" t="s">
        <v>247</v>
      </c>
      <c r="E422" s="10" t="s">
        <v>1431</v>
      </c>
      <c r="F422" s="10" t="s">
        <v>358</v>
      </c>
      <c r="G422" s="10" t="s">
        <v>358</v>
      </c>
      <c r="H422" s="10" t="s">
        <v>123</v>
      </c>
      <c r="I422" s="10" t="s">
        <v>190</v>
      </c>
      <c r="J422" s="10" t="s">
        <v>348</v>
      </c>
      <c r="K422" s="31">
        <v>44832</v>
      </c>
      <c r="L422" s="10" t="s">
        <v>1431</v>
      </c>
      <c r="M422" s="10"/>
      <c r="N422" s="10" t="s">
        <v>3355</v>
      </c>
      <c r="O422" s="10" t="s">
        <v>2019</v>
      </c>
    </row>
    <row r="423" spans="1:15" x14ac:dyDescent="0.3">
      <c r="A423" s="10" t="s">
        <v>1913</v>
      </c>
      <c r="B423" s="10" t="s">
        <v>3356</v>
      </c>
      <c r="C423" s="10" t="s">
        <v>3357</v>
      </c>
      <c r="D423" s="10" t="s">
        <v>259</v>
      </c>
      <c r="E423" s="10" t="s">
        <v>1431</v>
      </c>
      <c r="F423" s="10" t="s">
        <v>3358</v>
      </c>
      <c r="G423" s="10" t="s">
        <v>393</v>
      </c>
      <c r="H423" s="10" t="s">
        <v>123</v>
      </c>
      <c r="I423" s="10" t="s">
        <v>192</v>
      </c>
      <c r="J423" s="10" t="s">
        <v>348</v>
      </c>
      <c r="K423" s="31">
        <v>139224</v>
      </c>
      <c r="L423" s="10" t="s">
        <v>1433</v>
      </c>
      <c r="M423" s="10" t="s">
        <v>2092</v>
      </c>
      <c r="N423" s="10" t="s">
        <v>3359</v>
      </c>
      <c r="O423" s="10" t="s">
        <v>2019</v>
      </c>
    </row>
    <row r="424" spans="1:15" x14ac:dyDescent="0.3">
      <c r="A424" s="10" t="s">
        <v>1913</v>
      </c>
      <c r="B424" s="10" t="s">
        <v>3360</v>
      </c>
      <c r="C424" s="10" t="s">
        <v>3361</v>
      </c>
      <c r="D424" s="10" t="s">
        <v>264</v>
      </c>
      <c r="E424" s="10" t="s">
        <v>1431</v>
      </c>
      <c r="F424" s="10" t="s">
        <v>3358</v>
      </c>
      <c r="G424" s="10" t="s">
        <v>393</v>
      </c>
      <c r="H424" s="10" t="s">
        <v>123</v>
      </c>
      <c r="I424" s="10" t="s">
        <v>192</v>
      </c>
      <c r="J424" s="10" t="s">
        <v>348</v>
      </c>
      <c r="K424" s="31">
        <v>139224</v>
      </c>
      <c r="L424" s="10" t="s">
        <v>1431</v>
      </c>
      <c r="M424" s="10"/>
      <c r="N424" s="10" t="s">
        <v>3359</v>
      </c>
      <c r="O424" s="10" t="s">
        <v>2019</v>
      </c>
    </row>
    <row r="425" spans="1:15" x14ac:dyDescent="0.3">
      <c r="A425" s="10" t="s">
        <v>1914</v>
      </c>
      <c r="B425" s="10" t="s">
        <v>3362</v>
      </c>
      <c r="C425" s="10" t="s">
        <v>3363</v>
      </c>
      <c r="D425" s="10" t="s">
        <v>247</v>
      </c>
      <c r="E425" s="10" t="s">
        <v>1431</v>
      </c>
      <c r="F425" s="10" t="s">
        <v>3364</v>
      </c>
      <c r="G425" s="10" t="s">
        <v>487</v>
      </c>
      <c r="H425" s="10" t="s">
        <v>123</v>
      </c>
      <c r="I425" s="10" t="s">
        <v>194</v>
      </c>
      <c r="J425" s="10" t="s">
        <v>348</v>
      </c>
      <c r="K425" s="31">
        <v>89400</v>
      </c>
      <c r="L425" s="10" t="s">
        <v>1431</v>
      </c>
      <c r="M425" s="10"/>
      <c r="N425" s="10" t="s">
        <v>3365</v>
      </c>
      <c r="O425" s="10"/>
    </row>
    <row r="426" spans="1:15" x14ac:dyDescent="0.3">
      <c r="A426" s="10" t="s">
        <v>1914</v>
      </c>
      <c r="B426" s="10" t="s">
        <v>3366</v>
      </c>
      <c r="C426" s="10" t="s">
        <v>3367</v>
      </c>
      <c r="D426" s="10" t="s">
        <v>2079</v>
      </c>
      <c r="E426" s="10" t="s">
        <v>1431</v>
      </c>
      <c r="F426" s="10"/>
      <c r="G426" s="10"/>
      <c r="H426" s="10"/>
      <c r="I426" s="10" t="s">
        <v>2064</v>
      </c>
      <c r="J426" s="10"/>
      <c r="K426" s="31">
        <v>0</v>
      </c>
      <c r="L426" s="10" t="s">
        <v>1433</v>
      </c>
      <c r="M426" s="10" t="s">
        <v>2065</v>
      </c>
      <c r="N426" s="10"/>
      <c r="O426" s="10"/>
    </row>
    <row r="427" spans="1:15" x14ac:dyDescent="0.3">
      <c r="A427" s="10" t="s">
        <v>1914</v>
      </c>
      <c r="B427" s="10" t="s">
        <v>3368</v>
      </c>
      <c r="C427" s="10" t="s">
        <v>3369</v>
      </c>
      <c r="D427" s="10" t="s">
        <v>2079</v>
      </c>
      <c r="E427" s="10" t="s">
        <v>1431</v>
      </c>
      <c r="F427" s="10"/>
      <c r="G427" s="10"/>
      <c r="H427" s="10"/>
      <c r="I427" s="10" t="s">
        <v>2064</v>
      </c>
      <c r="J427" s="10"/>
      <c r="K427" s="31">
        <v>0</v>
      </c>
      <c r="L427" s="10" t="s">
        <v>1433</v>
      </c>
      <c r="M427" s="10" t="s">
        <v>2065</v>
      </c>
      <c r="N427" s="10"/>
      <c r="O427" s="10"/>
    </row>
    <row r="428" spans="1:15" x14ac:dyDescent="0.3">
      <c r="A428" s="10" t="s">
        <v>1914</v>
      </c>
      <c r="B428" s="10" t="s">
        <v>3370</v>
      </c>
      <c r="C428" s="10" t="s">
        <v>3371</v>
      </c>
      <c r="D428" s="10" t="s">
        <v>2079</v>
      </c>
      <c r="E428" s="10" t="s">
        <v>1431</v>
      </c>
      <c r="F428" s="10"/>
      <c r="G428" s="10"/>
      <c r="H428" s="10"/>
      <c r="I428" s="10" t="s">
        <v>2064</v>
      </c>
      <c r="J428" s="10"/>
      <c r="K428" s="31">
        <v>0</v>
      </c>
      <c r="L428" s="10" t="s">
        <v>1433</v>
      </c>
      <c r="M428" s="10" t="s">
        <v>2065</v>
      </c>
      <c r="N428" s="10"/>
      <c r="O428" s="10"/>
    </row>
    <row r="429" spans="1:15" x14ac:dyDescent="0.3">
      <c r="A429" s="10" t="s">
        <v>1915</v>
      </c>
      <c r="B429" s="10" t="s">
        <v>3372</v>
      </c>
      <c r="C429" s="10" t="s">
        <v>3373</v>
      </c>
      <c r="D429" s="10" t="s">
        <v>247</v>
      </c>
      <c r="E429" s="10" t="s">
        <v>1431</v>
      </c>
      <c r="F429" s="10" t="s">
        <v>3374</v>
      </c>
      <c r="G429" s="10" t="s">
        <v>624</v>
      </c>
      <c r="H429" s="10" t="s">
        <v>123</v>
      </c>
      <c r="I429" s="10" t="s">
        <v>199</v>
      </c>
      <c r="J429" s="10" t="s">
        <v>348</v>
      </c>
      <c r="K429" s="31">
        <v>42000</v>
      </c>
      <c r="L429" s="10" t="s">
        <v>1431</v>
      </c>
      <c r="M429" s="10"/>
      <c r="N429" s="10" t="s">
        <v>3375</v>
      </c>
      <c r="O429" s="10"/>
    </row>
    <row r="430" spans="1:15" x14ac:dyDescent="0.3">
      <c r="A430" s="10" t="s">
        <v>1916</v>
      </c>
      <c r="B430" s="10" t="s">
        <v>3376</v>
      </c>
      <c r="C430" s="10" t="s">
        <v>3377</v>
      </c>
      <c r="D430" s="10" t="s">
        <v>247</v>
      </c>
      <c r="E430" s="10" t="s">
        <v>1431</v>
      </c>
      <c r="F430" s="10" t="s">
        <v>3378</v>
      </c>
      <c r="G430" s="10" t="s">
        <v>354</v>
      </c>
      <c r="H430" s="10" t="s">
        <v>123</v>
      </c>
      <c r="I430" s="10" t="s">
        <v>191</v>
      </c>
      <c r="J430" s="10" t="s">
        <v>348</v>
      </c>
      <c r="K430" s="31">
        <v>28800</v>
      </c>
      <c r="L430" s="10" t="s">
        <v>1431</v>
      </c>
      <c r="M430" s="10"/>
      <c r="N430" s="10" t="s">
        <v>3379</v>
      </c>
      <c r="O430" s="10"/>
    </row>
    <row r="431" spans="1:15" x14ac:dyDescent="0.3">
      <c r="A431" s="10" t="s">
        <v>1916</v>
      </c>
      <c r="B431" s="10" t="s">
        <v>3380</v>
      </c>
      <c r="C431" s="10" t="s">
        <v>3381</v>
      </c>
      <c r="D431" s="10" t="s">
        <v>259</v>
      </c>
      <c r="E431" s="10" t="s">
        <v>1431</v>
      </c>
      <c r="F431" s="10"/>
      <c r="G431" s="10"/>
      <c r="H431" s="10"/>
      <c r="I431" s="10" t="s">
        <v>2064</v>
      </c>
      <c r="J431" s="10"/>
      <c r="K431" s="31">
        <v>0</v>
      </c>
      <c r="L431" s="10" t="s">
        <v>1433</v>
      </c>
      <c r="M431" s="10" t="s">
        <v>2065</v>
      </c>
      <c r="N431" s="10" t="s">
        <v>3382</v>
      </c>
      <c r="O431" s="10"/>
    </row>
    <row r="432" spans="1:15" x14ac:dyDescent="0.3">
      <c r="A432" s="10" t="s">
        <v>1916</v>
      </c>
      <c r="B432" s="10" t="s">
        <v>3383</v>
      </c>
      <c r="C432" s="10" t="s">
        <v>3384</v>
      </c>
      <c r="D432" s="10" t="s">
        <v>2079</v>
      </c>
      <c r="E432" s="10" t="s">
        <v>1431</v>
      </c>
      <c r="F432" s="10"/>
      <c r="G432" s="10"/>
      <c r="H432" s="10"/>
      <c r="I432" s="10" t="s">
        <v>2064</v>
      </c>
      <c r="J432" s="10"/>
      <c r="K432" s="31">
        <v>0</v>
      </c>
      <c r="L432" s="10" t="s">
        <v>1433</v>
      </c>
      <c r="M432" s="10" t="s">
        <v>2065</v>
      </c>
      <c r="N432" s="10" t="s">
        <v>3382</v>
      </c>
      <c r="O432" s="10"/>
    </row>
    <row r="433" spans="1:15" x14ac:dyDescent="0.3">
      <c r="A433" s="10" t="s">
        <v>1917</v>
      </c>
      <c r="B433" s="10" t="s">
        <v>3385</v>
      </c>
      <c r="C433" s="10" t="s">
        <v>3386</v>
      </c>
      <c r="D433" s="10" t="s">
        <v>247</v>
      </c>
      <c r="E433" s="10" t="s">
        <v>1431</v>
      </c>
      <c r="F433" s="10" t="s">
        <v>755</v>
      </c>
      <c r="G433" s="10" t="s">
        <v>755</v>
      </c>
      <c r="H433" s="10" t="s">
        <v>123</v>
      </c>
      <c r="I433" s="10" t="s">
        <v>194</v>
      </c>
      <c r="J433" s="10" t="s">
        <v>348</v>
      </c>
      <c r="K433" s="31">
        <v>67896</v>
      </c>
      <c r="L433" s="10" t="s">
        <v>1431</v>
      </c>
      <c r="M433" s="10"/>
      <c r="N433" s="10" t="s">
        <v>2699</v>
      </c>
      <c r="O433" s="10"/>
    </row>
    <row r="434" spans="1:15" x14ac:dyDescent="0.3">
      <c r="A434" s="10" t="s">
        <v>1918</v>
      </c>
      <c r="B434" s="10" t="s">
        <v>3387</v>
      </c>
      <c r="C434" s="10" t="s">
        <v>3388</v>
      </c>
      <c r="D434" s="10" t="s">
        <v>247</v>
      </c>
      <c r="E434" s="10" t="s">
        <v>1431</v>
      </c>
      <c r="F434" s="10" t="s">
        <v>3389</v>
      </c>
      <c r="G434" s="10" t="s">
        <v>762</v>
      </c>
      <c r="H434" s="10" t="s">
        <v>123</v>
      </c>
      <c r="I434" s="10" t="s">
        <v>207</v>
      </c>
      <c r="J434" s="10" t="s">
        <v>348</v>
      </c>
      <c r="K434" s="31">
        <v>96000</v>
      </c>
      <c r="L434" s="10" t="s">
        <v>1431</v>
      </c>
      <c r="M434" s="10"/>
      <c r="N434" s="10" t="s">
        <v>2856</v>
      </c>
      <c r="O434" s="10"/>
    </row>
    <row r="435" spans="1:15" x14ac:dyDescent="0.3">
      <c r="A435" s="10" t="s">
        <v>1919</v>
      </c>
      <c r="B435" s="10" t="s">
        <v>3390</v>
      </c>
      <c r="C435" s="10" t="s">
        <v>3391</v>
      </c>
      <c r="D435" s="10" t="s">
        <v>247</v>
      </c>
      <c r="E435" s="10" t="s">
        <v>1431</v>
      </c>
      <c r="F435" s="10" t="s">
        <v>358</v>
      </c>
      <c r="G435" s="10" t="s">
        <v>358</v>
      </c>
      <c r="H435" s="10" t="s">
        <v>123</v>
      </c>
      <c r="I435" s="10" t="s">
        <v>190</v>
      </c>
      <c r="J435" s="10" t="s">
        <v>348</v>
      </c>
      <c r="K435" s="31">
        <v>16896</v>
      </c>
      <c r="L435" s="10" t="s">
        <v>1431</v>
      </c>
      <c r="M435" s="10"/>
      <c r="N435" s="10" t="s">
        <v>3392</v>
      </c>
      <c r="O435" s="10" t="s">
        <v>2052</v>
      </c>
    </row>
    <row r="436" spans="1:15" x14ac:dyDescent="0.3">
      <c r="A436" s="10" t="s">
        <v>1919</v>
      </c>
      <c r="B436" s="10" t="s">
        <v>3393</v>
      </c>
      <c r="C436" s="10" t="s">
        <v>3394</v>
      </c>
      <c r="D436" s="10" t="s">
        <v>259</v>
      </c>
      <c r="E436" s="10" t="s">
        <v>1431</v>
      </c>
      <c r="F436" s="10" t="s">
        <v>358</v>
      </c>
      <c r="G436" s="10" t="s">
        <v>358</v>
      </c>
      <c r="H436" s="10" t="s">
        <v>123</v>
      </c>
      <c r="I436" s="10" t="s">
        <v>190</v>
      </c>
      <c r="J436" s="10" t="s">
        <v>348</v>
      </c>
      <c r="K436" s="31">
        <v>15600</v>
      </c>
      <c r="L436" s="10" t="s">
        <v>1433</v>
      </c>
      <c r="M436" s="10" t="s">
        <v>2092</v>
      </c>
      <c r="N436" s="10" t="s">
        <v>3395</v>
      </c>
      <c r="O436" s="10" t="s">
        <v>2052</v>
      </c>
    </row>
    <row r="437" spans="1:15" x14ac:dyDescent="0.3">
      <c r="A437" s="10" t="s">
        <v>1919</v>
      </c>
      <c r="B437" s="10" t="s">
        <v>3396</v>
      </c>
      <c r="C437" s="10" t="s">
        <v>3397</v>
      </c>
      <c r="D437" s="10" t="s">
        <v>259</v>
      </c>
      <c r="E437" s="10" t="s">
        <v>1431</v>
      </c>
      <c r="F437" s="10" t="s">
        <v>358</v>
      </c>
      <c r="G437" s="10" t="s">
        <v>358</v>
      </c>
      <c r="H437" s="10" t="s">
        <v>123</v>
      </c>
      <c r="I437" s="10" t="s">
        <v>190</v>
      </c>
      <c r="J437" s="10" t="s">
        <v>348</v>
      </c>
      <c r="K437" s="31">
        <v>15600</v>
      </c>
      <c r="L437" s="10" t="s">
        <v>1431</v>
      </c>
      <c r="M437" s="10"/>
      <c r="N437" s="10" t="s">
        <v>3395</v>
      </c>
      <c r="O437" s="10" t="s">
        <v>2052</v>
      </c>
    </row>
    <row r="438" spans="1:15" x14ac:dyDescent="0.3">
      <c r="A438" s="10" t="s">
        <v>1920</v>
      </c>
      <c r="B438" s="10" t="s">
        <v>3398</v>
      </c>
      <c r="C438" s="10" t="s">
        <v>3399</v>
      </c>
      <c r="D438" s="10" t="s">
        <v>247</v>
      </c>
      <c r="E438" s="10" t="s">
        <v>1431</v>
      </c>
      <c r="F438" s="10" t="s">
        <v>3400</v>
      </c>
      <c r="G438" s="10" t="s">
        <v>669</v>
      </c>
      <c r="H438" s="10" t="s">
        <v>123</v>
      </c>
      <c r="I438" s="10" t="s">
        <v>199</v>
      </c>
      <c r="J438" s="10" t="s">
        <v>348</v>
      </c>
      <c r="K438" s="31">
        <v>96000</v>
      </c>
      <c r="L438" s="10" t="s">
        <v>1431</v>
      </c>
      <c r="M438" s="10"/>
      <c r="N438" s="10" t="s">
        <v>3401</v>
      </c>
      <c r="O438" s="10"/>
    </row>
    <row r="439" spans="1:15" x14ac:dyDescent="0.3">
      <c r="A439" s="10" t="s">
        <v>1920</v>
      </c>
      <c r="B439" s="10" t="s">
        <v>3402</v>
      </c>
      <c r="C439" s="10" t="s">
        <v>3403</v>
      </c>
      <c r="D439" s="10" t="s">
        <v>259</v>
      </c>
      <c r="E439" s="10" t="s">
        <v>1431</v>
      </c>
      <c r="F439" s="10" t="s">
        <v>3404</v>
      </c>
      <c r="G439" s="10" t="s">
        <v>480</v>
      </c>
      <c r="H439" s="10" t="s">
        <v>123</v>
      </c>
      <c r="I439" s="10" t="s">
        <v>191</v>
      </c>
      <c r="J439" s="10" t="s">
        <v>348</v>
      </c>
      <c r="K439" s="31">
        <v>360000</v>
      </c>
      <c r="L439" s="10" t="s">
        <v>1431</v>
      </c>
      <c r="M439" s="10"/>
      <c r="N439" s="10" t="s">
        <v>3405</v>
      </c>
      <c r="O439" s="10"/>
    </row>
    <row r="440" spans="1:15" x14ac:dyDescent="0.3">
      <c r="A440" s="10" t="s">
        <v>1921</v>
      </c>
      <c r="B440" s="10" t="s">
        <v>3406</v>
      </c>
      <c r="C440" s="10" t="s">
        <v>3407</v>
      </c>
      <c r="D440" s="10" t="s">
        <v>247</v>
      </c>
      <c r="E440" s="10" t="s">
        <v>1431</v>
      </c>
      <c r="F440" s="10" t="s">
        <v>3408</v>
      </c>
      <c r="G440" s="10" t="s">
        <v>692</v>
      </c>
      <c r="H440" s="10" t="s">
        <v>123</v>
      </c>
      <c r="I440" s="10" t="s">
        <v>195</v>
      </c>
      <c r="J440" s="10" t="s">
        <v>348</v>
      </c>
      <c r="K440" s="31">
        <v>38400</v>
      </c>
      <c r="L440" s="10" t="s">
        <v>1431</v>
      </c>
      <c r="M440" s="10"/>
      <c r="N440" s="10" t="s">
        <v>3409</v>
      </c>
      <c r="O440" s="10"/>
    </row>
    <row r="441" spans="1:15" x14ac:dyDescent="0.3">
      <c r="A441" s="10" t="s">
        <v>1921</v>
      </c>
      <c r="B441" s="10" t="s">
        <v>3410</v>
      </c>
      <c r="C441" s="10" t="s">
        <v>3411</v>
      </c>
      <c r="D441" s="10" t="s">
        <v>259</v>
      </c>
      <c r="E441" s="10" t="s">
        <v>1431</v>
      </c>
      <c r="F441" s="10" t="s">
        <v>395</v>
      </c>
      <c r="G441" s="10" t="s">
        <v>395</v>
      </c>
      <c r="H441" s="10" t="s">
        <v>123</v>
      </c>
      <c r="I441" s="10" t="s">
        <v>189</v>
      </c>
      <c r="J441" s="10" t="s">
        <v>348</v>
      </c>
      <c r="K441" s="31">
        <v>26400</v>
      </c>
      <c r="L441" s="10" t="s">
        <v>1431</v>
      </c>
      <c r="M441" s="10"/>
      <c r="N441" s="10" t="s">
        <v>3412</v>
      </c>
      <c r="O441" s="10" t="s">
        <v>2052</v>
      </c>
    </row>
    <row r="442" spans="1:15" x14ac:dyDescent="0.3">
      <c r="A442" s="10" t="s">
        <v>1921</v>
      </c>
      <c r="B442" s="10" t="s">
        <v>3413</v>
      </c>
      <c r="C442" s="10" t="s">
        <v>3414</v>
      </c>
      <c r="D442" s="10" t="s">
        <v>259</v>
      </c>
      <c r="E442" s="10" t="s">
        <v>1431</v>
      </c>
      <c r="F442" s="10" t="s">
        <v>395</v>
      </c>
      <c r="G442" s="10" t="s">
        <v>395</v>
      </c>
      <c r="H442" s="10" t="s">
        <v>123</v>
      </c>
      <c r="I442" s="10" t="s">
        <v>189</v>
      </c>
      <c r="J442" s="10" t="s">
        <v>348</v>
      </c>
      <c r="K442" s="31">
        <v>26400</v>
      </c>
      <c r="L442" s="10" t="s">
        <v>1433</v>
      </c>
      <c r="M442" s="10" t="s">
        <v>2092</v>
      </c>
      <c r="N442" s="10" t="s">
        <v>3412</v>
      </c>
      <c r="O442" s="10" t="s">
        <v>2052</v>
      </c>
    </row>
    <row r="443" spans="1:15" x14ac:dyDescent="0.3">
      <c r="A443" s="10" t="s">
        <v>1922</v>
      </c>
      <c r="B443" s="10" t="s">
        <v>3415</v>
      </c>
      <c r="C443" s="10" t="s">
        <v>3416</v>
      </c>
      <c r="D443" s="10" t="s">
        <v>247</v>
      </c>
      <c r="E443" s="10" t="s">
        <v>1431</v>
      </c>
      <c r="F443" s="10" t="s">
        <v>479</v>
      </c>
      <c r="G443" s="10" t="s">
        <v>479</v>
      </c>
      <c r="H443" s="10" t="s">
        <v>123</v>
      </c>
      <c r="I443" s="10" t="s">
        <v>190</v>
      </c>
      <c r="J443" s="10" t="s">
        <v>348</v>
      </c>
      <c r="K443" s="31">
        <v>72000</v>
      </c>
      <c r="L443" s="10" t="s">
        <v>1431</v>
      </c>
      <c r="M443" s="10"/>
      <c r="N443" s="10" t="s">
        <v>3417</v>
      </c>
      <c r="O443" s="10" t="s">
        <v>2052</v>
      </c>
    </row>
    <row r="444" spans="1:15" x14ac:dyDescent="0.3">
      <c r="A444" s="10" t="s">
        <v>1922</v>
      </c>
      <c r="B444" s="10" t="s">
        <v>3418</v>
      </c>
      <c r="C444" s="10" t="s">
        <v>3419</v>
      </c>
      <c r="D444" s="10" t="s">
        <v>2079</v>
      </c>
      <c r="E444" s="10" t="s">
        <v>1431</v>
      </c>
      <c r="F444" s="10"/>
      <c r="G444" s="10"/>
      <c r="H444" s="10"/>
      <c r="I444" s="10" t="s">
        <v>2064</v>
      </c>
      <c r="J444" s="10"/>
      <c r="K444" s="31">
        <v>0</v>
      </c>
      <c r="L444" s="10" t="s">
        <v>1433</v>
      </c>
      <c r="M444" s="10" t="s">
        <v>2065</v>
      </c>
      <c r="N444" s="10" t="s">
        <v>3420</v>
      </c>
      <c r="O444" s="10"/>
    </row>
    <row r="445" spans="1:15" x14ac:dyDescent="0.3">
      <c r="A445" s="10" t="s">
        <v>1922</v>
      </c>
      <c r="B445" s="10" t="s">
        <v>3421</v>
      </c>
      <c r="C445" s="10" t="s">
        <v>3422</v>
      </c>
      <c r="D445" s="10" t="s">
        <v>259</v>
      </c>
      <c r="E445" s="10" t="s">
        <v>1431</v>
      </c>
      <c r="F445" s="10"/>
      <c r="G445" s="10"/>
      <c r="H445" s="10"/>
      <c r="I445" s="10" t="s">
        <v>2064</v>
      </c>
      <c r="J445" s="10"/>
      <c r="K445" s="31">
        <v>0</v>
      </c>
      <c r="L445" s="10" t="s">
        <v>1433</v>
      </c>
      <c r="M445" s="10" t="s">
        <v>2065</v>
      </c>
      <c r="N445" s="10" t="s">
        <v>3420</v>
      </c>
      <c r="O445" s="10"/>
    </row>
    <row r="446" spans="1:15" x14ac:dyDescent="0.3">
      <c r="A446" s="10" t="s">
        <v>1922</v>
      </c>
      <c r="B446" s="10" t="s">
        <v>3423</v>
      </c>
      <c r="C446" s="10" t="s">
        <v>3424</v>
      </c>
      <c r="D446" s="10" t="s">
        <v>259</v>
      </c>
      <c r="E446" s="10" t="s">
        <v>1431</v>
      </c>
      <c r="F446" s="10"/>
      <c r="G446" s="10"/>
      <c r="H446" s="10"/>
      <c r="I446" s="10" t="s">
        <v>2064</v>
      </c>
      <c r="J446" s="10"/>
      <c r="K446" s="31">
        <v>0</v>
      </c>
      <c r="L446" s="10" t="s">
        <v>1433</v>
      </c>
      <c r="M446" s="10" t="s">
        <v>2065</v>
      </c>
      <c r="N446" s="10" t="s">
        <v>3420</v>
      </c>
      <c r="O446" s="10"/>
    </row>
    <row r="447" spans="1:15" x14ac:dyDescent="0.3">
      <c r="A447" s="10" t="s">
        <v>1923</v>
      </c>
      <c r="B447" s="10" t="s">
        <v>3425</v>
      </c>
      <c r="C447" s="10" t="s">
        <v>3426</v>
      </c>
      <c r="D447" s="10" t="s">
        <v>247</v>
      </c>
      <c r="E447" s="10" t="s">
        <v>1431</v>
      </c>
      <c r="F447" s="10" t="s">
        <v>3427</v>
      </c>
      <c r="G447" s="10" t="s">
        <v>501</v>
      </c>
      <c r="H447" s="10" t="s">
        <v>123</v>
      </c>
      <c r="I447" s="10" t="s">
        <v>189</v>
      </c>
      <c r="J447" s="10" t="s">
        <v>348</v>
      </c>
      <c r="K447" s="31">
        <v>92700</v>
      </c>
      <c r="L447" s="10" t="s">
        <v>1431</v>
      </c>
      <c r="M447" s="10"/>
      <c r="N447" s="10" t="s">
        <v>3428</v>
      </c>
      <c r="O447" s="10"/>
    </row>
    <row r="448" spans="1:15" x14ac:dyDescent="0.3">
      <c r="A448" s="10" t="s">
        <v>1924</v>
      </c>
      <c r="B448" s="10" t="s">
        <v>3429</v>
      </c>
      <c r="C448" s="10" t="s">
        <v>3430</v>
      </c>
      <c r="D448" s="10" t="s">
        <v>247</v>
      </c>
      <c r="E448" s="10" t="s">
        <v>1431</v>
      </c>
      <c r="F448" s="10" t="s">
        <v>602</v>
      </c>
      <c r="G448" s="10" t="s">
        <v>602</v>
      </c>
      <c r="H448" s="10" t="s">
        <v>123</v>
      </c>
      <c r="I448" s="10" t="s">
        <v>190</v>
      </c>
      <c r="J448" s="10" t="s">
        <v>348</v>
      </c>
      <c r="K448" s="31">
        <v>21600</v>
      </c>
      <c r="L448" s="10" t="s">
        <v>1431</v>
      </c>
      <c r="M448" s="10"/>
      <c r="N448" s="10" t="s">
        <v>3431</v>
      </c>
      <c r="O448" s="10"/>
    </row>
    <row r="449" spans="1:15" x14ac:dyDescent="0.3">
      <c r="A449" s="10" t="s">
        <v>1924</v>
      </c>
      <c r="B449" s="10" t="s">
        <v>3432</v>
      </c>
      <c r="C449" s="10" t="s">
        <v>3433</v>
      </c>
      <c r="D449" s="10" t="s">
        <v>259</v>
      </c>
      <c r="E449" s="10" t="s">
        <v>1431</v>
      </c>
      <c r="F449" s="10" t="s">
        <v>3434</v>
      </c>
      <c r="G449" s="10" t="s">
        <v>441</v>
      </c>
      <c r="H449" s="10" t="s">
        <v>123</v>
      </c>
      <c r="I449" s="10" t="s">
        <v>197</v>
      </c>
      <c r="J449" s="10" t="s">
        <v>348</v>
      </c>
      <c r="K449" s="31">
        <v>36000</v>
      </c>
      <c r="L449" s="10" t="s">
        <v>1431</v>
      </c>
      <c r="M449" s="10"/>
      <c r="N449" s="10" t="s">
        <v>3435</v>
      </c>
      <c r="O449" s="10"/>
    </row>
    <row r="450" spans="1:15" x14ac:dyDescent="0.3">
      <c r="A450" s="10" t="s">
        <v>1925</v>
      </c>
      <c r="B450" s="10" t="s">
        <v>3436</v>
      </c>
      <c r="C450" s="10" t="s">
        <v>3437</v>
      </c>
      <c r="D450" s="10" t="s">
        <v>247</v>
      </c>
      <c r="E450" s="10" t="s">
        <v>1431</v>
      </c>
      <c r="F450" s="10" t="s">
        <v>703</v>
      </c>
      <c r="G450" s="10" t="s">
        <v>703</v>
      </c>
      <c r="H450" s="10" t="s">
        <v>123</v>
      </c>
      <c r="I450" s="10" t="s">
        <v>197</v>
      </c>
      <c r="J450" s="10" t="s">
        <v>348</v>
      </c>
      <c r="K450" s="31">
        <v>36000</v>
      </c>
      <c r="L450" s="10" t="s">
        <v>1431</v>
      </c>
      <c r="M450" s="10"/>
      <c r="N450" s="10" t="s">
        <v>3438</v>
      </c>
      <c r="O450" s="10"/>
    </row>
    <row r="451" spans="1:15" x14ac:dyDescent="0.3">
      <c r="A451" s="10" t="s">
        <v>1925</v>
      </c>
      <c r="B451" s="10" t="s">
        <v>3439</v>
      </c>
      <c r="C451" s="10" t="s">
        <v>3440</v>
      </c>
      <c r="D451" s="10" t="s">
        <v>259</v>
      </c>
      <c r="E451" s="10" t="s">
        <v>1431</v>
      </c>
      <c r="F451" s="10" t="s">
        <v>3441</v>
      </c>
      <c r="G451" s="10" t="s">
        <v>668</v>
      </c>
      <c r="H451" s="10" t="s">
        <v>123</v>
      </c>
      <c r="I451" s="10" t="s">
        <v>190</v>
      </c>
      <c r="J451" s="10" t="s">
        <v>348</v>
      </c>
      <c r="K451" s="31">
        <v>31200</v>
      </c>
      <c r="L451" s="10" t="s">
        <v>1431</v>
      </c>
      <c r="M451" s="10"/>
      <c r="N451" s="10" t="s">
        <v>3442</v>
      </c>
      <c r="O451" s="10"/>
    </row>
    <row r="452" spans="1:15" x14ac:dyDescent="0.3">
      <c r="A452" s="10" t="s">
        <v>1926</v>
      </c>
      <c r="B452" s="10" t="s">
        <v>3443</v>
      </c>
      <c r="C452" s="10" t="s">
        <v>3444</v>
      </c>
      <c r="D452" s="10" t="s">
        <v>247</v>
      </c>
      <c r="E452" s="10" t="s">
        <v>1431</v>
      </c>
      <c r="F452" s="10" t="s">
        <v>464</v>
      </c>
      <c r="G452" s="10" t="s">
        <v>464</v>
      </c>
      <c r="H452" s="10" t="s">
        <v>123</v>
      </c>
      <c r="I452" s="10" t="s">
        <v>197</v>
      </c>
      <c r="J452" s="10" t="s">
        <v>348</v>
      </c>
      <c r="K452" s="31">
        <v>37200</v>
      </c>
      <c r="L452" s="10" t="s">
        <v>1431</v>
      </c>
      <c r="M452" s="10"/>
      <c r="N452" s="10" t="s">
        <v>3445</v>
      </c>
      <c r="O452" s="10"/>
    </row>
    <row r="453" spans="1:15" x14ac:dyDescent="0.3">
      <c r="A453" s="10" t="s">
        <v>1926</v>
      </c>
      <c r="B453" s="10" t="s">
        <v>3446</v>
      </c>
      <c r="C453" s="10" t="s">
        <v>3447</v>
      </c>
      <c r="D453" s="10" t="s">
        <v>251</v>
      </c>
      <c r="E453" s="10" t="s">
        <v>1433</v>
      </c>
      <c r="F453" s="10" t="s">
        <v>721</v>
      </c>
      <c r="G453" s="10" t="s">
        <v>721</v>
      </c>
      <c r="H453" s="10" t="s">
        <v>123</v>
      </c>
      <c r="I453" s="10" t="s">
        <v>192</v>
      </c>
      <c r="J453" s="10" t="s">
        <v>348</v>
      </c>
      <c r="K453" s="31">
        <v>10800</v>
      </c>
      <c r="L453" s="10" t="s">
        <v>1433</v>
      </c>
      <c r="M453" s="10" t="s">
        <v>2138</v>
      </c>
      <c r="N453" s="10" t="s">
        <v>3448</v>
      </c>
      <c r="O453" s="10"/>
    </row>
    <row r="454" spans="1:15" x14ac:dyDescent="0.3">
      <c r="A454" s="10" t="s">
        <v>1926</v>
      </c>
      <c r="B454" s="10" t="s">
        <v>3449</v>
      </c>
      <c r="C454" s="10" t="s">
        <v>3450</v>
      </c>
      <c r="D454" s="10" t="s">
        <v>259</v>
      </c>
      <c r="E454" s="10" t="s">
        <v>1431</v>
      </c>
      <c r="F454" s="10" t="s">
        <v>721</v>
      </c>
      <c r="G454" s="10" t="s">
        <v>721</v>
      </c>
      <c r="H454" s="10" t="s">
        <v>123</v>
      </c>
      <c r="I454" s="10" t="s">
        <v>192</v>
      </c>
      <c r="J454" s="10" t="s">
        <v>348</v>
      </c>
      <c r="K454" s="31">
        <v>10800</v>
      </c>
      <c r="L454" s="10" t="s">
        <v>1431</v>
      </c>
      <c r="M454" s="10"/>
      <c r="N454" s="10" t="s">
        <v>3448</v>
      </c>
      <c r="O454" s="10"/>
    </row>
    <row r="455" spans="1:15" x14ac:dyDescent="0.3">
      <c r="A455" s="10" t="s">
        <v>1927</v>
      </c>
      <c r="B455" s="10" t="s">
        <v>3451</v>
      </c>
      <c r="C455" s="10" t="s">
        <v>3452</v>
      </c>
      <c r="D455" s="10" t="s">
        <v>247</v>
      </c>
      <c r="E455" s="10" t="s">
        <v>1431</v>
      </c>
      <c r="F455" s="10" t="s">
        <v>3453</v>
      </c>
      <c r="G455" s="10" t="s">
        <v>530</v>
      </c>
      <c r="H455" s="10" t="s">
        <v>123</v>
      </c>
      <c r="I455" s="10" t="s">
        <v>190</v>
      </c>
      <c r="J455" s="10" t="s">
        <v>348</v>
      </c>
      <c r="K455" s="31">
        <v>42240</v>
      </c>
      <c r="L455" s="10" t="s">
        <v>1431</v>
      </c>
      <c r="M455" s="10"/>
      <c r="N455" s="10" t="s">
        <v>3454</v>
      </c>
      <c r="O455" s="10"/>
    </row>
    <row r="456" spans="1:15" x14ac:dyDescent="0.3">
      <c r="A456" s="10" t="s">
        <v>1928</v>
      </c>
      <c r="B456" s="10" t="s">
        <v>3455</v>
      </c>
      <c r="C456" s="10" t="s">
        <v>3456</v>
      </c>
      <c r="D456" s="10" t="s">
        <v>247</v>
      </c>
      <c r="E456" s="10" t="s">
        <v>1431</v>
      </c>
      <c r="F456" s="10" t="s">
        <v>3457</v>
      </c>
      <c r="G456" s="10" t="s">
        <v>534</v>
      </c>
      <c r="H456" s="10" t="s">
        <v>123</v>
      </c>
      <c r="I456" s="10" t="s">
        <v>191</v>
      </c>
      <c r="J456" s="10" t="s">
        <v>348</v>
      </c>
      <c r="K456" s="31">
        <v>70164</v>
      </c>
      <c r="L456" s="10" t="s">
        <v>1431</v>
      </c>
      <c r="M456" s="10"/>
      <c r="N456" s="10" t="s">
        <v>3458</v>
      </c>
      <c r="O456" s="10"/>
    </row>
    <row r="457" spans="1:15" x14ac:dyDescent="0.3">
      <c r="A457" s="10" t="s">
        <v>1928</v>
      </c>
      <c r="B457" s="10" t="s">
        <v>3459</v>
      </c>
      <c r="C457" s="10" t="s">
        <v>3460</v>
      </c>
      <c r="D457" s="10" t="s">
        <v>2079</v>
      </c>
      <c r="E457" s="10" t="s">
        <v>1431</v>
      </c>
      <c r="F457" s="10"/>
      <c r="G457" s="10"/>
      <c r="H457" s="10"/>
      <c r="I457" s="10" t="s">
        <v>2064</v>
      </c>
      <c r="J457" s="10"/>
      <c r="K457" s="31">
        <v>0</v>
      </c>
      <c r="L457" s="10" t="s">
        <v>1433</v>
      </c>
      <c r="M457" s="10" t="s">
        <v>2065</v>
      </c>
      <c r="N457" s="10" t="s">
        <v>3461</v>
      </c>
      <c r="O457" s="10"/>
    </row>
    <row r="458" spans="1:15" x14ac:dyDescent="0.3">
      <c r="A458" s="10" t="s">
        <v>1928</v>
      </c>
      <c r="B458" s="10" t="s">
        <v>3462</v>
      </c>
      <c r="C458" s="10" t="s">
        <v>3463</v>
      </c>
      <c r="D458" s="10" t="s">
        <v>259</v>
      </c>
      <c r="E458" s="10" t="s">
        <v>1431</v>
      </c>
      <c r="F458" s="10"/>
      <c r="G458" s="10"/>
      <c r="H458" s="10"/>
      <c r="I458" s="10" t="s">
        <v>2064</v>
      </c>
      <c r="J458" s="10"/>
      <c r="K458" s="31">
        <v>0</v>
      </c>
      <c r="L458" s="10" t="s">
        <v>1433</v>
      </c>
      <c r="M458" s="10" t="s">
        <v>2065</v>
      </c>
      <c r="N458" s="10" t="s">
        <v>3461</v>
      </c>
      <c r="O458" s="10"/>
    </row>
    <row r="459" spans="1:15" x14ac:dyDescent="0.3">
      <c r="A459" s="10" t="s">
        <v>1928</v>
      </c>
      <c r="B459" s="10" t="s">
        <v>3464</v>
      </c>
      <c r="C459" s="10" t="s">
        <v>3465</v>
      </c>
      <c r="D459" s="10" t="s">
        <v>259</v>
      </c>
      <c r="E459" s="10" t="s">
        <v>1431</v>
      </c>
      <c r="F459" s="10"/>
      <c r="G459" s="10"/>
      <c r="H459" s="10"/>
      <c r="I459" s="10" t="s">
        <v>2064</v>
      </c>
      <c r="J459" s="10"/>
      <c r="K459" s="31">
        <v>0</v>
      </c>
      <c r="L459" s="10" t="s">
        <v>1433</v>
      </c>
      <c r="M459" s="10" t="s">
        <v>2065</v>
      </c>
      <c r="N459" s="10" t="s">
        <v>3461</v>
      </c>
      <c r="O459" s="10"/>
    </row>
    <row r="460" spans="1:15" x14ac:dyDescent="0.3">
      <c r="A460" s="10" t="s">
        <v>1929</v>
      </c>
      <c r="B460" s="10" t="s">
        <v>3466</v>
      </c>
      <c r="C460" s="10" t="s">
        <v>3467</v>
      </c>
      <c r="D460" s="10" t="s">
        <v>247</v>
      </c>
      <c r="E460" s="10" t="s">
        <v>1431</v>
      </c>
      <c r="F460" s="10" t="s">
        <v>2085</v>
      </c>
      <c r="G460" s="10"/>
      <c r="H460" s="10"/>
      <c r="I460" s="10" t="s">
        <v>2064</v>
      </c>
      <c r="J460" s="10"/>
      <c r="K460" s="31">
        <v>0</v>
      </c>
      <c r="L460" s="10" t="s">
        <v>1433</v>
      </c>
      <c r="M460" s="10" t="s">
        <v>2065</v>
      </c>
      <c r="N460" s="10" t="s">
        <v>3468</v>
      </c>
      <c r="O460" s="10"/>
    </row>
    <row r="461" spans="1:15" x14ac:dyDescent="0.3">
      <c r="A461" s="10" t="s">
        <v>1929</v>
      </c>
      <c r="B461" s="10" t="s">
        <v>3469</v>
      </c>
      <c r="C461" s="10" t="s">
        <v>3470</v>
      </c>
      <c r="D461" s="10" t="s">
        <v>264</v>
      </c>
      <c r="E461" s="10" t="s">
        <v>1431</v>
      </c>
      <c r="F461" s="10"/>
      <c r="G461" s="10"/>
      <c r="H461" s="10"/>
      <c r="I461" s="10" t="s">
        <v>2064</v>
      </c>
      <c r="J461" s="10"/>
      <c r="K461" s="31">
        <v>0</v>
      </c>
      <c r="L461" s="10" t="s">
        <v>1433</v>
      </c>
      <c r="M461" s="10" t="s">
        <v>2065</v>
      </c>
      <c r="N461" s="10"/>
      <c r="O461" s="10"/>
    </row>
    <row r="462" spans="1:15" x14ac:dyDescent="0.3">
      <c r="A462" s="10" t="s">
        <v>1930</v>
      </c>
      <c r="B462" s="10" t="s">
        <v>3471</v>
      </c>
      <c r="C462" s="10" t="s">
        <v>3472</v>
      </c>
      <c r="D462" s="10" t="s">
        <v>247</v>
      </c>
      <c r="E462" s="10" t="s">
        <v>1431</v>
      </c>
      <c r="F462" s="10" t="s">
        <v>3473</v>
      </c>
      <c r="G462" s="10" t="s">
        <v>547</v>
      </c>
      <c r="H462" s="10" t="s">
        <v>123</v>
      </c>
      <c r="I462" s="10" t="s">
        <v>204</v>
      </c>
      <c r="J462" s="10" t="s">
        <v>366</v>
      </c>
      <c r="K462" s="31">
        <v>38400</v>
      </c>
      <c r="L462" s="10" t="s">
        <v>1431</v>
      </c>
      <c r="M462" s="10"/>
      <c r="N462" s="10" t="s">
        <v>3474</v>
      </c>
      <c r="O462" s="10"/>
    </row>
    <row r="463" spans="1:15" x14ac:dyDescent="0.3">
      <c r="A463" s="10" t="s">
        <v>1931</v>
      </c>
      <c r="B463" s="10" t="s">
        <v>3475</v>
      </c>
      <c r="C463" s="10" t="s">
        <v>3476</v>
      </c>
      <c r="D463" s="10" t="s">
        <v>247</v>
      </c>
      <c r="E463" s="10" t="s">
        <v>1431</v>
      </c>
      <c r="F463" s="10" t="s">
        <v>356</v>
      </c>
      <c r="G463" s="10" t="s">
        <v>356</v>
      </c>
      <c r="H463" s="10" t="s">
        <v>123</v>
      </c>
      <c r="I463" s="10" t="s">
        <v>196</v>
      </c>
      <c r="J463" s="10" t="s">
        <v>348</v>
      </c>
      <c r="K463" s="31">
        <v>72000</v>
      </c>
      <c r="L463" s="10" t="s">
        <v>1431</v>
      </c>
      <c r="M463" s="10"/>
      <c r="N463" s="10" t="s">
        <v>2185</v>
      </c>
      <c r="O463" s="10"/>
    </row>
    <row r="464" spans="1:15" x14ac:dyDescent="0.3">
      <c r="A464" s="10" t="s">
        <v>1931</v>
      </c>
      <c r="B464" s="10" t="s">
        <v>3477</v>
      </c>
      <c r="C464" s="10" t="s">
        <v>3478</v>
      </c>
      <c r="D464" s="10" t="s">
        <v>2079</v>
      </c>
      <c r="E464" s="10" t="s">
        <v>1431</v>
      </c>
      <c r="F464" s="10"/>
      <c r="G464" s="10"/>
      <c r="H464" s="10"/>
      <c r="I464" s="10" t="s">
        <v>2064</v>
      </c>
      <c r="J464" s="10"/>
      <c r="K464" s="31">
        <v>0</v>
      </c>
      <c r="L464" s="10" t="s">
        <v>1433</v>
      </c>
      <c r="M464" s="10" t="s">
        <v>2065</v>
      </c>
      <c r="N464" s="10" t="s">
        <v>3479</v>
      </c>
      <c r="O464" s="10"/>
    </row>
    <row r="465" spans="1:15" x14ac:dyDescent="0.3">
      <c r="A465" s="10" t="s">
        <v>1931</v>
      </c>
      <c r="B465" s="10" t="s">
        <v>3480</v>
      </c>
      <c r="C465" s="10" t="s">
        <v>3481</v>
      </c>
      <c r="D465" s="10" t="s">
        <v>2079</v>
      </c>
      <c r="E465" s="10" t="s">
        <v>1431</v>
      </c>
      <c r="F465" s="10"/>
      <c r="G465" s="10"/>
      <c r="H465" s="10"/>
      <c r="I465" s="10" t="s">
        <v>2064</v>
      </c>
      <c r="J465" s="10"/>
      <c r="K465" s="31">
        <v>0</v>
      </c>
      <c r="L465" s="10" t="s">
        <v>1433</v>
      </c>
      <c r="M465" s="10" t="s">
        <v>2065</v>
      </c>
      <c r="N465" s="10" t="s">
        <v>3479</v>
      </c>
      <c r="O465" s="10"/>
    </row>
    <row r="466" spans="1:15" x14ac:dyDescent="0.3">
      <c r="A466" s="10" t="s">
        <v>1932</v>
      </c>
      <c r="B466" s="10" t="s">
        <v>3482</v>
      </c>
      <c r="C466" s="10" t="s">
        <v>3483</v>
      </c>
      <c r="D466" s="10" t="s">
        <v>247</v>
      </c>
      <c r="E466" s="10" t="s">
        <v>1431</v>
      </c>
      <c r="F466" s="10" t="s">
        <v>2305</v>
      </c>
      <c r="G466" s="10" t="s">
        <v>355</v>
      </c>
      <c r="H466" s="10" t="s">
        <v>123</v>
      </c>
      <c r="I466" s="10" t="s">
        <v>191</v>
      </c>
      <c r="J466" s="10" t="s">
        <v>348</v>
      </c>
      <c r="K466" s="31">
        <v>23064</v>
      </c>
      <c r="L466" s="10" t="s">
        <v>1431</v>
      </c>
      <c r="M466" s="10"/>
      <c r="N466" s="10" t="s">
        <v>3484</v>
      </c>
      <c r="O466" s="10"/>
    </row>
    <row r="467" spans="1:15" x14ac:dyDescent="0.3">
      <c r="A467" s="10" t="s">
        <v>1932</v>
      </c>
      <c r="B467" s="10" t="s">
        <v>3485</v>
      </c>
      <c r="C467" s="10" t="s">
        <v>3486</v>
      </c>
      <c r="D467" s="10" t="s">
        <v>259</v>
      </c>
      <c r="E467" s="10" t="s">
        <v>1431</v>
      </c>
      <c r="F467" s="10" t="s">
        <v>3487</v>
      </c>
      <c r="G467" s="10" t="s">
        <v>442</v>
      </c>
      <c r="H467" s="10" t="s">
        <v>123</v>
      </c>
      <c r="I467" s="10" t="s">
        <v>200</v>
      </c>
      <c r="J467" s="10" t="s">
        <v>366</v>
      </c>
      <c r="K467" s="31">
        <v>62604</v>
      </c>
      <c r="L467" s="10" t="s">
        <v>1431</v>
      </c>
      <c r="M467" s="10"/>
      <c r="N467" s="10" t="s">
        <v>3488</v>
      </c>
      <c r="O467" s="10"/>
    </row>
    <row r="468" spans="1:15" x14ac:dyDescent="0.3">
      <c r="A468" s="10" t="s">
        <v>1933</v>
      </c>
      <c r="B468" s="10" t="s">
        <v>3489</v>
      </c>
      <c r="C468" s="10" t="s">
        <v>3490</v>
      </c>
      <c r="D468" s="10" t="s">
        <v>247</v>
      </c>
      <c r="E468" s="10" t="s">
        <v>1431</v>
      </c>
      <c r="F468" s="10" t="s">
        <v>394</v>
      </c>
      <c r="G468" s="10" t="s">
        <v>394</v>
      </c>
      <c r="H468" s="10" t="s">
        <v>123</v>
      </c>
      <c r="I468" s="10" t="s">
        <v>191</v>
      </c>
      <c r="J468" s="10" t="s">
        <v>348</v>
      </c>
      <c r="K468" s="31">
        <v>132228</v>
      </c>
      <c r="L468" s="10" t="s">
        <v>1431</v>
      </c>
      <c r="M468" s="10"/>
      <c r="N468" s="10" t="s">
        <v>3491</v>
      </c>
      <c r="O468" s="10" t="s">
        <v>2019</v>
      </c>
    </row>
    <row r="469" spans="1:15" x14ac:dyDescent="0.3">
      <c r="A469" s="10" t="s">
        <v>1933</v>
      </c>
      <c r="B469" s="10" t="s">
        <v>3492</v>
      </c>
      <c r="C469" s="10" t="s">
        <v>3493</v>
      </c>
      <c r="D469" s="10" t="s">
        <v>264</v>
      </c>
      <c r="E469" s="10" t="s">
        <v>1431</v>
      </c>
      <c r="F469" s="10" t="s">
        <v>3494</v>
      </c>
      <c r="G469" s="10" t="s">
        <v>394</v>
      </c>
      <c r="H469" s="10" t="s">
        <v>123</v>
      </c>
      <c r="I469" s="10" t="s">
        <v>191</v>
      </c>
      <c r="J469" s="10" t="s">
        <v>348</v>
      </c>
      <c r="K469" s="31">
        <v>113148</v>
      </c>
      <c r="L469" s="10" t="s">
        <v>1431</v>
      </c>
      <c r="M469" s="10"/>
      <c r="N469" s="10" t="s">
        <v>3495</v>
      </c>
      <c r="O469" s="10" t="s">
        <v>2019</v>
      </c>
    </row>
    <row r="470" spans="1:15" x14ac:dyDescent="0.3">
      <c r="A470" s="10" t="s">
        <v>1934</v>
      </c>
      <c r="B470" s="10" t="s">
        <v>3496</v>
      </c>
      <c r="C470" s="10" t="s">
        <v>3497</v>
      </c>
      <c r="D470" s="10" t="s">
        <v>247</v>
      </c>
      <c r="E470" s="10" t="s">
        <v>1431</v>
      </c>
      <c r="F470" s="10" t="s">
        <v>3498</v>
      </c>
      <c r="G470" s="10" t="s">
        <v>727</v>
      </c>
      <c r="H470" s="10" t="s">
        <v>123</v>
      </c>
      <c r="I470" s="10" t="s">
        <v>189</v>
      </c>
      <c r="J470" s="10" t="s">
        <v>348</v>
      </c>
      <c r="K470" s="31">
        <v>54576</v>
      </c>
      <c r="L470" s="10" t="s">
        <v>1431</v>
      </c>
      <c r="M470" s="10"/>
      <c r="N470" s="10" t="s">
        <v>3499</v>
      </c>
      <c r="O470" s="10"/>
    </row>
    <row r="471" spans="1:15" x14ac:dyDescent="0.3">
      <c r="A471" s="10" t="s">
        <v>1935</v>
      </c>
      <c r="B471" s="10" t="s">
        <v>3500</v>
      </c>
      <c r="C471" s="10" t="s">
        <v>3501</v>
      </c>
      <c r="D471" s="10" t="s">
        <v>247</v>
      </c>
      <c r="E471" s="10" t="s">
        <v>1431</v>
      </c>
      <c r="F471" s="10" t="s">
        <v>488</v>
      </c>
      <c r="G471" s="10" t="s">
        <v>488</v>
      </c>
      <c r="H471" s="10" t="s">
        <v>123</v>
      </c>
      <c r="I471" s="10" t="s">
        <v>190</v>
      </c>
      <c r="J471" s="10" t="s">
        <v>348</v>
      </c>
      <c r="K471" s="31">
        <v>39000</v>
      </c>
      <c r="L471" s="10" t="s">
        <v>1431</v>
      </c>
      <c r="M471" s="10"/>
      <c r="N471" s="10" t="s">
        <v>2102</v>
      </c>
      <c r="O471" s="10"/>
    </row>
    <row r="472" spans="1:15" x14ac:dyDescent="0.3">
      <c r="A472" s="10" t="s">
        <v>1935</v>
      </c>
      <c r="B472" s="10" t="s">
        <v>3502</v>
      </c>
      <c r="C472" s="10" t="s">
        <v>3503</v>
      </c>
      <c r="D472" s="10" t="s">
        <v>264</v>
      </c>
      <c r="E472" s="10" t="s">
        <v>1431</v>
      </c>
      <c r="F472" s="10" t="s">
        <v>601</v>
      </c>
      <c r="G472" s="10" t="s">
        <v>601</v>
      </c>
      <c r="H472" s="10" t="s">
        <v>123</v>
      </c>
      <c r="I472" s="10" t="s">
        <v>193</v>
      </c>
      <c r="J472" s="10" t="s">
        <v>348</v>
      </c>
      <c r="K472" s="31">
        <v>51840</v>
      </c>
      <c r="L472" s="10" t="s">
        <v>1431</v>
      </c>
      <c r="M472" s="10"/>
      <c r="N472" s="10" t="s">
        <v>3504</v>
      </c>
      <c r="O472" s="10"/>
    </row>
    <row r="473" spans="1:15" x14ac:dyDescent="0.3">
      <c r="A473" s="10" t="s">
        <v>1936</v>
      </c>
      <c r="B473" s="10" t="s">
        <v>3505</v>
      </c>
      <c r="C473" s="10" t="s">
        <v>3506</v>
      </c>
      <c r="D473" s="10" t="s">
        <v>247</v>
      </c>
      <c r="E473" s="10" t="s">
        <v>1431</v>
      </c>
      <c r="F473" s="10" t="s">
        <v>354</v>
      </c>
      <c r="G473" s="10" t="s">
        <v>354</v>
      </c>
      <c r="H473" s="10" t="s">
        <v>123</v>
      </c>
      <c r="I473" s="10" t="s">
        <v>191</v>
      </c>
      <c r="J473" s="10" t="s">
        <v>348</v>
      </c>
      <c r="K473" s="31">
        <v>43200</v>
      </c>
      <c r="L473" s="10" t="s">
        <v>1431</v>
      </c>
      <c r="M473" s="10"/>
      <c r="N473" s="10" t="s">
        <v>3507</v>
      </c>
      <c r="O473" s="10"/>
    </row>
    <row r="474" spans="1:15" x14ac:dyDescent="0.3">
      <c r="A474" s="10" t="s">
        <v>1937</v>
      </c>
      <c r="B474" s="10" t="s">
        <v>3508</v>
      </c>
      <c r="C474" s="10" t="s">
        <v>3509</v>
      </c>
      <c r="D474" s="10" t="s">
        <v>247</v>
      </c>
      <c r="E474" s="10" t="s">
        <v>1431</v>
      </c>
      <c r="F474" s="10" t="s">
        <v>3510</v>
      </c>
      <c r="G474" s="10" t="s">
        <v>436</v>
      </c>
      <c r="H474" s="10" t="s">
        <v>123</v>
      </c>
      <c r="I474" s="10" t="s">
        <v>189</v>
      </c>
      <c r="J474" s="10" t="s">
        <v>348</v>
      </c>
      <c r="K474" s="31">
        <v>36000</v>
      </c>
      <c r="L474" s="10" t="s">
        <v>1431</v>
      </c>
      <c r="M474" s="10"/>
      <c r="N474" s="10" t="s">
        <v>3511</v>
      </c>
      <c r="O474" s="10"/>
    </row>
    <row r="475" spans="1:15" x14ac:dyDescent="0.3">
      <c r="A475" s="10" t="s">
        <v>1937</v>
      </c>
      <c r="B475" s="10" t="s">
        <v>3512</v>
      </c>
      <c r="C475" s="10" t="s">
        <v>3513</v>
      </c>
      <c r="D475" s="10" t="s">
        <v>259</v>
      </c>
      <c r="E475" s="10" t="s">
        <v>1431</v>
      </c>
      <c r="F475" s="10" t="s">
        <v>3514</v>
      </c>
      <c r="G475" s="10" t="s">
        <v>687</v>
      </c>
      <c r="H475" s="10" t="s">
        <v>123</v>
      </c>
      <c r="I475" s="10" t="s">
        <v>199</v>
      </c>
      <c r="J475" s="10" t="s">
        <v>348</v>
      </c>
      <c r="K475" s="31">
        <v>30000</v>
      </c>
      <c r="L475" s="10" t="s">
        <v>1431</v>
      </c>
      <c r="M475" s="10"/>
      <c r="N475" s="10" t="s">
        <v>3515</v>
      </c>
      <c r="O475" s="10" t="s">
        <v>2052</v>
      </c>
    </row>
    <row r="476" spans="1:15" x14ac:dyDescent="0.3">
      <c r="A476" s="10" t="s">
        <v>1938</v>
      </c>
      <c r="B476" s="10" t="s">
        <v>3516</v>
      </c>
      <c r="C476" s="10" t="s">
        <v>3517</v>
      </c>
      <c r="D476" s="10" t="s">
        <v>247</v>
      </c>
      <c r="E476" s="10" t="s">
        <v>1431</v>
      </c>
      <c r="F476" s="10" t="s">
        <v>3518</v>
      </c>
      <c r="G476" s="10" t="s">
        <v>664</v>
      </c>
      <c r="H476" s="10" t="s">
        <v>123</v>
      </c>
      <c r="I476" s="10" t="s">
        <v>201</v>
      </c>
      <c r="J476" s="10" t="s">
        <v>348</v>
      </c>
      <c r="K476" s="31">
        <v>84000</v>
      </c>
      <c r="L476" s="10" t="s">
        <v>1431</v>
      </c>
      <c r="M476" s="10"/>
      <c r="N476" s="10" t="s">
        <v>3519</v>
      </c>
      <c r="O476" s="10" t="s">
        <v>2052</v>
      </c>
    </row>
    <row r="477" spans="1:15" x14ac:dyDescent="0.3">
      <c r="A477" s="10" t="s">
        <v>1939</v>
      </c>
      <c r="B477" s="10" t="s">
        <v>3520</v>
      </c>
      <c r="C477" s="10" t="s">
        <v>3521</v>
      </c>
      <c r="D477" s="10" t="s">
        <v>247</v>
      </c>
      <c r="E477" s="10" t="s">
        <v>1431</v>
      </c>
      <c r="F477" s="10" t="s">
        <v>738</v>
      </c>
      <c r="G477" s="10" t="s">
        <v>738</v>
      </c>
      <c r="H477" s="10" t="s">
        <v>123</v>
      </c>
      <c r="I477" s="10" t="s">
        <v>192</v>
      </c>
      <c r="J477" s="10" t="s">
        <v>348</v>
      </c>
      <c r="K477" s="31">
        <v>49200</v>
      </c>
      <c r="L477" s="10" t="s">
        <v>1431</v>
      </c>
      <c r="M477" s="10"/>
      <c r="N477" s="10" t="s">
        <v>3522</v>
      </c>
      <c r="O477" s="10" t="s">
        <v>2052</v>
      </c>
    </row>
    <row r="478" spans="1:15" x14ac:dyDescent="0.3">
      <c r="A478" s="10" t="s">
        <v>1940</v>
      </c>
      <c r="B478" s="10" t="s">
        <v>3523</v>
      </c>
      <c r="C478" s="10" t="s">
        <v>3524</v>
      </c>
      <c r="D478" s="10" t="s">
        <v>247</v>
      </c>
      <c r="E478" s="10" t="s">
        <v>1431</v>
      </c>
      <c r="F478" s="10" t="s">
        <v>3525</v>
      </c>
      <c r="G478" s="10" t="s">
        <v>405</v>
      </c>
      <c r="H478" s="10" t="s">
        <v>123</v>
      </c>
      <c r="I478" s="10" t="s">
        <v>197</v>
      </c>
      <c r="J478" s="10" t="s">
        <v>348</v>
      </c>
      <c r="K478" s="31">
        <v>43044</v>
      </c>
      <c r="L478" s="10" t="s">
        <v>1431</v>
      </c>
      <c r="M478" s="10"/>
      <c r="N478" s="10" t="s">
        <v>3526</v>
      </c>
      <c r="O478" s="10" t="s">
        <v>2019</v>
      </c>
    </row>
    <row r="479" spans="1:15" x14ac:dyDescent="0.3">
      <c r="A479" s="10" t="s">
        <v>1940</v>
      </c>
      <c r="B479" s="10" t="s">
        <v>3527</v>
      </c>
      <c r="C479" s="10" t="s">
        <v>3528</v>
      </c>
      <c r="D479" s="10" t="s">
        <v>259</v>
      </c>
      <c r="E479" s="10" t="s">
        <v>1431</v>
      </c>
      <c r="F479" s="10" t="s">
        <v>3529</v>
      </c>
      <c r="G479" s="10" t="s">
        <v>406</v>
      </c>
      <c r="H479" s="10" t="s">
        <v>123</v>
      </c>
      <c r="I479" s="10" t="s">
        <v>206</v>
      </c>
      <c r="J479" s="10" t="s">
        <v>348</v>
      </c>
      <c r="K479" s="31">
        <v>24000</v>
      </c>
      <c r="L479" s="10" t="s">
        <v>1433</v>
      </c>
      <c r="M479" s="10" t="s">
        <v>2092</v>
      </c>
      <c r="N479" s="10" t="s">
        <v>3530</v>
      </c>
      <c r="O479" s="10" t="s">
        <v>2019</v>
      </c>
    </row>
    <row r="480" spans="1:15" x14ac:dyDescent="0.3">
      <c r="A480" s="10" t="s">
        <v>1940</v>
      </c>
      <c r="B480" s="10" t="s">
        <v>3531</v>
      </c>
      <c r="C480" s="10" t="s">
        <v>3532</v>
      </c>
      <c r="D480" s="10" t="s">
        <v>264</v>
      </c>
      <c r="E480" s="10" t="s">
        <v>1431</v>
      </c>
      <c r="F480" s="10" t="s">
        <v>3529</v>
      </c>
      <c r="G480" s="10" t="s">
        <v>406</v>
      </c>
      <c r="H480" s="10" t="s">
        <v>123</v>
      </c>
      <c r="I480" s="10" t="s">
        <v>206</v>
      </c>
      <c r="J480" s="10" t="s">
        <v>348</v>
      </c>
      <c r="K480" s="31">
        <v>24000</v>
      </c>
      <c r="L480" s="10" t="s">
        <v>1431</v>
      </c>
      <c r="M480" s="10"/>
      <c r="N480" s="10" t="s">
        <v>3530</v>
      </c>
      <c r="O480" s="10" t="s">
        <v>2019</v>
      </c>
    </row>
    <row r="481" spans="1:15" x14ac:dyDescent="0.3">
      <c r="A481" s="10" t="s">
        <v>1941</v>
      </c>
      <c r="B481" s="10" t="s">
        <v>3533</v>
      </c>
      <c r="C481" s="10" t="s">
        <v>3534</v>
      </c>
      <c r="D481" s="10" t="s">
        <v>247</v>
      </c>
      <c r="E481" s="10" t="s">
        <v>1431</v>
      </c>
      <c r="F481" s="10" t="s">
        <v>728</v>
      </c>
      <c r="G481" s="10" t="s">
        <v>728</v>
      </c>
      <c r="H481" s="10" t="s">
        <v>123</v>
      </c>
      <c r="I481" s="10" t="s">
        <v>194</v>
      </c>
      <c r="J481" s="10" t="s">
        <v>348</v>
      </c>
      <c r="K481" s="31">
        <v>66744</v>
      </c>
      <c r="L481" s="10" t="s">
        <v>1431</v>
      </c>
      <c r="M481" s="10"/>
      <c r="N481" s="10" t="s">
        <v>3535</v>
      </c>
      <c r="O481" s="10" t="s">
        <v>2052</v>
      </c>
    </row>
    <row r="482" spans="1:15" x14ac:dyDescent="0.3">
      <c r="A482" s="10" t="s">
        <v>1941</v>
      </c>
      <c r="B482" s="10" t="s">
        <v>3536</v>
      </c>
      <c r="C482" s="10" t="s">
        <v>3537</v>
      </c>
      <c r="D482" s="10" t="s">
        <v>259</v>
      </c>
      <c r="E482" s="10" t="s">
        <v>1431</v>
      </c>
      <c r="F482" s="10" t="s">
        <v>651</v>
      </c>
      <c r="G482" s="10" t="s">
        <v>651</v>
      </c>
      <c r="H482" s="10" t="s">
        <v>123</v>
      </c>
      <c r="I482" s="10" t="s">
        <v>202</v>
      </c>
      <c r="J482" s="10" t="s">
        <v>348</v>
      </c>
      <c r="K482" s="31">
        <v>69600</v>
      </c>
      <c r="L482" s="10" t="s">
        <v>1431</v>
      </c>
      <c r="M482" s="10"/>
      <c r="N482" s="10" t="s">
        <v>3538</v>
      </c>
      <c r="O482" s="10" t="s">
        <v>2052</v>
      </c>
    </row>
    <row r="483" spans="1:15" x14ac:dyDescent="0.3">
      <c r="A483" s="10" t="s">
        <v>1942</v>
      </c>
      <c r="B483" s="10" t="s">
        <v>3539</v>
      </c>
      <c r="C483" s="10" t="s">
        <v>3540</v>
      </c>
      <c r="D483" s="10" t="s">
        <v>247</v>
      </c>
      <c r="E483" s="10" t="s">
        <v>1431</v>
      </c>
      <c r="F483" s="10" t="s">
        <v>484</v>
      </c>
      <c r="G483" s="10" t="s">
        <v>484</v>
      </c>
      <c r="H483" s="10" t="s">
        <v>123</v>
      </c>
      <c r="I483" s="10" t="s">
        <v>189</v>
      </c>
      <c r="J483" s="10" t="s">
        <v>348</v>
      </c>
      <c r="K483" s="31">
        <v>64800</v>
      </c>
      <c r="L483" s="10" t="s">
        <v>1431</v>
      </c>
      <c r="M483" s="10"/>
      <c r="N483" s="10" t="s">
        <v>3541</v>
      </c>
      <c r="O483" s="10" t="s">
        <v>2052</v>
      </c>
    </row>
    <row r="484" spans="1:15" x14ac:dyDescent="0.3">
      <c r="A484" s="10" t="s">
        <v>1943</v>
      </c>
      <c r="B484" s="10" t="s">
        <v>3542</v>
      </c>
      <c r="C484" s="10" t="s">
        <v>3543</v>
      </c>
      <c r="D484" s="10" t="s">
        <v>247</v>
      </c>
      <c r="E484" s="10" t="s">
        <v>1431</v>
      </c>
      <c r="F484" s="10" t="s">
        <v>3544</v>
      </c>
      <c r="G484" s="10" t="s">
        <v>722</v>
      </c>
      <c r="H484" s="10" t="s">
        <v>123</v>
      </c>
      <c r="I484" s="10" t="s">
        <v>195</v>
      </c>
      <c r="J484" s="10" t="s">
        <v>366</v>
      </c>
      <c r="K484" s="31">
        <v>60000</v>
      </c>
      <c r="L484" s="10" t="s">
        <v>1431</v>
      </c>
      <c r="M484" s="10"/>
      <c r="N484" s="10" t="s">
        <v>3545</v>
      </c>
      <c r="O484" s="10"/>
    </row>
    <row r="485" spans="1:15" x14ac:dyDescent="0.3">
      <c r="A485" s="10" t="s">
        <v>1943</v>
      </c>
      <c r="B485" s="10" t="s">
        <v>3546</v>
      </c>
      <c r="C485" s="10" t="s">
        <v>3547</v>
      </c>
      <c r="D485" s="10" t="s">
        <v>264</v>
      </c>
      <c r="E485" s="10" t="s">
        <v>1431</v>
      </c>
      <c r="F485" s="10"/>
      <c r="G485" s="10"/>
      <c r="H485" s="10"/>
      <c r="I485" s="10" t="s">
        <v>2064</v>
      </c>
      <c r="J485" s="10"/>
      <c r="K485" s="31">
        <v>0</v>
      </c>
      <c r="L485" s="10" t="s">
        <v>1433</v>
      </c>
      <c r="M485" s="10" t="s">
        <v>2065</v>
      </c>
      <c r="N485" s="10" t="s">
        <v>3548</v>
      </c>
      <c r="O485" s="10"/>
    </row>
    <row r="486" spans="1:15" x14ac:dyDescent="0.3">
      <c r="A486" s="10" t="s">
        <v>1943</v>
      </c>
      <c r="B486" s="10" t="s">
        <v>3549</v>
      </c>
      <c r="C486" s="10" t="s">
        <v>3550</v>
      </c>
      <c r="D486" s="10" t="s">
        <v>2079</v>
      </c>
      <c r="E486" s="10" t="s">
        <v>1431</v>
      </c>
      <c r="F486" s="10"/>
      <c r="G486" s="10"/>
      <c r="H486" s="10"/>
      <c r="I486" s="10" t="s">
        <v>2064</v>
      </c>
      <c r="J486" s="10"/>
      <c r="K486" s="31">
        <v>0</v>
      </c>
      <c r="L486" s="10" t="s">
        <v>1433</v>
      </c>
      <c r="M486" s="10" t="s">
        <v>2065</v>
      </c>
      <c r="N486" s="10" t="s">
        <v>3548</v>
      </c>
      <c r="O486" s="10"/>
    </row>
    <row r="487" spans="1:15" x14ac:dyDescent="0.3">
      <c r="A487" s="10" t="s">
        <v>1943</v>
      </c>
      <c r="B487" s="10" t="s">
        <v>3551</v>
      </c>
      <c r="C487" s="10" t="s">
        <v>3552</v>
      </c>
      <c r="D487" s="10" t="s">
        <v>259</v>
      </c>
      <c r="E487" s="10" t="s">
        <v>1431</v>
      </c>
      <c r="F487" s="10"/>
      <c r="G487" s="10"/>
      <c r="H487" s="10"/>
      <c r="I487" s="10" t="s">
        <v>2064</v>
      </c>
      <c r="J487" s="10"/>
      <c r="K487" s="31">
        <v>0</v>
      </c>
      <c r="L487" s="10" t="s">
        <v>1433</v>
      </c>
      <c r="M487" s="10" t="s">
        <v>2065</v>
      </c>
      <c r="N487" s="10" t="s">
        <v>3548</v>
      </c>
      <c r="O487" s="10"/>
    </row>
    <row r="488" spans="1:15" x14ac:dyDescent="0.3">
      <c r="A488" s="10" t="s">
        <v>1944</v>
      </c>
      <c r="B488" s="10" t="s">
        <v>3553</v>
      </c>
      <c r="C488" s="10" t="s">
        <v>3554</v>
      </c>
      <c r="D488" s="10" t="s">
        <v>247</v>
      </c>
      <c r="E488" s="10" t="s">
        <v>1431</v>
      </c>
      <c r="F488" s="10" t="s">
        <v>3555</v>
      </c>
      <c r="G488" s="10" t="s">
        <v>641</v>
      </c>
      <c r="H488" s="10" t="s">
        <v>123</v>
      </c>
      <c r="I488" s="10" t="s">
        <v>197</v>
      </c>
      <c r="J488" s="10" t="s">
        <v>348</v>
      </c>
      <c r="K488" s="31">
        <v>86928</v>
      </c>
      <c r="L488" s="10" t="s">
        <v>1431</v>
      </c>
      <c r="M488" s="10"/>
      <c r="N488" s="10" t="s">
        <v>3556</v>
      </c>
      <c r="O488" s="10" t="s">
        <v>2052</v>
      </c>
    </row>
    <row r="489" spans="1:15" x14ac:dyDescent="0.3">
      <c r="A489" s="10" t="s">
        <v>1945</v>
      </c>
      <c r="B489" s="10" t="s">
        <v>3557</v>
      </c>
      <c r="C489" s="10" t="s">
        <v>3558</v>
      </c>
      <c r="D489" s="10" t="s">
        <v>247</v>
      </c>
      <c r="E489" s="10" t="s">
        <v>1431</v>
      </c>
      <c r="F489" s="10" t="s">
        <v>3559</v>
      </c>
      <c r="G489" s="10" t="s">
        <v>685</v>
      </c>
      <c r="H489" s="10" t="s">
        <v>123</v>
      </c>
      <c r="I489" s="10" t="s">
        <v>194</v>
      </c>
      <c r="J489" s="10" t="s">
        <v>348</v>
      </c>
      <c r="K489" s="31">
        <v>240000</v>
      </c>
      <c r="L489" s="10" t="s">
        <v>1431</v>
      </c>
      <c r="M489" s="10"/>
      <c r="N489" s="10" t="s">
        <v>3560</v>
      </c>
      <c r="O489" s="10" t="s">
        <v>2052</v>
      </c>
    </row>
    <row r="490" spans="1:15" x14ac:dyDescent="0.3">
      <c r="A490" s="10" t="s">
        <v>1945</v>
      </c>
      <c r="B490" s="10" t="s">
        <v>3561</v>
      </c>
      <c r="C490" s="10" t="s">
        <v>3562</v>
      </c>
      <c r="D490" s="10" t="s">
        <v>251</v>
      </c>
      <c r="E490" s="10" t="s">
        <v>1433</v>
      </c>
      <c r="F490" s="10" t="s">
        <v>2063</v>
      </c>
      <c r="G490" s="10"/>
      <c r="H490" s="10"/>
      <c r="I490" s="10" t="s">
        <v>2064</v>
      </c>
      <c r="J490" s="10"/>
      <c r="K490" s="31">
        <v>115200</v>
      </c>
      <c r="L490" s="10" t="s">
        <v>1433</v>
      </c>
      <c r="M490" s="10" t="s">
        <v>2138</v>
      </c>
      <c r="N490" s="10" t="s">
        <v>3563</v>
      </c>
      <c r="O490" s="10"/>
    </row>
    <row r="491" spans="1:15" x14ac:dyDescent="0.3">
      <c r="A491" s="10" t="s">
        <v>1946</v>
      </c>
      <c r="B491" s="10" t="s">
        <v>3564</v>
      </c>
      <c r="C491" s="10" t="s">
        <v>3565</v>
      </c>
      <c r="D491" s="10" t="s">
        <v>247</v>
      </c>
      <c r="E491" s="10" t="s">
        <v>1431</v>
      </c>
      <c r="F491" s="10" t="s">
        <v>462</v>
      </c>
      <c r="G491" s="10" t="s">
        <v>462</v>
      </c>
      <c r="H491" s="10" t="s">
        <v>123</v>
      </c>
      <c r="I491" s="10" t="s">
        <v>191</v>
      </c>
      <c r="J491" s="10" t="s">
        <v>348</v>
      </c>
      <c r="K491" s="31">
        <v>72000</v>
      </c>
      <c r="L491" s="10" t="s">
        <v>1431</v>
      </c>
      <c r="M491" s="10"/>
      <c r="N491" s="10" t="s">
        <v>3566</v>
      </c>
      <c r="O491" s="10"/>
    </row>
    <row r="492" spans="1:15" x14ac:dyDescent="0.3">
      <c r="A492" s="10" t="s">
        <v>1947</v>
      </c>
      <c r="B492" s="10" t="s">
        <v>3567</v>
      </c>
      <c r="C492" s="10" t="s">
        <v>3568</v>
      </c>
      <c r="D492" s="10" t="s">
        <v>247</v>
      </c>
      <c r="E492" s="10" t="s">
        <v>1431</v>
      </c>
      <c r="F492" s="10" t="s">
        <v>3569</v>
      </c>
      <c r="G492" s="10" t="s">
        <v>525</v>
      </c>
      <c r="H492" s="10" t="s">
        <v>123</v>
      </c>
      <c r="I492" s="10" t="s">
        <v>197</v>
      </c>
      <c r="J492" s="10" t="s">
        <v>348</v>
      </c>
      <c r="K492" s="31">
        <v>65484</v>
      </c>
      <c r="L492" s="10" t="s">
        <v>1431</v>
      </c>
      <c r="M492" s="10"/>
      <c r="N492" s="10" t="s">
        <v>3570</v>
      </c>
      <c r="O492" s="10" t="s">
        <v>2052</v>
      </c>
    </row>
    <row r="493" spans="1:15" x14ac:dyDescent="0.3">
      <c r="A493" s="10" t="s">
        <v>1948</v>
      </c>
      <c r="B493" s="10" t="s">
        <v>3571</v>
      </c>
      <c r="C493" s="10" t="s">
        <v>3572</v>
      </c>
      <c r="D493" s="10" t="s">
        <v>247</v>
      </c>
      <c r="E493" s="10" t="s">
        <v>1431</v>
      </c>
      <c r="F493" s="10" t="s">
        <v>3573</v>
      </c>
      <c r="G493" s="10" t="s">
        <v>616</v>
      </c>
      <c r="H493" s="10" t="s">
        <v>123</v>
      </c>
      <c r="I493" s="10" t="s">
        <v>191</v>
      </c>
      <c r="J493" s="10" t="s">
        <v>348</v>
      </c>
      <c r="K493" s="31">
        <v>19200</v>
      </c>
      <c r="L493" s="10" t="s">
        <v>1431</v>
      </c>
      <c r="M493" s="10"/>
      <c r="N493" s="10" t="s">
        <v>3574</v>
      </c>
      <c r="O493" s="10" t="s">
        <v>2052</v>
      </c>
    </row>
    <row r="494" spans="1:15" x14ac:dyDescent="0.3">
      <c r="A494" s="10" t="s">
        <v>1948</v>
      </c>
      <c r="B494" s="10" t="s">
        <v>3575</v>
      </c>
      <c r="C494" s="10" t="s">
        <v>3576</v>
      </c>
      <c r="D494" s="10" t="s">
        <v>251</v>
      </c>
      <c r="E494" s="10" t="s">
        <v>1433</v>
      </c>
      <c r="F494" s="10"/>
      <c r="G494" s="10"/>
      <c r="H494" s="10"/>
      <c r="I494" s="10" t="s">
        <v>2064</v>
      </c>
      <c r="J494" s="10"/>
      <c r="K494" s="31">
        <v>0</v>
      </c>
      <c r="L494" s="10" t="s">
        <v>1433</v>
      </c>
      <c r="M494" s="10" t="s">
        <v>2138</v>
      </c>
      <c r="N494" s="10" t="s">
        <v>3577</v>
      </c>
      <c r="O494" s="10" t="s">
        <v>2052</v>
      </c>
    </row>
    <row r="495" spans="1:15" x14ac:dyDescent="0.3">
      <c r="A495" s="10" t="s">
        <v>1948</v>
      </c>
      <c r="B495" s="10" t="s">
        <v>3578</v>
      </c>
      <c r="C495" s="10" t="s">
        <v>3579</v>
      </c>
      <c r="D495" s="10" t="s">
        <v>259</v>
      </c>
      <c r="E495" s="10" t="s">
        <v>1431</v>
      </c>
      <c r="F495" s="10"/>
      <c r="G495" s="10"/>
      <c r="H495" s="10"/>
      <c r="I495" s="10" t="s">
        <v>2064</v>
      </c>
      <c r="J495" s="10"/>
      <c r="K495" s="31">
        <v>0</v>
      </c>
      <c r="L495" s="10" t="s">
        <v>1433</v>
      </c>
      <c r="M495" s="10" t="s">
        <v>2065</v>
      </c>
      <c r="N495" s="10" t="s">
        <v>3577</v>
      </c>
      <c r="O495" s="10" t="s">
        <v>2052</v>
      </c>
    </row>
    <row r="496" spans="1:15" x14ac:dyDescent="0.3">
      <c r="A496" s="10" t="s">
        <v>255</v>
      </c>
      <c r="B496" s="10" t="s">
        <v>3580</v>
      </c>
      <c r="C496" s="10" t="s">
        <v>3581</v>
      </c>
      <c r="D496" s="10" t="s">
        <v>247</v>
      </c>
      <c r="E496" s="10" t="s">
        <v>1431</v>
      </c>
      <c r="F496" s="10" t="s">
        <v>3582</v>
      </c>
      <c r="G496" s="10" t="s">
        <v>245</v>
      </c>
      <c r="H496" s="10" t="s">
        <v>113</v>
      </c>
      <c r="I496" s="10" t="s">
        <v>184</v>
      </c>
      <c r="J496" s="10" t="s">
        <v>249</v>
      </c>
      <c r="K496" s="31">
        <v>124272</v>
      </c>
      <c r="L496" s="10" t="s">
        <v>1431</v>
      </c>
      <c r="M496" s="10"/>
      <c r="N496" s="10" t="s">
        <v>3583</v>
      </c>
      <c r="O496" s="10"/>
    </row>
    <row r="497" spans="1:15" x14ac:dyDescent="0.3">
      <c r="A497" s="10" t="s">
        <v>1949</v>
      </c>
      <c r="B497" s="10" t="s">
        <v>3584</v>
      </c>
      <c r="C497" s="10" t="s">
        <v>3585</v>
      </c>
      <c r="D497" s="10" t="s">
        <v>247</v>
      </c>
      <c r="E497" s="10" t="s">
        <v>1431</v>
      </c>
      <c r="F497" s="10" t="s">
        <v>3586</v>
      </c>
      <c r="G497" s="10" t="s">
        <v>433</v>
      </c>
      <c r="H497" s="10" t="s">
        <v>123</v>
      </c>
      <c r="I497" s="10" t="s">
        <v>193</v>
      </c>
      <c r="J497" s="10" t="s">
        <v>348</v>
      </c>
      <c r="K497" s="31">
        <v>57600</v>
      </c>
      <c r="L497" s="10" t="s">
        <v>1431</v>
      </c>
      <c r="M497" s="10"/>
      <c r="N497" s="10" t="s">
        <v>3587</v>
      </c>
      <c r="O497" s="10"/>
    </row>
    <row r="498" spans="1:15" x14ac:dyDescent="0.3">
      <c r="A498" s="10" t="s">
        <v>1950</v>
      </c>
      <c r="B498" s="10" t="s">
        <v>3588</v>
      </c>
      <c r="C498" s="10" t="s">
        <v>3589</v>
      </c>
      <c r="D498" s="10" t="s">
        <v>247</v>
      </c>
      <c r="E498" s="10" t="s">
        <v>1431</v>
      </c>
      <c r="F498" s="10" t="s">
        <v>3590</v>
      </c>
      <c r="G498" s="10" t="s">
        <v>768</v>
      </c>
      <c r="H498" s="10"/>
      <c r="I498" s="10" t="s">
        <v>769</v>
      </c>
      <c r="J498" s="10" t="s">
        <v>348</v>
      </c>
      <c r="K498" s="31">
        <v>36720</v>
      </c>
      <c r="L498" s="10" t="s">
        <v>1431</v>
      </c>
      <c r="M498" s="10"/>
      <c r="N498" s="10" t="s">
        <v>3591</v>
      </c>
      <c r="O498" s="10"/>
    </row>
    <row r="499" spans="1:15" x14ac:dyDescent="0.3">
      <c r="A499" s="10" t="s">
        <v>1950</v>
      </c>
      <c r="B499" s="10" t="s">
        <v>3592</v>
      </c>
      <c r="C499" s="10" t="s">
        <v>3593</v>
      </c>
      <c r="D499" s="10" t="s">
        <v>259</v>
      </c>
      <c r="E499" s="10" t="s">
        <v>1431</v>
      </c>
      <c r="F499" s="10" t="s">
        <v>3594</v>
      </c>
      <c r="G499" s="10" t="s">
        <v>521</v>
      </c>
      <c r="H499" s="10" t="s">
        <v>123</v>
      </c>
      <c r="I499" s="10" t="s">
        <v>189</v>
      </c>
      <c r="J499" s="10" t="s">
        <v>348</v>
      </c>
      <c r="K499" s="31">
        <v>300000</v>
      </c>
      <c r="L499" s="10" t="s">
        <v>1431</v>
      </c>
      <c r="M499" s="10"/>
      <c r="N499" s="10" t="s">
        <v>3595</v>
      </c>
      <c r="O499" s="10"/>
    </row>
    <row r="500" spans="1:15" x14ac:dyDescent="0.3">
      <c r="A500" s="10" t="s">
        <v>1951</v>
      </c>
      <c r="B500" s="10" t="s">
        <v>3596</v>
      </c>
      <c r="C500" s="10" t="s">
        <v>3597</v>
      </c>
      <c r="D500" s="10" t="s">
        <v>247</v>
      </c>
      <c r="E500" s="10" t="s">
        <v>1431</v>
      </c>
      <c r="F500" s="10"/>
      <c r="G500" s="10"/>
      <c r="H500" s="10"/>
      <c r="I500" s="10" t="s">
        <v>2064</v>
      </c>
      <c r="J500" s="10"/>
      <c r="K500" s="31">
        <v>0</v>
      </c>
      <c r="L500" s="10" t="s">
        <v>1433</v>
      </c>
      <c r="M500" s="10" t="s">
        <v>2065</v>
      </c>
      <c r="N500" s="10" t="s">
        <v>3598</v>
      </c>
      <c r="O500" s="10" t="s">
        <v>2019</v>
      </c>
    </row>
    <row r="501" spans="1:15" x14ac:dyDescent="0.3">
      <c r="A501" s="10" t="s">
        <v>1951</v>
      </c>
      <c r="B501" s="10" t="s">
        <v>3599</v>
      </c>
      <c r="C501" s="10" t="s">
        <v>3600</v>
      </c>
      <c r="D501" s="10" t="s">
        <v>2079</v>
      </c>
      <c r="E501" s="10" t="s">
        <v>1431</v>
      </c>
      <c r="F501" s="10" t="s">
        <v>2063</v>
      </c>
      <c r="G501" s="10"/>
      <c r="H501" s="10"/>
      <c r="I501" s="10" t="s">
        <v>2064</v>
      </c>
      <c r="J501" s="10"/>
      <c r="K501" s="31">
        <v>0</v>
      </c>
      <c r="L501" s="10" t="s">
        <v>1433</v>
      </c>
      <c r="M501" s="10" t="s">
        <v>2065</v>
      </c>
      <c r="N501" s="10" t="s">
        <v>3601</v>
      </c>
      <c r="O501" s="10" t="s">
        <v>2019</v>
      </c>
    </row>
    <row r="502" spans="1:15" x14ac:dyDescent="0.3">
      <c r="A502" s="10" t="s">
        <v>1951</v>
      </c>
      <c r="B502" s="10" t="s">
        <v>3602</v>
      </c>
      <c r="C502" s="10" t="s">
        <v>3603</v>
      </c>
      <c r="D502" s="10" t="s">
        <v>264</v>
      </c>
      <c r="E502" s="10" t="s">
        <v>1431</v>
      </c>
      <c r="F502" s="10" t="s">
        <v>2063</v>
      </c>
      <c r="G502" s="10"/>
      <c r="H502" s="10"/>
      <c r="I502" s="10" t="s">
        <v>2064</v>
      </c>
      <c r="J502" s="10"/>
      <c r="K502" s="31">
        <v>0</v>
      </c>
      <c r="L502" s="10" t="s">
        <v>1433</v>
      </c>
      <c r="M502" s="10" t="s">
        <v>2065</v>
      </c>
      <c r="N502" s="10" t="s">
        <v>3601</v>
      </c>
      <c r="O502" s="10" t="s">
        <v>2019</v>
      </c>
    </row>
    <row r="503" spans="1:15" x14ac:dyDescent="0.3">
      <c r="A503" s="10" t="s">
        <v>1952</v>
      </c>
      <c r="B503" s="10" t="s">
        <v>3604</v>
      </c>
      <c r="C503" s="10" t="s">
        <v>3605</v>
      </c>
      <c r="D503" s="10" t="s">
        <v>247</v>
      </c>
      <c r="E503" s="10" t="s">
        <v>1431</v>
      </c>
      <c r="F503" s="10" t="s">
        <v>613</v>
      </c>
      <c r="G503" s="10" t="s">
        <v>613</v>
      </c>
      <c r="H503" s="10" t="s">
        <v>123</v>
      </c>
      <c r="I503" s="10" t="s">
        <v>192</v>
      </c>
      <c r="J503" s="10" t="s">
        <v>348</v>
      </c>
      <c r="K503" s="31">
        <v>34812</v>
      </c>
      <c r="L503" s="10" t="s">
        <v>1431</v>
      </c>
      <c r="M503" s="10"/>
      <c r="N503" s="10" t="s">
        <v>3606</v>
      </c>
      <c r="O503" s="10" t="s">
        <v>2019</v>
      </c>
    </row>
    <row r="504" spans="1:15" x14ac:dyDescent="0.3">
      <c r="A504" s="10" t="s">
        <v>1952</v>
      </c>
      <c r="B504" s="10" t="s">
        <v>3607</v>
      </c>
      <c r="C504" s="10" t="s">
        <v>3608</v>
      </c>
      <c r="D504" s="10" t="s">
        <v>264</v>
      </c>
      <c r="E504" s="10" t="s">
        <v>1431</v>
      </c>
      <c r="F504" s="10" t="s">
        <v>3609</v>
      </c>
      <c r="G504" s="10" t="s">
        <v>421</v>
      </c>
      <c r="H504" s="10" t="s">
        <v>123</v>
      </c>
      <c r="I504" s="10" t="s">
        <v>195</v>
      </c>
      <c r="J504" s="10" t="s">
        <v>294</v>
      </c>
      <c r="K504" s="31">
        <v>39600</v>
      </c>
      <c r="L504" s="10" t="s">
        <v>1431</v>
      </c>
      <c r="M504" s="10"/>
      <c r="N504" s="10" t="s">
        <v>3610</v>
      </c>
      <c r="O504" s="10" t="s">
        <v>2019</v>
      </c>
    </row>
    <row r="505" spans="1:15" x14ac:dyDescent="0.3">
      <c r="A505" s="10" t="s">
        <v>1952</v>
      </c>
      <c r="B505" s="10" t="s">
        <v>3611</v>
      </c>
      <c r="C505" s="10" t="s">
        <v>3612</v>
      </c>
      <c r="D505" s="10" t="s">
        <v>259</v>
      </c>
      <c r="E505" s="10" t="s">
        <v>1431</v>
      </c>
      <c r="F505" s="10" t="s">
        <v>3609</v>
      </c>
      <c r="G505" s="10" t="s">
        <v>421</v>
      </c>
      <c r="H505" s="10" t="s">
        <v>123</v>
      </c>
      <c r="I505" s="10" t="s">
        <v>195</v>
      </c>
      <c r="J505" s="10" t="s">
        <v>294</v>
      </c>
      <c r="K505" s="31">
        <v>39600</v>
      </c>
      <c r="L505" s="10" t="s">
        <v>1433</v>
      </c>
      <c r="M505" s="10" t="s">
        <v>2092</v>
      </c>
      <c r="N505" s="10" t="s">
        <v>3610</v>
      </c>
      <c r="O505" s="10" t="s">
        <v>2019</v>
      </c>
    </row>
    <row r="506" spans="1:15" x14ac:dyDescent="0.3">
      <c r="A506" s="10" t="s">
        <v>1953</v>
      </c>
      <c r="B506" s="10" t="s">
        <v>3613</v>
      </c>
      <c r="C506" s="10" t="s">
        <v>3614</v>
      </c>
      <c r="D506" s="10" t="s">
        <v>247</v>
      </c>
      <c r="E506" s="10" t="s">
        <v>1431</v>
      </c>
      <c r="F506" s="10" t="s">
        <v>3615</v>
      </c>
      <c r="G506" s="10" t="s">
        <v>754</v>
      </c>
      <c r="H506" s="10" t="s">
        <v>123</v>
      </c>
      <c r="I506" s="10" t="s">
        <v>190</v>
      </c>
      <c r="J506" s="10" t="s">
        <v>348</v>
      </c>
      <c r="K506" s="31">
        <v>32088</v>
      </c>
      <c r="L506" s="10" t="s">
        <v>1431</v>
      </c>
      <c r="M506" s="10"/>
      <c r="N506" s="10" t="s">
        <v>3616</v>
      </c>
      <c r="O506" s="10" t="s">
        <v>2052</v>
      </c>
    </row>
    <row r="507" spans="1:15" x14ac:dyDescent="0.3">
      <c r="A507" s="10" t="s">
        <v>1953</v>
      </c>
      <c r="B507" s="10" t="s">
        <v>3617</v>
      </c>
      <c r="C507" s="10" t="s">
        <v>3618</v>
      </c>
      <c r="D507" s="10" t="s">
        <v>259</v>
      </c>
      <c r="E507" s="10" t="s">
        <v>1431</v>
      </c>
      <c r="F507" s="10" t="s">
        <v>409</v>
      </c>
      <c r="G507" s="10" t="s">
        <v>409</v>
      </c>
      <c r="H507" s="10" t="s">
        <v>123</v>
      </c>
      <c r="I507" s="10" t="s">
        <v>190</v>
      </c>
      <c r="J507" s="10" t="s">
        <v>348</v>
      </c>
      <c r="K507" s="31">
        <v>15048</v>
      </c>
      <c r="L507" s="10" t="s">
        <v>1433</v>
      </c>
      <c r="M507" s="10" t="s">
        <v>2092</v>
      </c>
      <c r="N507" s="10" t="s">
        <v>3619</v>
      </c>
      <c r="O507" s="10" t="s">
        <v>2052</v>
      </c>
    </row>
    <row r="508" spans="1:15" x14ac:dyDescent="0.3">
      <c r="A508" s="10" t="s">
        <v>1953</v>
      </c>
      <c r="B508" s="10" t="s">
        <v>3620</v>
      </c>
      <c r="C508" s="10" t="s">
        <v>3621</v>
      </c>
      <c r="D508" s="10" t="s">
        <v>259</v>
      </c>
      <c r="E508" s="10" t="s">
        <v>1431</v>
      </c>
      <c r="F508" s="10" t="s">
        <v>409</v>
      </c>
      <c r="G508" s="10" t="s">
        <v>409</v>
      </c>
      <c r="H508" s="10" t="s">
        <v>123</v>
      </c>
      <c r="I508" s="10" t="s">
        <v>190</v>
      </c>
      <c r="J508" s="10" t="s">
        <v>348</v>
      </c>
      <c r="K508" s="31">
        <v>15048</v>
      </c>
      <c r="L508" s="10" t="s">
        <v>1431</v>
      </c>
      <c r="M508" s="10"/>
      <c r="N508" s="10" t="s">
        <v>3619</v>
      </c>
      <c r="O508" s="10" t="s">
        <v>2052</v>
      </c>
    </row>
    <row r="509" spans="1:15" x14ac:dyDescent="0.3">
      <c r="A509" s="10" t="s">
        <v>1954</v>
      </c>
      <c r="B509" s="10" t="s">
        <v>3622</v>
      </c>
      <c r="C509" s="10" t="s">
        <v>3623</v>
      </c>
      <c r="D509" s="10" t="s">
        <v>247</v>
      </c>
      <c r="E509" s="10" t="s">
        <v>1431</v>
      </c>
      <c r="F509" s="10" t="s">
        <v>3624</v>
      </c>
      <c r="G509" s="10" t="s">
        <v>574</v>
      </c>
      <c r="H509" s="10" t="s">
        <v>123</v>
      </c>
      <c r="I509" s="10" t="s">
        <v>198</v>
      </c>
      <c r="J509" s="10" t="s">
        <v>348</v>
      </c>
      <c r="K509" s="31">
        <v>33600</v>
      </c>
      <c r="L509" s="10" t="s">
        <v>1431</v>
      </c>
      <c r="M509" s="10"/>
      <c r="N509" s="10" t="s">
        <v>3365</v>
      </c>
      <c r="O509" s="10"/>
    </row>
    <row r="510" spans="1:15" x14ac:dyDescent="0.3">
      <c r="A510" s="10" t="s">
        <v>1954</v>
      </c>
      <c r="B510" s="10" t="s">
        <v>3625</v>
      </c>
      <c r="C510" s="10" t="s">
        <v>3626</v>
      </c>
      <c r="D510" s="10" t="s">
        <v>259</v>
      </c>
      <c r="E510" s="10" t="s">
        <v>1431</v>
      </c>
      <c r="F510" s="10"/>
      <c r="G510" s="10"/>
      <c r="H510" s="10"/>
      <c r="I510" s="10" t="s">
        <v>2064</v>
      </c>
      <c r="J510" s="10"/>
      <c r="K510" s="31">
        <v>0</v>
      </c>
      <c r="L510" s="10" t="s">
        <v>1433</v>
      </c>
      <c r="M510" s="10" t="s">
        <v>2065</v>
      </c>
      <c r="N510" s="10" t="s">
        <v>3627</v>
      </c>
      <c r="O510" s="10"/>
    </row>
    <row r="511" spans="1:15" x14ac:dyDescent="0.3">
      <c r="A511" s="10" t="s">
        <v>1954</v>
      </c>
      <c r="B511" s="10" t="s">
        <v>3628</v>
      </c>
      <c r="C511" s="10" t="s">
        <v>3629</v>
      </c>
      <c r="D511" s="10" t="s">
        <v>259</v>
      </c>
      <c r="E511" s="10" t="s">
        <v>1431</v>
      </c>
      <c r="F511" s="10"/>
      <c r="G511" s="10"/>
      <c r="H511" s="10"/>
      <c r="I511" s="10" t="s">
        <v>2064</v>
      </c>
      <c r="J511" s="10"/>
      <c r="K511" s="31">
        <v>0</v>
      </c>
      <c r="L511" s="10" t="s">
        <v>1433</v>
      </c>
      <c r="M511" s="10" t="s">
        <v>2065</v>
      </c>
      <c r="N511" s="10" t="s">
        <v>3627</v>
      </c>
      <c r="O511" s="10"/>
    </row>
    <row r="512" spans="1:15" x14ac:dyDescent="0.3">
      <c r="A512" s="10" t="s">
        <v>1954</v>
      </c>
      <c r="B512" s="10" t="s">
        <v>3630</v>
      </c>
      <c r="C512" s="10" t="s">
        <v>3631</v>
      </c>
      <c r="D512" s="10" t="s">
        <v>264</v>
      </c>
      <c r="E512" s="10" t="s">
        <v>1431</v>
      </c>
      <c r="F512" s="10"/>
      <c r="G512" s="10"/>
      <c r="H512" s="10"/>
      <c r="I512" s="10" t="s">
        <v>2064</v>
      </c>
      <c r="J512" s="10"/>
      <c r="K512" s="31">
        <v>0</v>
      </c>
      <c r="L512" s="10" t="s">
        <v>1433</v>
      </c>
      <c r="M512" s="10" t="s">
        <v>2065</v>
      </c>
      <c r="N512" s="10" t="s">
        <v>3627</v>
      </c>
      <c r="O512" s="10"/>
    </row>
    <row r="513" spans="1:15" x14ac:dyDescent="0.3">
      <c r="A513" s="10" t="s">
        <v>1955</v>
      </c>
      <c r="B513" s="10" t="s">
        <v>3632</v>
      </c>
      <c r="C513" s="10" t="s">
        <v>3633</v>
      </c>
      <c r="D513" s="10" t="s">
        <v>247</v>
      </c>
      <c r="E513" s="10" t="s">
        <v>1431</v>
      </c>
      <c r="F513" s="10" t="s">
        <v>3634</v>
      </c>
      <c r="G513" s="10" t="s">
        <v>378</v>
      </c>
      <c r="H513" s="10" t="s">
        <v>123</v>
      </c>
      <c r="I513" s="10" t="s">
        <v>189</v>
      </c>
      <c r="J513" s="10" t="s">
        <v>348</v>
      </c>
      <c r="K513" s="31">
        <v>43800</v>
      </c>
      <c r="L513" s="10" t="s">
        <v>1431</v>
      </c>
      <c r="M513" s="10"/>
      <c r="N513" s="10" t="s">
        <v>3635</v>
      </c>
      <c r="O513" s="10" t="s">
        <v>2052</v>
      </c>
    </row>
    <row r="514" spans="1:15" x14ac:dyDescent="0.3">
      <c r="A514" s="10" t="s">
        <v>1955</v>
      </c>
      <c r="B514" s="10" t="s">
        <v>3636</v>
      </c>
      <c r="C514" s="10" t="s">
        <v>3637</v>
      </c>
      <c r="D514" s="10" t="s">
        <v>264</v>
      </c>
      <c r="E514" s="10" t="s">
        <v>1431</v>
      </c>
      <c r="F514" s="10" t="s">
        <v>481</v>
      </c>
      <c r="G514" s="10" t="s">
        <v>481</v>
      </c>
      <c r="H514" s="10" t="s">
        <v>123</v>
      </c>
      <c r="I514" s="10" t="s">
        <v>199</v>
      </c>
      <c r="J514" s="10" t="s">
        <v>348</v>
      </c>
      <c r="K514" s="31">
        <v>14400</v>
      </c>
      <c r="L514" s="10" t="s">
        <v>1431</v>
      </c>
      <c r="M514" s="10"/>
      <c r="N514" s="10" t="s">
        <v>3638</v>
      </c>
      <c r="O514" s="10"/>
    </row>
    <row r="515" spans="1:15" x14ac:dyDescent="0.3">
      <c r="A515" s="10" t="s">
        <v>1956</v>
      </c>
      <c r="B515" s="10" t="s">
        <v>3639</v>
      </c>
      <c r="C515" s="10" t="s">
        <v>3640</v>
      </c>
      <c r="D515" s="10" t="s">
        <v>247</v>
      </c>
      <c r="E515" s="10" t="s">
        <v>1431</v>
      </c>
      <c r="F515" s="10" t="s">
        <v>763</v>
      </c>
      <c r="G515" s="10" t="s">
        <v>763</v>
      </c>
      <c r="H515" s="10" t="s">
        <v>123</v>
      </c>
      <c r="I515" s="10" t="s">
        <v>202</v>
      </c>
      <c r="J515" s="10" t="s">
        <v>348</v>
      </c>
      <c r="K515" s="31">
        <v>55008</v>
      </c>
      <c r="L515" s="10" t="s">
        <v>1431</v>
      </c>
      <c r="M515" s="10"/>
      <c r="N515" s="10" t="s">
        <v>3641</v>
      </c>
      <c r="O515" s="10"/>
    </row>
    <row r="516" spans="1:15" x14ac:dyDescent="0.3">
      <c r="A516" s="10" t="s">
        <v>1956</v>
      </c>
      <c r="B516" s="10" t="s">
        <v>3642</v>
      </c>
      <c r="C516" s="10" t="s">
        <v>3643</v>
      </c>
      <c r="D516" s="10" t="s">
        <v>259</v>
      </c>
      <c r="E516" s="10" t="s">
        <v>1431</v>
      </c>
      <c r="F516" s="10" t="s">
        <v>3644</v>
      </c>
      <c r="G516" s="10" t="s">
        <v>461</v>
      </c>
      <c r="H516" s="10" t="s">
        <v>123</v>
      </c>
      <c r="I516" s="10" t="s">
        <v>191</v>
      </c>
      <c r="J516" s="10" t="s">
        <v>348</v>
      </c>
      <c r="K516" s="31">
        <v>57600</v>
      </c>
      <c r="L516" s="10" t="s">
        <v>1431</v>
      </c>
      <c r="M516" s="10"/>
      <c r="N516" s="10" t="s">
        <v>3645</v>
      </c>
      <c r="O516" s="10" t="s">
        <v>2052</v>
      </c>
    </row>
    <row r="517" spans="1:15" x14ac:dyDescent="0.3">
      <c r="A517" s="10" t="s">
        <v>1957</v>
      </c>
      <c r="B517" s="10" t="s">
        <v>3646</v>
      </c>
      <c r="C517" s="10" t="s">
        <v>3647</v>
      </c>
      <c r="D517" s="10" t="s">
        <v>247</v>
      </c>
      <c r="E517" s="10" t="s">
        <v>1431</v>
      </c>
      <c r="F517" s="10" t="s">
        <v>531</v>
      </c>
      <c r="G517" s="10" t="s">
        <v>531</v>
      </c>
      <c r="H517" s="10" t="s">
        <v>123</v>
      </c>
      <c r="I517" s="10" t="s">
        <v>196</v>
      </c>
      <c r="J517" s="10" t="s">
        <v>532</v>
      </c>
      <c r="K517" s="31">
        <v>46092</v>
      </c>
      <c r="L517" s="10" t="s">
        <v>1431</v>
      </c>
      <c r="M517" s="10"/>
      <c r="N517" s="10" t="s">
        <v>3648</v>
      </c>
      <c r="O517" s="10" t="s">
        <v>2052</v>
      </c>
    </row>
    <row r="518" spans="1:15" x14ac:dyDescent="0.3">
      <c r="A518" s="10" t="s">
        <v>1957</v>
      </c>
      <c r="B518" s="10" t="s">
        <v>3649</v>
      </c>
      <c r="C518" s="10" t="s">
        <v>3650</v>
      </c>
      <c r="D518" s="10" t="s">
        <v>259</v>
      </c>
      <c r="E518" s="10" t="s">
        <v>1431</v>
      </c>
      <c r="F518" s="10" t="s">
        <v>3651</v>
      </c>
      <c r="G518" s="10" t="s">
        <v>578</v>
      </c>
      <c r="H518" s="10" t="s">
        <v>123</v>
      </c>
      <c r="I518" s="10" t="s">
        <v>197</v>
      </c>
      <c r="J518" s="10" t="s">
        <v>366</v>
      </c>
      <c r="K518" s="31">
        <v>58872</v>
      </c>
      <c r="L518" s="10" t="s">
        <v>1431</v>
      </c>
      <c r="M518" s="10"/>
      <c r="N518" s="10" t="s">
        <v>3652</v>
      </c>
      <c r="O518" s="10" t="s">
        <v>2052</v>
      </c>
    </row>
    <row r="519" spans="1:15" x14ac:dyDescent="0.3">
      <c r="A519" s="10" t="s">
        <v>256</v>
      </c>
      <c r="B519" s="10" t="s">
        <v>3653</v>
      </c>
      <c r="C519" s="10" t="s">
        <v>3654</v>
      </c>
      <c r="D519" s="10" t="s">
        <v>247</v>
      </c>
      <c r="E519" s="10" t="s">
        <v>1431</v>
      </c>
      <c r="F519" s="10" t="s">
        <v>245</v>
      </c>
      <c r="G519" s="10" t="s">
        <v>245</v>
      </c>
      <c r="H519" s="10" t="s">
        <v>113</v>
      </c>
      <c r="I519" s="10" t="s">
        <v>184</v>
      </c>
      <c r="J519" s="10" t="s">
        <v>249</v>
      </c>
      <c r="K519" s="31">
        <v>96996</v>
      </c>
      <c r="L519" s="10" t="s">
        <v>1431</v>
      </c>
      <c r="M519" s="10"/>
      <c r="N519" s="10" t="s">
        <v>3655</v>
      </c>
      <c r="O519" s="10"/>
    </row>
    <row r="520" spans="1:15" x14ac:dyDescent="0.3">
      <c r="A520" s="10" t="s">
        <v>1958</v>
      </c>
      <c r="B520" s="10" t="s">
        <v>3656</v>
      </c>
      <c r="C520" s="10" t="s">
        <v>3657</v>
      </c>
      <c r="D520" s="10" t="s">
        <v>247</v>
      </c>
      <c r="E520" s="10" t="s">
        <v>1431</v>
      </c>
      <c r="F520" s="10" t="s">
        <v>2796</v>
      </c>
      <c r="G520" s="10" t="s">
        <v>360</v>
      </c>
      <c r="H520" s="10" t="s">
        <v>123</v>
      </c>
      <c r="I520" s="10" t="s">
        <v>191</v>
      </c>
      <c r="J520" s="10" t="s">
        <v>294</v>
      </c>
      <c r="K520" s="31">
        <v>0</v>
      </c>
      <c r="L520" s="10" t="s">
        <v>1433</v>
      </c>
      <c r="M520" s="10" t="s">
        <v>2065</v>
      </c>
      <c r="N520" s="10" t="s">
        <v>3658</v>
      </c>
      <c r="O520" s="10" t="s">
        <v>2052</v>
      </c>
    </row>
    <row r="521" spans="1:15" x14ac:dyDescent="0.3">
      <c r="A521" s="10" t="s">
        <v>1958</v>
      </c>
      <c r="B521" s="10" t="s">
        <v>3659</v>
      </c>
      <c r="C521" s="10" t="s">
        <v>3660</v>
      </c>
      <c r="D521" s="10" t="s">
        <v>251</v>
      </c>
      <c r="E521" s="10" t="s">
        <v>1433</v>
      </c>
      <c r="F521" s="10" t="s">
        <v>3661</v>
      </c>
      <c r="G521" s="10" t="s">
        <v>3661</v>
      </c>
      <c r="H521" s="10" t="s">
        <v>121</v>
      </c>
      <c r="I521" s="10" t="s">
        <v>188</v>
      </c>
      <c r="J521" s="10" t="s">
        <v>348</v>
      </c>
      <c r="K521" s="31">
        <v>213684</v>
      </c>
      <c r="L521" s="10" t="s">
        <v>1433</v>
      </c>
      <c r="M521" s="10" t="s">
        <v>2138</v>
      </c>
      <c r="N521" s="10" t="s">
        <v>3662</v>
      </c>
      <c r="O521" s="10" t="s">
        <v>2019</v>
      </c>
    </row>
    <row r="522" spans="1:15" x14ac:dyDescent="0.3">
      <c r="A522" s="10" t="s">
        <v>1959</v>
      </c>
      <c r="B522" s="10" t="s">
        <v>3663</v>
      </c>
      <c r="C522" s="10" t="s">
        <v>3664</v>
      </c>
      <c r="D522" s="10" t="s">
        <v>247</v>
      </c>
      <c r="E522" s="10" t="s">
        <v>1431</v>
      </c>
      <c r="F522" s="10" t="s">
        <v>706</v>
      </c>
      <c r="G522" s="10" t="s">
        <v>706</v>
      </c>
      <c r="H522" s="10" t="s">
        <v>123</v>
      </c>
      <c r="I522" s="10" t="s">
        <v>197</v>
      </c>
      <c r="J522" s="10" t="s">
        <v>348</v>
      </c>
      <c r="K522" s="31">
        <v>60000</v>
      </c>
      <c r="L522" s="10" t="s">
        <v>1431</v>
      </c>
      <c r="M522" s="10"/>
      <c r="N522" s="10" t="s">
        <v>3665</v>
      </c>
      <c r="O522" s="10" t="s">
        <v>2019</v>
      </c>
    </row>
    <row r="523" spans="1:15" x14ac:dyDescent="0.3">
      <c r="A523" s="10" t="s">
        <v>1959</v>
      </c>
      <c r="B523" s="10" t="s">
        <v>3666</v>
      </c>
      <c r="C523" s="10" t="s">
        <v>3667</v>
      </c>
      <c r="D523" s="10" t="s">
        <v>264</v>
      </c>
      <c r="E523" s="10" t="s">
        <v>1431</v>
      </c>
      <c r="F523" s="10" t="s">
        <v>2063</v>
      </c>
      <c r="G523" s="10"/>
      <c r="H523" s="10"/>
      <c r="I523" s="10" t="s">
        <v>2064</v>
      </c>
      <c r="J523" s="10"/>
      <c r="K523" s="31">
        <v>0</v>
      </c>
      <c r="L523" s="10" t="s">
        <v>1433</v>
      </c>
      <c r="M523" s="10" t="s">
        <v>2065</v>
      </c>
      <c r="N523" s="10" t="s">
        <v>3668</v>
      </c>
      <c r="O523" s="10" t="s">
        <v>2019</v>
      </c>
    </row>
    <row r="524" spans="1:15" x14ac:dyDescent="0.3">
      <c r="A524" s="10" t="s">
        <v>1960</v>
      </c>
      <c r="B524" s="10" t="s">
        <v>3669</v>
      </c>
      <c r="C524" s="10" t="s">
        <v>3670</v>
      </c>
      <c r="D524" s="10" t="s">
        <v>247</v>
      </c>
      <c r="E524" s="10" t="s">
        <v>1431</v>
      </c>
      <c r="F524" s="10" t="s">
        <v>3671</v>
      </c>
      <c r="G524" s="10" t="s">
        <v>615</v>
      </c>
      <c r="H524" s="10" t="s">
        <v>123</v>
      </c>
      <c r="I524" s="10" t="s">
        <v>190</v>
      </c>
      <c r="J524" s="10" t="s">
        <v>348</v>
      </c>
      <c r="K524" s="31">
        <v>69996</v>
      </c>
      <c r="L524" s="10" t="s">
        <v>1431</v>
      </c>
      <c r="M524" s="10"/>
      <c r="N524" s="10" t="s">
        <v>3672</v>
      </c>
      <c r="O524" s="10"/>
    </row>
    <row r="525" spans="1:15" x14ac:dyDescent="0.3">
      <c r="A525" s="10" t="s">
        <v>1961</v>
      </c>
      <c r="B525" s="10" t="s">
        <v>3673</v>
      </c>
      <c r="C525" s="10" t="s">
        <v>3674</v>
      </c>
      <c r="D525" s="10" t="s">
        <v>247</v>
      </c>
      <c r="E525" s="10" t="s">
        <v>1431</v>
      </c>
      <c r="F525" s="10" t="s">
        <v>3675</v>
      </c>
      <c r="G525" s="10" t="s">
        <v>452</v>
      </c>
      <c r="H525" s="10" t="s">
        <v>123</v>
      </c>
      <c r="I525" s="10" t="s">
        <v>206</v>
      </c>
      <c r="J525" s="10" t="s">
        <v>348</v>
      </c>
      <c r="K525" s="31">
        <v>62400</v>
      </c>
      <c r="L525" s="10" t="s">
        <v>1431</v>
      </c>
      <c r="M525" s="10"/>
      <c r="N525" s="10" t="s">
        <v>3676</v>
      </c>
      <c r="O525" s="10"/>
    </row>
    <row r="526" spans="1:15" x14ac:dyDescent="0.3">
      <c r="A526" s="10" t="s">
        <v>1961</v>
      </c>
      <c r="B526" s="10" t="s">
        <v>3677</v>
      </c>
      <c r="C526" s="10" t="s">
        <v>3678</v>
      </c>
      <c r="D526" s="10" t="s">
        <v>2079</v>
      </c>
      <c r="E526" s="10" t="s">
        <v>1431</v>
      </c>
      <c r="F526" s="10" t="s">
        <v>420</v>
      </c>
      <c r="G526" s="10" t="s">
        <v>420</v>
      </c>
      <c r="H526" s="10" t="s">
        <v>123</v>
      </c>
      <c r="I526" s="10" t="s">
        <v>199</v>
      </c>
      <c r="J526" s="10" t="s">
        <v>366</v>
      </c>
      <c r="K526" s="31">
        <v>48000</v>
      </c>
      <c r="L526" s="10" t="s">
        <v>1433</v>
      </c>
      <c r="M526" s="10" t="s">
        <v>2092</v>
      </c>
      <c r="N526" s="10" t="s">
        <v>3679</v>
      </c>
      <c r="O526" s="10"/>
    </row>
    <row r="527" spans="1:15" x14ac:dyDescent="0.3">
      <c r="A527" s="10" t="s">
        <v>1961</v>
      </c>
      <c r="B527" s="10" t="s">
        <v>3680</v>
      </c>
      <c r="C527" s="10" t="s">
        <v>3681</v>
      </c>
      <c r="D527" s="10" t="s">
        <v>259</v>
      </c>
      <c r="E527" s="10" t="s">
        <v>1431</v>
      </c>
      <c r="F527" s="10" t="s">
        <v>420</v>
      </c>
      <c r="G527" s="10" t="s">
        <v>420</v>
      </c>
      <c r="H527" s="10" t="s">
        <v>123</v>
      </c>
      <c r="I527" s="10" t="s">
        <v>199</v>
      </c>
      <c r="J527" s="10" t="s">
        <v>366</v>
      </c>
      <c r="K527" s="31">
        <v>48000</v>
      </c>
      <c r="L527" s="10" t="s">
        <v>1431</v>
      </c>
      <c r="M527" s="10"/>
      <c r="N527" s="10" t="s">
        <v>3679</v>
      </c>
      <c r="O527" s="10"/>
    </row>
    <row r="528" spans="1:15" x14ac:dyDescent="0.3">
      <c r="A528" s="10" t="s">
        <v>1962</v>
      </c>
      <c r="B528" s="10" t="s">
        <v>3682</v>
      </c>
      <c r="C528" s="10" t="s">
        <v>3683</v>
      </c>
      <c r="D528" s="10" t="s">
        <v>247</v>
      </c>
      <c r="E528" s="10" t="s">
        <v>1431</v>
      </c>
      <c r="F528" s="10" t="s">
        <v>753</v>
      </c>
      <c r="G528" s="10" t="s">
        <v>753</v>
      </c>
      <c r="H528" s="10" t="s">
        <v>123</v>
      </c>
      <c r="I528" s="10" t="s">
        <v>191</v>
      </c>
      <c r="J528" s="10" t="s">
        <v>348</v>
      </c>
      <c r="K528" s="31">
        <v>24000</v>
      </c>
      <c r="L528" s="10" t="s">
        <v>1431</v>
      </c>
      <c r="M528" s="10"/>
      <c r="N528" s="10" t="s">
        <v>3684</v>
      </c>
      <c r="O528" s="10" t="s">
        <v>2052</v>
      </c>
    </row>
    <row r="529" spans="1:15" x14ac:dyDescent="0.3">
      <c r="A529" s="10" t="s">
        <v>1962</v>
      </c>
      <c r="B529" s="10" t="s">
        <v>3685</v>
      </c>
      <c r="C529" s="10" t="s">
        <v>3686</v>
      </c>
      <c r="D529" s="10" t="s">
        <v>251</v>
      </c>
      <c r="E529" s="10" t="s">
        <v>1433</v>
      </c>
      <c r="F529" s="10"/>
      <c r="G529" s="10"/>
      <c r="H529" s="10"/>
      <c r="I529" s="10" t="s">
        <v>2064</v>
      </c>
      <c r="J529" s="10"/>
      <c r="K529" s="31">
        <v>0</v>
      </c>
      <c r="L529" s="10" t="s">
        <v>1433</v>
      </c>
      <c r="M529" s="10" t="s">
        <v>2138</v>
      </c>
      <c r="N529" s="10" t="s">
        <v>3687</v>
      </c>
      <c r="O529" s="10"/>
    </row>
    <row r="530" spans="1:15" x14ac:dyDescent="0.3">
      <c r="A530" s="10" t="s">
        <v>1962</v>
      </c>
      <c r="B530" s="10" t="s">
        <v>3688</v>
      </c>
      <c r="C530" s="10" t="s">
        <v>3689</v>
      </c>
      <c r="D530" s="10" t="s">
        <v>259</v>
      </c>
      <c r="E530" s="10" t="s">
        <v>1431</v>
      </c>
      <c r="F530" s="10"/>
      <c r="G530" s="10"/>
      <c r="H530" s="10"/>
      <c r="I530" s="10" t="s">
        <v>2064</v>
      </c>
      <c r="J530" s="10"/>
      <c r="K530" s="31">
        <v>0</v>
      </c>
      <c r="L530" s="10" t="s">
        <v>1433</v>
      </c>
      <c r="M530" s="10" t="s">
        <v>2065</v>
      </c>
      <c r="N530" s="10" t="s">
        <v>3687</v>
      </c>
      <c r="O530" s="10"/>
    </row>
    <row r="531" spans="1:15" x14ac:dyDescent="0.3">
      <c r="A531" s="10" t="s">
        <v>1963</v>
      </c>
      <c r="B531" s="10" t="s">
        <v>3690</v>
      </c>
      <c r="C531" s="10" t="s">
        <v>3691</v>
      </c>
      <c r="D531" s="10" t="s">
        <v>247</v>
      </c>
      <c r="E531" s="10" t="s">
        <v>1431</v>
      </c>
      <c r="F531" s="10" t="s">
        <v>3692</v>
      </c>
      <c r="G531" s="10" t="s">
        <v>385</v>
      </c>
      <c r="H531" s="10" t="s">
        <v>123</v>
      </c>
      <c r="I531" s="10" t="s">
        <v>190</v>
      </c>
      <c r="J531" s="10" t="s">
        <v>348</v>
      </c>
      <c r="K531" s="31">
        <v>14556</v>
      </c>
      <c r="L531" s="10" t="s">
        <v>1431</v>
      </c>
      <c r="M531" s="10"/>
      <c r="N531" s="10" t="s">
        <v>3693</v>
      </c>
      <c r="O531" s="10" t="s">
        <v>2052</v>
      </c>
    </row>
    <row r="532" spans="1:15" x14ac:dyDescent="0.3">
      <c r="A532" s="10" t="s">
        <v>1963</v>
      </c>
      <c r="B532" s="10" t="s">
        <v>3694</v>
      </c>
      <c r="C532" s="10" t="s">
        <v>3695</v>
      </c>
      <c r="D532" s="10" t="s">
        <v>259</v>
      </c>
      <c r="E532" s="10" t="s">
        <v>1431</v>
      </c>
      <c r="F532" s="10" t="s">
        <v>3696</v>
      </c>
      <c r="G532" s="10" t="s">
        <v>385</v>
      </c>
      <c r="H532" s="10" t="s">
        <v>123</v>
      </c>
      <c r="I532" s="10" t="s">
        <v>190</v>
      </c>
      <c r="J532" s="10" t="s">
        <v>348</v>
      </c>
      <c r="K532" s="31">
        <v>132240</v>
      </c>
      <c r="L532" s="10" t="s">
        <v>1433</v>
      </c>
      <c r="M532" s="10" t="s">
        <v>2092</v>
      </c>
      <c r="N532" s="10" t="s">
        <v>3697</v>
      </c>
      <c r="O532" s="10" t="s">
        <v>2019</v>
      </c>
    </row>
    <row r="533" spans="1:15" x14ac:dyDescent="0.3">
      <c r="A533" s="10" t="s">
        <v>1963</v>
      </c>
      <c r="B533" s="10" t="s">
        <v>3698</v>
      </c>
      <c r="C533" s="10" t="s">
        <v>3699</v>
      </c>
      <c r="D533" s="10" t="s">
        <v>259</v>
      </c>
      <c r="E533" s="10" t="s">
        <v>1431</v>
      </c>
      <c r="F533" s="10" t="s">
        <v>3696</v>
      </c>
      <c r="G533" s="10" t="s">
        <v>385</v>
      </c>
      <c r="H533" s="10" t="s">
        <v>123</v>
      </c>
      <c r="I533" s="10" t="s">
        <v>190</v>
      </c>
      <c r="J533" s="10" t="s">
        <v>348</v>
      </c>
      <c r="K533" s="31">
        <v>132240</v>
      </c>
      <c r="L533" s="10" t="s">
        <v>1431</v>
      </c>
      <c r="M533" s="10"/>
      <c r="N533" s="10" t="s">
        <v>3697</v>
      </c>
      <c r="O533" s="10" t="s">
        <v>2019</v>
      </c>
    </row>
    <row r="534" spans="1:15" x14ac:dyDescent="0.3">
      <c r="A534" s="10" t="s">
        <v>1964</v>
      </c>
      <c r="B534" s="10" t="s">
        <v>3700</v>
      </c>
      <c r="C534" s="10" t="s">
        <v>3701</v>
      </c>
      <c r="D534" s="10" t="s">
        <v>247</v>
      </c>
      <c r="E534" s="10" t="s">
        <v>1431</v>
      </c>
      <c r="F534" s="10" t="s">
        <v>3702</v>
      </c>
      <c r="G534" s="10" t="s">
        <v>504</v>
      </c>
      <c r="H534" s="10" t="s">
        <v>123</v>
      </c>
      <c r="I534" s="10" t="s">
        <v>195</v>
      </c>
      <c r="J534" s="10" t="s">
        <v>348</v>
      </c>
      <c r="K534" s="31">
        <v>33564</v>
      </c>
      <c r="L534" s="10" t="s">
        <v>1431</v>
      </c>
      <c r="M534" s="10"/>
      <c r="N534" s="10" t="s">
        <v>3703</v>
      </c>
      <c r="O534" s="10"/>
    </row>
    <row r="535" spans="1:15" x14ac:dyDescent="0.3">
      <c r="A535" s="10" t="s">
        <v>1964</v>
      </c>
      <c r="B535" s="10" t="s">
        <v>3704</v>
      </c>
      <c r="C535" s="10" t="s">
        <v>3705</v>
      </c>
      <c r="D535" s="10" t="s">
        <v>259</v>
      </c>
      <c r="E535" s="10" t="s">
        <v>1431</v>
      </c>
      <c r="F535" s="10" t="s">
        <v>3706</v>
      </c>
      <c r="G535" s="10" t="s">
        <v>359</v>
      </c>
      <c r="H535" s="10" t="s">
        <v>123</v>
      </c>
      <c r="I535" s="10" t="s">
        <v>190</v>
      </c>
      <c r="J535" s="10" t="s">
        <v>348</v>
      </c>
      <c r="K535" s="31">
        <v>30000</v>
      </c>
      <c r="L535" s="10" t="s">
        <v>1433</v>
      </c>
      <c r="M535" s="10" t="s">
        <v>2092</v>
      </c>
      <c r="N535" s="10" t="s">
        <v>3707</v>
      </c>
      <c r="O535" s="10"/>
    </row>
    <row r="536" spans="1:15" x14ac:dyDescent="0.3">
      <c r="A536" s="10" t="s">
        <v>1964</v>
      </c>
      <c r="B536" s="10" t="s">
        <v>3708</v>
      </c>
      <c r="C536" s="10" t="s">
        <v>3709</v>
      </c>
      <c r="D536" s="10" t="s">
        <v>259</v>
      </c>
      <c r="E536" s="10" t="s">
        <v>1431</v>
      </c>
      <c r="F536" s="10" t="s">
        <v>3706</v>
      </c>
      <c r="G536" s="10" t="s">
        <v>359</v>
      </c>
      <c r="H536" s="10" t="s">
        <v>123</v>
      </c>
      <c r="I536" s="10" t="s">
        <v>190</v>
      </c>
      <c r="J536" s="10" t="s">
        <v>348</v>
      </c>
      <c r="K536" s="31">
        <v>30000</v>
      </c>
      <c r="L536" s="10" t="s">
        <v>1431</v>
      </c>
      <c r="M536" s="10"/>
      <c r="N536" s="10" t="s">
        <v>3707</v>
      </c>
      <c r="O536" s="10"/>
    </row>
    <row r="537" spans="1:15" x14ac:dyDescent="0.3">
      <c r="A537" s="10" t="s">
        <v>1965</v>
      </c>
      <c r="B537" s="10" t="s">
        <v>3710</v>
      </c>
      <c r="C537" s="10" t="s">
        <v>3711</v>
      </c>
      <c r="D537" s="10" t="s">
        <v>247</v>
      </c>
      <c r="E537" s="10" t="s">
        <v>1431</v>
      </c>
      <c r="F537" s="10" t="s">
        <v>3712</v>
      </c>
      <c r="G537" s="10" t="s">
        <v>565</v>
      </c>
      <c r="H537" s="10" t="s">
        <v>123</v>
      </c>
      <c r="I537" s="10" t="s">
        <v>200</v>
      </c>
      <c r="J537" s="10" t="s">
        <v>366</v>
      </c>
      <c r="K537" s="31">
        <v>75840</v>
      </c>
      <c r="L537" s="10" t="s">
        <v>1431</v>
      </c>
      <c r="M537" s="10"/>
      <c r="N537" s="10" t="s">
        <v>3713</v>
      </c>
      <c r="O537" s="10"/>
    </row>
    <row r="538" spans="1:15" x14ac:dyDescent="0.3">
      <c r="A538" s="10" t="s">
        <v>257</v>
      </c>
      <c r="B538" s="10" t="s">
        <v>3714</v>
      </c>
      <c r="C538" s="10" t="s">
        <v>3715</v>
      </c>
      <c r="D538" s="10" t="s">
        <v>247</v>
      </c>
      <c r="E538" s="10" t="s">
        <v>1431</v>
      </c>
      <c r="F538" s="10" t="s">
        <v>2890</v>
      </c>
      <c r="G538" s="10" t="s">
        <v>245</v>
      </c>
      <c r="H538" s="10" t="s">
        <v>113</v>
      </c>
      <c r="I538" s="10" t="s">
        <v>184</v>
      </c>
      <c r="J538" s="10" t="s">
        <v>249</v>
      </c>
      <c r="K538" s="31">
        <v>121608</v>
      </c>
      <c r="L538" s="10" t="s">
        <v>1431</v>
      </c>
      <c r="M538" s="10"/>
      <c r="N538" s="10" t="s">
        <v>3716</v>
      </c>
      <c r="O538" s="10"/>
    </row>
    <row r="539" spans="1:15" x14ac:dyDescent="0.3">
      <c r="A539" s="10" t="s">
        <v>1966</v>
      </c>
      <c r="B539" s="10" t="s">
        <v>3717</v>
      </c>
      <c r="C539" s="10" t="s">
        <v>3718</v>
      </c>
      <c r="D539" s="10" t="s">
        <v>247</v>
      </c>
      <c r="E539" s="10" t="s">
        <v>1431</v>
      </c>
      <c r="F539" s="10" t="s">
        <v>453</v>
      </c>
      <c r="G539" s="10" t="s">
        <v>453</v>
      </c>
      <c r="H539" s="10" t="s">
        <v>123</v>
      </c>
      <c r="I539" s="10" t="s">
        <v>194</v>
      </c>
      <c r="J539" s="10" t="s">
        <v>348</v>
      </c>
      <c r="K539" s="31">
        <v>52332</v>
      </c>
      <c r="L539" s="10" t="s">
        <v>1431</v>
      </c>
      <c r="M539" s="10"/>
      <c r="N539" s="10" t="s">
        <v>3719</v>
      </c>
      <c r="O539" s="10"/>
    </row>
    <row r="540" spans="1:15" x14ac:dyDescent="0.3">
      <c r="A540" s="10" t="s">
        <v>1966</v>
      </c>
      <c r="B540" s="10" t="s">
        <v>3720</v>
      </c>
      <c r="C540" s="10" t="s">
        <v>3721</v>
      </c>
      <c r="D540" s="10" t="s">
        <v>259</v>
      </c>
      <c r="E540" s="10" t="s">
        <v>1431</v>
      </c>
      <c r="F540" s="10" t="s">
        <v>510</v>
      </c>
      <c r="G540" s="10" t="s">
        <v>510</v>
      </c>
      <c r="H540" s="10" t="s">
        <v>123</v>
      </c>
      <c r="I540" s="10" t="s">
        <v>190</v>
      </c>
      <c r="J540" s="10" t="s">
        <v>348</v>
      </c>
      <c r="K540" s="31">
        <v>22200</v>
      </c>
      <c r="L540" s="10" t="s">
        <v>1431</v>
      </c>
      <c r="M540" s="10"/>
      <c r="N540" s="10" t="s">
        <v>3722</v>
      </c>
      <c r="O540" s="10"/>
    </row>
    <row r="541" spans="1:15" x14ac:dyDescent="0.3">
      <c r="A541" s="10" t="s">
        <v>1967</v>
      </c>
      <c r="B541" s="10" t="s">
        <v>3723</v>
      </c>
      <c r="C541" s="10" t="s">
        <v>3724</v>
      </c>
      <c r="D541" s="10" t="s">
        <v>247</v>
      </c>
      <c r="E541" s="10" t="s">
        <v>1431</v>
      </c>
      <c r="F541" s="10" t="s">
        <v>3378</v>
      </c>
      <c r="G541" s="10" t="s">
        <v>354</v>
      </c>
      <c r="H541" s="10" t="s">
        <v>123</v>
      </c>
      <c r="I541" s="10" t="s">
        <v>191</v>
      </c>
      <c r="J541" s="10" t="s">
        <v>348</v>
      </c>
      <c r="K541" s="31">
        <v>33192</v>
      </c>
      <c r="L541" s="10" t="s">
        <v>1431</v>
      </c>
      <c r="M541" s="10"/>
      <c r="N541" s="10" t="s">
        <v>3725</v>
      </c>
      <c r="O541" s="10" t="s">
        <v>2052</v>
      </c>
    </row>
    <row r="542" spans="1:15" x14ac:dyDescent="0.3">
      <c r="A542" s="10" t="s">
        <v>1967</v>
      </c>
      <c r="B542" s="10" t="s">
        <v>3726</v>
      </c>
      <c r="C542" s="10" t="s">
        <v>3727</v>
      </c>
      <c r="D542" s="10" t="s">
        <v>251</v>
      </c>
      <c r="E542" s="10" t="s">
        <v>1433</v>
      </c>
      <c r="F542" s="10" t="s">
        <v>3728</v>
      </c>
      <c r="G542" s="10" t="s">
        <v>3728</v>
      </c>
      <c r="H542" s="10" t="s">
        <v>123</v>
      </c>
      <c r="I542" s="10" t="s">
        <v>192</v>
      </c>
      <c r="J542" s="10" t="s">
        <v>348</v>
      </c>
      <c r="K542" s="31">
        <v>72000</v>
      </c>
      <c r="L542" s="10" t="s">
        <v>1433</v>
      </c>
      <c r="M542" s="10" t="s">
        <v>2138</v>
      </c>
      <c r="N542" s="10" t="s">
        <v>3729</v>
      </c>
      <c r="O542" s="10" t="s">
        <v>2019</v>
      </c>
    </row>
    <row r="543" spans="1:15" x14ac:dyDescent="0.3">
      <c r="A543" s="10" t="s">
        <v>1968</v>
      </c>
      <c r="B543" s="10" t="s">
        <v>3730</v>
      </c>
      <c r="C543" s="10" t="s">
        <v>3731</v>
      </c>
      <c r="D543" s="10" t="s">
        <v>247</v>
      </c>
      <c r="E543" s="10" t="s">
        <v>1431</v>
      </c>
      <c r="F543" s="10" t="s">
        <v>3732</v>
      </c>
      <c r="G543" s="10" t="s">
        <v>612</v>
      </c>
      <c r="H543" s="10" t="s">
        <v>123</v>
      </c>
      <c r="I543" s="10" t="s">
        <v>197</v>
      </c>
      <c r="J543" s="10" t="s">
        <v>366</v>
      </c>
      <c r="K543" s="31">
        <v>87600</v>
      </c>
      <c r="L543" s="10" t="s">
        <v>1431</v>
      </c>
      <c r="M543" s="10"/>
      <c r="N543" s="10" t="s">
        <v>3733</v>
      </c>
      <c r="O543" s="10"/>
    </row>
    <row r="544" spans="1:15" x14ac:dyDescent="0.3">
      <c r="A544" s="10" t="s">
        <v>1968</v>
      </c>
      <c r="B544" s="10" t="s">
        <v>3734</v>
      </c>
      <c r="C544" s="10" t="s">
        <v>3735</v>
      </c>
      <c r="D544" s="10" t="s">
        <v>2079</v>
      </c>
      <c r="E544" s="10" t="s">
        <v>1431</v>
      </c>
      <c r="F544" s="10"/>
      <c r="G544" s="10"/>
      <c r="H544" s="10"/>
      <c r="I544" s="10" t="s">
        <v>2064</v>
      </c>
      <c r="J544" s="10"/>
      <c r="K544" s="31">
        <v>0</v>
      </c>
      <c r="L544" s="10" t="s">
        <v>1433</v>
      </c>
      <c r="M544" s="10" t="s">
        <v>2065</v>
      </c>
      <c r="N544" s="10" t="s">
        <v>3736</v>
      </c>
      <c r="O544" s="10"/>
    </row>
    <row r="545" spans="1:15" x14ac:dyDescent="0.3">
      <c r="A545" s="10" t="s">
        <v>258</v>
      </c>
      <c r="B545" s="10" t="s">
        <v>3737</v>
      </c>
      <c r="C545" s="10" t="s">
        <v>3738</v>
      </c>
      <c r="D545" s="10" t="s">
        <v>247</v>
      </c>
      <c r="E545" s="10" t="s">
        <v>1431</v>
      </c>
      <c r="F545" s="10" t="s">
        <v>636</v>
      </c>
      <c r="G545" s="10" t="s">
        <v>636</v>
      </c>
      <c r="H545" s="10" t="s">
        <v>123</v>
      </c>
      <c r="I545" s="10" t="s">
        <v>197</v>
      </c>
      <c r="J545" s="10" t="s">
        <v>348</v>
      </c>
      <c r="K545" s="31">
        <v>36000</v>
      </c>
      <c r="L545" s="10" t="s">
        <v>1431</v>
      </c>
      <c r="M545" s="10"/>
      <c r="N545" s="10" t="s">
        <v>3739</v>
      </c>
      <c r="O545" s="10"/>
    </row>
    <row r="546" spans="1:15" x14ac:dyDescent="0.3">
      <c r="A546" s="10" t="s">
        <v>258</v>
      </c>
      <c r="B546" s="10" t="s">
        <v>3740</v>
      </c>
      <c r="C546" s="10" t="s">
        <v>3741</v>
      </c>
      <c r="D546" s="10" t="s">
        <v>259</v>
      </c>
      <c r="E546" s="10" t="s">
        <v>1431</v>
      </c>
      <c r="F546" s="10" t="s">
        <v>2890</v>
      </c>
      <c r="G546" s="10" t="s">
        <v>245</v>
      </c>
      <c r="H546" s="10" t="s">
        <v>113</v>
      </c>
      <c r="I546" s="10" t="s">
        <v>184</v>
      </c>
      <c r="J546" s="10" t="s">
        <v>249</v>
      </c>
      <c r="K546" s="31">
        <v>50400</v>
      </c>
      <c r="L546" s="10" t="s">
        <v>1431</v>
      </c>
      <c r="M546" s="10"/>
      <c r="N546" s="10" t="s">
        <v>3742</v>
      </c>
      <c r="O546" s="10"/>
    </row>
    <row r="547" spans="1:15" x14ac:dyDescent="0.3">
      <c r="A547" s="10" t="s">
        <v>1969</v>
      </c>
      <c r="B547" s="10" t="s">
        <v>3743</v>
      </c>
      <c r="C547" s="10" t="s">
        <v>3744</v>
      </c>
      <c r="D547" s="10" t="s">
        <v>247</v>
      </c>
      <c r="E547" s="10" t="s">
        <v>1431</v>
      </c>
      <c r="F547" s="10" t="s">
        <v>688</v>
      </c>
      <c r="G547" s="10" t="s">
        <v>688</v>
      </c>
      <c r="H547" s="10" t="s">
        <v>123</v>
      </c>
      <c r="I547" s="10" t="s">
        <v>193</v>
      </c>
      <c r="J547" s="10" t="s">
        <v>348</v>
      </c>
      <c r="K547" s="31">
        <v>55164</v>
      </c>
      <c r="L547" s="10" t="s">
        <v>1431</v>
      </c>
      <c r="M547" s="10"/>
      <c r="N547" s="10" t="s">
        <v>2468</v>
      </c>
      <c r="O547" s="10"/>
    </row>
    <row r="548" spans="1:15" x14ac:dyDescent="0.3">
      <c r="A548" s="10" t="s">
        <v>1969</v>
      </c>
      <c r="B548" s="10" t="s">
        <v>3745</v>
      </c>
      <c r="C548" s="10" t="s">
        <v>3746</v>
      </c>
      <c r="D548" s="10" t="s">
        <v>259</v>
      </c>
      <c r="E548" s="10" t="s">
        <v>1431</v>
      </c>
      <c r="F548" s="10" t="s">
        <v>3747</v>
      </c>
      <c r="G548" s="10" t="s">
        <v>428</v>
      </c>
      <c r="H548" s="10" t="s">
        <v>123</v>
      </c>
      <c r="I548" s="10" t="s">
        <v>194</v>
      </c>
      <c r="J548" s="10" t="s">
        <v>348</v>
      </c>
      <c r="K548" s="31">
        <v>64680</v>
      </c>
      <c r="L548" s="10" t="s">
        <v>1431</v>
      </c>
      <c r="M548" s="10"/>
      <c r="N548" s="10" t="s">
        <v>3748</v>
      </c>
      <c r="O548" s="10"/>
    </row>
    <row r="549" spans="1:15" x14ac:dyDescent="0.3">
      <c r="A549" s="10" t="s">
        <v>1969</v>
      </c>
      <c r="B549" s="10" t="s">
        <v>3749</v>
      </c>
      <c r="C549" s="10" t="s">
        <v>3750</v>
      </c>
      <c r="D549" s="10" t="s">
        <v>259</v>
      </c>
      <c r="E549" s="10" t="s">
        <v>1431</v>
      </c>
      <c r="F549" s="10" t="s">
        <v>3747</v>
      </c>
      <c r="G549" s="10" t="s">
        <v>428</v>
      </c>
      <c r="H549" s="10" t="s">
        <v>123</v>
      </c>
      <c r="I549" s="10" t="s">
        <v>194</v>
      </c>
      <c r="J549" s="10" t="s">
        <v>348</v>
      </c>
      <c r="K549" s="31">
        <v>64680</v>
      </c>
      <c r="L549" s="10" t="s">
        <v>1433</v>
      </c>
      <c r="M549" s="10" t="s">
        <v>2092</v>
      </c>
      <c r="N549" s="10" t="s">
        <v>3748</v>
      </c>
      <c r="O549" s="10"/>
    </row>
    <row r="550" spans="1:15" x14ac:dyDescent="0.3">
      <c r="A550" s="10" t="s">
        <v>1970</v>
      </c>
      <c r="B550" s="10" t="s">
        <v>3751</v>
      </c>
      <c r="C550" s="10" t="s">
        <v>3752</v>
      </c>
      <c r="D550" s="10" t="s">
        <v>247</v>
      </c>
      <c r="E550" s="10" t="s">
        <v>1431</v>
      </c>
      <c r="F550" s="10" t="s">
        <v>2063</v>
      </c>
      <c r="G550" s="10"/>
      <c r="H550" s="10"/>
      <c r="I550" s="10" t="s">
        <v>2064</v>
      </c>
      <c r="J550" s="10"/>
      <c r="K550" s="31">
        <v>45000</v>
      </c>
      <c r="L550" s="10" t="s">
        <v>1431</v>
      </c>
      <c r="M550" s="10"/>
      <c r="N550" s="10" t="s">
        <v>3168</v>
      </c>
      <c r="O550" s="10" t="s">
        <v>2019</v>
      </c>
    </row>
    <row r="551" spans="1:15" x14ac:dyDescent="0.3">
      <c r="A551" s="10" t="s">
        <v>1970</v>
      </c>
      <c r="B551" s="10" t="s">
        <v>3753</v>
      </c>
      <c r="C551" s="10" t="s">
        <v>3754</v>
      </c>
      <c r="D551" s="10" t="s">
        <v>264</v>
      </c>
      <c r="E551" s="10" t="s">
        <v>1431</v>
      </c>
      <c r="F551" s="10" t="s">
        <v>3755</v>
      </c>
      <c r="G551" s="10" t="s">
        <v>714</v>
      </c>
      <c r="H551" s="10" t="s">
        <v>123</v>
      </c>
      <c r="I551" s="10" t="s">
        <v>201</v>
      </c>
      <c r="J551" s="10" t="s">
        <v>348</v>
      </c>
      <c r="K551" s="31">
        <v>48000</v>
      </c>
      <c r="L551" s="10" t="s">
        <v>1431</v>
      </c>
      <c r="M551" s="10"/>
      <c r="N551" s="10" t="s">
        <v>3756</v>
      </c>
      <c r="O551" s="10" t="s">
        <v>2019</v>
      </c>
    </row>
    <row r="552" spans="1:15" x14ac:dyDescent="0.3">
      <c r="A552" s="10" t="s">
        <v>260</v>
      </c>
      <c r="B552" s="10" t="s">
        <v>3757</v>
      </c>
      <c r="C552" s="10" t="s">
        <v>3758</v>
      </c>
      <c r="D552" s="10" t="s">
        <v>247</v>
      </c>
      <c r="E552" s="10" t="s">
        <v>1431</v>
      </c>
      <c r="F552" s="10" t="s">
        <v>2890</v>
      </c>
      <c r="G552" s="10" t="s">
        <v>245</v>
      </c>
      <c r="H552" s="10" t="s">
        <v>113</v>
      </c>
      <c r="I552" s="10" t="s">
        <v>184</v>
      </c>
      <c r="J552" s="10" t="s">
        <v>249</v>
      </c>
      <c r="K552" s="31">
        <v>54000</v>
      </c>
      <c r="L552" s="10" t="s">
        <v>1431</v>
      </c>
      <c r="M552" s="10"/>
      <c r="N552" s="10" t="s">
        <v>3759</v>
      </c>
      <c r="O552" s="10"/>
    </row>
    <row r="553" spans="1:15" x14ac:dyDescent="0.3">
      <c r="A553" s="10" t="s">
        <v>260</v>
      </c>
      <c r="B553" s="10" t="s">
        <v>3760</v>
      </c>
      <c r="C553" s="10" t="s">
        <v>3761</v>
      </c>
      <c r="D553" s="10" t="s">
        <v>264</v>
      </c>
      <c r="E553" s="10" t="s">
        <v>1431</v>
      </c>
      <c r="F553" s="10" t="s">
        <v>2063</v>
      </c>
      <c r="G553" s="10"/>
      <c r="H553" s="10"/>
      <c r="I553" s="10" t="s">
        <v>2064</v>
      </c>
      <c r="J553" s="10"/>
      <c r="K553" s="31">
        <v>0</v>
      </c>
      <c r="L553" s="10" t="s">
        <v>1433</v>
      </c>
      <c r="M553" s="10" t="s">
        <v>2065</v>
      </c>
      <c r="N553" s="10" t="s">
        <v>3762</v>
      </c>
      <c r="O553" s="10"/>
    </row>
    <row r="554" spans="1:15" x14ac:dyDescent="0.3">
      <c r="A554" s="10" t="s">
        <v>1971</v>
      </c>
      <c r="B554" s="10" t="s">
        <v>3763</v>
      </c>
      <c r="C554" s="10" t="s">
        <v>3764</v>
      </c>
      <c r="D554" s="10" t="s">
        <v>247</v>
      </c>
      <c r="E554" s="10" t="s">
        <v>1431</v>
      </c>
      <c r="F554" s="10" t="s">
        <v>3765</v>
      </c>
      <c r="G554" s="10" t="s">
        <v>436</v>
      </c>
      <c r="H554" s="10" t="s">
        <v>123</v>
      </c>
      <c r="I554" s="10" t="s">
        <v>189</v>
      </c>
      <c r="J554" s="10" t="s">
        <v>348</v>
      </c>
      <c r="K554" s="31">
        <v>72000</v>
      </c>
      <c r="L554" s="10" t="s">
        <v>1431</v>
      </c>
      <c r="M554" s="10"/>
      <c r="N554" s="10" t="s">
        <v>3766</v>
      </c>
      <c r="O554" s="10"/>
    </row>
    <row r="555" spans="1:15" x14ac:dyDescent="0.3">
      <c r="A555" s="10" t="s">
        <v>1972</v>
      </c>
      <c r="B555" s="10" t="s">
        <v>3767</v>
      </c>
      <c r="C555" s="10" t="s">
        <v>3768</v>
      </c>
      <c r="D555" s="10" t="s">
        <v>247</v>
      </c>
      <c r="E555" s="10" t="s">
        <v>1431</v>
      </c>
      <c r="F555" s="10" t="s">
        <v>3769</v>
      </c>
      <c r="G555" s="10" t="s">
        <v>514</v>
      </c>
      <c r="H555" s="10" t="s">
        <v>123</v>
      </c>
      <c r="I555" s="10" t="s">
        <v>197</v>
      </c>
      <c r="J555" s="10" t="s">
        <v>366</v>
      </c>
      <c r="K555" s="31">
        <v>11640</v>
      </c>
      <c r="L555" s="10" t="s">
        <v>1431</v>
      </c>
      <c r="M555" s="10"/>
      <c r="N555" s="10" t="s">
        <v>3770</v>
      </c>
      <c r="O555" s="10" t="s">
        <v>2019</v>
      </c>
    </row>
    <row r="556" spans="1:15" x14ac:dyDescent="0.3">
      <c r="A556" s="10" t="s">
        <v>1972</v>
      </c>
      <c r="B556" s="10" t="s">
        <v>3771</v>
      </c>
      <c r="C556" s="10" t="s">
        <v>3772</v>
      </c>
      <c r="D556" s="10" t="s">
        <v>264</v>
      </c>
      <c r="E556" s="10" t="s">
        <v>1431</v>
      </c>
      <c r="F556" s="10" t="s">
        <v>570</v>
      </c>
      <c r="G556" s="10" t="s">
        <v>570</v>
      </c>
      <c r="H556" s="10" t="s">
        <v>123</v>
      </c>
      <c r="I556" s="10" t="s">
        <v>194</v>
      </c>
      <c r="J556" s="10" t="s">
        <v>348</v>
      </c>
      <c r="K556" s="31">
        <v>45600</v>
      </c>
      <c r="L556" s="10" t="s">
        <v>1431</v>
      </c>
      <c r="M556" s="10"/>
      <c r="N556" s="10" t="s">
        <v>3773</v>
      </c>
      <c r="O556" s="10" t="s">
        <v>2019</v>
      </c>
    </row>
    <row r="557" spans="1:15" x14ac:dyDescent="0.3">
      <c r="A557" s="10" t="s">
        <v>1973</v>
      </c>
      <c r="B557" s="10" t="s">
        <v>3774</v>
      </c>
      <c r="C557" s="10" t="s">
        <v>3775</v>
      </c>
      <c r="D557" s="10" t="s">
        <v>247</v>
      </c>
      <c r="E557" s="10" t="s">
        <v>1431</v>
      </c>
      <c r="F557" s="10" t="s">
        <v>3776</v>
      </c>
      <c r="G557" s="10" t="s">
        <v>571</v>
      </c>
      <c r="H557" s="10" t="s">
        <v>123</v>
      </c>
      <c r="I557" s="10" t="s">
        <v>190</v>
      </c>
      <c r="J557" s="10" t="s">
        <v>348</v>
      </c>
      <c r="K557" s="31">
        <v>21600</v>
      </c>
      <c r="L557" s="10" t="s">
        <v>1431</v>
      </c>
      <c r="M557" s="10"/>
      <c r="N557" s="10" t="s">
        <v>3777</v>
      </c>
      <c r="O557" s="10"/>
    </row>
    <row r="558" spans="1:15" x14ac:dyDescent="0.3">
      <c r="A558" s="10" t="s">
        <v>1973</v>
      </c>
      <c r="B558" s="10" t="s">
        <v>3778</v>
      </c>
      <c r="C558" s="10" t="s">
        <v>3779</v>
      </c>
      <c r="D558" s="10" t="s">
        <v>264</v>
      </c>
      <c r="E558" s="10" t="s">
        <v>1431</v>
      </c>
      <c r="F558" s="10" t="s">
        <v>670</v>
      </c>
      <c r="G558" s="10" t="s">
        <v>670</v>
      </c>
      <c r="H558" s="10" t="s">
        <v>123</v>
      </c>
      <c r="I558" s="10" t="s">
        <v>190</v>
      </c>
      <c r="J558" s="10" t="s">
        <v>348</v>
      </c>
      <c r="K558" s="31">
        <v>18000</v>
      </c>
      <c r="L558" s="10" t="s">
        <v>1431</v>
      </c>
      <c r="M558" s="10"/>
      <c r="N558" s="10" t="s">
        <v>3780</v>
      </c>
      <c r="O558" s="10"/>
    </row>
    <row r="559" spans="1:15" x14ac:dyDescent="0.3">
      <c r="A559" s="10" t="s">
        <v>1974</v>
      </c>
      <c r="B559" s="10" t="s">
        <v>3781</v>
      </c>
      <c r="C559" s="10" t="s">
        <v>3782</v>
      </c>
      <c r="D559" s="10" t="s">
        <v>247</v>
      </c>
      <c r="E559" s="10" t="s">
        <v>1431</v>
      </c>
      <c r="F559" s="10" t="s">
        <v>2063</v>
      </c>
      <c r="G559" s="10"/>
      <c r="H559" s="10"/>
      <c r="I559" s="10" t="s">
        <v>2064</v>
      </c>
      <c r="J559" s="10"/>
      <c r="K559" s="31">
        <v>0</v>
      </c>
      <c r="L559" s="10" t="s">
        <v>1433</v>
      </c>
      <c r="M559" s="10" t="s">
        <v>2065</v>
      </c>
      <c r="N559" s="10" t="s">
        <v>3783</v>
      </c>
      <c r="O559" s="10" t="s">
        <v>2052</v>
      </c>
    </row>
    <row r="560" spans="1:15" x14ac:dyDescent="0.3">
      <c r="A560" s="10" t="s">
        <v>1975</v>
      </c>
      <c r="B560" s="10" t="s">
        <v>3784</v>
      </c>
      <c r="C560" s="10" t="s">
        <v>3785</v>
      </c>
      <c r="D560" s="10" t="s">
        <v>247</v>
      </c>
      <c r="E560" s="10" t="s">
        <v>1431</v>
      </c>
      <c r="F560" s="10" t="s">
        <v>432</v>
      </c>
      <c r="G560" s="10" t="s">
        <v>432</v>
      </c>
      <c r="H560" s="10" t="s">
        <v>123</v>
      </c>
      <c r="I560" s="10" t="s">
        <v>189</v>
      </c>
      <c r="J560" s="10" t="s">
        <v>348</v>
      </c>
      <c r="K560" s="31">
        <v>73200</v>
      </c>
      <c r="L560" s="10" t="s">
        <v>1431</v>
      </c>
      <c r="M560" s="10"/>
      <c r="N560" s="10" t="s">
        <v>3786</v>
      </c>
      <c r="O560" s="10" t="s">
        <v>2052</v>
      </c>
    </row>
    <row r="561" spans="1:15" x14ac:dyDescent="0.3">
      <c r="A561" s="10" t="s">
        <v>1976</v>
      </c>
      <c r="B561" s="10" t="s">
        <v>3787</v>
      </c>
      <c r="C561" s="10" t="s">
        <v>3788</v>
      </c>
      <c r="D561" s="10" t="s">
        <v>247</v>
      </c>
      <c r="E561" s="10" t="s">
        <v>1431</v>
      </c>
      <c r="F561" s="10" t="s">
        <v>575</v>
      </c>
      <c r="G561" s="10" t="s">
        <v>575</v>
      </c>
      <c r="H561" s="10" t="s">
        <v>123</v>
      </c>
      <c r="I561" s="10" t="s">
        <v>191</v>
      </c>
      <c r="J561" s="10" t="s">
        <v>348</v>
      </c>
      <c r="K561" s="31">
        <v>47700</v>
      </c>
      <c r="L561" s="10" t="s">
        <v>1431</v>
      </c>
      <c r="M561" s="10"/>
      <c r="N561" s="10" t="s">
        <v>3789</v>
      </c>
      <c r="O561" s="10"/>
    </row>
    <row r="562" spans="1:15" x14ac:dyDescent="0.3">
      <c r="A562" s="10" t="s">
        <v>1977</v>
      </c>
      <c r="B562" s="10" t="s">
        <v>3790</v>
      </c>
      <c r="C562" s="10" t="s">
        <v>3791</v>
      </c>
      <c r="D562" s="10" t="s">
        <v>247</v>
      </c>
      <c r="E562" s="10" t="s">
        <v>1431</v>
      </c>
      <c r="F562" s="10" t="s">
        <v>1139</v>
      </c>
      <c r="G562" s="10" t="s">
        <v>724</v>
      </c>
      <c r="H562" s="10" t="s">
        <v>123</v>
      </c>
      <c r="I562" s="10" t="s">
        <v>189</v>
      </c>
      <c r="J562" s="10" t="s">
        <v>348</v>
      </c>
      <c r="K562" s="31">
        <v>52800</v>
      </c>
      <c r="L562" s="10" t="s">
        <v>1431</v>
      </c>
      <c r="M562" s="10"/>
      <c r="N562" s="10" t="s">
        <v>3792</v>
      </c>
      <c r="O562" s="10"/>
    </row>
    <row r="563" spans="1:15" x14ac:dyDescent="0.3">
      <c r="A563" s="10" t="s">
        <v>1978</v>
      </c>
      <c r="B563" s="10" t="s">
        <v>3793</v>
      </c>
      <c r="C563" s="10" t="s">
        <v>3794</v>
      </c>
      <c r="D563" s="10" t="s">
        <v>247</v>
      </c>
      <c r="E563" s="10" t="s">
        <v>1431</v>
      </c>
      <c r="F563" s="10" t="s">
        <v>3795</v>
      </c>
      <c r="G563" s="10" t="s">
        <v>518</v>
      </c>
      <c r="H563" s="10" t="s">
        <v>123</v>
      </c>
      <c r="I563" s="10" t="s">
        <v>205</v>
      </c>
      <c r="J563" s="10" t="s">
        <v>348</v>
      </c>
      <c r="K563" s="31">
        <v>40872</v>
      </c>
      <c r="L563" s="10" t="s">
        <v>1431</v>
      </c>
      <c r="M563" s="10"/>
      <c r="N563" s="10" t="s">
        <v>3796</v>
      </c>
      <c r="O563" s="10"/>
    </row>
    <row r="564" spans="1:15" x14ac:dyDescent="0.3">
      <c r="A564" s="10" t="s">
        <v>1978</v>
      </c>
      <c r="B564" s="10" t="s">
        <v>3797</v>
      </c>
      <c r="C564" s="10" t="s">
        <v>3798</v>
      </c>
      <c r="D564" s="10" t="s">
        <v>2079</v>
      </c>
      <c r="E564" s="10" t="s">
        <v>1431</v>
      </c>
      <c r="F564" s="10"/>
      <c r="G564" s="10"/>
      <c r="H564" s="10"/>
      <c r="I564" s="10" t="s">
        <v>2064</v>
      </c>
      <c r="J564" s="10"/>
      <c r="K564" s="31">
        <v>0</v>
      </c>
      <c r="L564" s="10" t="s">
        <v>1433</v>
      </c>
      <c r="M564" s="10" t="s">
        <v>2065</v>
      </c>
      <c r="N564" s="10" t="s">
        <v>3799</v>
      </c>
      <c r="O564" s="10"/>
    </row>
    <row r="565" spans="1:15" x14ac:dyDescent="0.3">
      <c r="A565" s="10" t="s">
        <v>1978</v>
      </c>
      <c r="B565" s="10" t="s">
        <v>3800</v>
      </c>
      <c r="C565" s="10" t="s">
        <v>3801</v>
      </c>
      <c r="D565" s="10" t="s">
        <v>259</v>
      </c>
      <c r="E565" s="10" t="s">
        <v>1431</v>
      </c>
      <c r="F565" s="10"/>
      <c r="G565" s="10"/>
      <c r="H565" s="10"/>
      <c r="I565" s="10" t="s">
        <v>2064</v>
      </c>
      <c r="J565" s="10"/>
      <c r="K565" s="31">
        <v>0</v>
      </c>
      <c r="L565" s="10" t="s">
        <v>1433</v>
      </c>
      <c r="M565" s="10" t="s">
        <v>2065</v>
      </c>
      <c r="N565" s="10" t="s">
        <v>3799</v>
      </c>
      <c r="O565" s="10"/>
    </row>
    <row r="566" spans="1:15" x14ac:dyDescent="0.3">
      <c r="A566" s="10" t="s">
        <v>1978</v>
      </c>
      <c r="B566" s="10" t="s">
        <v>3802</v>
      </c>
      <c r="C566" s="10" t="s">
        <v>3803</v>
      </c>
      <c r="D566" s="10" t="s">
        <v>251</v>
      </c>
      <c r="E566" s="10" t="s">
        <v>1433</v>
      </c>
      <c r="F566" s="10"/>
      <c r="G566" s="10"/>
      <c r="H566" s="10"/>
      <c r="I566" s="10" t="s">
        <v>2064</v>
      </c>
      <c r="J566" s="10"/>
      <c r="K566" s="31">
        <v>0</v>
      </c>
      <c r="L566" s="10" t="s">
        <v>1433</v>
      </c>
      <c r="M566" s="10" t="s">
        <v>2138</v>
      </c>
      <c r="N566" s="10" t="s">
        <v>3799</v>
      </c>
      <c r="O566" s="10"/>
    </row>
    <row r="567" spans="1:15" x14ac:dyDescent="0.3">
      <c r="A567" s="10" t="s">
        <v>1978</v>
      </c>
      <c r="B567" s="10" t="s">
        <v>3804</v>
      </c>
      <c r="C567" s="10" t="s">
        <v>3805</v>
      </c>
      <c r="D567" s="10" t="s">
        <v>259</v>
      </c>
      <c r="E567" s="10" t="s">
        <v>1431</v>
      </c>
      <c r="F567" s="10"/>
      <c r="G567" s="10"/>
      <c r="H567" s="10"/>
      <c r="I567" s="10" t="s">
        <v>2064</v>
      </c>
      <c r="J567" s="10"/>
      <c r="K567" s="31">
        <v>0</v>
      </c>
      <c r="L567" s="10" t="s">
        <v>1433</v>
      </c>
      <c r="M567" s="10" t="s">
        <v>2065</v>
      </c>
      <c r="N567" s="10" t="s">
        <v>3799</v>
      </c>
      <c r="O567" s="10"/>
    </row>
    <row r="568" spans="1:15" x14ac:dyDescent="0.3">
      <c r="A568" s="10" t="s">
        <v>1978</v>
      </c>
      <c r="B568" s="10" t="s">
        <v>3806</v>
      </c>
      <c r="C568" s="10" t="s">
        <v>3807</v>
      </c>
      <c r="D568" s="10" t="s">
        <v>259</v>
      </c>
      <c r="E568" s="10" t="s">
        <v>1431</v>
      </c>
      <c r="F568" s="10"/>
      <c r="G568" s="10"/>
      <c r="H568" s="10"/>
      <c r="I568" s="10" t="s">
        <v>2064</v>
      </c>
      <c r="J568" s="10"/>
      <c r="K568" s="31">
        <v>0</v>
      </c>
      <c r="L568" s="10" t="s">
        <v>1433</v>
      </c>
      <c r="M568" s="10" t="s">
        <v>2065</v>
      </c>
      <c r="N568" s="10" t="s">
        <v>3799</v>
      </c>
      <c r="O568" s="10"/>
    </row>
    <row r="569" spans="1:15" x14ac:dyDescent="0.3">
      <c r="A569" s="10" t="s">
        <v>1979</v>
      </c>
      <c r="B569" s="10" t="s">
        <v>3808</v>
      </c>
      <c r="C569" s="10" t="s">
        <v>3809</v>
      </c>
      <c r="D569" s="10" t="s">
        <v>247</v>
      </c>
      <c r="E569" s="10" t="s">
        <v>1431</v>
      </c>
      <c r="F569" s="10" t="s">
        <v>690</v>
      </c>
      <c r="G569" s="10" t="s">
        <v>690</v>
      </c>
      <c r="H569" s="10" t="s">
        <v>123</v>
      </c>
      <c r="I569" s="10" t="s">
        <v>190</v>
      </c>
      <c r="J569" s="10" t="s">
        <v>348</v>
      </c>
      <c r="K569" s="31">
        <v>53568</v>
      </c>
      <c r="L569" s="10" t="s">
        <v>1431</v>
      </c>
      <c r="M569" s="10"/>
      <c r="N569" s="10" t="s">
        <v>3810</v>
      </c>
      <c r="O569" s="10"/>
    </row>
    <row r="570" spans="1:15" x14ac:dyDescent="0.3">
      <c r="A570" s="10" t="s">
        <v>1979</v>
      </c>
      <c r="B570" s="10" t="s">
        <v>3811</v>
      </c>
      <c r="C570" s="10" t="s">
        <v>3812</v>
      </c>
      <c r="D570" s="10" t="s">
        <v>259</v>
      </c>
      <c r="E570" s="10" t="s">
        <v>1431</v>
      </c>
      <c r="F570" s="10" t="s">
        <v>3813</v>
      </c>
      <c r="G570" s="10" t="s">
        <v>537</v>
      </c>
      <c r="H570" s="10" t="s">
        <v>123</v>
      </c>
      <c r="I570" s="10" t="s">
        <v>190</v>
      </c>
      <c r="J570" s="10" t="s">
        <v>348</v>
      </c>
      <c r="K570" s="31">
        <v>47664</v>
      </c>
      <c r="L570" s="10" t="s">
        <v>1431</v>
      </c>
      <c r="M570" s="10"/>
      <c r="N570" s="10" t="s">
        <v>3814</v>
      </c>
      <c r="O570" s="10"/>
    </row>
    <row r="571" spans="1:15" x14ac:dyDescent="0.3">
      <c r="A571" s="10" t="s">
        <v>1980</v>
      </c>
      <c r="B571" s="10" t="s">
        <v>3815</v>
      </c>
      <c r="C571" s="10" t="s">
        <v>3816</v>
      </c>
      <c r="D571" s="10" t="s">
        <v>247</v>
      </c>
      <c r="E571" s="10" t="s">
        <v>1431</v>
      </c>
      <c r="F571" s="10" t="s">
        <v>3817</v>
      </c>
      <c r="G571" s="10" t="s">
        <v>440</v>
      </c>
      <c r="H571" s="10" t="s">
        <v>123</v>
      </c>
      <c r="I571" s="10" t="s">
        <v>192</v>
      </c>
      <c r="J571" s="10" t="s">
        <v>348</v>
      </c>
      <c r="K571" s="31">
        <v>34800</v>
      </c>
      <c r="L571" s="10" t="s">
        <v>1431</v>
      </c>
      <c r="M571" s="10"/>
      <c r="N571" s="10" t="s">
        <v>3818</v>
      </c>
      <c r="O571" s="10" t="s">
        <v>2052</v>
      </c>
    </row>
    <row r="572" spans="1:15" x14ac:dyDescent="0.3">
      <c r="A572" s="10" t="s">
        <v>1980</v>
      </c>
      <c r="B572" s="10" t="s">
        <v>3819</v>
      </c>
      <c r="C572" s="10" t="s">
        <v>3820</v>
      </c>
      <c r="D572" s="10" t="s">
        <v>259</v>
      </c>
      <c r="E572" s="10" t="s">
        <v>1431</v>
      </c>
      <c r="F572" s="10" t="s">
        <v>511</v>
      </c>
      <c r="G572" s="10" t="s">
        <v>511</v>
      </c>
      <c r="H572" s="10" t="s">
        <v>123</v>
      </c>
      <c r="I572" s="10" t="s">
        <v>192</v>
      </c>
      <c r="J572" s="10" t="s">
        <v>348</v>
      </c>
      <c r="K572" s="31">
        <v>40800</v>
      </c>
      <c r="L572" s="10" t="s">
        <v>1431</v>
      </c>
      <c r="M572" s="10"/>
      <c r="N572" s="10" t="s">
        <v>3821</v>
      </c>
      <c r="O572" s="10" t="s">
        <v>2052</v>
      </c>
    </row>
    <row r="573" spans="1:15" x14ac:dyDescent="0.3">
      <c r="A573" s="10" t="s">
        <v>1981</v>
      </c>
      <c r="B573" s="10" t="s">
        <v>3822</v>
      </c>
      <c r="C573" s="10" t="s">
        <v>3823</v>
      </c>
      <c r="D573" s="10" t="s">
        <v>247</v>
      </c>
      <c r="E573" s="10" t="s">
        <v>1431</v>
      </c>
      <c r="F573" s="10" t="s">
        <v>3824</v>
      </c>
      <c r="G573" s="10" t="s">
        <v>349</v>
      </c>
      <c r="H573" s="10" t="s">
        <v>121</v>
      </c>
      <c r="I573" s="10" t="s">
        <v>188</v>
      </c>
      <c r="J573" s="10" t="s">
        <v>348</v>
      </c>
      <c r="K573" s="31">
        <v>135000</v>
      </c>
      <c r="L573" s="10" t="s">
        <v>1431</v>
      </c>
      <c r="M573" s="10"/>
      <c r="N573" s="10" t="s">
        <v>3825</v>
      </c>
      <c r="O573" s="10"/>
    </row>
    <row r="574" spans="1:15" x14ac:dyDescent="0.3">
      <c r="A574" s="10" t="s">
        <v>1981</v>
      </c>
      <c r="B574" s="10" t="s">
        <v>3826</v>
      </c>
      <c r="C574" s="10" t="s">
        <v>3827</v>
      </c>
      <c r="D574" s="10" t="s">
        <v>2079</v>
      </c>
      <c r="E574" s="10" t="s">
        <v>1431</v>
      </c>
      <c r="F574" s="10"/>
      <c r="G574" s="10"/>
      <c r="H574" s="10"/>
      <c r="I574" s="10" t="s">
        <v>2064</v>
      </c>
      <c r="J574" s="10"/>
      <c r="K574" s="31">
        <v>0</v>
      </c>
      <c r="L574" s="10" t="s">
        <v>1433</v>
      </c>
      <c r="M574" s="10" t="s">
        <v>2065</v>
      </c>
      <c r="N574" s="10" t="s">
        <v>3828</v>
      </c>
      <c r="O574" s="10"/>
    </row>
    <row r="575" spans="1:15" x14ac:dyDescent="0.3">
      <c r="A575" s="10" t="s">
        <v>1981</v>
      </c>
      <c r="B575" s="10" t="s">
        <v>3829</v>
      </c>
      <c r="C575" s="10" t="s">
        <v>3830</v>
      </c>
      <c r="D575" s="10" t="s">
        <v>264</v>
      </c>
      <c r="E575" s="10" t="s">
        <v>1431</v>
      </c>
      <c r="F575" s="10"/>
      <c r="G575" s="10"/>
      <c r="H575" s="10"/>
      <c r="I575" s="10" t="s">
        <v>2064</v>
      </c>
      <c r="J575" s="10"/>
      <c r="K575" s="31">
        <v>0</v>
      </c>
      <c r="L575" s="10" t="s">
        <v>1433</v>
      </c>
      <c r="M575" s="10" t="s">
        <v>2065</v>
      </c>
      <c r="N575" s="10" t="s">
        <v>3828</v>
      </c>
      <c r="O575" s="10"/>
    </row>
    <row r="576" spans="1:15" x14ac:dyDescent="0.3">
      <c r="A576" s="10" t="s">
        <v>1982</v>
      </c>
      <c r="B576" s="10" t="s">
        <v>3831</v>
      </c>
      <c r="C576" s="10" t="s">
        <v>3832</v>
      </c>
      <c r="D576" s="10" t="s">
        <v>247</v>
      </c>
      <c r="E576" s="10" t="s">
        <v>1431</v>
      </c>
      <c r="F576" s="10" t="s">
        <v>3833</v>
      </c>
      <c r="G576" s="10" t="s">
        <v>354</v>
      </c>
      <c r="H576" s="10" t="s">
        <v>123</v>
      </c>
      <c r="I576" s="10" t="s">
        <v>191</v>
      </c>
      <c r="J576" s="10" t="s">
        <v>348</v>
      </c>
      <c r="K576" s="31">
        <v>84972</v>
      </c>
      <c r="L576" s="10" t="s">
        <v>1431</v>
      </c>
      <c r="M576" s="10"/>
      <c r="N576" s="10" t="s">
        <v>3834</v>
      </c>
      <c r="O576" s="10" t="s">
        <v>2052</v>
      </c>
    </row>
    <row r="577" spans="1:15" x14ac:dyDescent="0.3">
      <c r="A577" s="10" t="s">
        <v>1983</v>
      </c>
      <c r="B577" s="10" t="s">
        <v>3835</v>
      </c>
      <c r="C577" s="10" t="s">
        <v>3836</v>
      </c>
      <c r="D577" s="10" t="s">
        <v>247</v>
      </c>
      <c r="E577" s="10" t="s">
        <v>1431</v>
      </c>
      <c r="F577" s="10" t="s">
        <v>653</v>
      </c>
      <c r="G577" s="10" t="s">
        <v>653</v>
      </c>
      <c r="H577" s="10" t="s">
        <v>123</v>
      </c>
      <c r="I577" s="10" t="s">
        <v>198</v>
      </c>
      <c r="J577" s="10" t="s">
        <v>348</v>
      </c>
      <c r="K577" s="31">
        <v>23820</v>
      </c>
      <c r="L577" s="10" t="s">
        <v>1431</v>
      </c>
      <c r="M577" s="10"/>
      <c r="N577" s="10" t="s">
        <v>3837</v>
      </c>
      <c r="O577" s="10"/>
    </row>
    <row r="578" spans="1:15" x14ac:dyDescent="0.3">
      <c r="A578" s="10" t="s">
        <v>1983</v>
      </c>
      <c r="B578" s="10" t="s">
        <v>3838</v>
      </c>
      <c r="C578" s="10" t="s">
        <v>3839</v>
      </c>
      <c r="D578" s="10" t="s">
        <v>264</v>
      </c>
      <c r="E578" s="10" t="s">
        <v>1431</v>
      </c>
      <c r="F578" s="10" t="s">
        <v>3840</v>
      </c>
      <c r="G578" s="10" t="s">
        <v>523</v>
      </c>
      <c r="H578" s="10" t="s">
        <v>123</v>
      </c>
      <c r="I578" s="10" t="s">
        <v>190</v>
      </c>
      <c r="J578" s="10" t="s">
        <v>348</v>
      </c>
      <c r="K578" s="31">
        <v>38400</v>
      </c>
      <c r="L578" s="10" t="s">
        <v>1431</v>
      </c>
      <c r="M578" s="10"/>
      <c r="N578" s="10" t="s">
        <v>3841</v>
      </c>
      <c r="O578" s="10"/>
    </row>
    <row r="579" spans="1:15" x14ac:dyDescent="0.3">
      <c r="A579" s="10" t="s">
        <v>1984</v>
      </c>
      <c r="B579" s="10" t="s">
        <v>3842</v>
      </c>
      <c r="C579" s="10" t="s">
        <v>3843</v>
      </c>
      <c r="D579" s="10" t="s">
        <v>247</v>
      </c>
      <c r="E579" s="10" t="s">
        <v>1431</v>
      </c>
      <c r="F579" s="10" t="s">
        <v>3844</v>
      </c>
      <c r="G579" s="10" t="s">
        <v>498</v>
      </c>
      <c r="H579" s="10" t="s">
        <v>123</v>
      </c>
      <c r="I579" s="10" t="s">
        <v>189</v>
      </c>
      <c r="J579" s="10" t="s">
        <v>348</v>
      </c>
      <c r="K579" s="31">
        <v>61200</v>
      </c>
      <c r="L579" s="10" t="s">
        <v>1431</v>
      </c>
      <c r="M579" s="10"/>
      <c r="N579" s="10" t="s">
        <v>3845</v>
      </c>
      <c r="O579" s="10" t="s">
        <v>2052</v>
      </c>
    </row>
    <row r="580" spans="1:15" x14ac:dyDescent="0.3">
      <c r="A580" s="10" t="s">
        <v>1984</v>
      </c>
      <c r="B580" s="10" t="s">
        <v>3846</v>
      </c>
      <c r="C580" s="10" t="s">
        <v>3847</v>
      </c>
      <c r="D580" s="10" t="s">
        <v>251</v>
      </c>
      <c r="E580" s="10" t="s">
        <v>1433</v>
      </c>
      <c r="F580" s="10" t="s">
        <v>2477</v>
      </c>
      <c r="G580" s="10" t="s">
        <v>356</v>
      </c>
      <c r="H580" s="10" t="s">
        <v>123</v>
      </c>
      <c r="I580" s="10" t="s">
        <v>196</v>
      </c>
      <c r="J580" s="10" t="s">
        <v>348</v>
      </c>
      <c r="K580" s="31">
        <v>82800</v>
      </c>
      <c r="L580" s="10" t="s">
        <v>1433</v>
      </c>
      <c r="M580" s="10" t="s">
        <v>2138</v>
      </c>
      <c r="N580" s="10" t="s">
        <v>3848</v>
      </c>
      <c r="O580" s="10"/>
    </row>
    <row r="581" spans="1:15" x14ac:dyDescent="0.3">
      <c r="A581" s="10" t="s">
        <v>1985</v>
      </c>
      <c r="B581" s="10" t="s">
        <v>3849</v>
      </c>
      <c r="C581" s="10" t="s">
        <v>3850</v>
      </c>
      <c r="D581" s="10" t="s">
        <v>247</v>
      </c>
      <c r="E581" s="10" t="s">
        <v>1431</v>
      </c>
      <c r="F581" s="10" t="s">
        <v>357</v>
      </c>
      <c r="G581" s="10" t="s">
        <v>357</v>
      </c>
      <c r="H581" s="10" t="s">
        <v>123</v>
      </c>
      <c r="I581" s="10" t="s">
        <v>195</v>
      </c>
      <c r="J581" s="10" t="s">
        <v>348</v>
      </c>
      <c r="K581" s="31">
        <v>60324</v>
      </c>
      <c r="L581" s="10" t="s">
        <v>1431</v>
      </c>
      <c r="M581" s="10"/>
      <c r="N581" s="10" t="s">
        <v>3851</v>
      </c>
      <c r="O581" s="10"/>
    </row>
    <row r="582" spans="1:15" x14ac:dyDescent="0.3">
      <c r="A582" s="10" t="s">
        <v>1985</v>
      </c>
      <c r="B582" s="10" t="s">
        <v>3852</v>
      </c>
      <c r="C582" s="10" t="s">
        <v>3853</v>
      </c>
      <c r="D582" s="10" t="s">
        <v>259</v>
      </c>
      <c r="E582" s="10" t="s">
        <v>1431</v>
      </c>
      <c r="F582" s="10" t="s">
        <v>357</v>
      </c>
      <c r="G582" s="10" t="s">
        <v>357</v>
      </c>
      <c r="H582" s="10" t="s">
        <v>123</v>
      </c>
      <c r="I582" s="10" t="s">
        <v>195</v>
      </c>
      <c r="J582" s="10" t="s">
        <v>348</v>
      </c>
      <c r="K582" s="31">
        <v>58020</v>
      </c>
      <c r="L582" s="10" t="s">
        <v>1431</v>
      </c>
      <c r="M582" s="10"/>
      <c r="N582" s="10" t="s">
        <v>3854</v>
      </c>
      <c r="O582" s="10"/>
    </row>
    <row r="583" spans="1:15" x14ac:dyDescent="0.3">
      <c r="A583" s="10" t="s">
        <v>293</v>
      </c>
      <c r="B583" s="10" t="s">
        <v>3855</v>
      </c>
      <c r="C583" s="10" t="s">
        <v>3856</v>
      </c>
      <c r="D583" s="10" t="s">
        <v>247</v>
      </c>
      <c r="E583" s="10" t="s">
        <v>1431</v>
      </c>
      <c r="F583" s="10" t="s">
        <v>1029</v>
      </c>
      <c r="G583" s="10" t="s">
        <v>292</v>
      </c>
      <c r="H583" s="10" t="s">
        <v>117</v>
      </c>
      <c r="I583" s="10" t="s">
        <v>186</v>
      </c>
      <c r="J583" s="10" t="s">
        <v>294</v>
      </c>
      <c r="K583" s="31">
        <v>70716</v>
      </c>
      <c r="L583" s="10" t="s">
        <v>1431</v>
      </c>
      <c r="M583" s="10"/>
      <c r="N583" s="10" t="s">
        <v>3857</v>
      </c>
      <c r="O583" s="10"/>
    </row>
    <row r="584" spans="1:15" x14ac:dyDescent="0.3">
      <c r="A584" s="10" t="s">
        <v>293</v>
      </c>
      <c r="B584" s="10" t="s">
        <v>3858</v>
      </c>
      <c r="C584" s="10" t="s">
        <v>3859</v>
      </c>
      <c r="D584" s="10" t="s">
        <v>251</v>
      </c>
      <c r="E584" s="10" t="s">
        <v>1433</v>
      </c>
      <c r="F584" s="10" t="s">
        <v>3860</v>
      </c>
      <c r="G584" s="10" t="s">
        <v>3861</v>
      </c>
      <c r="H584" s="10" t="s">
        <v>123</v>
      </c>
      <c r="I584" s="10" t="s">
        <v>203</v>
      </c>
      <c r="J584" s="10" t="s">
        <v>348</v>
      </c>
      <c r="K584" s="31">
        <v>210000</v>
      </c>
      <c r="L584" s="10" t="s">
        <v>1433</v>
      </c>
      <c r="M584" s="10" t="s">
        <v>2138</v>
      </c>
      <c r="N584" s="10" t="s">
        <v>3862</v>
      </c>
      <c r="O584" s="10"/>
    </row>
    <row r="585" spans="1:15" x14ac:dyDescent="0.3">
      <c r="A585" s="10" t="s">
        <v>1986</v>
      </c>
      <c r="B585" s="10" t="s">
        <v>3863</v>
      </c>
      <c r="C585" s="10" t="s">
        <v>3864</v>
      </c>
      <c r="D585" s="10" t="s">
        <v>247</v>
      </c>
      <c r="E585" s="10" t="s">
        <v>1431</v>
      </c>
      <c r="F585" s="10" t="s">
        <v>375</v>
      </c>
      <c r="G585" s="10" t="s">
        <v>375</v>
      </c>
      <c r="H585" s="10" t="s">
        <v>123</v>
      </c>
      <c r="I585" s="10" t="s">
        <v>191</v>
      </c>
      <c r="J585" s="10" t="s">
        <v>348</v>
      </c>
      <c r="K585" s="31">
        <v>119724</v>
      </c>
      <c r="L585" s="10" t="s">
        <v>1431</v>
      </c>
      <c r="M585" s="10"/>
      <c r="N585" s="10" t="s">
        <v>3865</v>
      </c>
      <c r="O585" s="10"/>
    </row>
    <row r="586" spans="1:15" x14ac:dyDescent="0.3">
      <c r="A586" s="10" t="s">
        <v>1986</v>
      </c>
      <c r="B586" s="10" t="s">
        <v>3866</v>
      </c>
      <c r="C586" s="10" t="s">
        <v>3867</v>
      </c>
      <c r="D586" s="10" t="s">
        <v>259</v>
      </c>
      <c r="E586" s="10" t="s">
        <v>1431</v>
      </c>
      <c r="F586" s="10" t="s">
        <v>3868</v>
      </c>
      <c r="G586" s="10" t="s">
        <v>375</v>
      </c>
      <c r="H586" s="10" t="s">
        <v>123</v>
      </c>
      <c r="I586" s="10" t="s">
        <v>191</v>
      </c>
      <c r="J586" s="10" t="s">
        <v>348</v>
      </c>
      <c r="K586" s="31">
        <v>12000</v>
      </c>
      <c r="L586" s="10" t="s">
        <v>1431</v>
      </c>
      <c r="M586" s="10"/>
      <c r="N586" s="10" t="s">
        <v>3869</v>
      </c>
      <c r="O586" s="10" t="s">
        <v>2052</v>
      </c>
    </row>
    <row r="587" spans="1:15" x14ac:dyDescent="0.3">
      <c r="A587" s="10" t="s">
        <v>1987</v>
      </c>
      <c r="B587" s="10" t="s">
        <v>3870</v>
      </c>
      <c r="C587" s="10" t="s">
        <v>3871</v>
      </c>
      <c r="D587" s="10" t="s">
        <v>247</v>
      </c>
      <c r="E587" s="10" t="s">
        <v>1431</v>
      </c>
      <c r="F587" s="10" t="s">
        <v>490</v>
      </c>
      <c r="G587" s="10" t="s">
        <v>490</v>
      </c>
      <c r="H587" s="10" t="s">
        <v>123</v>
      </c>
      <c r="I587" s="10" t="s">
        <v>190</v>
      </c>
      <c r="J587" s="10" t="s">
        <v>348</v>
      </c>
      <c r="K587" s="31">
        <v>54000</v>
      </c>
      <c r="L587" s="10" t="s">
        <v>1431</v>
      </c>
      <c r="M587" s="10"/>
      <c r="N587" s="10" t="s">
        <v>3872</v>
      </c>
      <c r="O587" s="10"/>
    </row>
    <row r="588" spans="1:15" x14ac:dyDescent="0.3">
      <c r="A588" s="10" t="s">
        <v>1988</v>
      </c>
      <c r="B588" s="10" t="s">
        <v>3873</v>
      </c>
      <c r="C588" s="10" t="s">
        <v>3874</v>
      </c>
      <c r="D588" s="10" t="s">
        <v>247</v>
      </c>
      <c r="E588" s="10" t="s">
        <v>1431</v>
      </c>
      <c r="F588" s="10"/>
      <c r="G588" s="10"/>
      <c r="H588" s="10"/>
      <c r="I588" s="10" t="s">
        <v>2064</v>
      </c>
      <c r="J588" s="10"/>
      <c r="K588" s="31">
        <v>0</v>
      </c>
      <c r="L588" s="10" t="s">
        <v>1433</v>
      </c>
      <c r="M588" s="10" t="s">
        <v>2065</v>
      </c>
      <c r="N588" s="10" t="s">
        <v>2612</v>
      </c>
      <c r="O588" s="10"/>
    </row>
    <row r="589" spans="1:15" x14ac:dyDescent="0.3">
      <c r="A589" s="10" t="s">
        <v>1988</v>
      </c>
      <c r="B589" s="10" t="s">
        <v>3875</v>
      </c>
      <c r="C589" s="10" t="s">
        <v>3876</v>
      </c>
      <c r="D589" s="10" t="s">
        <v>251</v>
      </c>
      <c r="E589" s="10" t="s">
        <v>1433</v>
      </c>
      <c r="F589" s="10" t="s">
        <v>3877</v>
      </c>
      <c r="G589" s="10" t="s">
        <v>768</v>
      </c>
      <c r="H589" s="10"/>
      <c r="I589" s="10" t="s">
        <v>769</v>
      </c>
      <c r="J589" s="10" t="s">
        <v>348</v>
      </c>
      <c r="K589" s="31">
        <v>90000</v>
      </c>
      <c r="L589" s="10" t="s">
        <v>1433</v>
      </c>
      <c r="M589" s="10" t="s">
        <v>2138</v>
      </c>
      <c r="N589" s="10"/>
      <c r="O589" s="10"/>
    </row>
    <row r="590" spans="1:15" x14ac:dyDescent="0.3">
      <c r="A590" s="10" t="s">
        <v>1989</v>
      </c>
      <c r="B590" s="10" t="s">
        <v>3878</v>
      </c>
      <c r="C590" s="10" t="s">
        <v>3879</v>
      </c>
      <c r="D590" s="10" t="s">
        <v>247</v>
      </c>
      <c r="E590" s="10" t="s">
        <v>1431</v>
      </c>
      <c r="F590" s="10" t="s">
        <v>3880</v>
      </c>
      <c r="G590" s="10" t="s">
        <v>450</v>
      </c>
      <c r="H590" s="10" t="s">
        <v>123</v>
      </c>
      <c r="I590" s="10" t="s">
        <v>191</v>
      </c>
      <c r="J590" s="10" t="s">
        <v>348</v>
      </c>
      <c r="K590" s="31">
        <v>54000</v>
      </c>
      <c r="L590" s="10" t="s">
        <v>1431</v>
      </c>
      <c r="M590" s="10"/>
      <c r="N590" s="10" t="s">
        <v>3881</v>
      </c>
      <c r="O590" s="10" t="s">
        <v>2052</v>
      </c>
    </row>
    <row r="591" spans="1:15" x14ac:dyDescent="0.3">
      <c r="A591" s="10" t="s">
        <v>1989</v>
      </c>
      <c r="B591" s="10" t="s">
        <v>3882</v>
      </c>
      <c r="C591" s="10" t="s">
        <v>3883</v>
      </c>
      <c r="D591" s="10" t="s">
        <v>259</v>
      </c>
      <c r="E591" s="10" t="s">
        <v>1431</v>
      </c>
      <c r="F591" s="10"/>
      <c r="G591" s="10"/>
      <c r="H591" s="10"/>
      <c r="I591" s="10" t="s">
        <v>2064</v>
      </c>
      <c r="J591" s="10"/>
      <c r="K591" s="31">
        <v>0</v>
      </c>
      <c r="L591" s="10" t="s">
        <v>1433</v>
      </c>
      <c r="M591" s="10" t="s">
        <v>2065</v>
      </c>
      <c r="N591" s="10" t="s">
        <v>3884</v>
      </c>
      <c r="O591" s="10"/>
    </row>
    <row r="592" spans="1:15" x14ac:dyDescent="0.3">
      <c r="A592" s="10" t="s">
        <v>1990</v>
      </c>
      <c r="B592" s="10" t="s">
        <v>3885</v>
      </c>
      <c r="C592" s="10" t="s">
        <v>3886</v>
      </c>
      <c r="D592" s="10" t="s">
        <v>247</v>
      </c>
      <c r="E592" s="10" t="s">
        <v>1431</v>
      </c>
      <c r="F592" s="10" t="s">
        <v>1115</v>
      </c>
      <c r="G592" s="10" t="s">
        <v>435</v>
      </c>
      <c r="H592" s="10" t="s">
        <v>123</v>
      </c>
      <c r="I592" s="10" t="s">
        <v>189</v>
      </c>
      <c r="J592" s="10" t="s">
        <v>348</v>
      </c>
      <c r="K592" s="31">
        <v>69204</v>
      </c>
      <c r="L592" s="10" t="s">
        <v>1431</v>
      </c>
      <c r="M592" s="10"/>
      <c r="N592" s="10" t="s">
        <v>3887</v>
      </c>
      <c r="O592" s="10" t="s">
        <v>2052</v>
      </c>
    </row>
    <row r="593" spans="1:15" x14ac:dyDescent="0.3">
      <c r="A593" s="10" t="s">
        <v>1990</v>
      </c>
      <c r="B593" s="10" t="s">
        <v>3888</v>
      </c>
      <c r="C593" s="10" t="s">
        <v>3889</v>
      </c>
      <c r="D593" s="10" t="s">
        <v>2079</v>
      </c>
      <c r="E593" s="10" t="s">
        <v>1431</v>
      </c>
      <c r="F593" s="10"/>
      <c r="G593" s="10"/>
      <c r="H593" s="10"/>
      <c r="I593" s="10" t="s">
        <v>2064</v>
      </c>
      <c r="J593" s="10"/>
      <c r="K593" s="31">
        <v>0</v>
      </c>
      <c r="L593" s="10" t="s">
        <v>1433</v>
      </c>
      <c r="M593" s="10" t="s">
        <v>2065</v>
      </c>
      <c r="N593" s="10" t="s">
        <v>3890</v>
      </c>
      <c r="O593" s="10"/>
    </row>
    <row r="594" spans="1:15" x14ac:dyDescent="0.3">
      <c r="A594" s="10" t="s">
        <v>1991</v>
      </c>
      <c r="B594" s="10" t="s">
        <v>3891</v>
      </c>
      <c r="C594" s="10" t="s">
        <v>3892</v>
      </c>
      <c r="D594" s="10" t="s">
        <v>247</v>
      </c>
      <c r="E594" s="10" t="s">
        <v>1431</v>
      </c>
      <c r="F594" s="10" t="s">
        <v>3893</v>
      </c>
      <c r="G594" s="10" t="s">
        <v>554</v>
      </c>
      <c r="H594" s="10" t="s">
        <v>123</v>
      </c>
      <c r="I594" s="10" t="s">
        <v>190</v>
      </c>
      <c r="J594" s="10" t="s">
        <v>348</v>
      </c>
      <c r="K594" s="31">
        <v>19392</v>
      </c>
      <c r="L594" s="10" t="s">
        <v>1431</v>
      </c>
      <c r="M594" s="10"/>
      <c r="N594" s="10" t="s">
        <v>3894</v>
      </c>
      <c r="O594" s="10"/>
    </row>
    <row r="595" spans="1:15" x14ac:dyDescent="0.3">
      <c r="A595" s="10" t="s">
        <v>1991</v>
      </c>
      <c r="B595" s="10" t="s">
        <v>3895</v>
      </c>
      <c r="C595" s="10" t="s">
        <v>3896</v>
      </c>
      <c r="D595" s="10" t="s">
        <v>259</v>
      </c>
      <c r="E595" s="10" t="s">
        <v>1431</v>
      </c>
      <c r="F595" s="10" t="s">
        <v>3897</v>
      </c>
      <c r="G595" s="10" t="s">
        <v>604</v>
      </c>
      <c r="H595" s="10" t="s">
        <v>123</v>
      </c>
      <c r="I595" s="10" t="s">
        <v>197</v>
      </c>
      <c r="J595" s="10" t="s">
        <v>294</v>
      </c>
      <c r="K595" s="31">
        <v>60000</v>
      </c>
      <c r="L595" s="10" t="s">
        <v>1431</v>
      </c>
      <c r="M595" s="10"/>
      <c r="N595" s="10" t="s">
        <v>3898</v>
      </c>
      <c r="O595" s="10"/>
    </row>
    <row r="596" spans="1:15" x14ac:dyDescent="0.3">
      <c r="A596" s="10" t="s">
        <v>1992</v>
      </c>
      <c r="B596" s="10" t="s">
        <v>3899</v>
      </c>
      <c r="C596" s="10" t="s">
        <v>3900</v>
      </c>
      <c r="D596" s="10" t="s">
        <v>247</v>
      </c>
      <c r="E596" s="10" t="s">
        <v>1431</v>
      </c>
      <c r="F596" s="10" t="s">
        <v>3901</v>
      </c>
      <c r="G596" s="10" t="s">
        <v>715</v>
      </c>
      <c r="H596" s="10" t="s">
        <v>123</v>
      </c>
      <c r="I596" s="10" t="s">
        <v>197</v>
      </c>
      <c r="J596" s="10" t="s">
        <v>366</v>
      </c>
      <c r="K596" s="31">
        <v>88476</v>
      </c>
      <c r="L596" s="10" t="s">
        <v>1431</v>
      </c>
      <c r="M596" s="10"/>
      <c r="N596" s="10"/>
      <c r="O596" s="10"/>
    </row>
    <row r="597" spans="1:15" x14ac:dyDescent="0.3">
      <c r="A597" s="10" t="s">
        <v>1993</v>
      </c>
      <c r="B597" s="10" t="s">
        <v>3902</v>
      </c>
      <c r="C597" s="10" t="s">
        <v>3903</v>
      </c>
      <c r="D597" s="10" t="s">
        <v>247</v>
      </c>
      <c r="E597" s="10" t="s">
        <v>1431</v>
      </c>
      <c r="F597" s="10" t="s">
        <v>438</v>
      </c>
      <c r="G597" s="10" t="s">
        <v>438</v>
      </c>
      <c r="H597" s="10" t="s">
        <v>123</v>
      </c>
      <c r="I597" s="10" t="s">
        <v>191</v>
      </c>
      <c r="J597" s="10" t="s">
        <v>348</v>
      </c>
      <c r="K597" s="31">
        <v>57360</v>
      </c>
      <c r="L597" s="10" t="s">
        <v>1431</v>
      </c>
      <c r="M597" s="10"/>
      <c r="N597" s="10" t="s">
        <v>3904</v>
      </c>
      <c r="O597" s="10"/>
    </row>
    <row r="598" spans="1:15" x14ac:dyDescent="0.3">
      <c r="A598" s="10" t="s">
        <v>1993</v>
      </c>
      <c r="B598" s="10" t="s">
        <v>3905</v>
      </c>
      <c r="C598" s="10" t="s">
        <v>3906</v>
      </c>
      <c r="D598" s="10" t="s">
        <v>264</v>
      </c>
      <c r="E598" s="10" t="s">
        <v>1431</v>
      </c>
      <c r="F598" s="10" t="s">
        <v>3907</v>
      </c>
      <c r="G598" s="10" t="s">
        <v>761</v>
      </c>
      <c r="H598" s="10" t="s">
        <v>123</v>
      </c>
      <c r="I598" s="10" t="s">
        <v>195</v>
      </c>
      <c r="J598" s="10" t="s">
        <v>348</v>
      </c>
      <c r="K598" s="31">
        <v>67836</v>
      </c>
      <c r="L598" s="10" t="s">
        <v>1431</v>
      </c>
      <c r="M598" s="10"/>
      <c r="N598" s="10" t="s">
        <v>3908</v>
      </c>
      <c r="O598" s="10"/>
    </row>
    <row r="599" spans="1:15" x14ac:dyDescent="0.3">
      <c r="A599" s="10" t="s">
        <v>1994</v>
      </c>
      <c r="B599" s="10" t="s">
        <v>3909</v>
      </c>
      <c r="C599" s="10" t="s">
        <v>3910</v>
      </c>
      <c r="D599" s="10" t="s">
        <v>247</v>
      </c>
      <c r="E599" s="10" t="s">
        <v>1431</v>
      </c>
      <c r="F599" s="10" t="s">
        <v>3911</v>
      </c>
      <c r="G599" s="10" t="s">
        <v>609</v>
      </c>
      <c r="H599" s="10" t="s">
        <v>123</v>
      </c>
      <c r="I599" s="10" t="s">
        <v>190</v>
      </c>
      <c r="J599" s="10" t="s">
        <v>348</v>
      </c>
      <c r="K599" s="31">
        <v>60252</v>
      </c>
      <c r="L599" s="10" t="s">
        <v>1431</v>
      </c>
      <c r="M599" s="10"/>
      <c r="N599" s="10" t="s">
        <v>3912</v>
      </c>
      <c r="O599" s="10"/>
    </row>
    <row r="600" spans="1:15" x14ac:dyDescent="0.3">
      <c r="A600" s="10" t="s">
        <v>1994</v>
      </c>
      <c r="B600" s="10" t="s">
        <v>3913</v>
      </c>
      <c r="C600" s="10" t="s">
        <v>3914</v>
      </c>
      <c r="D600" s="10" t="s">
        <v>259</v>
      </c>
      <c r="E600" s="10" t="s">
        <v>1431</v>
      </c>
      <c r="F600" s="10" t="s">
        <v>3915</v>
      </c>
      <c r="G600" s="10" t="s">
        <v>544</v>
      </c>
      <c r="H600" s="10" t="s">
        <v>123</v>
      </c>
      <c r="I600" s="10" t="s">
        <v>191</v>
      </c>
      <c r="J600" s="10" t="s">
        <v>348</v>
      </c>
      <c r="K600" s="31">
        <v>0</v>
      </c>
      <c r="L600" s="10" t="s">
        <v>1433</v>
      </c>
      <c r="M600" s="10" t="s">
        <v>2065</v>
      </c>
      <c r="N600" s="10" t="s">
        <v>3916</v>
      </c>
      <c r="O600" s="10" t="s">
        <v>2019</v>
      </c>
    </row>
    <row r="601" spans="1:15" x14ac:dyDescent="0.3">
      <c r="A601" s="10" t="s">
        <v>1995</v>
      </c>
      <c r="B601" s="10" t="s">
        <v>3917</v>
      </c>
      <c r="C601" s="10" t="s">
        <v>3918</v>
      </c>
      <c r="D601" s="10" t="s">
        <v>247</v>
      </c>
      <c r="E601" s="10" t="s">
        <v>1431</v>
      </c>
      <c r="F601" s="10" t="s">
        <v>2063</v>
      </c>
      <c r="G601" s="10"/>
      <c r="H601" s="10"/>
      <c r="I601" s="10" t="s">
        <v>2064</v>
      </c>
      <c r="J601" s="10"/>
      <c r="K601" s="31">
        <v>30000</v>
      </c>
      <c r="L601" s="10" t="s">
        <v>1431</v>
      </c>
      <c r="M601" s="10"/>
      <c r="N601" s="10" t="s">
        <v>3919</v>
      </c>
      <c r="O601" s="10"/>
    </row>
    <row r="602" spans="1:15" x14ac:dyDescent="0.3">
      <c r="A602" s="10" t="s">
        <v>1995</v>
      </c>
      <c r="B602" s="10" t="s">
        <v>3920</v>
      </c>
      <c r="C602" s="10" t="s">
        <v>3921</v>
      </c>
      <c r="D602" s="10" t="s">
        <v>251</v>
      </c>
      <c r="E602" s="10" t="s">
        <v>1433</v>
      </c>
      <c r="F602" s="10" t="s">
        <v>2063</v>
      </c>
      <c r="G602" s="10"/>
      <c r="H602" s="10"/>
      <c r="I602" s="10" t="s">
        <v>2064</v>
      </c>
      <c r="J602" s="10"/>
      <c r="K602" s="31">
        <v>42000</v>
      </c>
      <c r="L602" s="10" t="s">
        <v>1433</v>
      </c>
      <c r="M602" s="10" t="s">
        <v>2138</v>
      </c>
      <c r="N602" s="10" t="s">
        <v>3922</v>
      </c>
      <c r="O602" s="10"/>
    </row>
    <row r="603" spans="1:15" x14ac:dyDescent="0.3">
      <c r="A603" s="10" t="s">
        <v>1995</v>
      </c>
      <c r="B603" s="10" t="s">
        <v>3923</v>
      </c>
      <c r="C603" s="10" t="s">
        <v>3924</v>
      </c>
      <c r="D603" s="10" t="s">
        <v>259</v>
      </c>
      <c r="E603" s="10" t="s">
        <v>1431</v>
      </c>
      <c r="F603" s="10" t="s">
        <v>2063</v>
      </c>
      <c r="G603" s="10"/>
      <c r="H603" s="10"/>
      <c r="I603" s="10" t="s">
        <v>2064</v>
      </c>
      <c r="J603" s="10"/>
      <c r="K603" s="31">
        <v>42000</v>
      </c>
      <c r="L603" s="10" t="s">
        <v>1431</v>
      </c>
      <c r="M603" s="10"/>
      <c r="N603" s="10" t="s">
        <v>3922</v>
      </c>
      <c r="O603" s="10"/>
    </row>
    <row r="604" spans="1:15" x14ac:dyDescent="0.3">
      <c r="A604" s="10" t="s">
        <v>1996</v>
      </c>
      <c r="B604" s="10" t="s">
        <v>3925</v>
      </c>
      <c r="C604" s="10" t="s">
        <v>3926</v>
      </c>
      <c r="D604" s="10" t="s">
        <v>247</v>
      </c>
      <c r="E604" s="10" t="s">
        <v>1431</v>
      </c>
      <c r="F604" s="10" t="s">
        <v>357</v>
      </c>
      <c r="G604" s="10" t="s">
        <v>357</v>
      </c>
      <c r="H604" s="10" t="s">
        <v>123</v>
      </c>
      <c r="I604" s="10" t="s">
        <v>195</v>
      </c>
      <c r="J604" s="10" t="s">
        <v>348</v>
      </c>
      <c r="K604" s="31">
        <v>62496</v>
      </c>
      <c r="L604" s="10" t="s">
        <v>1431</v>
      </c>
      <c r="M604" s="10"/>
      <c r="N604" s="10" t="s">
        <v>3927</v>
      </c>
      <c r="O604" s="10"/>
    </row>
    <row r="605" spans="1:15" x14ac:dyDescent="0.3">
      <c r="A605" s="10" t="s">
        <v>1997</v>
      </c>
      <c r="B605" s="10" t="s">
        <v>3928</v>
      </c>
      <c r="C605" s="10" t="s">
        <v>3929</v>
      </c>
      <c r="D605" s="10" t="s">
        <v>247</v>
      </c>
      <c r="E605" s="10" t="s">
        <v>1431</v>
      </c>
      <c r="F605" s="10" t="s">
        <v>557</v>
      </c>
      <c r="G605" s="10" t="s">
        <v>557</v>
      </c>
      <c r="H605" s="10" t="s">
        <v>123</v>
      </c>
      <c r="I605" s="10" t="s">
        <v>192</v>
      </c>
      <c r="J605" s="10" t="s">
        <v>348</v>
      </c>
      <c r="K605" s="31">
        <v>0</v>
      </c>
      <c r="L605" s="10" t="s">
        <v>1433</v>
      </c>
      <c r="M605" s="10" t="s">
        <v>2065</v>
      </c>
      <c r="N605" s="10" t="s">
        <v>3930</v>
      </c>
      <c r="O605" s="10"/>
    </row>
    <row r="606" spans="1:15" x14ac:dyDescent="0.3">
      <c r="A606" s="10" t="s">
        <v>1997</v>
      </c>
      <c r="B606" s="10" t="s">
        <v>3931</v>
      </c>
      <c r="C606" s="10" t="s">
        <v>3932</v>
      </c>
      <c r="D606" s="10" t="s">
        <v>259</v>
      </c>
      <c r="E606" s="10" t="s">
        <v>1431</v>
      </c>
      <c r="F606" s="10" t="s">
        <v>700</v>
      </c>
      <c r="G606" s="10" t="s">
        <v>700</v>
      </c>
      <c r="H606" s="10" t="s">
        <v>123</v>
      </c>
      <c r="I606" s="10" t="s">
        <v>194</v>
      </c>
      <c r="J606" s="10" t="s">
        <v>348</v>
      </c>
      <c r="K606" s="31">
        <v>76800</v>
      </c>
      <c r="L606" s="10" t="s">
        <v>1431</v>
      </c>
      <c r="M606" s="10"/>
      <c r="N606" s="10" t="s">
        <v>3933</v>
      </c>
      <c r="O606" s="10" t="s">
        <v>2019</v>
      </c>
    </row>
    <row r="607" spans="1:15" x14ac:dyDescent="0.3">
      <c r="A607" s="10" t="s">
        <v>261</v>
      </c>
      <c r="B607" s="10" t="s">
        <v>3934</v>
      </c>
      <c r="C607" s="10" t="s">
        <v>3935</v>
      </c>
      <c r="D607" s="10" t="s">
        <v>247</v>
      </c>
      <c r="E607" s="10" t="s">
        <v>1431</v>
      </c>
      <c r="F607" s="10" t="s">
        <v>3936</v>
      </c>
      <c r="G607" s="10" t="s">
        <v>245</v>
      </c>
      <c r="H607" s="10" t="s">
        <v>113</v>
      </c>
      <c r="I607" s="10" t="s">
        <v>184</v>
      </c>
      <c r="J607" s="10" t="s">
        <v>249</v>
      </c>
      <c r="K607" s="31">
        <v>87600</v>
      </c>
      <c r="L607" s="10" t="s">
        <v>1431</v>
      </c>
      <c r="M607" s="10"/>
      <c r="N607" s="10"/>
      <c r="O607" s="10"/>
    </row>
    <row r="608" spans="1:15" x14ac:dyDescent="0.3">
      <c r="A608" s="10" t="s">
        <v>261</v>
      </c>
      <c r="B608" s="10" t="s">
        <v>3937</v>
      </c>
      <c r="C608" s="10" t="s">
        <v>3938</v>
      </c>
      <c r="D608" s="10" t="s">
        <v>259</v>
      </c>
      <c r="E608" s="10" t="s">
        <v>1431</v>
      </c>
      <c r="F608" s="10" t="s">
        <v>3939</v>
      </c>
      <c r="G608" s="10" t="s">
        <v>739</v>
      </c>
      <c r="H608" s="10" t="s">
        <v>123</v>
      </c>
      <c r="I608" s="10" t="s">
        <v>199</v>
      </c>
      <c r="J608" s="10" t="s">
        <v>348</v>
      </c>
      <c r="K608" s="31">
        <v>48000</v>
      </c>
      <c r="L608" s="10" t="s">
        <v>1431</v>
      </c>
      <c r="M608" s="10"/>
      <c r="N608" s="10" t="s">
        <v>3940</v>
      </c>
      <c r="O608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BFBF"/>
  </sheetPr>
  <dimension ref="A1:D3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2" width="36" customWidth="1"/>
    <col min="3" max="3" width="6" customWidth="1"/>
    <col min="4" max="4" width="16" customWidth="1"/>
  </cols>
  <sheetData>
    <row r="1" spans="1:4" ht="15.6" x14ac:dyDescent="0.3">
      <c r="A1" s="15" t="s">
        <v>3941</v>
      </c>
    </row>
    <row r="2" spans="1:4" x14ac:dyDescent="0.3">
      <c r="A2" s="7" t="s">
        <v>3942</v>
      </c>
    </row>
    <row r="4" spans="1:4" x14ac:dyDescent="0.3">
      <c r="A4" s="16" t="s">
        <v>3943</v>
      </c>
      <c r="B4" s="16" t="s">
        <v>238</v>
      </c>
      <c r="C4" s="16" t="s">
        <v>108</v>
      </c>
      <c r="D4" s="16" t="s">
        <v>243</v>
      </c>
    </row>
    <row r="5" spans="1:4" x14ac:dyDescent="0.3">
      <c r="A5" s="10" t="s">
        <v>3897</v>
      </c>
      <c r="B5" s="10" t="s">
        <v>604</v>
      </c>
      <c r="C5" s="10" t="s">
        <v>123</v>
      </c>
      <c r="D5" s="10" t="s">
        <v>294</v>
      </c>
    </row>
    <row r="6" spans="1:4" x14ac:dyDescent="0.3">
      <c r="A6" s="10" t="s">
        <v>438</v>
      </c>
      <c r="B6" s="10" t="s">
        <v>438</v>
      </c>
      <c r="C6" s="10" t="s">
        <v>123</v>
      </c>
      <c r="D6" s="10" t="s">
        <v>348</v>
      </c>
    </row>
    <row r="7" spans="1:4" x14ac:dyDescent="0.3">
      <c r="A7" s="10" t="s">
        <v>2116</v>
      </c>
      <c r="B7" s="10" t="s">
        <v>439</v>
      </c>
      <c r="C7" s="10" t="s">
        <v>123</v>
      </c>
      <c r="D7" s="10" t="s">
        <v>348</v>
      </c>
    </row>
    <row r="8" spans="1:4" x14ac:dyDescent="0.3">
      <c r="A8" s="10" t="s">
        <v>374</v>
      </c>
      <c r="B8" s="10" t="s">
        <v>374</v>
      </c>
      <c r="C8" s="10" t="s">
        <v>123</v>
      </c>
      <c r="D8" s="10" t="s">
        <v>348</v>
      </c>
    </row>
    <row r="9" spans="1:4" x14ac:dyDescent="0.3">
      <c r="A9" s="10" t="s">
        <v>3817</v>
      </c>
      <c r="B9" s="10" t="s">
        <v>440</v>
      </c>
      <c r="C9" s="10" t="s">
        <v>123</v>
      </c>
      <c r="D9" s="10" t="s">
        <v>348</v>
      </c>
    </row>
    <row r="10" spans="1:4" x14ac:dyDescent="0.3">
      <c r="A10" s="10" t="s">
        <v>3434</v>
      </c>
      <c r="B10" s="10" t="s">
        <v>441</v>
      </c>
      <c r="C10" s="10" t="s">
        <v>123</v>
      </c>
      <c r="D10" s="10" t="s">
        <v>348</v>
      </c>
    </row>
    <row r="11" spans="1:4" x14ac:dyDescent="0.3">
      <c r="A11" s="10" t="s">
        <v>3494</v>
      </c>
      <c r="B11" s="10" t="s">
        <v>394</v>
      </c>
      <c r="C11" s="10" t="s">
        <v>123</v>
      </c>
      <c r="D11" s="10" t="s">
        <v>348</v>
      </c>
    </row>
    <row r="12" spans="1:4" x14ac:dyDescent="0.3">
      <c r="A12" s="10" t="s">
        <v>394</v>
      </c>
      <c r="B12" s="10" t="s">
        <v>394</v>
      </c>
      <c r="C12" s="10" t="s">
        <v>123</v>
      </c>
      <c r="D12" s="10" t="s">
        <v>348</v>
      </c>
    </row>
    <row r="13" spans="1:4" x14ac:dyDescent="0.3">
      <c r="A13" s="10" t="s">
        <v>447</v>
      </c>
      <c r="B13" s="10" t="s">
        <v>447</v>
      </c>
      <c r="C13" s="10" t="s">
        <v>123</v>
      </c>
      <c r="D13" s="10" t="s">
        <v>348</v>
      </c>
    </row>
    <row r="14" spans="1:4" x14ac:dyDescent="0.3">
      <c r="A14" s="10" t="s">
        <v>395</v>
      </c>
      <c r="B14" s="10" t="s">
        <v>395</v>
      </c>
      <c r="C14" s="10" t="s">
        <v>123</v>
      </c>
      <c r="D14" s="10" t="s">
        <v>348</v>
      </c>
    </row>
    <row r="15" spans="1:4" x14ac:dyDescent="0.3">
      <c r="A15" s="10" t="s">
        <v>2159</v>
      </c>
      <c r="B15" s="10" t="s">
        <v>448</v>
      </c>
      <c r="C15" s="10" t="s">
        <v>123</v>
      </c>
      <c r="D15" s="10" t="s">
        <v>348</v>
      </c>
    </row>
    <row r="16" spans="1:4" x14ac:dyDescent="0.3">
      <c r="A16" s="10" t="s">
        <v>2276</v>
      </c>
      <c r="B16" s="10" t="s">
        <v>449</v>
      </c>
      <c r="C16" s="10" t="s">
        <v>123</v>
      </c>
      <c r="D16" s="10" t="s">
        <v>348</v>
      </c>
    </row>
    <row r="17" spans="1:4" x14ac:dyDescent="0.3">
      <c r="A17" s="10" t="s">
        <v>2387</v>
      </c>
      <c r="B17" s="10" t="s">
        <v>361</v>
      </c>
      <c r="C17" s="10" t="s">
        <v>123</v>
      </c>
      <c r="D17" s="10" t="s">
        <v>348</v>
      </c>
    </row>
    <row r="18" spans="1:4" x14ac:dyDescent="0.3">
      <c r="A18" s="10" t="s">
        <v>3205</v>
      </c>
      <c r="B18" s="10" t="s">
        <v>361</v>
      </c>
      <c r="C18" s="10" t="s">
        <v>123</v>
      </c>
      <c r="D18" s="10" t="s">
        <v>348</v>
      </c>
    </row>
    <row r="19" spans="1:4" x14ac:dyDescent="0.3">
      <c r="A19" s="10" t="s">
        <v>3320</v>
      </c>
      <c r="B19" s="10" t="s">
        <v>435</v>
      </c>
      <c r="C19" s="10" t="s">
        <v>123</v>
      </c>
      <c r="D19" s="10" t="s">
        <v>348</v>
      </c>
    </row>
    <row r="20" spans="1:4" x14ac:dyDescent="0.3">
      <c r="A20" s="10" t="s">
        <v>3880</v>
      </c>
      <c r="B20" s="10" t="s">
        <v>450</v>
      </c>
      <c r="C20" s="10" t="s">
        <v>123</v>
      </c>
      <c r="D20" s="10" t="s">
        <v>348</v>
      </c>
    </row>
    <row r="21" spans="1:4" x14ac:dyDescent="0.3">
      <c r="A21" s="10" t="s">
        <v>2939</v>
      </c>
      <c r="B21" s="10" t="s">
        <v>358</v>
      </c>
      <c r="C21" s="10" t="s">
        <v>123</v>
      </c>
      <c r="D21" s="10" t="s">
        <v>348</v>
      </c>
    </row>
    <row r="22" spans="1:4" x14ac:dyDescent="0.3">
      <c r="A22" s="10" t="s">
        <v>2253</v>
      </c>
      <c r="B22" s="10" t="s">
        <v>358</v>
      </c>
      <c r="C22" s="10" t="s">
        <v>123</v>
      </c>
      <c r="D22" s="10" t="s">
        <v>348</v>
      </c>
    </row>
    <row r="23" spans="1:4" x14ac:dyDescent="0.3">
      <c r="A23" s="10" t="s">
        <v>358</v>
      </c>
      <c r="B23" s="10" t="s">
        <v>358</v>
      </c>
      <c r="C23" s="10" t="s">
        <v>123</v>
      </c>
      <c r="D23" s="10" t="s">
        <v>348</v>
      </c>
    </row>
    <row r="24" spans="1:4" x14ac:dyDescent="0.3">
      <c r="A24" s="10" t="s">
        <v>2537</v>
      </c>
      <c r="B24" s="10" t="s">
        <v>770</v>
      </c>
      <c r="C24" s="10" t="s">
        <v>123</v>
      </c>
      <c r="D24" s="10" t="s">
        <v>348</v>
      </c>
    </row>
    <row r="25" spans="1:4" x14ac:dyDescent="0.3">
      <c r="A25" s="10" t="s">
        <v>451</v>
      </c>
      <c r="B25" s="10" t="s">
        <v>451</v>
      </c>
      <c r="C25" s="10" t="s">
        <v>123</v>
      </c>
      <c r="D25" s="10" t="s">
        <v>348</v>
      </c>
    </row>
    <row r="26" spans="1:4" x14ac:dyDescent="0.3">
      <c r="A26" s="10" t="s">
        <v>3487</v>
      </c>
      <c r="B26" s="10" t="s">
        <v>442</v>
      </c>
      <c r="C26" s="10" t="s">
        <v>123</v>
      </c>
      <c r="D26" s="10" t="s">
        <v>366</v>
      </c>
    </row>
    <row r="27" spans="1:4" x14ac:dyDescent="0.3">
      <c r="A27" s="10" t="s">
        <v>2617</v>
      </c>
      <c r="B27" s="10" t="s">
        <v>357</v>
      </c>
      <c r="C27" s="10" t="s">
        <v>123</v>
      </c>
      <c r="D27" s="10" t="s">
        <v>348</v>
      </c>
    </row>
    <row r="28" spans="1:4" x14ac:dyDescent="0.3">
      <c r="A28" s="10" t="s">
        <v>357</v>
      </c>
      <c r="B28" s="10" t="s">
        <v>357</v>
      </c>
      <c r="C28" s="10" t="s">
        <v>123</v>
      </c>
      <c r="D28" s="10" t="s">
        <v>348</v>
      </c>
    </row>
    <row r="29" spans="1:4" x14ac:dyDescent="0.3">
      <c r="A29" s="10" t="s">
        <v>3675</v>
      </c>
      <c r="B29" s="10" t="s">
        <v>452</v>
      </c>
      <c r="C29" s="10" t="s">
        <v>123</v>
      </c>
      <c r="D29" s="10" t="s">
        <v>348</v>
      </c>
    </row>
    <row r="30" spans="1:4" x14ac:dyDescent="0.3">
      <c r="A30" s="10" t="s">
        <v>453</v>
      </c>
      <c r="B30" s="10" t="s">
        <v>453</v>
      </c>
      <c r="C30" s="10" t="s">
        <v>123</v>
      </c>
      <c r="D30" s="10" t="s">
        <v>348</v>
      </c>
    </row>
    <row r="31" spans="1:4" x14ac:dyDescent="0.3">
      <c r="A31" s="10" t="s">
        <v>2877</v>
      </c>
      <c r="B31" s="10" t="s">
        <v>667</v>
      </c>
      <c r="C31" s="10" t="s">
        <v>123</v>
      </c>
      <c r="D31" s="10" t="s">
        <v>366</v>
      </c>
    </row>
    <row r="32" spans="1:4" x14ac:dyDescent="0.3">
      <c r="A32" s="10" t="s">
        <v>2152</v>
      </c>
      <c r="B32" s="10" t="s">
        <v>454</v>
      </c>
      <c r="C32" s="10" t="s">
        <v>123</v>
      </c>
      <c r="D32" s="10" t="s">
        <v>348</v>
      </c>
    </row>
    <row r="33" spans="1:4" x14ac:dyDescent="0.3">
      <c r="A33" s="10" t="s">
        <v>3091</v>
      </c>
      <c r="B33" s="10" t="s">
        <v>347</v>
      </c>
      <c r="C33" s="10" t="s">
        <v>121</v>
      </c>
      <c r="D33" s="10" t="s">
        <v>348</v>
      </c>
    </row>
    <row r="34" spans="1:4" x14ac:dyDescent="0.3">
      <c r="A34" s="10" t="s">
        <v>2884</v>
      </c>
      <c r="B34" s="10" t="s">
        <v>396</v>
      </c>
      <c r="C34" s="10" t="s">
        <v>123</v>
      </c>
      <c r="D34" s="10" t="s">
        <v>348</v>
      </c>
    </row>
    <row r="35" spans="1:4" x14ac:dyDescent="0.3">
      <c r="A35" s="10" t="s">
        <v>3868</v>
      </c>
      <c r="B35" s="10" t="s">
        <v>375</v>
      </c>
      <c r="C35" s="10" t="s">
        <v>123</v>
      </c>
      <c r="D35" s="10" t="s">
        <v>348</v>
      </c>
    </row>
    <row r="36" spans="1:4" x14ac:dyDescent="0.3">
      <c r="A36" s="10" t="s">
        <v>375</v>
      </c>
      <c r="B36" s="10" t="s">
        <v>375</v>
      </c>
      <c r="C36" s="10" t="s">
        <v>123</v>
      </c>
      <c r="D36" s="10" t="s">
        <v>348</v>
      </c>
    </row>
    <row r="37" spans="1:4" x14ac:dyDescent="0.3">
      <c r="A37" s="10" t="s">
        <v>459</v>
      </c>
      <c r="B37" s="10" t="s">
        <v>459</v>
      </c>
      <c r="C37" s="10" t="s">
        <v>123</v>
      </c>
      <c r="D37" s="10" t="s">
        <v>348</v>
      </c>
    </row>
    <row r="38" spans="1:4" x14ac:dyDescent="0.3">
      <c r="A38" s="10" t="s">
        <v>2130</v>
      </c>
      <c r="B38" s="10" t="s">
        <v>460</v>
      </c>
      <c r="C38" s="10" t="s">
        <v>123</v>
      </c>
      <c r="D38" s="10" t="s">
        <v>366</v>
      </c>
    </row>
    <row r="39" spans="1:4" x14ac:dyDescent="0.3">
      <c r="A39" s="10" t="s">
        <v>2863</v>
      </c>
      <c r="B39" s="10" t="s">
        <v>289</v>
      </c>
      <c r="C39" s="10" t="s">
        <v>117</v>
      </c>
      <c r="D39" s="10" t="s">
        <v>273</v>
      </c>
    </row>
    <row r="40" spans="1:4" x14ac:dyDescent="0.3">
      <c r="A40" s="10" t="s">
        <v>3644</v>
      </c>
      <c r="B40" s="10" t="s">
        <v>461</v>
      </c>
      <c r="C40" s="10" t="s">
        <v>123</v>
      </c>
      <c r="D40" s="10" t="s">
        <v>348</v>
      </c>
    </row>
    <row r="41" spans="1:4" x14ac:dyDescent="0.3">
      <c r="A41" s="10" t="s">
        <v>462</v>
      </c>
      <c r="B41" s="10" t="s">
        <v>462</v>
      </c>
      <c r="C41" s="10" t="s">
        <v>123</v>
      </c>
      <c r="D41" s="10" t="s">
        <v>348</v>
      </c>
    </row>
    <row r="42" spans="1:4" x14ac:dyDescent="0.3">
      <c r="A42" s="10" t="s">
        <v>2408</v>
      </c>
      <c r="B42" s="10" t="s">
        <v>463</v>
      </c>
      <c r="C42" s="10" t="s">
        <v>123</v>
      </c>
      <c r="D42" s="10" t="s">
        <v>366</v>
      </c>
    </row>
    <row r="43" spans="1:4" x14ac:dyDescent="0.3">
      <c r="A43" s="10" t="s">
        <v>464</v>
      </c>
      <c r="B43" s="10" t="s">
        <v>464</v>
      </c>
      <c r="C43" s="10" t="s">
        <v>123</v>
      </c>
      <c r="D43" s="10" t="s">
        <v>348</v>
      </c>
    </row>
    <row r="44" spans="1:4" x14ac:dyDescent="0.3">
      <c r="A44" s="10" t="s">
        <v>465</v>
      </c>
      <c r="B44" s="10" t="s">
        <v>465</v>
      </c>
      <c r="C44" s="10" t="s">
        <v>123</v>
      </c>
      <c r="D44" s="10" t="s">
        <v>294</v>
      </c>
    </row>
    <row r="45" spans="1:4" x14ac:dyDescent="0.3">
      <c r="A45" s="10" t="s">
        <v>2726</v>
      </c>
      <c r="B45" s="10" t="s">
        <v>476</v>
      </c>
      <c r="C45" s="10" t="s">
        <v>123</v>
      </c>
      <c r="D45" s="10" t="s">
        <v>348</v>
      </c>
    </row>
    <row r="46" spans="1:4" x14ac:dyDescent="0.3">
      <c r="A46" s="10" t="s">
        <v>2180</v>
      </c>
      <c r="B46" s="10" t="s">
        <v>477</v>
      </c>
      <c r="C46" s="10" t="s">
        <v>123</v>
      </c>
      <c r="D46" s="10" t="s">
        <v>348</v>
      </c>
    </row>
    <row r="47" spans="1:4" x14ac:dyDescent="0.3">
      <c r="A47" s="10" t="s">
        <v>2055</v>
      </c>
      <c r="B47" s="10" t="s">
        <v>588</v>
      </c>
      <c r="C47" s="10" t="s">
        <v>123</v>
      </c>
      <c r="D47" s="10" t="s">
        <v>348</v>
      </c>
    </row>
    <row r="48" spans="1:4" x14ac:dyDescent="0.3">
      <c r="A48" s="10" t="s">
        <v>2047</v>
      </c>
      <c r="B48" s="10" t="s">
        <v>478</v>
      </c>
      <c r="C48" s="10" t="s">
        <v>123</v>
      </c>
      <c r="D48" s="10" t="s">
        <v>348</v>
      </c>
    </row>
    <row r="49" spans="1:4" x14ac:dyDescent="0.3">
      <c r="A49" s="10" t="s">
        <v>479</v>
      </c>
      <c r="B49" s="10" t="s">
        <v>479</v>
      </c>
      <c r="C49" s="10" t="s">
        <v>123</v>
      </c>
      <c r="D49" s="10" t="s">
        <v>348</v>
      </c>
    </row>
    <row r="50" spans="1:4" x14ac:dyDescent="0.3">
      <c r="A50" s="10" t="s">
        <v>470</v>
      </c>
      <c r="B50" s="10" t="s">
        <v>470</v>
      </c>
      <c r="C50" s="10" t="s">
        <v>123</v>
      </c>
      <c r="D50" s="10" t="s">
        <v>348</v>
      </c>
    </row>
    <row r="51" spans="1:4" x14ac:dyDescent="0.3">
      <c r="A51" s="10" t="s">
        <v>3404</v>
      </c>
      <c r="B51" s="10" t="s">
        <v>480</v>
      </c>
      <c r="C51" s="10" t="s">
        <v>123</v>
      </c>
      <c r="D51" s="10" t="s">
        <v>348</v>
      </c>
    </row>
    <row r="52" spans="1:4" x14ac:dyDescent="0.3">
      <c r="A52" s="10" t="s">
        <v>481</v>
      </c>
      <c r="B52" s="10" t="s">
        <v>481</v>
      </c>
      <c r="C52" s="10" t="s">
        <v>123</v>
      </c>
      <c r="D52" s="10" t="s">
        <v>348</v>
      </c>
    </row>
    <row r="53" spans="1:4" x14ac:dyDescent="0.3">
      <c r="A53" s="10" t="s">
        <v>2380</v>
      </c>
      <c r="B53" s="10" t="s">
        <v>471</v>
      </c>
      <c r="C53" s="10" t="s">
        <v>123</v>
      </c>
      <c r="D53" s="10" t="s">
        <v>366</v>
      </c>
    </row>
    <row r="54" spans="1:4" x14ac:dyDescent="0.3">
      <c r="A54" s="10" t="s">
        <v>2792</v>
      </c>
      <c r="B54" s="10" t="s">
        <v>482</v>
      </c>
      <c r="C54" s="10" t="s">
        <v>123</v>
      </c>
      <c r="D54" s="10" t="s">
        <v>348</v>
      </c>
    </row>
    <row r="55" spans="1:4" x14ac:dyDescent="0.3">
      <c r="A55" s="10" t="s">
        <v>483</v>
      </c>
      <c r="B55" s="10" t="s">
        <v>483</v>
      </c>
      <c r="C55" s="10" t="s">
        <v>123</v>
      </c>
      <c r="D55" s="10" t="s">
        <v>348</v>
      </c>
    </row>
    <row r="56" spans="1:4" x14ac:dyDescent="0.3">
      <c r="A56" s="10" t="s">
        <v>484</v>
      </c>
      <c r="B56" s="10" t="s">
        <v>484</v>
      </c>
      <c r="C56" s="10" t="s">
        <v>123</v>
      </c>
      <c r="D56" s="10" t="s">
        <v>348</v>
      </c>
    </row>
    <row r="57" spans="1:4" x14ac:dyDescent="0.3">
      <c r="A57" s="10" t="s">
        <v>485</v>
      </c>
      <c r="B57" s="10" t="s">
        <v>485</v>
      </c>
      <c r="C57" s="10" t="s">
        <v>123</v>
      </c>
      <c r="D57" s="10" t="s">
        <v>348</v>
      </c>
    </row>
    <row r="58" spans="1:4" x14ac:dyDescent="0.3">
      <c r="A58" s="10" t="s">
        <v>397</v>
      </c>
      <c r="B58" s="10" t="s">
        <v>397</v>
      </c>
      <c r="C58" s="10" t="s">
        <v>123</v>
      </c>
      <c r="D58" s="10" t="s">
        <v>348</v>
      </c>
    </row>
    <row r="59" spans="1:4" x14ac:dyDescent="0.3">
      <c r="A59" s="10" t="s">
        <v>486</v>
      </c>
      <c r="B59" s="10" t="s">
        <v>486</v>
      </c>
      <c r="C59" s="10" t="s">
        <v>123</v>
      </c>
      <c r="D59" s="10" t="s">
        <v>348</v>
      </c>
    </row>
    <row r="60" spans="1:4" x14ac:dyDescent="0.3">
      <c r="A60" s="10" t="s">
        <v>3364</v>
      </c>
      <c r="B60" s="10" t="s">
        <v>487</v>
      </c>
      <c r="C60" s="10" t="s">
        <v>123</v>
      </c>
      <c r="D60" s="10" t="s">
        <v>348</v>
      </c>
    </row>
    <row r="61" spans="1:4" x14ac:dyDescent="0.3">
      <c r="A61" s="10" t="s">
        <v>488</v>
      </c>
      <c r="B61" s="10" t="s">
        <v>488</v>
      </c>
      <c r="C61" s="10" t="s">
        <v>123</v>
      </c>
      <c r="D61" s="10" t="s">
        <v>348</v>
      </c>
    </row>
    <row r="62" spans="1:4" x14ac:dyDescent="0.3">
      <c r="A62" s="10" t="s">
        <v>2376</v>
      </c>
      <c r="B62" s="10" t="s">
        <v>489</v>
      </c>
      <c r="C62" s="10" t="s">
        <v>123</v>
      </c>
      <c r="D62" s="10" t="s">
        <v>348</v>
      </c>
    </row>
    <row r="63" spans="1:4" x14ac:dyDescent="0.3">
      <c r="A63" s="10" t="s">
        <v>490</v>
      </c>
      <c r="B63" s="10" t="s">
        <v>490</v>
      </c>
      <c r="C63" s="10" t="s">
        <v>123</v>
      </c>
      <c r="D63" s="10" t="s">
        <v>348</v>
      </c>
    </row>
    <row r="64" spans="1:4" x14ac:dyDescent="0.3">
      <c r="A64" s="10" t="s">
        <v>2291</v>
      </c>
      <c r="B64" s="10" t="s">
        <v>491</v>
      </c>
      <c r="C64" s="10" t="s">
        <v>123</v>
      </c>
      <c r="D64" s="10" t="s">
        <v>348</v>
      </c>
    </row>
    <row r="65" spans="1:4" x14ac:dyDescent="0.3">
      <c r="A65" s="10" t="s">
        <v>2815</v>
      </c>
      <c r="B65" s="10" t="s">
        <v>492</v>
      </c>
      <c r="C65" s="10" t="s">
        <v>123</v>
      </c>
      <c r="D65" s="10" t="s">
        <v>366</v>
      </c>
    </row>
    <row r="66" spans="1:4" x14ac:dyDescent="0.3">
      <c r="A66" s="10" t="s">
        <v>2333</v>
      </c>
      <c r="B66" s="10" t="s">
        <v>499</v>
      </c>
      <c r="C66" s="10" t="s">
        <v>123</v>
      </c>
      <c r="D66" s="10" t="s">
        <v>348</v>
      </c>
    </row>
    <row r="67" spans="1:4" x14ac:dyDescent="0.3">
      <c r="A67" s="10" t="s">
        <v>500</v>
      </c>
      <c r="B67" s="10" t="s">
        <v>500</v>
      </c>
      <c r="C67" s="10" t="s">
        <v>123</v>
      </c>
      <c r="D67" s="10" t="s">
        <v>348</v>
      </c>
    </row>
    <row r="68" spans="1:4" x14ac:dyDescent="0.3">
      <c r="A68" s="10" t="s">
        <v>3427</v>
      </c>
      <c r="B68" s="10" t="s">
        <v>501</v>
      </c>
      <c r="C68" s="10" t="s">
        <v>123</v>
      </c>
      <c r="D68" s="10" t="s">
        <v>348</v>
      </c>
    </row>
    <row r="69" spans="1:4" x14ac:dyDescent="0.3">
      <c r="A69" s="10" t="s">
        <v>2588</v>
      </c>
      <c r="B69" s="10" t="s">
        <v>502</v>
      </c>
      <c r="C69" s="10" t="s">
        <v>123</v>
      </c>
      <c r="D69" s="10" t="s">
        <v>348</v>
      </c>
    </row>
    <row r="70" spans="1:4" x14ac:dyDescent="0.3">
      <c r="A70" s="10" t="s">
        <v>503</v>
      </c>
      <c r="B70" s="10" t="s">
        <v>503</v>
      </c>
      <c r="C70" s="10" t="s">
        <v>123</v>
      </c>
      <c r="D70" s="10" t="s">
        <v>348</v>
      </c>
    </row>
    <row r="71" spans="1:4" x14ac:dyDescent="0.3">
      <c r="A71" s="10" t="s">
        <v>3702</v>
      </c>
      <c r="B71" s="10" t="s">
        <v>504</v>
      </c>
      <c r="C71" s="10" t="s">
        <v>123</v>
      </c>
      <c r="D71" s="10" t="s">
        <v>348</v>
      </c>
    </row>
    <row r="72" spans="1:4" x14ac:dyDescent="0.3">
      <c r="A72" s="10" t="s">
        <v>505</v>
      </c>
      <c r="B72" s="10" t="s">
        <v>505</v>
      </c>
      <c r="C72" s="10" t="s">
        <v>123</v>
      </c>
      <c r="D72" s="10" t="s">
        <v>348</v>
      </c>
    </row>
    <row r="73" spans="1:4" x14ac:dyDescent="0.3">
      <c r="A73" s="10" t="s">
        <v>2329</v>
      </c>
      <c r="B73" s="10" t="s">
        <v>506</v>
      </c>
      <c r="C73" s="10" t="s">
        <v>123</v>
      </c>
      <c r="D73" s="10" t="s">
        <v>348</v>
      </c>
    </row>
    <row r="74" spans="1:4" x14ac:dyDescent="0.3">
      <c r="A74" s="10" t="s">
        <v>507</v>
      </c>
      <c r="B74" s="10" t="s">
        <v>507</v>
      </c>
      <c r="C74" s="10" t="s">
        <v>123</v>
      </c>
      <c r="D74" s="10" t="s">
        <v>348</v>
      </c>
    </row>
    <row r="75" spans="1:4" x14ac:dyDescent="0.3">
      <c r="A75" s="10" t="s">
        <v>2691</v>
      </c>
      <c r="B75" s="10" t="s">
        <v>508</v>
      </c>
      <c r="C75" s="10" t="s">
        <v>123</v>
      </c>
      <c r="D75" s="10" t="s">
        <v>348</v>
      </c>
    </row>
    <row r="76" spans="1:4" x14ac:dyDescent="0.3">
      <c r="A76" s="10" t="s">
        <v>3706</v>
      </c>
      <c r="B76" s="10" t="s">
        <v>359</v>
      </c>
      <c r="C76" s="10" t="s">
        <v>123</v>
      </c>
      <c r="D76" s="10" t="s">
        <v>348</v>
      </c>
    </row>
    <row r="77" spans="1:4" x14ac:dyDescent="0.3">
      <c r="A77" s="10" t="s">
        <v>3050</v>
      </c>
      <c r="B77" s="10" t="s">
        <v>509</v>
      </c>
      <c r="C77" s="10" t="s">
        <v>123</v>
      </c>
      <c r="D77" s="10" t="s">
        <v>348</v>
      </c>
    </row>
    <row r="78" spans="1:4" x14ac:dyDescent="0.3">
      <c r="A78" s="10" t="s">
        <v>2453</v>
      </c>
      <c r="B78" s="10" t="s">
        <v>359</v>
      </c>
      <c r="C78" s="10" t="s">
        <v>123</v>
      </c>
      <c r="D78" s="10" t="s">
        <v>348</v>
      </c>
    </row>
    <row r="79" spans="1:4" x14ac:dyDescent="0.3">
      <c r="A79" s="10" t="s">
        <v>2457</v>
      </c>
      <c r="B79" s="10" t="s">
        <v>359</v>
      </c>
      <c r="C79" s="10" t="s">
        <v>123</v>
      </c>
      <c r="D79" s="10" t="s">
        <v>348</v>
      </c>
    </row>
    <row r="80" spans="1:4" x14ac:dyDescent="0.3">
      <c r="A80" s="10" t="s">
        <v>3333</v>
      </c>
      <c r="B80" s="10" t="s">
        <v>359</v>
      </c>
      <c r="C80" s="10" t="s">
        <v>123</v>
      </c>
      <c r="D80" s="10" t="s">
        <v>348</v>
      </c>
    </row>
    <row r="81" spans="1:4" x14ac:dyDescent="0.3">
      <c r="A81" s="10" t="s">
        <v>510</v>
      </c>
      <c r="B81" s="10" t="s">
        <v>510</v>
      </c>
      <c r="C81" s="10" t="s">
        <v>123</v>
      </c>
      <c r="D81" s="10" t="s">
        <v>348</v>
      </c>
    </row>
    <row r="82" spans="1:4" x14ac:dyDescent="0.3">
      <c r="A82" s="10" t="s">
        <v>2784</v>
      </c>
      <c r="B82" s="10" t="s">
        <v>594</v>
      </c>
      <c r="C82" s="10" t="s">
        <v>123</v>
      </c>
      <c r="D82" s="10" t="s">
        <v>348</v>
      </c>
    </row>
    <row r="83" spans="1:4" x14ac:dyDescent="0.3">
      <c r="A83" s="10" t="s">
        <v>511</v>
      </c>
      <c r="B83" s="10" t="s">
        <v>511</v>
      </c>
      <c r="C83" s="10" t="s">
        <v>123</v>
      </c>
      <c r="D83" s="10" t="s">
        <v>348</v>
      </c>
    </row>
    <row r="84" spans="1:4" x14ac:dyDescent="0.3">
      <c r="A84" s="10" t="s">
        <v>512</v>
      </c>
      <c r="B84" s="10" t="s">
        <v>512</v>
      </c>
      <c r="C84" s="10" t="s">
        <v>123</v>
      </c>
      <c r="D84" s="10" t="s">
        <v>348</v>
      </c>
    </row>
    <row r="85" spans="1:4" x14ac:dyDescent="0.3">
      <c r="A85" s="10" t="s">
        <v>513</v>
      </c>
      <c r="B85" s="10" t="s">
        <v>513</v>
      </c>
      <c r="C85" s="10" t="s">
        <v>123</v>
      </c>
      <c r="D85" s="10" t="s">
        <v>348</v>
      </c>
    </row>
    <row r="86" spans="1:4" x14ac:dyDescent="0.3">
      <c r="A86" s="10" t="s">
        <v>2859</v>
      </c>
      <c r="B86" s="10" t="s">
        <v>493</v>
      </c>
      <c r="C86" s="10" t="s">
        <v>123</v>
      </c>
      <c r="D86" s="10" t="s">
        <v>348</v>
      </c>
    </row>
    <row r="87" spans="1:4" x14ac:dyDescent="0.3">
      <c r="A87" s="10" t="s">
        <v>3769</v>
      </c>
      <c r="B87" s="10" t="s">
        <v>514</v>
      </c>
      <c r="C87" s="10" t="s">
        <v>123</v>
      </c>
      <c r="D87" s="10" t="s">
        <v>366</v>
      </c>
    </row>
    <row r="88" spans="1:4" x14ac:dyDescent="0.3">
      <c r="A88" s="10" t="s">
        <v>2318</v>
      </c>
      <c r="B88" s="10" t="s">
        <v>362</v>
      </c>
      <c r="C88" s="10" t="s">
        <v>123</v>
      </c>
      <c r="D88" s="10" t="s">
        <v>366</v>
      </c>
    </row>
    <row r="89" spans="1:4" x14ac:dyDescent="0.3">
      <c r="A89" s="10" t="s">
        <v>3279</v>
      </c>
      <c r="B89" s="10" t="s">
        <v>398</v>
      </c>
      <c r="C89" s="10" t="s">
        <v>123</v>
      </c>
      <c r="D89" s="10" t="s">
        <v>294</v>
      </c>
    </row>
    <row r="90" spans="1:4" x14ac:dyDescent="0.3">
      <c r="A90" s="10" t="s">
        <v>3795</v>
      </c>
      <c r="B90" s="10" t="s">
        <v>518</v>
      </c>
      <c r="C90" s="10" t="s">
        <v>123</v>
      </c>
      <c r="D90" s="10" t="s">
        <v>348</v>
      </c>
    </row>
    <row r="91" spans="1:4" x14ac:dyDescent="0.3">
      <c r="A91" s="10" t="s">
        <v>3844</v>
      </c>
      <c r="B91" s="10" t="s">
        <v>498</v>
      </c>
      <c r="C91" s="10" t="s">
        <v>123</v>
      </c>
      <c r="D91" s="10" t="s">
        <v>348</v>
      </c>
    </row>
    <row r="92" spans="1:4" x14ac:dyDescent="0.3">
      <c r="A92" s="10" t="s">
        <v>2120</v>
      </c>
      <c r="B92" s="10" t="s">
        <v>519</v>
      </c>
      <c r="C92" s="10" t="s">
        <v>123</v>
      </c>
      <c r="D92" s="10" t="s">
        <v>366</v>
      </c>
    </row>
    <row r="93" spans="1:4" x14ac:dyDescent="0.3">
      <c r="A93" s="10" t="s">
        <v>3022</v>
      </c>
      <c r="B93" s="10" t="s">
        <v>520</v>
      </c>
      <c r="C93" s="10" t="s">
        <v>123</v>
      </c>
      <c r="D93" s="10" t="s">
        <v>366</v>
      </c>
    </row>
    <row r="94" spans="1:4" x14ac:dyDescent="0.3">
      <c r="A94" s="10" t="s">
        <v>3594</v>
      </c>
      <c r="B94" s="10" t="s">
        <v>521</v>
      </c>
      <c r="C94" s="10" t="s">
        <v>123</v>
      </c>
      <c r="D94" s="10" t="s">
        <v>348</v>
      </c>
    </row>
    <row r="95" spans="1:4" x14ac:dyDescent="0.3">
      <c r="A95" s="10" t="s">
        <v>522</v>
      </c>
      <c r="B95" s="10" t="s">
        <v>522</v>
      </c>
      <c r="C95" s="10" t="s">
        <v>123</v>
      </c>
      <c r="D95" s="10" t="s">
        <v>348</v>
      </c>
    </row>
    <row r="96" spans="1:4" x14ac:dyDescent="0.3">
      <c r="A96" s="10" t="s">
        <v>3840</v>
      </c>
      <c r="B96" s="10" t="s">
        <v>523</v>
      </c>
      <c r="C96" s="10" t="s">
        <v>123</v>
      </c>
      <c r="D96" s="10" t="s">
        <v>348</v>
      </c>
    </row>
    <row r="97" spans="1:4" x14ac:dyDescent="0.3">
      <c r="A97" s="10" t="s">
        <v>3122</v>
      </c>
      <c r="B97" s="10" t="s">
        <v>299</v>
      </c>
      <c r="C97" s="10" t="s">
        <v>119</v>
      </c>
      <c r="D97" s="10" t="s">
        <v>273</v>
      </c>
    </row>
    <row r="98" spans="1:4" x14ac:dyDescent="0.3">
      <c r="A98" s="10" t="s">
        <v>3118</v>
      </c>
      <c r="B98" s="10" t="s">
        <v>299</v>
      </c>
      <c r="C98" s="10" t="s">
        <v>119</v>
      </c>
      <c r="D98" s="10" t="s">
        <v>273</v>
      </c>
    </row>
    <row r="99" spans="1:4" x14ac:dyDescent="0.3">
      <c r="A99" s="10" t="s">
        <v>403</v>
      </c>
      <c r="B99" s="10" t="s">
        <v>403</v>
      </c>
      <c r="C99" s="10" t="s">
        <v>123</v>
      </c>
      <c r="D99" s="10" t="s">
        <v>348</v>
      </c>
    </row>
    <row r="100" spans="1:4" x14ac:dyDescent="0.3">
      <c r="A100" s="10" t="s">
        <v>3195</v>
      </c>
      <c r="B100" s="10" t="s">
        <v>524</v>
      </c>
      <c r="C100" s="10" t="s">
        <v>123</v>
      </c>
      <c r="D100" s="10" t="s">
        <v>366</v>
      </c>
    </row>
    <row r="101" spans="1:4" x14ac:dyDescent="0.3">
      <c r="A101" s="10" t="s">
        <v>3569</v>
      </c>
      <c r="B101" s="10" t="s">
        <v>525</v>
      </c>
      <c r="C101" s="10" t="s">
        <v>123</v>
      </c>
      <c r="D101" s="10" t="s">
        <v>348</v>
      </c>
    </row>
    <row r="102" spans="1:4" x14ac:dyDescent="0.3">
      <c r="A102" s="10" t="s">
        <v>3525</v>
      </c>
      <c r="B102" s="10" t="s">
        <v>405</v>
      </c>
      <c r="C102" s="10" t="s">
        <v>123</v>
      </c>
      <c r="D102" s="10" t="s">
        <v>348</v>
      </c>
    </row>
    <row r="103" spans="1:4" x14ac:dyDescent="0.3">
      <c r="A103" s="10" t="s">
        <v>3129</v>
      </c>
      <c r="B103" s="10" t="s">
        <v>405</v>
      </c>
      <c r="C103" s="10" t="s">
        <v>123</v>
      </c>
      <c r="D103" s="10" t="s">
        <v>348</v>
      </c>
    </row>
    <row r="104" spans="1:4" x14ac:dyDescent="0.3">
      <c r="A104" s="10" t="s">
        <v>3453</v>
      </c>
      <c r="B104" s="10" t="s">
        <v>530</v>
      </c>
      <c r="C104" s="10" t="s">
        <v>123</v>
      </c>
      <c r="D104" s="10" t="s">
        <v>348</v>
      </c>
    </row>
    <row r="105" spans="1:4" x14ac:dyDescent="0.3">
      <c r="A105" s="10" t="s">
        <v>531</v>
      </c>
      <c r="B105" s="10" t="s">
        <v>531</v>
      </c>
      <c r="C105" s="10" t="s">
        <v>123</v>
      </c>
      <c r="D105" s="10" t="s">
        <v>532</v>
      </c>
    </row>
    <row r="106" spans="1:4" x14ac:dyDescent="0.3">
      <c r="A106" s="10" t="s">
        <v>3017</v>
      </c>
      <c r="B106" s="10" t="s">
        <v>533</v>
      </c>
      <c r="C106" s="10" t="s">
        <v>123</v>
      </c>
      <c r="D106" s="10" t="s">
        <v>348</v>
      </c>
    </row>
    <row r="107" spans="1:4" x14ac:dyDescent="0.3">
      <c r="A107" s="10" t="s">
        <v>1139</v>
      </c>
      <c r="B107" s="10" t="s">
        <v>724</v>
      </c>
      <c r="C107" s="10" t="s">
        <v>123</v>
      </c>
      <c r="D107" s="10" t="s">
        <v>348</v>
      </c>
    </row>
    <row r="108" spans="1:4" x14ac:dyDescent="0.3">
      <c r="A108" s="10" t="s">
        <v>2230</v>
      </c>
      <c r="B108" s="10" t="s">
        <v>725</v>
      </c>
      <c r="C108" s="10" t="s">
        <v>123</v>
      </c>
      <c r="D108" s="10" t="s">
        <v>348</v>
      </c>
    </row>
    <row r="109" spans="1:4" x14ac:dyDescent="0.3">
      <c r="A109" s="10" t="s">
        <v>3309</v>
      </c>
      <c r="B109" s="10" t="s">
        <v>404</v>
      </c>
      <c r="C109" s="10" t="s">
        <v>123</v>
      </c>
      <c r="D109" s="10" t="s">
        <v>348</v>
      </c>
    </row>
    <row r="110" spans="1:4" x14ac:dyDescent="0.3">
      <c r="A110" s="10" t="s">
        <v>3313</v>
      </c>
      <c r="B110" s="10" t="s">
        <v>404</v>
      </c>
      <c r="C110" s="10" t="s">
        <v>123</v>
      </c>
      <c r="D110" s="10" t="s">
        <v>348</v>
      </c>
    </row>
    <row r="111" spans="1:4" x14ac:dyDescent="0.3">
      <c r="A111" s="10" t="s">
        <v>3457</v>
      </c>
      <c r="B111" s="10" t="s">
        <v>534</v>
      </c>
      <c r="C111" s="10" t="s">
        <v>123</v>
      </c>
      <c r="D111" s="10" t="s">
        <v>348</v>
      </c>
    </row>
    <row r="112" spans="1:4" x14ac:dyDescent="0.3">
      <c r="A112" s="10" t="s">
        <v>526</v>
      </c>
      <c r="B112" s="10" t="s">
        <v>526</v>
      </c>
      <c r="C112" s="10" t="s">
        <v>123</v>
      </c>
      <c r="D112" s="10" t="s">
        <v>348</v>
      </c>
    </row>
    <row r="113" spans="1:4" x14ac:dyDescent="0.3">
      <c r="A113" s="10" t="s">
        <v>3529</v>
      </c>
      <c r="B113" s="10" t="s">
        <v>406</v>
      </c>
      <c r="C113" s="10" t="s">
        <v>123</v>
      </c>
      <c r="D113" s="10" t="s">
        <v>348</v>
      </c>
    </row>
    <row r="114" spans="1:4" x14ac:dyDescent="0.3">
      <c r="A114" s="10" t="s">
        <v>2184</v>
      </c>
      <c r="B114" s="10" t="s">
        <v>376</v>
      </c>
      <c r="C114" s="10" t="s">
        <v>123</v>
      </c>
      <c r="D114" s="10" t="s">
        <v>348</v>
      </c>
    </row>
    <row r="115" spans="1:4" x14ac:dyDescent="0.3">
      <c r="A115" s="10" t="s">
        <v>2010</v>
      </c>
      <c r="B115" s="10" t="s">
        <v>535</v>
      </c>
      <c r="C115" s="10" t="s">
        <v>123</v>
      </c>
      <c r="D115" s="10" t="s">
        <v>348</v>
      </c>
    </row>
    <row r="116" spans="1:4" x14ac:dyDescent="0.3">
      <c r="A116" s="10" t="s">
        <v>3006</v>
      </c>
      <c r="B116" s="10" t="s">
        <v>527</v>
      </c>
      <c r="C116" s="10" t="s">
        <v>123</v>
      </c>
      <c r="D116" s="10" t="s">
        <v>366</v>
      </c>
    </row>
    <row r="117" spans="1:4" x14ac:dyDescent="0.3">
      <c r="A117" s="10" t="s">
        <v>3288</v>
      </c>
      <c r="B117" s="10" t="s">
        <v>536</v>
      </c>
      <c r="C117" s="10" t="s">
        <v>123</v>
      </c>
      <c r="D117" s="10" t="s">
        <v>348</v>
      </c>
    </row>
    <row r="118" spans="1:4" x14ac:dyDescent="0.3">
      <c r="A118" s="10" t="s">
        <v>3813</v>
      </c>
      <c r="B118" s="10" t="s">
        <v>537</v>
      </c>
      <c r="C118" s="10" t="s">
        <v>123</v>
      </c>
      <c r="D118" s="10" t="s">
        <v>348</v>
      </c>
    </row>
    <row r="119" spans="1:4" x14ac:dyDescent="0.3">
      <c r="A119" s="10" t="s">
        <v>407</v>
      </c>
      <c r="B119" s="10" t="s">
        <v>407</v>
      </c>
      <c r="C119" s="10" t="s">
        <v>123</v>
      </c>
      <c r="D119" s="10" t="s">
        <v>348</v>
      </c>
    </row>
    <row r="120" spans="1:4" x14ac:dyDescent="0.3">
      <c r="A120" s="10" t="s">
        <v>2750</v>
      </c>
      <c r="B120" s="10" t="s">
        <v>538</v>
      </c>
      <c r="C120" s="10" t="s">
        <v>123</v>
      </c>
      <c r="D120" s="10" t="s">
        <v>294</v>
      </c>
    </row>
    <row r="121" spans="1:4" x14ac:dyDescent="0.3">
      <c r="A121" s="10" t="s">
        <v>2035</v>
      </c>
      <c r="B121" s="10" t="s">
        <v>543</v>
      </c>
      <c r="C121" s="10" t="s">
        <v>123</v>
      </c>
      <c r="D121" s="10" t="s">
        <v>348</v>
      </c>
    </row>
    <row r="122" spans="1:4" x14ac:dyDescent="0.3">
      <c r="A122" s="10" t="s">
        <v>2560</v>
      </c>
      <c r="B122" s="10" t="s">
        <v>262</v>
      </c>
      <c r="C122" s="10" t="s">
        <v>115</v>
      </c>
      <c r="D122" s="10" t="s">
        <v>249</v>
      </c>
    </row>
    <row r="123" spans="1:4" x14ac:dyDescent="0.3">
      <c r="A123" s="10" t="s">
        <v>2544</v>
      </c>
      <c r="B123" s="10" t="s">
        <v>377</v>
      </c>
      <c r="C123" s="10" t="s">
        <v>123</v>
      </c>
      <c r="D123" s="10" t="s">
        <v>348</v>
      </c>
    </row>
    <row r="124" spans="1:4" x14ac:dyDescent="0.3">
      <c r="A124" s="10" t="s">
        <v>377</v>
      </c>
      <c r="B124" s="10" t="s">
        <v>377</v>
      </c>
      <c r="C124" s="10" t="s">
        <v>123</v>
      </c>
      <c r="D124" s="10" t="s">
        <v>348</v>
      </c>
    </row>
    <row r="125" spans="1:4" x14ac:dyDescent="0.3">
      <c r="A125" s="10" t="s">
        <v>3915</v>
      </c>
      <c r="B125" s="10" t="s">
        <v>544</v>
      </c>
      <c r="C125" s="10" t="s">
        <v>123</v>
      </c>
      <c r="D125" s="10" t="s">
        <v>348</v>
      </c>
    </row>
    <row r="126" spans="1:4" x14ac:dyDescent="0.3">
      <c r="A126" s="10" t="s">
        <v>545</v>
      </c>
      <c r="B126" s="10" t="s">
        <v>545</v>
      </c>
      <c r="C126" s="10" t="s">
        <v>123</v>
      </c>
      <c r="D126" s="10" t="s">
        <v>348</v>
      </c>
    </row>
    <row r="127" spans="1:4" x14ac:dyDescent="0.3">
      <c r="A127" s="10" t="s">
        <v>546</v>
      </c>
      <c r="B127" s="10" t="s">
        <v>546</v>
      </c>
      <c r="C127" s="10" t="s">
        <v>123</v>
      </c>
      <c r="D127" s="10" t="s">
        <v>348</v>
      </c>
    </row>
    <row r="128" spans="1:4" x14ac:dyDescent="0.3">
      <c r="A128" s="10" t="s">
        <v>3473</v>
      </c>
      <c r="B128" s="10" t="s">
        <v>547</v>
      </c>
      <c r="C128" s="10" t="s">
        <v>123</v>
      </c>
      <c r="D128" s="10" t="s">
        <v>366</v>
      </c>
    </row>
    <row r="129" spans="1:4" x14ac:dyDescent="0.3">
      <c r="A129" s="10" t="s">
        <v>552</v>
      </c>
      <c r="B129" s="10" t="s">
        <v>552</v>
      </c>
      <c r="C129" s="10" t="s">
        <v>123</v>
      </c>
      <c r="D129" s="10" t="s">
        <v>348</v>
      </c>
    </row>
    <row r="130" spans="1:4" x14ac:dyDescent="0.3">
      <c r="A130" s="10" t="s">
        <v>553</v>
      </c>
      <c r="B130" s="10" t="s">
        <v>553</v>
      </c>
      <c r="C130" s="10" t="s">
        <v>123</v>
      </c>
      <c r="D130" s="10" t="s">
        <v>348</v>
      </c>
    </row>
    <row r="131" spans="1:4" x14ac:dyDescent="0.3">
      <c r="A131" s="10" t="s">
        <v>3893</v>
      </c>
      <c r="B131" s="10" t="s">
        <v>554</v>
      </c>
      <c r="C131" s="10" t="s">
        <v>123</v>
      </c>
      <c r="D131" s="10" t="s">
        <v>348</v>
      </c>
    </row>
    <row r="132" spans="1:4" x14ac:dyDescent="0.3">
      <c r="A132" s="10" t="s">
        <v>2428</v>
      </c>
      <c r="B132" s="10" t="s">
        <v>2428</v>
      </c>
      <c r="C132" s="10" t="s">
        <v>123</v>
      </c>
      <c r="D132" s="10" t="s">
        <v>348</v>
      </c>
    </row>
    <row r="133" spans="1:4" x14ac:dyDescent="0.3">
      <c r="A133" s="10" t="s">
        <v>555</v>
      </c>
      <c r="B133" s="10" t="s">
        <v>555</v>
      </c>
      <c r="C133" s="10" t="s">
        <v>123</v>
      </c>
      <c r="D133" s="10" t="s">
        <v>366</v>
      </c>
    </row>
    <row r="134" spans="1:4" x14ac:dyDescent="0.3">
      <c r="A134" s="10" t="s">
        <v>368</v>
      </c>
      <c r="B134" s="10" t="s">
        <v>368</v>
      </c>
      <c r="C134" s="10" t="s">
        <v>123</v>
      </c>
      <c r="D134" s="10" t="s">
        <v>348</v>
      </c>
    </row>
    <row r="135" spans="1:4" x14ac:dyDescent="0.3">
      <c r="A135" s="10" t="s">
        <v>556</v>
      </c>
      <c r="B135" s="10" t="s">
        <v>556</v>
      </c>
      <c r="C135" s="10" t="s">
        <v>123</v>
      </c>
      <c r="D135" s="10" t="s">
        <v>348</v>
      </c>
    </row>
    <row r="136" spans="1:4" x14ac:dyDescent="0.3">
      <c r="A136" s="10" t="s">
        <v>557</v>
      </c>
      <c r="B136" s="10" t="s">
        <v>557</v>
      </c>
      <c r="C136" s="10" t="s">
        <v>123</v>
      </c>
      <c r="D136" s="10" t="s">
        <v>348</v>
      </c>
    </row>
    <row r="137" spans="1:4" x14ac:dyDescent="0.3">
      <c r="A137" s="10" t="s">
        <v>2031</v>
      </c>
      <c r="B137" s="10" t="s">
        <v>558</v>
      </c>
      <c r="C137" s="10" t="s">
        <v>123</v>
      </c>
      <c r="D137" s="10" t="s">
        <v>348</v>
      </c>
    </row>
    <row r="138" spans="1:4" x14ac:dyDescent="0.3">
      <c r="A138" s="10" t="s">
        <v>570</v>
      </c>
      <c r="B138" s="10" t="s">
        <v>570</v>
      </c>
      <c r="C138" s="10" t="s">
        <v>123</v>
      </c>
      <c r="D138" s="10" t="s">
        <v>348</v>
      </c>
    </row>
    <row r="139" spans="1:4" x14ac:dyDescent="0.3">
      <c r="A139" s="10" t="s">
        <v>3776</v>
      </c>
      <c r="B139" s="10" t="s">
        <v>571</v>
      </c>
      <c r="C139" s="10" t="s">
        <v>123</v>
      </c>
      <c r="D139" s="10" t="s">
        <v>348</v>
      </c>
    </row>
    <row r="140" spans="1:4" x14ac:dyDescent="0.3">
      <c r="A140" s="10" t="s">
        <v>2109</v>
      </c>
      <c r="B140" s="10" t="s">
        <v>572</v>
      </c>
      <c r="C140" s="10" t="s">
        <v>123</v>
      </c>
      <c r="D140" s="10" t="s">
        <v>348</v>
      </c>
    </row>
    <row r="141" spans="1:4" x14ac:dyDescent="0.3">
      <c r="A141" s="10" t="s">
        <v>3147</v>
      </c>
      <c r="B141" s="10" t="s">
        <v>266</v>
      </c>
      <c r="C141" s="10" t="s">
        <v>115</v>
      </c>
      <c r="D141" s="10" t="s">
        <v>249</v>
      </c>
    </row>
    <row r="142" spans="1:4" x14ac:dyDescent="0.3">
      <c r="A142" s="10" t="s">
        <v>564</v>
      </c>
      <c r="B142" s="10" t="s">
        <v>564</v>
      </c>
      <c r="C142" s="10" t="s">
        <v>123</v>
      </c>
      <c r="D142" s="10" t="s">
        <v>348</v>
      </c>
    </row>
    <row r="143" spans="1:4" x14ac:dyDescent="0.3">
      <c r="A143" s="10" t="s">
        <v>2105</v>
      </c>
      <c r="B143" s="10" t="s">
        <v>269</v>
      </c>
      <c r="C143" s="10" t="s">
        <v>115</v>
      </c>
      <c r="D143" s="10" t="s">
        <v>249</v>
      </c>
    </row>
    <row r="144" spans="1:4" x14ac:dyDescent="0.3">
      <c r="A144" s="10" t="s">
        <v>573</v>
      </c>
      <c r="B144" s="10" t="s">
        <v>573</v>
      </c>
      <c r="C144" s="10" t="s">
        <v>123</v>
      </c>
      <c r="D144" s="10" t="s">
        <v>348</v>
      </c>
    </row>
    <row r="145" spans="1:4" x14ac:dyDescent="0.3">
      <c r="A145" s="10" t="s">
        <v>2978</v>
      </c>
      <c r="B145" s="10" t="s">
        <v>771</v>
      </c>
      <c r="C145" s="10" t="s">
        <v>123</v>
      </c>
      <c r="D145" s="10" t="s">
        <v>348</v>
      </c>
    </row>
    <row r="146" spans="1:4" x14ac:dyDescent="0.3">
      <c r="A146" s="10" t="s">
        <v>408</v>
      </c>
      <c r="B146" s="10" t="s">
        <v>408</v>
      </c>
      <c r="C146" s="10" t="s">
        <v>123</v>
      </c>
      <c r="D146" s="10" t="s">
        <v>348</v>
      </c>
    </row>
    <row r="147" spans="1:4" x14ac:dyDescent="0.3">
      <c r="A147" s="10" t="s">
        <v>2569</v>
      </c>
      <c r="B147" s="10" t="s">
        <v>408</v>
      </c>
      <c r="C147" s="10" t="s">
        <v>123</v>
      </c>
      <c r="D147" s="10" t="s">
        <v>348</v>
      </c>
    </row>
    <row r="148" spans="1:4" x14ac:dyDescent="0.3">
      <c r="A148" s="10" t="s">
        <v>3624</v>
      </c>
      <c r="B148" s="10" t="s">
        <v>574</v>
      </c>
      <c r="C148" s="10" t="s">
        <v>123</v>
      </c>
      <c r="D148" s="10" t="s">
        <v>348</v>
      </c>
    </row>
    <row r="149" spans="1:4" x14ac:dyDescent="0.3">
      <c r="A149" s="10" t="s">
        <v>575</v>
      </c>
      <c r="B149" s="10" t="s">
        <v>575</v>
      </c>
      <c r="C149" s="10" t="s">
        <v>123</v>
      </c>
      <c r="D149" s="10" t="s">
        <v>348</v>
      </c>
    </row>
    <row r="150" spans="1:4" x14ac:dyDescent="0.3">
      <c r="A150" s="10" t="s">
        <v>3712</v>
      </c>
      <c r="B150" s="10" t="s">
        <v>565</v>
      </c>
      <c r="C150" s="10" t="s">
        <v>123</v>
      </c>
      <c r="D150" s="10" t="s">
        <v>366</v>
      </c>
    </row>
    <row r="151" spans="1:4" x14ac:dyDescent="0.3">
      <c r="A151" s="10" t="s">
        <v>2592</v>
      </c>
      <c r="B151" s="10" t="s">
        <v>271</v>
      </c>
      <c r="C151" s="10" t="s">
        <v>115</v>
      </c>
      <c r="D151" s="10" t="s">
        <v>273</v>
      </c>
    </row>
    <row r="152" spans="1:4" x14ac:dyDescent="0.3">
      <c r="A152" s="10" t="s">
        <v>2788</v>
      </c>
      <c r="B152" s="10" t="s">
        <v>369</v>
      </c>
      <c r="C152" s="10" t="s">
        <v>123</v>
      </c>
      <c r="D152" s="10" t="s">
        <v>348</v>
      </c>
    </row>
    <row r="153" spans="1:4" x14ac:dyDescent="0.3">
      <c r="A153" s="10" t="s">
        <v>2796</v>
      </c>
      <c r="B153" s="10" t="s">
        <v>360</v>
      </c>
      <c r="C153" s="10" t="s">
        <v>123</v>
      </c>
      <c r="D153" s="10" t="s">
        <v>294</v>
      </c>
    </row>
    <row r="154" spans="1:4" x14ac:dyDescent="0.3">
      <c r="A154" s="10" t="s">
        <v>576</v>
      </c>
      <c r="B154" s="10" t="s">
        <v>576</v>
      </c>
      <c r="C154" s="10" t="s">
        <v>123</v>
      </c>
      <c r="D154" s="10" t="s">
        <v>348</v>
      </c>
    </row>
    <row r="155" spans="1:4" x14ac:dyDescent="0.3">
      <c r="A155" s="10" t="s">
        <v>369</v>
      </c>
      <c r="B155" s="10" t="s">
        <v>369</v>
      </c>
      <c r="C155" s="10" t="s">
        <v>123</v>
      </c>
      <c r="D155" s="10" t="s">
        <v>348</v>
      </c>
    </row>
    <row r="156" spans="1:4" x14ac:dyDescent="0.3">
      <c r="A156" s="10" t="s">
        <v>2624</v>
      </c>
      <c r="B156" s="10" t="s">
        <v>360</v>
      </c>
      <c r="C156" s="10" t="s">
        <v>123</v>
      </c>
      <c r="D156" s="10" t="s">
        <v>348</v>
      </c>
    </row>
    <row r="157" spans="1:4" x14ac:dyDescent="0.3">
      <c r="A157" s="10" t="s">
        <v>3013</v>
      </c>
      <c r="B157" s="10" t="s">
        <v>360</v>
      </c>
      <c r="C157" s="10" t="s">
        <v>123</v>
      </c>
      <c r="D157" s="10" t="s">
        <v>348</v>
      </c>
    </row>
    <row r="158" spans="1:4" x14ac:dyDescent="0.3">
      <c r="A158" s="10" t="s">
        <v>2658</v>
      </c>
      <c r="B158" s="10" t="s">
        <v>378</v>
      </c>
      <c r="C158" s="10" t="s">
        <v>123</v>
      </c>
      <c r="D158" s="10" t="s">
        <v>348</v>
      </c>
    </row>
    <row r="159" spans="1:4" x14ac:dyDescent="0.3">
      <c r="A159" s="10" t="s">
        <v>378</v>
      </c>
      <c r="B159" s="10" t="s">
        <v>378</v>
      </c>
      <c r="C159" s="10" t="s">
        <v>123</v>
      </c>
      <c r="D159" s="10" t="s">
        <v>348</v>
      </c>
    </row>
    <row r="160" spans="1:4" x14ac:dyDescent="0.3">
      <c r="A160" s="10" t="s">
        <v>3634</v>
      </c>
      <c r="B160" s="10" t="s">
        <v>378</v>
      </c>
      <c r="C160" s="10" t="s">
        <v>123</v>
      </c>
      <c r="D160" s="10" t="s">
        <v>348</v>
      </c>
    </row>
    <row r="161" spans="1:4" x14ac:dyDescent="0.3">
      <c r="A161" s="10" t="s">
        <v>577</v>
      </c>
      <c r="B161" s="10" t="s">
        <v>577</v>
      </c>
      <c r="C161" s="10" t="s">
        <v>123</v>
      </c>
      <c r="D161" s="10" t="s">
        <v>348</v>
      </c>
    </row>
    <row r="162" spans="1:4" x14ac:dyDescent="0.3">
      <c r="A162" s="10" t="s">
        <v>3651</v>
      </c>
      <c r="B162" s="10" t="s">
        <v>578</v>
      </c>
      <c r="C162" s="10" t="s">
        <v>123</v>
      </c>
      <c r="D162" s="10" t="s">
        <v>366</v>
      </c>
    </row>
    <row r="163" spans="1:4" x14ac:dyDescent="0.3">
      <c r="A163" s="10" t="s">
        <v>3272</v>
      </c>
      <c r="B163" s="10" t="s">
        <v>583</v>
      </c>
      <c r="C163" s="10" t="s">
        <v>123</v>
      </c>
      <c r="D163" s="10" t="s">
        <v>348</v>
      </c>
    </row>
    <row r="164" spans="1:4" x14ac:dyDescent="0.3">
      <c r="A164" s="10" t="s">
        <v>3728</v>
      </c>
      <c r="B164" s="10" t="s">
        <v>3728</v>
      </c>
      <c r="C164" s="10" t="s">
        <v>123</v>
      </c>
      <c r="D164" s="10" t="s">
        <v>348</v>
      </c>
    </row>
    <row r="165" spans="1:4" x14ac:dyDescent="0.3">
      <c r="A165" s="10" t="s">
        <v>3065</v>
      </c>
      <c r="B165" s="10" t="s">
        <v>379</v>
      </c>
      <c r="C165" s="10" t="s">
        <v>123</v>
      </c>
      <c r="D165" s="10" t="s">
        <v>294</v>
      </c>
    </row>
    <row r="166" spans="1:4" x14ac:dyDescent="0.3">
      <c r="A166" s="10" t="s">
        <v>409</v>
      </c>
      <c r="B166" s="10" t="s">
        <v>409</v>
      </c>
      <c r="C166" s="10" t="s">
        <v>123</v>
      </c>
      <c r="D166" s="10" t="s">
        <v>348</v>
      </c>
    </row>
    <row r="167" spans="1:4" x14ac:dyDescent="0.3">
      <c r="A167" s="10" t="s">
        <v>2464</v>
      </c>
      <c r="B167" s="10" t="s">
        <v>584</v>
      </c>
      <c r="C167" s="10" t="s">
        <v>123</v>
      </c>
      <c r="D167" s="10" t="s">
        <v>348</v>
      </c>
    </row>
    <row r="168" spans="1:4" x14ac:dyDescent="0.3">
      <c r="A168" s="10" t="s">
        <v>3189</v>
      </c>
      <c r="B168" s="10" t="s">
        <v>410</v>
      </c>
      <c r="C168" s="10" t="s">
        <v>123</v>
      </c>
      <c r="D168" s="10" t="s">
        <v>273</v>
      </c>
    </row>
    <row r="169" spans="1:4" x14ac:dyDescent="0.3">
      <c r="A169" s="10" t="s">
        <v>585</v>
      </c>
      <c r="B169" s="10" t="s">
        <v>585</v>
      </c>
      <c r="C169" s="10" t="s">
        <v>123</v>
      </c>
      <c r="D169" s="10" t="s">
        <v>348</v>
      </c>
    </row>
    <row r="170" spans="1:4" x14ac:dyDescent="0.3">
      <c r="A170" s="10" t="s">
        <v>2404</v>
      </c>
      <c r="B170" s="10" t="s">
        <v>586</v>
      </c>
      <c r="C170" s="10" t="s">
        <v>123</v>
      </c>
      <c r="D170" s="10" t="s">
        <v>348</v>
      </c>
    </row>
    <row r="171" spans="1:4" x14ac:dyDescent="0.3">
      <c r="A171" s="10" t="s">
        <v>2287</v>
      </c>
      <c r="B171" s="10" t="s">
        <v>589</v>
      </c>
      <c r="C171" s="10" t="s">
        <v>123</v>
      </c>
      <c r="D171" s="10" t="s">
        <v>348</v>
      </c>
    </row>
    <row r="172" spans="1:4" x14ac:dyDescent="0.3">
      <c r="A172" s="10" t="s">
        <v>3171</v>
      </c>
      <c r="B172" s="10" t="s">
        <v>587</v>
      </c>
      <c r="C172" s="10" t="s">
        <v>123</v>
      </c>
      <c r="D172" s="10" t="s">
        <v>348</v>
      </c>
    </row>
    <row r="173" spans="1:4" x14ac:dyDescent="0.3">
      <c r="A173" s="10" t="s">
        <v>274</v>
      </c>
      <c r="B173" s="10" t="s">
        <v>274</v>
      </c>
      <c r="C173" s="10" t="s">
        <v>115</v>
      </c>
      <c r="D173" s="10" t="s">
        <v>249</v>
      </c>
    </row>
    <row r="174" spans="1:4" x14ac:dyDescent="0.3">
      <c r="A174" s="10" t="s">
        <v>3167</v>
      </c>
      <c r="B174" s="10" t="s">
        <v>587</v>
      </c>
      <c r="C174" s="10" t="s">
        <v>123</v>
      </c>
      <c r="D174" s="10" t="s">
        <v>348</v>
      </c>
    </row>
    <row r="175" spans="1:4" x14ac:dyDescent="0.3">
      <c r="A175" s="10" t="s">
        <v>2241</v>
      </c>
      <c r="B175" s="10" t="s">
        <v>590</v>
      </c>
      <c r="C175" s="10" t="s">
        <v>123</v>
      </c>
      <c r="D175" s="10" t="s">
        <v>366</v>
      </c>
    </row>
    <row r="176" spans="1:4" x14ac:dyDescent="0.3">
      <c r="A176" s="10" t="s">
        <v>591</v>
      </c>
      <c r="B176" s="10" t="s">
        <v>591</v>
      </c>
      <c r="C176" s="10" t="s">
        <v>123</v>
      </c>
      <c r="D176" s="10" t="s">
        <v>348</v>
      </c>
    </row>
    <row r="177" spans="1:4" x14ac:dyDescent="0.3">
      <c r="A177" s="10" t="s">
        <v>593</v>
      </c>
      <c r="B177" s="10" t="s">
        <v>593</v>
      </c>
      <c r="C177" s="10" t="s">
        <v>123</v>
      </c>
      <c r="D177" s="10" t="s">
        <v>348</v>
      </c>
    </row>
    <row r="178" spans="1:4" x14ac:dyDescent="0.3">
      <c r="A178" s="10" t="s">
        <v>2698</v>
      </c>
      <c r="B178" s="10" t="s">
        <v>642</v>
      </c>
      <c r="C178" s="10" t="s">
        <v>123</v>
      </c>
      <c r="D178" s="10" t="s">
        <v>366</v>
      </c>
    </row>
    <row r="179" spans="1:4" x14ac:dyDescent="0.3">
      <c r="A179" s="10" t="s">
        <v>2391</v>
      </c>
      <c r="B179" s="10" t="s">
        <v>415</v>
      </c>
      <c r="C179" s="10" t="s">
        <v>123</v>
      </c>
      <c r="D179" s="10" t="s">
        <v>366</v>
      </c>
    </row>
    <row r="180" spans="1:4" x14ac:dyDescent="0.3">
      <c r="A180" s="10" t="s">
        <v>2982</v>
      </c>
      <c r="B180" s="10" t="s">
        <v>419</v>
      </c>
      <c r="C180" s="10" t="s">
        <v>123</v>
      </c>
      <c r="D180" s="10" t="s">
        <v>348</v>
      </c>
    </row>
    <row r="181" spans="1:4" x14ac:dyDescent="0.3">
      <c r="A181" s="10" t="s">
        <v>2716</v>
      </c>
      <c r="B181" s="10" t="s">
        <v>592</v>
      </c>
      <c r="C181" s="10" t="s">
        <v>123</v>
      </c>
      <c r="D181" s="10" t="s">
        <v>348</v>
      </c>
    </row>
    <row r="182" spans="1:4" x14ac:dyDescent="0.3">
      <c r="A182" s="10" t="s">
        <v>2607</v>
      </c>
      <c r="B182" s="10" t="s">
        <v>302</v>
      </c>
      <c r="C182" s="10" t="s">
        <v>119</v>
      </c>
      <c r="D182" s="10" t="s">
        <v>249</v>
      </c>
    </row>
    <row r="183" spans="1:4" x14ac:dyDescent="0.3">
      <c r="A183" s="10" t="s">
        <v>595</v>
      </c>
      <c r="B183" s="10" t="s">
        <v>595</v>
      </c>
      <c r="C183" s="10" t="s">
        <v>123</v>
      </c>
      <c r="D183" s="10" t="s">
        <v>348</v>
      </c>
    </row>
    <row r="184" spans="1:4" x14ac:dyDescent="0.3">
      <c r="A184" s="10" t="s">
        <v>596</v>
      </c>
      <c r="B184" s="10" t="s">
        <v>596</v>
      </c>
      <c r="C184" s="10" t="s">
        <v>123</v>
      </c>
      <c r="D184" s="10" t="s">
        <v>348</v>
      </c>
    </row>
    <row r="185" spans="1:4" x14ac:dyDescent="0.3">
      <c r="A185" s="10" t="s">
        <v>597</v>
      </c>
      <c r="B185" s="10" t="s">
        <v>597</v>
      </c>
      <c r="C185" s="10" t="s">
        <v>123</v>
      </c>
      <c r="D185" s="10" t="s">
        <v>348</v>
      </c>
    </row>
    <row r="186" spans="1:4" x14ac:dyDescent="0.3">
      <c r="A186" s="10" t="s">
        <v>2059</v>
      </c>
      <c r="B186" s="10" t="s">
        <v>598</v>
      </c>
      <c r="C186" s="10" t="s">
        <v>123</v>
      </c>
      <c r="D186" s="10" t="s">
        <v>348</v>
      </c>
    </row>
    <row r="187" spans="1:4" x14ac:dyDescent="0.3">
      <c r="A187" s="10" t="s">
        <v>2838</v>
      </c>
      <c r="B187" s="10" t="s">
        <v>599</v>
      </c>
      <c r="C187" s="10" t="s">
        <v>123</v>
      </c>
      <c r="D187" s="10" t="s">
        <v>348</v>
      </c>
    </row>
    <row r="188" spans="1:4" x14ac:dyDescent="0.3">
      <c r="A188" s="10" t="s">
        <v>600</v>
      </c>
      <c r="B188" s="10" t="s">
        <v>600</v>
      </c>
      <c r="C188" s="10" t="s">
        <v>123</v>
      </c>
      <c r="D188" s="10" t="s">
        <v>348</v>
      </c>
    </row>
    <row r="189" spans="1:4" x14ac:dyDescent="0.3">
      <c r="A189" s="10" t="s">
        <v>601</v>
      </c>
      <c r="B189" s="10" t="s">
        <v>601</v>
      </c>
      <c r="C189" s="10" t="s">
        <v>123</v>
      </c>
      <c r="D189" s="10" t="s">
        <v>348</v>
      </c>
    </row>
    <row r="190" spans="1:4" x14ac:dyDescent="0.3">
      <c r="A190" s="10" t="s">
        <v>602</v>
      </c>
      <c r="B190" s="10" t="s">
        <v>602</v>
      </c>
      <c r="C190" s="10" t="s">
        <v>123</v>
      </c>
      <c r="D190" s="10" t="s">
        <v>348</v>
      </c>
    </row>
    <row r="191" spans="1:4" x14ac:dyDescent="0.3">
      <c r="A191" s="10" t="s">
        <v>2298</v>
      </c>
      <c r="B191" s="10" t="s">
        <v>559</v>
      </c>
      <c r="C191" s="10" t="s">
        <v>123</v>
      </c>
      <c r="D191" s="10" t="s">
        <v>294</v>
      </c>
    </row>
    <row r="192" spans="1:4" x14ac:dyDescent="0.3">
      <c r="A192" s="10" t="s">
        <v>3911</v>
      </c>
      <c r="B192" s="10" t="s">
        <v>609</v>
      </c>
      <c r="C192" s="10" t="s">
        <v>123</v>
      </c>
      <c r="D192" s="10" t="s">
        <v>348</v>
      </c>
    </row>
    <row r="193" spans="1:4" x14ac:dyDescent="0.3">
      <c r="A193" s="10" t="s">
        <v>420</v>
      </c>
      <c r="B193" s="10" t="s">
        <v>420</v>
      </c>
      <c r="C193" s="10" t="s">
        <v>123</v>
      </c>
      <c r="D193" s="10" t="s">
        <v>366</v>
      </c>
    </row>
    <row r="194" spans="1:4" x14ac:dyDescent="0.3">
      <c r="A194" s="10" t="s">
        <v>2890</v>
      </c>
      <c r="B194" s="10" t="s">
        <v>245</v>
      </c>
      <c r="C194" s="10" t="s">
        <v>113</v>
      </c>
      <c r="D194" s="10" t="s">
        <v>249</v>
      </c>
    </row>
    <row r="195" spans="1:4" x14ac:dyDescent="0.3">
      <c r="A195" s="10" t="s">
        <v>3936</v>
      </c>
      <c r="B195" s="10" t="s">
        <v>245</v>
      </c>
      <c r="C195" s="10" t="s">
        <v>113</v>
      </c>
      <c r="D195" s="10" t="s">
        <v>249</v>
      </c>
    </row>
    <row r="196" spans="1:4" x14ac:dyDescent="0.3">
      <c r="A196" s="10" t="s">
        <v>245</v>
      </c>
      <c r="B196" s="10" t="s">
        <v>245</v>
      </c>
      <c r="C196" s="10" t="s">
        <v>113</v>
      </c>
      <c r="D196" s="10" t="s">
        <v>249</v>
      </c>
    </row>
    <row r="197" spans="1:4" x14ac:dyDescent="0.3">
      <c r="A197" s="10" t="s">
        <v>3582</v>
      </c>
      <c r="B197" s="10" t="s">
        <v>245</v>
      </c>
      <c r="C197" s="10" t="s">
        <v>113</v>
      </c>
      <c r="D197" s="10" t="s">
        <v>249</v>
      </c>
    </row>
    <row r="198" spans="1:4" x14ac:dyDescent="0.3">
      <c r="A198" s="10" t="s">
        <v>3498</v>
      </c>
      <c r="B198" s="10" t="s">
        <v>727</v>
      </c>
      <c r="C198" s="10" t="s">
        <v>123</v>
      </c>
      <c r="D198" s="10" t="s">
        <v>348</v>
      </c>
    </row>
    <row r="199" spans="1:4" x14ac:dyDescent="0.3">
      <c r="A199" s="10" t="s">
        <v>384</v>
      </c>
      <c r="B199" s="10" t="s">
        <v>384</v>
      </c>
      <c r="C199" s="10" t="s">
        <v>123</v>
      </c>
      <c r="D199" s="10" t="s">
        <v>348</v>
      </c>
    </row>
    <row r="200" spans="1:4" x14ac:dyDescent="0.3">
      <c r="A200" s="10" t="s">
        <v>2198</v>
      </c>
      <c r="B200" s="10" t="s">
        <v>610</v>
      </c>
      <c r="C200" s="10" t="s">
        <v>123</v>
      </c>
      <c r="D200" s="10" t="s">
        <v>348</v>
      </c>
    </row>
    <row r="201" spans="1:4" x14ac:dyDescent="0.3">
      <c r="A201" s="10" t="s">
        <v>611</v>
      </c>
      <c r="B201" s="10" t="s">
        <v>611</v>
      </c>
      <c r="C201" s="10" t="s">
        <v>123</v>
      </c>
      <c r="D201" s="10" t="s">
        <v>348</v>
      </c>
    </row>
    <row r="202" spans="1:4" x14ac:dyDescent="0.3">
      <c r="A202" s="10" t="s">
        <v>3732</v>
      </c>
      <c r="B202" s="10" t="s">
        <v>612</v>
      </c>
      <c r="C202" s="10" t="s">
        <v>123</v>
      </c>
      <c r="D202" s="10" t="s">
        <v>366</v>
      </c>
    </row>
    <row r="203" spans="1:4" x14ac:dyDescent="0.3">
      <c r="A203" s="10" t="s">
        <v>603</v>
      </c>
      <c r="B203" s="10" t="s">
        <v>603</v>
      </c>
      <c r="C203" s="10" t="s">
        <v>123</v>
      </c>
      <c r="D203" s="10" t="s">
        <v>348</v>
      </c>
    </row>
    <row r="204" spans="1:4" x14ac:dyDescent="0.3">
      <c r="A204" s="10" t="s">
        <v>613</v>
      </c>
      <c r="B204" s="10" t="s">
        <v>613</v>
      </c>
      <c r="C204" s="10" t="s">
        <v>123</v>
      </c>
      <c r="D204" s="10" t="s">
        <v>348</v>
      </c>
    </row>
    <row r="205" spans="1:4" x14ac:dyDescent="0.3">
      <c r="A205" s="10" t="s">
        <v>614</v>
      </c>
      <c r="B205" s="10" t="s">
        <v>614</v>
      </c>
      <c r="C205" s="10" t="s">
        <v>123</v>
      </c>
      <c r="D205" s="10" t="s">
        <v>348</v>
      </c>
    </row>
    <row r="206" spans="1:4" x14ac:dyDescent="0.3">
      <c r="A206" s="10" t="s">
        <v>3671</v>
      </c>
      <c r="B206" s="10" t="s">
        <v>615</v>
      </c>
      <c r="C206" s="10" t="s">
        <v>123</v>
      </c>
      <c r="D206" s="10" t="s">
        <v>348</v>
      </c>
    </row>
    <row r="207" spans="1:4" x14ac:dyDescent="0.3">
      <c r="A207" s="10" t="s">
        <v>3573</v>
      </c>
      <c r="B207" s="10" t="s">
        <v>616</v>
      </c>
      <c r="C207" s="10" t="s">
        <v>123</v>
      </c>
      <c r="D207" s="10" t="s">
        <v>348</v>
      </c>
    </row>
    <row r="208" spans="1:4" x14ac:dyDescent="0.3">
      <c r="A208" s="10" t="s">
        <v>617</v>
      </c>
      <c r="B208" s="10" t="s">
        <v>617</v>
      </c>
      <c r="C208" s="10" t="s">
        <v>123</v>
      </c>
      <c r="D208" s="10" t="s">
        <v>348</v>
      </c>
    </row>
    <row r="209" spans="1:4" x14ac:dyDescent="0.3">
      <c r="A209" s="10" t="s">
        <v>3609</v>
      </c>
      <c r="B209" s="10" t="s">
        <v>421</v>
      </c>
      <c r="C209" s="10" t="s">
        <v>123</v>
      </c>
      <c r="D209" s="10" t="s">
        <v>294</v>
      </c>
    </row>
    <row r="210" spans="1:4" x14ac:dyDescent="0.3">
      <c r="A210" s="10" t="s">
        <v>618</v>
      </c>
      <c r="B210" s="10" t="s">
        <v>618</v>
      </c>
      <c r="C210" s="10" t="s">
        <v>123</v>
      </c>
      <c r="D210" s="10" t="s">
        <v>348</v>
      </c>
    </row>
    <row r="211" spans="1:4" x14ac:dyDescent="0.3">
      <c r="A211" s="10" t="s">
        <v>619</v>
      </c>
      <c r="B211" s="10" t="s">
        <v>619</v>
      </c>
      <c r="C211" s="10" t="s">
        <v>123</v>
      </c>
      <c r="D211" s="10" t="s">
        <v>348</v>
      </c>
    </row>
    <row r="212" spans="1:4" x14ac:dyDescent="0.3">
      <c r="A212" s="10" t="s">
        <v>3254</v>
      </c>
      <c r="B212" s="10" t="s">
        <v>620</v>
      </c>
      <c r="C212" s="10" t="s">
        <v>123</v>
      </c>
      <c r="D212" s="10" t="s">
        <v>366</v>
      </c>
    </row>
    <row r="213" spans="1:4" x14ac:dyDescent="0.3">
      <c r="A213" s="10" t="s">
        <v>621</v>
      </c>
      <c r="B213" s="10" t="s">
        <v>621</v>
      </c>
      <c r="C213" s="10" t="s">
        <v>123</v>
      </c>
      <c r="D213" s="10" t="s">
        <v>348</v>
      </c>
    </row>
    <row r="214" spans="1:4" x14ac:dyDescent="0.3">
      <c r="A214" s="10" t="s">
        <v>3408</v>
      </c>
      <c r="B214" s="10" t="s">
        <v>692</v>
      </c>
      <c r="C214" s="10" t="s">
        <v>123</v>
      </c>
      <c r="D214" s="10" t="s">
        <v>348</v>
      </c>
    </row>
    <row r="215" spans="1:4" x14ac:dyDescent="0.3">
      <c r="A215" s="10" t="s">
        <v>2237</v>
      </c>
      <c r="B215" s="10" t="s">
        <v>276</v>
      </c>
      <c r="C215" s="10" t="s">
        <v>115</v>
      </c>
      <c r="D215" s="10" t="s">
        <v>273</v>
      </c>
    </row>
    <row r="216" spans="1:4" x14ac:dyDescent="0.3">
      <c r="A216" s="10" t="s">
        <v>622</v>
      </c>
      <c r="B216" s="10" t="s">
        <v>622</v>
      </c>
      <c r="C216" s="10" t="s">
        <v>123</v>
      </c>
      <c r="D216" s="10" t="s">
        <v>348</v>
      </c>
    </row>
    <row r="217" spans="1:4" x14ac:dyDescent="0.3">
      <c r="A217" s="10" t="s">
        <v>623</v>
      </c>
      <c r="B217" s="10" t="s">
        <v>623</v>
      </c>
      <c r="C217" s="10" t="s">
        <v>123</v>
      </c>
      <c r="D217" s="10" t="s">
        <v>348</v>
      </c>
    </row>
    <row r="218" spans="1:4" x14ac:dyDescent="0.3">
      <c r="A218" s="10" t="s">
        <v>2345</v>
      </c>
      <c r="B218" s="10" t="s">
        <v>426</v>
      </c>
      <c r="C218" s="10" t="s">
        <v>123</v>
      </c>
      <c r="D218" s="10" t="s">
        <v>348</v>
      </c>
    </row>
    <row r="219" spans="1:4" x14ac:dyDescent="0.3">
      <c r="A219" s="10" t="s">
        <v>3374</v>
      </c>
      <c r="B219" s="10" t="s">
        <v>624</v>
      </c>
      <c r="C219" s="10" t="s">
        <v>123</v>
      </c>
      <c r="D219" s="10" t="s">
        <v>348</v>
      </c>
    </row>
    <row r="220" spans="1:4" x14ac:dyDescent="0.3">
      <c r="A220" s="10" t="s">
        <v>3304</v>
      </c>
      <c r="B220" s="10" t="s">
        <v>3305</v>
      </c>
      <c r="C220" s="10" t="s">
        <v>123</v>
      </c>
      <c r="D220" s="10" t="s">
        <v>348</v>
      </c>
    </row>
    <row r="221" spans="1:4" x14ac:dyDescent="0.3">
      <c r="A221" s="10" t="s">
        <v>2257</v>
      </c>
      <c r="B221" s="10" t="s">
        <v>427</v>
      </c>
      <c r="C221" s="10" t="s">
        <v>123</v>
      </c>
      <c r="D221" s="10" t="s">
        <v>348</v>
      </c>
    </row>
    <row r="222" spans="1:4" x14ac:dyDescent="0.3">
      <c r="A222" s="10" t="s">
        <v>2720</v>
      </c>
      <c r="B222" s="10" t="s">
        <v>629</v>
      </c>
      <c r="C222" s="10" t="s">
        <v>123</v>
      </c>
      <c r="D222" s="10" t="s">
        <v>348</v>
      </c>
    </row>
    <row r="223" spans="1:4" x14ac:dyDescent="0.3">
      <c r="A223" s="10" t="s">
        <v>3003</v>
      </c>
      <c r="B223" s="10" t="s">
        <v>630</v>
      </c>
      <c r="C223" s="10" t="s">
        <v>123</v>
      </c>
      <c r="D223" s="10" t="s">
        <v>287</v>
      </c>
    </row>
    <row r="224" spans="1:4" x14ac:dyDescent="0.3">
      <c r="A224" s="10" t="s">
        <v>2573</v>
      </c>
      <c r="B224" s="10" t="s">
        <v>634</v>
      </c>
      <c r="C224" s="10" t="s">
        <v>123</v>
      </c>
      <c r="D224" s="10" t="s">
        <v>348</v>
      </c>
    </row>
    <row r="225" spans="1:4" x14ac:dyDescent="0.3">
      <c r="A225" s="10" t="s">
        <v>3559</v>
      </c>
      <c r="B225" s="10" t="s">
        <v>685</v>
      </c>
      <c r="C225" s="10" t="s">
        <v>123</v>
      </c>
      <c r="D225" s="10" t="s">
        <v>348</v>
      </c>
    </row>
    <row r="226" spans="1:4" x14ac:dyDescent="0.3">
      <c r="A226" s="10" t="s">
        <v>3747</v>
      </c>
      <c r="B226" s="10" t="s">
        <v>428</v>
      </c>
      <c r="C226" s="10" t="s">
        <v>123</v>
      </c>
      <c r="D226" s="10" t="s">
        <v>348</v>
      </c>
    </row>
    <row r="227" spans="1:4" x14ac:dyDescent="0.3">
      <c r="A227" s="10" t="s">
        <v>3877</v>
      </c>
      <c r="B227" s="10" t="s">
        <v>768</v>
      </c>
      <c r="C227" s="10" t="s">
        <v>123</v>
      </c>
      <c r="D227" s="10" t="s">
        <v>348</v>
      </c>
    </row>
    <row r="228" spans="1:4" x14ac:dyDescent="0.3">
      <c r="A228" s="10" t="s">
        <v>3151</v>
      </c>
      <c r="B228" s="10" t="s">
        <v>768</v>
      </c>
      <c r="C228" s="10" t="s">
        <v>123</v>
      </c>
      <c r="D228" s="10" t="s">
        <v>348</v>
      </c>
    </row>
    <row r="229" spans="1:4" x14ac:dyDescent="0.3">
      <c r="A229" s="10" t="s">
        <v>635</v>
      </c>
      <c r="B229" s="10" t="s">
        <v>635</v>
      </c>
      <c r="C229" s="10" t="s">
        <v>123</v>
      </c>
      <c r="D229" s="10" t="s">
        <v>348</v>
      </c>
    </row>
    <row r="230" spans="1:4" x14ac:dyDescent="0.3">
      <c r="A230" s="10" t="s">
        <v>2628</v>
      </c>
      <c r="B230" s="10" t="s">
        <v>278</v>
      </c>
      <c r="C230" s="10" t="s">
        <v>115</v>
      </c>
      <c r="D230" s="10" t="s">
        <v>273</v>
      </c>
    </row>
    <row r="231" spans="1:4" x14ac:dyDescent="0.3">
      <c r="A231" s="10" t="s">
        <v>2461</v>
      </c>
      <c r="B231" s="10" t="s">
        <v>305</v>
      </c>
      <c r="C231" s="10" t="s">
        <v>119</v>
      </c>
      <c r="D231" s="10" t="s">
        <v>249</v>
      </c>
    </row>
    <row r="232" spans="1:4" x14ac:dyDescent="0.3">
      <c r="A232" s="10" t="s">
        <v>636</v>
      </c>
      <c r="B232" s="10" t="s">
        <v>636</v>
      </c>
      <c r="C232" s="10" t="s">
        <v>123</v>
      </c>
      <c r="D232" s="10" t="s">
        <v>348</v>
      </c>
    </row>
    <row r="233" spans="1:4" x14ac:dyDescent="0.3">
      <c r="A233" s="10" t="s">
        <v>625</v>
      </c>
      <c r="B233" s="10" t="s">
        <v>625</v>
      </c>
      <c r="C233" s="10" t="s">
        <v>123</v>
      </c>
      <c r="D233" s="10" t="s">
        <v>366</v>
      </c>
    </row>
    <row r="234" spans="1:4" x14ac:dyDescent="0.3">
      <c r="A234" s="10" t="s">
        <v>637</v>
      </c>
      <c r="B234" s="10" t="s">
        <v>637</v>
      </c>
      <c r="C234" s="10" t="s">
        <v>123</v>
      </c>
      <c r="D234" s="10" t="s">
        <v>348</v>
      </c>
    </row>
    <row r="235" spans="1:4" x14ac:dyDescent="0.3">
      <c r="A235" s="10" t="s">
        <v>2992</v>
      </c>
      <c r="B235" s="10" t="s">
        <v>638</v>
      </c>
      <c r="C235" s="10" t="s">
        <v>123</v>
      </c>
      <c r="D235" s="10" t="s">
        <v>348</v>
      </c>
    </row>
    <row r="236" spans="1:4" x14ac:dyDescent="0.3">
      <c r="A236" s="10" t="s">
        <v>1029</v>
      </c>
      <c r="B236" s="10" t="s">
        <v>292</v>
      </c>
      <c r="C236" s="10" t="s">
        <v>117</v>
      </c>
      <c r="D236" s="10" t="s">
        <v>294</v>
      </c>
    </row>
    <row r="237" spans="1:4" x14ac:dyDescent="0.3">
      <c r="A237" s="10" t="s">
        <v>639</v>
      </c>
      <c r="B237" s="10" t="s">
        <v>639</v>
      </c>
      <c r="C237" s="10" t="s">
        <v>123</v>
      </c>
      <c r="D237" s="10" t="s">
        <v>348</v>
      </c>
    </row>
    <row r="238" spans="1:4" x14ac:dyDescent="0.3">
      <c r="A238" s="10" t="s">
        <v>2932</v>
      </c>
      <c r="B238" s="10" t="s">
        <v>296</v>
      </c>
      <c r="C238" s="10" t="s">
        <v>117</v>
      </c>
      <c r="D238" s="10" t="s">
        <v>294</v>
      </c>
    </row>
    <row r="239" spans="1:4" x14ac:dyDescent="0.3">
      <c r="A239" s="10" t="s">
        <v>640</v>
      </c>
      <c r="B239" s="10" t="s">
        <v>640</v>
      </c>
      <c r="C239" s="10" t="s">
        <v>123</v>
      </c>
      <c r="D239" s="10" t="s">
        <v>348</v>
      </c>
    </row>
    <row r="240" spans="1:4" x14ac:dyDescent="0.3">
      <c r="A240" s="10" t="s">
        <v>3555</v>
      </c>
      <c r="B240" s="10" t="s">
        <v>641</v>
      </c>
      <c r="C240" s="10" t="s">
        <v>123</v>
      </c>
      <c r="D240" s="10" t="s">
        <v>348</v>
      </c>
    </row>
    <row r="241" spans="1:4" x14ac:dyDescent="0.3">
      <c r="A241" s="10" t="s">
        <v>2683</v>
      </c>
      <c r="B241" s="10" t="s">
        <v>2684</v>
      </c>
      <c r="C241" s="10" t="s">
        <v>121</v>
      </c>
      <c r="D241" s="10" t="s">
        <v>348</v>
      </c>
    </row>
    <row r="242" spans="1:4" x14ac:dyDescent="0.3">
      <c r="A242" s="10" t="s">
        <v>2950</v>
      </c>
      <c r="B242" s="10" t="s">
        <v>643</v>
      </c>
      <c r="C242" s="10" t="s">
        <v>123</v>
      </c>
      <c r="D242" s="10" t="s">
        <v>348</v>
      </c>
    </row>
    <row r="243" spans="1:4" x14ac:dyDescent="0.3">
      <c r="A243" s="10" t="s">
        <v>429</v>
      </c>
      <c r="B243" s="10" t="s">
        <v>429</v>
      </c>
      <c r="C243" s="10" t="s">
        <v>123</v>
      </c>
      <c r="D243" s="10" t="s">
        <v>348</v>
      </c>
    </row>
    <row r="244" spans="1:4" x14ac:dyDescent="0.3">
      <c r="A244" s="10" t="s">
        <v>2611</v>
      </c>
      <c r="B244" s="10" t="s">
        <v>644</v>
      </c>
      <c r="C244" s="10" t="s">
        <v>123</v>
      </c>
      <c r="D244" s="10" t="s">
        <v>366</v>
      </c>
    </row>
    <row r="245" spans="1:4" x14ac:dyDescent="0.3">
      <c r="A245" s="10" t="s">
        <v>2679</v>
      </c>
      <c r="B245" s="10" t="s">
        <v>645</v>
      </c>
      <c r="C245" s="10" t="s">
        <v>123</v>
      </c>
      <c r="D245" s="10" t="s">
        <v>366</v>
      </c>
    </row>
    <row r="246" spans="1:4" x14ac:dyDescent="0.3">
      <c r="A246" s="10" t="s">
        <v>2946</v>
      </c>
      <c r="B246" s="10" t="s">
        <v>646</v>
      </c>
      <c r="C246" s="10" t="s">
        <v>123</v>
      </c>
      <c r="D246" s="10" t="s">
        <v>348</v>
      </c>
    </row>
    <row r="247" spans="1:4" x14ac:dyDescent="0.3">
      <c r="A247" s="10" t="s">
        <v>651</v>
      </c>
      <c r="B247" s="10" t="s">
        <v>651</v>
      </c>
      <c r="C247" s="10" t="s">
        <v>123</v>
      </c>
      <c r="D247" s="10" t="s">
        <v>348</v>
      </c>
    </row>
    <row r="248" spans="1:4" x14ac:dyDescent="0.3">
      <c r="A248" s="10" t="s">
        <v>768</v>
      </c>
      <c r="B248" s="10" t="s">
        <v>768</v>
      </c>
      <c r="C248" s="10" t="s">
        <v>123</v>
      </c>
      <c r="D248" s="10" t="s">
        <v>348</v>
      </c>
    </row>
    <row r="249" spans="1:4" x14ac:dyDescent="0.3">
      <c r="A249" s="10" t="s">
        <v>2170</v>
      </c>
      <c r="B249" s="10" t="s">
        <v>768</v>
      </c>
      <c r="C249" s="10" t="s">
        <v>123</v>
      </c>
      <c r="D249" s="10" t="s">
        <v>348</v>
      </c>
    </row>
    <row r="250" spans="1:4" x14ac:dyDescent="0.3">
      <c r="A250" s="10" t="s">
        <v>2996</v>
      </c>
      <c r="B250" s="10" t="s">
        <v>652</v>
      </c>
      <c r="C250" s="10" t="s">
        <v>123</v>
      </c>
      <c r="D250" s="10" t="s">
        <v>348</v>
      </c>
    </row>
    <row r="251" spans="1:4" x14ac:dyDescent="0.3">
      <c r="A251" s="10" t="s">
        <v>653</v>
      </c>
      <c r="B251" s="10" t="s">
        <v>653</v>
      </c>
      <c r="C251" s="10" t="s">
        <v>123</v>
      </c>
      <c r="D251" s="10" t="s">
        <v>348</v>
      </c>
    </row>
    <row r="252" spans="1:4" x14ac:dyDescent="0.3">
      <c r="A252" s="10" t="s">
        <v>654</v>
      </c>
      <c r="B252" s="10" t="s">
        <v>654</v>
      </c>
      <c r="C252" s="10" t="s">
        <v>123</v>
      </c>
      <c r="D252" s="10" t="s">
        <v>366</v>
      </c>
    </row>
    <row r="253" spans="1:4" x14ac:dyDescent="0.3">
      <c r="A253" s="10" t="s">
        <v>2809</v>
      </c>
      <c r="B253" s="10" t="s">
        <v>655</v>
      </c>
      <c r="C253" s="10" t="s">
        <v>123</v>
      </c>
      <c r="D253" s="10" t="s">
        <v>366</v>
      </c>
    </row>
    <row r="254" spans="1:4" x14ac:dyDescent="0.3">
      <c r="A254" s="10" t="s">
        <v>656</v>
      </c>
      <c r="B254" s="10" t="s">
        <v>656</v>
      </c>
      <c r="C254" s="10" t="s">
        <v>123</v>
      </c>
      <c r="D254" s="10" t="s">
        <v>348</v>
      </c>
    </row>
    <row r="255" spans="1:4" x14ac:dyDescent="0.3">
      <c r="A255" s="10" t="s">
        <v>3692</v>
      </c>
      <c r="B255" s="10" t="s">
        <v>385</v>
      </c>
      <c r="C255" s="10" t="s">
        <v>123</v>
      </c>
      <c r="D255" s="10" t="s">
        <v>348</v>
      </c>
    </row>
    <row r="256" spans="1:4" x14ac:dyDescent="0.3">
      <c r="A256" s="10" t="s">
        <v>3696</v>
      </c>
      <c r="B256" s="10" t="s">
        <v>385</v>
      </c>
      <c r="C256" s="10" t="s">
        <v>123</v>
      </c>
      <c r="D256" s="10" t="s">
        <v>348</v>
      </c>
    </row>
    <row r="257" spans="1:4" x14ac:dyDescent="0.3">
      <c r="A257" s="10" t="s">
        <v>763</v>
      </c>
      <c r="B257" s="10" t="s">
        <v>763</v>
      </c>
      <c r="C257" s="10" t="s">
        <v>123</v>
      </c>
      <c r="D257" s="10" t="s">
        <v>348</v>
      </c>
    </row>
    <row r="258" spans="1:4" x14ac:dyDescent="0.3">
      <c r="A258" s="10" t="s">
        <v>2305</v>
      </c>
      <c r="B258" s="10" t="s">
        <v>355</v>
      </c>
      <c r="C258" s="10" t="s">
        <v>123</v>
      </c>
      <c r="D258" s="10" t="s">
        <v>348</v>
      </c>
    </row>
    <row r="259" spans="1:4" x14ac:dyDescent="0.3">
      <c r="A259" s="10" t="s">
        <v>3110</v>
      </c>
      <c r="B259" s="10" t="s">
        <v>355</v>
      </c>
      <c r="C259" s="10" t="s">
        <v>123</v>
      </c>
      <c r="D259" s="10" t="s">
        <v>348</v>
      </c>
    </row>
    <row r="260" spans="1:4" x14ac:dyDescent="0.3">
      <c r="A260" s="10" t="s">
        <v>3074</v>
      </c>
      <c r="B260" s="10" t="s">
        <v>355</v>
      </c>
      <c r="C260" s="10" t="s">
        <v>123</v>
      </c>
      <c r="D260" s="10" t="s">
        <v>348</v>
      </c>
    </row>
    <row r="261" spans="1:4" x14ac:dyDescent="0.3">
      <c r="A261" s="10" t="s">
        <v>657</v>
      </c>
      <c r="B261" s="10" t="s">
        <v>657</v>
      </c>
      <c r="C261" s="10" t="s">
        <v>123</v>
      </c>
      <c r="D261" s="10" t="s">
        <v>348</v>
      </c>
    </row>
    <row r="262" spans="1:4" x14ac:dyDescent="0.3">
      <c r="A262" s="10" t="s">
        <v>658</v>
      </c>
      <c r="B262" s="10" t="s">
        <v>658</v>
      </c>
      <c r="C262" s="10" t="s">
        <v>123</v>
      </c>
      <c r="D262" s="10" t="s">
        <v>348</v>
      </c>
    </row>
    <row r="263" spans="1:4" x14ac:dyDescent="0.3">
      <c r="A263" s="10" t="s">
        <v>2917</v>
      </c>
      <c r="B263" s="10" t="s">
        <v>659</v>
      </c>
      <c r="C263" s="10" t="s">
        <v>123</v>
      </c>
      <c r="D263" s="10" t="s">
        <v>294</v>
      </c>
    </row>
    <row r="264" spans="1:4" x14ac:dyDescent="0.3">
      <c r="A264" s="10" t="s">
        <v>3518</v>
      </c>
      <c r="B264" s="10" t="s">
        <v>664</v>
      </c>
      <c r="C264" s="10" t="s">
        <v>123</v>
      </c>
      <c r="D264" s="10" t="s">
        <v>348</v>
      </c>
    </row>
    <row r="265" spans="1:4" x14ac:dyDescent="0.3">
      <c r="A265" s="10" t="s">
        <v>665</v>
      </c>
      <c r="B265" s="10" t="s">
        <v>665</v>
      </c>
      <c r="C265" s="10" t="s">
        <v>123</v>
      </c>
      <c r="D265" s="10" t="s">
        <v>348</v>
      </c>
    </row>
    <row r="266" spans="1:4" x14ac:dyDescent="0.3">
      <c r="A266" s="10" t="s">
        <v>3824</v>
      </c>
      <c r="B266" s="10" t="s">
        <v>349</v>
      </c>
      <c r="C266" s="10" t="s">
        <v>121</v>
      </c>
      <c r="D266" s="10" t="s">
        <v>348</v>
      </c>
    </row>
    <row r="267" spans="1:4" x14ac:dyDescent="0.3">
      <c r="A267" s="10" t="s">
        <v>2505</v>
      </c>
      <c r="B267" s="10" t="s">
        <v>666</v>
      </c>
      <c r="C267" s="10" t="s">
        <v>123</v>
      </c>
      <c r="D267" s="10" t="s">
        <v>348</v>
      </c>
    </row>
    <row r="268" spans="1:4" x14ac:dyDescent="0.3">
      <c r="A268" s="10" t="s">
        <v>2498</v>
      </c>
      <c r="B268" s="10" t="s">
        <v>356</v>
      </c>
      <c r="C268" s="10" t="s">
        <v>123</v>
      </c>
      <c r="D268" s="10" t="s">
        <v>348</v>
      </c>
    </row>
    <row r="269" spans="1:4" x14ac:dyDescent="0.3">
      <c r="A269" s="10" t="s">
        <v>2974</v>
      </c>
      <c r="B269" s="10" t="s">
        <v>356</v>
      </c>
      <c r="C269" s="10" t="s">
        <v>123</v>
      </c>
      <c r="D269" s="10" t="s">
        <v>348</v>
      </c>
    </row>
    <row r="270" spans="1:4" x14ac:dyDescent="0.3">
      <c r="A270" s="10" t="s">
        <v>2477</v>
      </c>
      <c r="B270" s="10" t="s">
        <v>356</v>
      </c>
      <c r="C270" s="10" t="s">
        <v>123</v>
      </c>
      <c r="D270" s="10" t="s">
        <v>348</v>
      </c>
    </row>
    <row r="271" spans="1:4" x14ac:dyDescent="0.3">
      <c r="A271" s="10" t="s">
        <v>2662</v>
      </c>
      <c r="B271" s="10" t="s">
        <v>356</v>
      </c>
      <c r="C271" s="10" t="s">
        <v>123</v>
      </c>
      <c r="D271" s="10" t="s">
        <v>348</v>
      </c>
    </row>
    <row r="272" spans="1:4" x14ac:dyDescent="0.3">
      <c r="A272" s="10" t="s">
        <v>3215</v>
      </c>
      <c r="B272" s="10" t="s">
        <v>356</v>
      </c>
      <c r="C272" s="10" t="s">
        <v>123</v>
      </c>
      <c r="D272" s="10" t="s">
        <v>348</v>
      </c>
    </row>
    <row r="273" spans="1:4" x14ac:dyDescent="0.3">
      <c r="A273" s="10" t="s">
        <v>2777</v>
      </c>
      <c r="B273" s="10" t="s">
        <v>356</v>
      </c>
      <c r="C273" s="10" t="s">
        <v>123</v>
      </c>
      <c r="D273" s="10" t="s">
        <v>348</v>
      </c>
    </row>
    <row r="274" spans="1:4" x14ac:dyDescent="0.3">
      <c r="A274" s="10" t="s">
        <v>356</v>
      </c>
      <c r="B274" s="10" t="s">
        <v>356</v>
      </c>
      <c r="C274" s="10" t="s">
        <v>123</v>
      </c>
      <c r="D274" s="10" t="s">
        <v>348</v>
      </c>
    </row>
    <row r="275" spans="1:4" x14ac:dyDescent="0.3">
      <c r="A275" s="10" t="s">
        <v>386</v>
      </c>
      <c r="B275" s="10" t="s">
        <v>386</v>
      </c>
      <c r="C275" s="10" t="s">
        <v>123</v>
      </c>
      <c r="D275" s="10" t="s">
        <v>348</v>
      </c>
    </row>
    <row r="276" spans="1:4" x14ac:dyDescent="0.3">
      <c r="A276" s="10" t="s">
        <v>3441</v>
      </c>
      <c r="B276" s="10" t="s">
        <v>668</v>
      </c>
      <c r="C276" s="10" t="s">
        <v>123</v>
      </c>
      <c r="D276" s="10" t="s">
        <v>348</v>
      </c>
    </row>
    <row r="277" spans="1:4" x14ac:dyDescent="0.3">
      <c r="A277" s="10" t="s">
        <v>3400</v>
      </c>
      <c r="B277" s="10" t="s">
        <v>669</v>
      </c>
      <c r="C277" s="10" t="s">
        <v>123</v>
      </c>
      <c r="D277" s="10" t="s">
        <v>348</v>
      </c>
    </row>
    <row r="278" spans="1:4" x14ac:dyDescent="0.3">
      <c r="A278" s="10" t="s">
        <v>2708</v>
      </c>
      <c r="B278" s="10" t="s">
        <v>371</v>
      </c>
      <c r="C278" s="10" t="s">
        <v>123</v>
      </c>
      <c r="D278" s="10" t="s">
        <v>366</v>
      </c>
    </row>
    <row r="279" spans="1:4" x14ac:dyDescent="0.3">
      <c r="A279" s="10" t="s">
        <v>670</v>
      </c>
      <c r="B279" s="10" t="s">
        <v>670</v>
      </c>
      <c r="C279" s="10" t="s">
        <v>123</v>
      </c>
      <c r="D279" s="10" t="s">
        <v>348</v>
      </c>
    </row>
    <row r="280" spans="1:4" x14ac:dyDescent="0.3">
      <c r="A280" s="10" t="s">
        <v>671</v>
      </c>
      <c r="B280" s="10" t="s">
        <v>671</v>
      </c>
      <c r="C280" s="10" t="s">
        <v>123</v>
      </c>
      <c r="D280" s="10" t="s">
        <v>348</v>
      </c>
    </row>
    <row r="281" spans="1:4" x14ac:dyDescent="0.3">
      <c r="A281" s="10" t="s">
        <v>2733</v>
      </c>
      <c r="B281" s="10" t="s">
        <v>430</v>
      </c>
      <c r="C281" s="10" t="s">
        <v>123</v>
      </c>
      <c r="D281" s="10" t="s">
        <v>348</v>
      </c>
    </row>
    <row r="282" spans="1:4" x14ac:dyDescent="0.3">
      <c r="A282" s="10" t="s">
        <v>3061</v>
      </c>
      <c r="B282" s="10" t="s">
        <v>430</v>
      </c>
      <c r="C282" s="10" t="s">
        <v>123</v>
      </c>
      <c r="D282" s="10" t="s">
        <v>348</v>
      </c>
    </row>
    <row r="283" spans="1:4" x14ac:dyDescent="0.3">
      <c r="A283" s="10" t="s">
        <v>3661</v>
      </c>
      <c r="B283" s="10" t="s">
        <v>3661</v>
      </c>
      <c r="C283" s="10" t="s">
        <v>121</v>
      </c>
      <c r="D283" s="10" t="s">
        <v>348</v>
      </c>
    </row>
    <row r="284" spans="1:4" x14ac:dyDescent="0.3">
      <c r="A284" s="10" t="s">
        <v>2515</v>
      </c>
      <c r="B284" s="10" t="s">
        <v>672</v>
      </c>
      <c r="C284" s="10" t="s">
        <v>123</v>
      </c>
      <c r="D284" s="10" t="s">
        <v>348</v>
      </c>
    </row>
    <row r="285" spans="1:4" x14ac:dyDescent="0.3">
      <c r="A285" s="10" t="s">
        <v>3590</v>
      </c>
      <c r="B285" s="10" t="s">
        <v>768</v>
      </c>
      <c r="C285" s="10" t="s">
        <v>123</v>
      </c>
      <c r="D285" s="10" t="s">
        <v>348</v>
      </c>
    </row>
    <row r="286" spans="1:4" x14ac:dyDescent="0.3">
      <c r="A286" s="10" t="s">
        <v>279</v>
      </c>
      <c r="B286" s="10" t="s">
        <v>279</v>
      </c>
      <c r="C286" s="10" t="s">
        <v>115</v>
      </c>
      <c r="D286" s="10" t="s">
        <v>273</v>
      </c>
    </row>
    <row r="287" spans="1:4" x14ac:dyDescent="0.3">
      <c r="A287" s="10" t="s">
        <v>673</v>
      </c>
      <c r="B287" s="10" t="s">
        <v>673</v>
      </c>
      <c r="C287" s="10" t="s">
        <v>123</v>
      </c>
      <c r="D287" s="10" t="s">
        <v>348</v>
      </c>
    </row>
    <row r="288" spans="1:4" x14ac:dyDescent="0.3">
      <c r="A288" s="10" t="s">
        <v>674</v>
      </c>
      <c r="B288" s="10" t="s">
        <v>674</v>
      </c>
      <c r="C288" s="10" t="s">
        <v>123</v>
      </c>
      <c r="D288" s="10" t="s">
        <v>348</v>
      </c>
    </row>
    <row r="289" spans="1:4" x14ac:dyDescent="0.3">
      <c r="A289" s="10" t="s">
        <v>2014</v>
      </c>
      <c r="B289" s="10" t="s">
        <v>355</v>
      </c>
      <c r="C289" s="10" t="s">
        <v>123</v>
      </c>
      <c r="D289" s="10" t="s">
        <v>348</v>
      </c>
    </row>
    <row r="290" spans="1:4" x14ac:dyDescent="0.3">
      <c r="A290" s="10" t="s">
        <v>3219</v>
      </c>
      <c r="B290" s="10" t="s">
        <v>355</v>
      </c>
      <c r="C290" s="10" t="s">
        <v>123</v>
      </c>
      <c r="D290" s="10" t="s">
        <v>348</v>
      </c>
    </row>
    <row r="291" spans="1:4" x14ac:dyDescent="0.3">
      <c r="A291" s="10" t="s">
        <v>2487</v>
      </c>
      <c r="B291" s="10" t="s">
        <v>355</v>
      </c>
      <c r="C291" s="10" t="s">
        <v>123</v>
      </c>
      <c r="D291" s="10" t="s">
        <v>348</v>
      </c>
    </row>
    <row r="292" spans="1:4" x14ac:dyDescent="0.3">
      <c r="A292" s="10" t="s">
        <v>2702</v>
      </c>
      <c r="B292" s="10" t="s">
        <v>676</v>
      </c>
      <c r="C292" s="10" t="s">
        <v>123</v>
      </c>
      <c r="D292" s="10" t="s">
        <v>348</v>
      </c>
    </row>
    <row r="293" spans="1:4" x14ac:dyDescent="0.3">
      <c r="A293" s="10" t="s">
        <v>3340</v>
      </c>
      <c r="B293" s="10" t="s">
        <v>354</v>
      </c>
      <c r="C293" s="10" t="s">
        <v>123</v>
      </c>
      <c r="D293" s="10" t="s">
        <v>348</v>
      </c>
    </row>
    <row r="294" spans="1:4" x14ac:dyDescent="0.3">
      <c r="A294" s="10" t="s">
        <v>3025</v>
      </c>
      <c r="B294" s="10" t="s">
        <v>354</v>
      </c>
      <c r="C294" s="10" t="s">
        <v>123</v>
      </c>
      <c r="D294" s="10" t="s">
        <v>348</v>
      </c>
    </row>
    <row r="295" spans="1:4" x14ac:dyDescent="0.3">
      <c r="A295" s="10" t="s">
        <v>2397</v>
      </c>
      <c r="B295" s="10" t="s">
        <v>354</v>
      </c>
      <c r="C295" s="10" t="s">
        <v>123</v>
      </c>
      <c r="D295" s="10" t="s">
        <v>348</v>
      </c>
    </row>
    <row r="296" spans="1:4" x14ac:dyDescent="0.3">
      <c r="A296" s="10" t="s">
        <v>3378</v>
      </c>
      <c r="B296" s="10" t="s">
        <v>354</v>
      </c>
      <c r="C296" s="10" t="s">
        <v>123</v>
      </c>
      <c r="D296" s="10" t="s">
        <v>348</v>
      </c>
    </row>
    <row r="297" spans="1:4" x14ac:dyDescent="0.3">
      <c r="A297" s="10" t="s">
        <v>2039</v>
      </c>
      <c r="B297" s="10" t="s">
        <v>354</v>
      </c>
      <c r="C297" s="10" t="s">
        <v>123</v>
      </c>
      <c r="D297" s="10" t="s">
        <v>348</v>
      </c>
    </row>
    <row r="298" spans="1:4" x14ac:dyDescent="0.3">
      <c r="A298" s="10" t="s">
        <v>3833</v>
      </c>
      <c r="B298" s="10" t="s">
        <v>354</v>
      </c>
      <c r="C298" s="10" t="s">
        <v>123</v>
      </c>
      <c r="D298" s="10" t="s">
        <v>348</v>
      </c>
    </row>
    <row r="299" spans="1:4" x14ac:dyDescent="0.3">
      <c r="A299" s="10" t="s">
        <v>2446</v>
      </c>
      <c r="B299" s="10" t="s">
        <v>355</v>
      </c>
      <c r="C299" s="10" t="s">
        <v>123</v>
      </c>
      <c r="D299" s="10" t="s">
        <v>348</v>
      </c>
    </row>
    <row r="300" spans="1:4" x14ac:dyDescent="0.3">
      <c r="A300" s="10" t="s">
        <v>3034</v>
      </c>
      <c r="B300" s="10" t="s">
        <v>355</v>
      </c>
      <c r="C300" s="10" t="s">
        <v>123</v>
      </c>
      <c r="D300" s="10" t="s">
        <v>348</v>
      </c>
    </row>
    <row r="301" spans="1:4" x14ac:dyDescent="0.3">
      <c r="A301" s="10" t="s">
        <v>675</v>
      </c>
      <c r="B301" s="10" t="s">
        <v>675</v>
      </c>
      <c r="C301" s="10" t="s">
        <v>123</v>
      </c>
      <c r="D301" s="10" t="s">
        <v>348</v>
      </c>
    </row>
    <row r="302" spans="1:4" x14ac:dyDescent="0.3">
      <c r="A302" s="10" t="s">
        <v>2654</v>
      </c>
      <c r="B302" s="10" t="s">
        <v>677</v>
      </c>
      <c r="C302" s="10" t="s">
        <v>123</v>
      </c>
      <c r="D302" s="10" t="s">
        <v>348</v>
      </c>
    </row>
    <row r="303" spans="1:4" x14ac:dyDescent="0.3">
      <c r="A303" s="10" t="s">
        <v>2249</v>
      </c>
      <c r="B303" s="10" t="s">
        <v>354</v>
      </c>
      <c r="C303" s="10" t="s">
        <v>123</v>
      </c>
      <c r="D303" s="10" t="s">
        <v>348</v>
      </c>
    </row>
    <row r="304" spans="1:4" x14ac:dyDescent="0.3">
      <c r="A304" s="10" t="s">
        <v>2481</v>
      </c>
      <c r="B304" s="10" t="s">
        <v>354</v>
      </c>
      <c r="C304" s="10" t="s">
        <v>123</v>
      </c>
      <c r="D304" s="10" t="s">
        <v>348</v>
      </c>
    </row>
    <row r="305" spans="1:4" x14ac:dyDescent="0.3">
      <c r="A305" s="10" t="s">
        <v>354</v>
      </c>
      <c r="B305" s="10" t="s">
        <v>354</v>
      </c>
      <c r="C305" s="10" t="s">
        <v>123</v>
      </c>
      <c r="D305" s="10" t="s">
        <v>348</v>
      </c>
    </row>
    <row r="306" spans="1:4" x14ac:dyDescent="0.3">
      <c r="A306" s="10" t="s">
        <v>2855</v>
      </c>
      <c r="B306" s="10" t="s">
        <v>354</v>
      </c>
      <c r="C306" s="10" t="s">
        <v>123</v>
      </c>
      <c r="D306" s="10" t="s">
        <v>348</v>
      </c>
    </row>
    <row r="307" spans="1:4" x14ac:dyDescent="0.3">
      <c r="A307" s="10" t="s">
        <v>2635</v>
      </c>
      <c r="B307" s="10" t="s">
        <v>354</v>
      </c>
      <c r="C307" s="10" t="s">
        <v>123</v>
      </c>
      <c r="D307" s="10" t="s">
        <v>348</v>
      </c>
    </row>
    <row r="308" spans="1:4" x14ac:dyDescent="0.3">
      <c r="A308" s="10" t="s">
        <v>2280</v>
      </c>
      <c r="B308" s="10" t="s">
        <v>354</v>
      </c>
      <c r="C308" s="10" t="s">
        <v>123</v>
      </c>
      <c r="D308" s="10" t="s">
        <v>348</v>
      </c>
    </row>
    <row r="309" spans="1:4" x14ac:dyDescent="0.3">
      <c r="A309" s="10" t="s">
        <v>2216</v>
      </c>
      <c r="B309" s="10" t="s">
        <v>354</v>
      </c>
      <c r="C309" s="10" t="s">
        <v>123</v>
      </c>
      <c r="D309" s="10" t="s">
        <v>348</v>
      </c>
    </row>
    <row r="310" spans="1:4" x14ac:dyDescent="0.3">
      <c r="A310" s="10" t="s">
        <v>678</v>
      </c>
      <c r="B310" s="10" t="s">
        <v>678</v>
      </c>
      <c r="C310" s="10" t="s">
        <v>123</v>
      </c>
      <c r="D310" s="10" t="s">
        <v>348</v>
      </c>
    </row>
    <row r="311" spans="1:4" x14ac:dyDescent="0.3">
      <c r="A311" s="10" t="s">
        <v>2746</v>
      </c>
      <c r="B311" s="10" t="s">
        <v>679</v>
      </c>
      <c r="C311" s="10" t="s">
        <v>123</v>
      </c>
      <c r="D311" s="10" t="s">
        <v>366</v>
      </c>
    </row>
    <row r="312" spans="1:4" x14ac:dyDescent="0.3">
      <c r="A312" s="10" t="s">
        <v>431</v>
      </c>
      <c r="B312" s="10" t="s">
        <v>431</v>
      </c>
      <c r="C312" s="10" t="s">
        <v>123</v>
      </c>
      <c r="D312" s="10" t="s">
        <v>348</v>
      </c>
    </row>
    <row r="313" spans="1:4" x14ac:dyDescent="0.3">
      <c r="A313" s="10" t="s">
        <v>3054</v>
      </c>
      <c r="B313" s="10" t="s">
        <v>683</v>
      </c>
      <c r="C313" s="10" t="s">
        <v>123</v>
      </c>
      <c r="D313" s="10" t="s">
        <v>348</v>
      </c>
    </row>
    <row r="314" spans="1:4" x14ac:dyDescent="0.3">
      <c r="A314" s="10" t="s">
        <v>684</v>
      </c>
      <c r="B314" s="10" t="s">
        <v>684</v>
      </c>
      <c r="C314" s="10" t="s">
        <v>123</v>
      </c>
      <c r="D314" s="10" t="s">
        <v>348</v>
      </c>
    </row>
    <row r="315" spans="1:4" x14ac:dyDescent="0.3">
      <c r="A315" s="10" t="s">
        <v>432</v>
      </c>
      <c r="B315" s="10" t="s">
        <v>432</v>
      </c>
      <c r="C315" s="10" t="s">
        <v>123</v>
      </c>
      <c r="D315" s="10" t="s">
        <v>348</v>
      </c>
    </row>
    <row r="316" spans="1:4" x14ac:dyDescent="0.3">
      <c r="A316" s="10" t="s">
        <v>772</v>
      </c>
      <c r="B316" s="10" t="s">
        <v>772</v>
      </c>
      <c r="C316" s="10" t="s">
        <v>123</v>
      </c>
      <c r="D316" s="10" t="s">
        <v>348</v>
      </c>
    </row>
    <row r="317" spans="1:4" x14ac:dyDescent="0.3">
      <c r="A317" s="10" t="s">
        <v>3514</v>
      </c>
      <c r="B317" s="10" t="s">
        <v>687</v>
      </c>
      <c r="C317" s="10" t="s">
        <v>123</v>
      </c>
      <c r="D317" s="10" t="s">
        <v>348</v>
      </c>
    </row>
    <row r="318" spans="1:4" x14ac:dyDescent="0.3">
      <c r="A318" s="10" t="s">
        <v>2961</v>
      </c>
      <c r="B318" s="10" t="s">
        <v>686</v>
      </c>
      <c r="C318" s="10" t="s">
        <v>123</v>
      </c>
      <c r="D318" s="10" t="s">
        <v>348</v>
      </c>
    </row>
    <row r="319" spans="1:4" x14ac:dyDescent="0.3">
      <c r="A319" s="10" t="s">
        <v>433</v>
      </c>
      <c r="B319" s="10" t="s">
        <v>433</v>
      </c>
      <c r="C319" s="10" t="s">
        <v>123</v>
      </c>
      <c r="D319" s="10" t="s">
        <v>348</v>
      </c>
    </row>
    <row r="320" spans="1:4" x14ac:dyDescent="0.3">
      <c r="A320" s="10" t="s">
        <v>689</v>
      </c>
      <c r="B320" s="10" t="s">
        <v>689</v>
      </c>
      <c r="C320" s="10" t="s">
        <v>123</v>
      </c>
      <c r="D320" s="10" t="s">
        <v>348</v>
      </c>
    </row>
    <row r="321" spans="1:4" x14ac:dyDescent="0.3">
      <c r="A321" s="10" t="s">
        <v>690</v>
      </c>
      <c r="B321" s="10" t="s">
        <v>690</v>
      </c>
      <c r="C321" s="10" t="s">
        <v>123</v>
      </c>
      <c r="D321" s="10" t="s">
        <v>348</v>
      </c>
    </row>
    <row r="322" spans="1:4" x14ac:dyDescent="0.3">
      <c r="A322" s="10" t="s">
        <v>688</v>
      </c>
      <c r="B322" s="10" t="s">
        <v>688</v>
      </c>
      <c r="C322" s="10" t="s">
        <v>123</v>
      </c>
      <c r="D322" s="10" t="s">
        <v>348</v>
      </c>
    </row>
    <row r="323" spans="1:4" x14ac:dyDescent="0.3">
      <c r="A323" s="10" t="s">
        <v>691</v>
      </c>
      <c r="B323" s="10" t="s">
        <v>691</v>
      </c>
      <c r="C323" s="10" t="s">
        <v>123</v>
      </c>
      <c r="D323" s="10" t="s">
        <v>348</v>
      </c>
    </row>
    <row r="324" spans="1:4" x14ac:dyDescent="0.3">
      <c r="A324" s="10" t="s">
        <v>2362</v>
      </c>
      <c r="B324" s="10" t="s">
        <v>370</v>
      </c>
      <c r="C324" s="10" t="s">
        <v>123</v>
      </c>
      <c r="D324" s="10" t="s">
        <v>348</v>
      </c>
    </row>
    <row r="325" spans="1:4" x14ac:dyDescent="0.3">
      <c r="A325" s="10" t="s">
        <v>3860</v>
      </c>
      <c r="B325" s="10" t="s">
        <v>3861</v>
      </c>
      <c r="C325" s="10" t="s">
        <v>123</v>
      </c>
      <c r="D325" s="10" t="s">
        <v>348</v>
      </c>
    </row>
    <row r="326" spans="1:4" x14ac:dyDescent="0.3">
      <c r="A326" s="10" t="s">
        <v>3029</v>
      </c>
      <c r="B326" s="10" t="s">
        <v>3030</v>
      </c>
      <c r="C326" s="10" t="s">
        <v>123</v>
      </c>
      <c r="D326" s="10" t="s">
        <v>348</v>
      </c>
    </row>
    <row r="327" spans="1:4" x14ac:dyDescent="0.3">
      <c r="A327" s="10" t="s">
        <v>434</v>
      </c>
      <c r="B327" s="10" t="s">
        <v>434</v>
      </c>
      <c r="C327" s="10" t="s">
        <v>123</v>
      </c>
      <c r="D327" s="10" t="s">
        <v>348</v>
      </c>
    </row>
    <row r="328" spans="1:4" x14ac:dyDescent="0.3">
      <c r="A328" s="10" t="s">
        <v>2550</v>
      </c>
      <c r="B328" s="10" t="s">
        <v>697</v>
      </c>
      <c r="C328" s="10" t="s">
        <v>123</v>
      </c>
      <c r="D328" s="10" t="s">
        <v>348</v>
      </c>
    </row>
    <row r="329" spans="1:4" x14ac:dyDescent="0.3">
      <c r="A329" s="10" t="s">
        <v>698</v>
      </c>
      <c r="B329" s="10" t="s">
        <v>698</v>
      </c>
      <c r="C329" s="10" t="s">
        <v>123</v>
      </c>
      <c r="D329" s="10" t="s">
        <v>348</v>
      </c>
    </row>
    <row r="330" spans="1:4" x14ac:dyDescent="0.3">
      <c r="A330" s="10" t="s">
        <v>699</v>
      </c>
      <c r="B330" s="10" t="s">
        <v>699</v>
      </c>
      <c r="C330" s="10" t="s">
        <v>123</v>
      </c>
      <c r="D330" s="10" t="s">
        <v>348</v>
      </c>
    </row>
    <row r="331" spans="1:4" x14ac:dyDescent="0.3">
      <c r="A331" s="10" t="s">
        <v>700</v>
      </c>
      <c r="B331" s="10" t="s">
        <v>700</v>
      </c>
      <c r="C331" s="10" t="s">
        <v>123</v>
      </c>
      <c r="D331" s="10" t="s">
        <v>348</v>
      </c>
    </row>
    <row r="332" spans="1:4" x14ac:dyDescent="0.3">
      <c r="A332" s="10" t="s">
        <v>701</v>
      </c>
      <c r="B332" s="10" t="s">
        <v>701</v>
      </c>
      <c r="C332" s="10" t="s">
        <v>123</v>
      </c>
      <c r="D332" s="10" t="s">
        <v>348</v>
      </c>
    </row>
    <row r="333" spans="1:4" x14ac:dyDescent="0.3">
      <c r="A333" s="10" t="s">
        <v>702</v>
      </c>
      <c r="B333" s="10" t="s">
        <v>702</v>
      </c>
      <c r="C333" s="10" t="s">
        <v>123</v>
      </c>
      <c r="D333" s="10" t="s">
        <v>348</v>
      </c>
    </row>
    <row r="334" spans="1:4" x14ac:dyDescent="0.3">
      <c r="A334" s="10" t="s">
        <v>3586</v>
      </c>
      <c r="B334" s="10" t="s">
        <v>433</v>
      </c>
      <c r="C334" s="10" t="s">
        <v>123</v>
      </c>
      <c r="D334" s="10" t="s">
        <v>348</v>
      </c>
    </row>
    <row r="335" spans="1:4" x14ac:dyDescent="0.3">
      <c r="A335" s="10" t="s">
        <v>703</v>
      </c>
      <c r="B335" s="10" t="s">
        <v>703</v>
      </c>
      <c r="C335" s="10" t="s">
        <v>123</v>
      </c>
      <c r="D335" s="10" t="s">
        <v>348</v>
      </c>
    </row>
    <row r="336" spans="1:4" x14ac:dyDescent="0.3">
      <c r="A336" s="10" t="s">
        <v>704</v>
      </c>
      <c r="B336" s="10" t="s">
        <v>704</v>
      </c>
      <c r="C336" s="10" t="s">
        <v>123</v>
      </c>
      <c r="D336" s="10" t="s">
        <v>348</v>
      </c>
    </row>
    <row r="337" spans="1:4" x14ac:dyDescent="0.3">
      <c r="A337" s="10" t="s">
        <v>2141</v>
      </c>
      <c r="B337" s="10" t="s">
        <v>705</v>
      </c>
      <c r="C337" s="10" t="s">
        <v>123</v>
      </c>
      <c r="D337" s="10" t="s">
        <v>366</v>
      </c>
    </row>
    <row r="338" spans="1:4" x14ac:dyDescent="0.3">
      <c r="A338" s="10" t="s">
        <v>706</v>
      </c>
      <c r="B338" s="10" t="s">
        <v>706</v>
      </c>
      <c r="C338" s="10" t="s">
        <v>123</v>
      </c>
      <c r="D338" s="10" t="s">
        <v>348</v>
      </c>
    </row>
    <row r="339" spans="1:4" x14ac:dyDescent="0.3">
      <c r="A339" s="10" t="s">
        <v>711</v>
      </c>
      <c r="B339" s="10" t="s">
        <v>711</v>
      </c>
      <c r="C339" s="10" t="s">
        <v>123</v>
      </c>
      <c r="D339" s="10" t="s">
        <v>348</v>
      </c>
    </row>
    <row r="340" spans="1:4" x14ac:dyDescent="0.3">
      <c r="A340" s="10" t="s">
        <v>712</v>
      </c>
      <c r="B340" s="10" t="s">
        <v>712</v>
      </c>
      <c r="C340" s="10" t="s">
        <v>123</v>
      </c>
      <c r="D340" s="10" t="s">
        <v>348</v>
      </c>
    </row>
    <row r="341" spans="1:4" x14ac:dyDescent="0.3">
      <c r="A341" s="10" t="s">
        <v>713</v>
      </c>
      <c r="B341" s="10" t="s">
        <v>713</v>
      </c>
      <c r="C341" s="10" t="s">
        <v>123</v>
      </c>
      <c r="D341" s="10" t="s">
        <v>348</v>
      </c>
    </row>
    <row r="342" spans="1:4" x14ac:dyDescent="0.3">
      <c r="A342" s="10" t="s">
        <v>2352</v>
      </c>
      <c r="B342" s="10" t="s">
        <v>355</v>
      </c>
      <c r="C342" s="10" t="s">
        <v>123</v>
      </c>
      <c r="D342" s="10" t="s">
        <v>348</v>
      </c>
    </row>
    <row r="343" spans="1:4" x14ac:dyDescent="0.3">
      <c r="A343" s="10" t="s">
        <v>3755</v>
      </c>
      <c r="B343" s="10" t="s">
        <v>714</v>
      </c>
      <c r="C343" s="10" t="s">
        <v>123</v>
      </c>
      <c r="D343" s="10" t="s">
        <v>348</v>
      </c>
    </row>
    <row r="344" spans="1:4" x14ac:dyDescent="0.3">
      <c r="A344" s="10" t="s">
        <v>3901</v>
      </c>
      <c r="B344" s="10" t="s">
        <v>715</v>
      </c>
      <c r="C344" s="10" t="s">
        <v>123</v>
      </c>
      <c r="D344" s="10" t="s">
        <v>366</v>
      </c>
    </row>
    <row r="345" spans="1:4" x14ac:dyDescent="0.3">
      <c r="A345" s="10" t="s">
        <v>720</v>
      </c>
      <c r="B345" s="10" t="s">
        <v>720</v>
      </c>
      <c r="C345" s="10" t="s">
        <v>123</v>
      </c>
      <c r="D345" s="10" t="s">
        <v>348</v>
      </c>
    </row>
    <row r="346" spans="1:4" x14ac:dyDescent="0.3">
      <c r="A346" s="10" t="s">
        <v>721</v>
      </c>
      <c r="B346" s="10" t="s">
        <v>721</v>
      </c>
      <c r="C346" s="10" t="s">
        <v>123</v>
      </c>
      <c r="D346" s="10" t="s">
        <v>348</v>
      </c>
    </row>
    <row r="347" spans="1:4" x14ac:dyDescent="0.3">
      <c r="A347" s="10" t="s">
        <v>3544</v>
      </c>
      <c r="B347" s="10" t="s">
        <v>722</v>
      </c>
      <c r="C347" s="10" t="s">
        <v>123</v>
      </c>
      <c r="D347" s="10" t="s">
        <v>366</v>
      </c>
    </row>
    <row r="348" spans="1:4" x14ac:dyDescent="0.3">
      <c r="A348" s="10" t="s">
        <v>387</v>
      </c>
      <c r="B348" s="10" t="s">
        <v>387</v>
      </c>
      <c r="C348" s="10" t="s">
        <v>123</v>
      </c>
      <c r="D348" s="10" t="s">
        <v>348</v>
      </c>
    </row>
    <row r="349" spans="1:4" x14ac:dyDescent="0.3">
      <c r="A349" s="10" t="s">
        <v>2134</v>
      </c>
      <c r="B349" s="10" t="s">
        <v>729</v>
      </c>
      <c r="C349" s="10" t="s">
        <v>123</v>
      </c>
      <c r="D349" s="10" t="s">
        <v>348</v>
      </c>
    </row>
    <row r="350" spans="1:4" x14ac:dyDescent="0.3">
      <c r="A350" s="10" t="s">
        <v>734</v>
      </c>
      <c r="B350" s="10" t="s">
        <v>734</v>
      </c>
      <c r="C350" s="10" t="s">
        <v>123</v>
      </c>
      <c r="D350" s="10" t="s">
        <v>348</v>
      </c>
    </row>
    <row r="351" spans="1:4" x14ac:dyDescent="0.3">
      <c r="A351" s="10" t="s">
        <v>735</v>
      </c>
      <c r="B351" s="10" t="s">
        <v>735</v>
      </c>
      <c r="C351" s="10" t="s">
        <v>123</v>
      </c>
      <c r="D351" s="10" t="s">
        <v>348</v>
      </c>
    </row>
    <row r="352" spans="1:4" x14ac:dyDescent="0.3">
      <c r="A352" s="10" t="s">
        <v>2521</v>
      </c>
      <c r="B352" s="10" t="s">
        <v>736</v>
      </c>
      <c r="C352" s="10" t="s">
        <v>123</v>
      </c>
      <c r="D352" s="10" t="s">
        <v>348</v>
      </c>
    </row>
    <row r="353" spans="1:4" x14ac:dyDescent="0.3">
      <c r="A353" s="10" t="s">
        <v>1115</v>
      </c>
      <c r="B353" s="10" t="s">
        <v>435</v>
      </c>
      <c r="C353" s="10" t="s">
        <v>123</v>
      </c>
      <c r="D353" s="10" t="s">
        <v>348</v>
      </c>
    </row>
    <row r="354" spans="1:4" x14ac:dyDescent="0.3">
      <c r="A354" s="10" t="s">
        <v>3158</v>
      </c>
      <c r="B354" s="10" t="s">
        <v>726</v>
      </c>
      <c r="C354" s="10" t="s">
        <v>123</v>
      </c>
      <c r="D354" s="10" t="s">
        <v>348</v>
      </c>
    </row>
    <row r="355" spans="1:4" x14ac:dyDescent="0.3">
      <c r="A355" s="10" t="s">
        <v>3510</v>
      </c>
      <c r="B355" s="10" t="s">
        <v>436</v>
      </c>
      <c r="C355" s="10" t="s">
        <v>123</v>
      </c>
      <c r="D355" s="10" t="s">
        <v>348</v>
      </c>
    </row>
    <row r="356" spans="1:4" x14ac:dyDescent="0.3">
      <c r="A356" s="10" t="s">
        <v>2921</v>
      </c>
      <c r="B356" s="10" t="s">
        <v>737</v>
      </c>
      <c r="C356" s="10" t="s">
        <v>123</v>
      </c>
      <c r="D356" s="10" t="s">
        <v>348</v>
      </c>
    </row>
    <row r="357" spans="1:4" x14ac:dyDescent="0.3">
      <c r="A357" s="10" t="s">
        <v>2491</v>
      </c>
      <c r="B357" s="10" t="s">
        <v>437</v>
      </c>
      <c r="C357" s="10" t="s">
        <v>123</v>
      </c>
      <c r="D357" s="10" t="s">
        <v>348</v>
      </c>
    </row>
    <row r="358" spans="1:4" x14ac:dyDescent="0.3">
      <c r="A358" s="10" t="s">
        <v>437</v>
      </c>
      <c r="B358" s="10" t="s">
        <v>437</v>
      </c>
      <c r="C358" s="10" t="s">
        <v>123</v>
      </c>
      <c r="D358" s="10" t="s">
        <v>348</v>
      </c>
    </row>
    <row r="359" spans="1:4" x14ac:dyDescent="0.3">
      <c r="A359" s="10" t="s">
        <v>738</v>
      </c>
      <c r="B359" s="10" t="s">
        <v>738</v>
      </c>
      <c r="C359" s="10" t="s">
        <v>123</v>
      </c>
      <c r="D359" s="10" t="s">
        <v>348</v>
      </c>
    </row>
    <row r="360" spans="1:4" x14ac:dyDescent="0.3">
      <c r="A360" s="10" t="s">
        <v>2043</v>
      </c>
      <c r="B360" s="10" t="s">
        <v>723</v>
      </c>
      <c r="C360" s="10" t="s">
        <v>123</v>
      </c>
      <c r="D360" s="10" t="s">
        <v>348</v>
      </c>
    </row>
    <row r="361" spans="1:4" x14ac:dyDescent="0.3">
      <c r="A361" s="10" t="s">
        <v>728</v>
      </c>
      <c r="B361" s="10" t="s">
        <v>728</v>
      </c>
      <c r="C361" s="10" t="s">
        <v>123</v>
      </c>
      <c r="D361" s="10" t="s">
        <v>348</v>
      </c>
    </row>
    <row r="362" spans="1:4" x14ac:dyDescent="0.3">
      <c r="A362" s="10" t="s">
        <v>3765</v>
      </c>
      <c r="B362" s="10" t="s">
        <v>436</v>
      </c>
      <c r="C362" s="10" t="s">
        <v>123</v>
      </c>
      <c r="D362" s="10" t="s">
        <v>348</v>
      </c>
    </row>
    <row r="363" spans="1:4" x14ac:dyDescent="0.3">
      <c r="A363" s="10" t="s">
        <v>2220</v>
      </c>
      <c r="B363" s="10" t="s">
        <v>740</v>
      </c>
      <c r="C363" s="10" t="s">
        <v>123</v>
      </c>
      <c r="D363" s="10" t="s">
        <v>294</v>
      </c>
    </row>
    <row r="364" spans="1:4" x14ac:dyDescent="0.3">
      <c r="A364" s="10" t="s">
        <v>3268</v>
      </c>
      <c r="B364" s="10" t="s">
        <v>745</v>
      </c>
      <c r="C364" s="10" t="s">
        <v>123</v>
      </c>
      <c r="D364" s="10" t="s">
        <v>366</v>
      </c>
    </row>
    <row r="365" spans="1:4" x14ac:dyDescent="0.3">
      <c r="A365" s="10" t="s">
        <v>2954</v>
      </c>
      <c r="B365" s="10" t="s">
        <v>750</v>
      </c>
      <c r="C365" s="10" t="s">
        <v>123</v>
      </c>
      <c r="D365" s="10" t="s">
        <v>348</v>
      </c>
    </row>
    <row r="366" spans="1:4" x14ac:dyDescent="0.3">
      <c r="A366" s="10" t="s">
        <v>751</v>
      </c>
      <c r="B366" s="10" t="s">
        <v>751</v>
      </c>
      <c r="C366" s="10" t="s">
        <v>123</v>
      </c>
      <c r="D366" s="10" t="s">
        <v>348</v>
      </c>
    </row>
    <row r="367" spans="1:4" x14ac:dyDescent="0.3">
      <c r="A367" s="10" t="s">
        <v>752</v>
      </c>
      <c r="B367" s="10" t="s">
        <v>752</v>
      </c>
      <c r="C367" s="10" t="s">
        <v>123</v>
      </c>
      <c r="D367" s="10" t="s">
        <v>348</v>
      </c>
    </row>
    <row r="368" spans="1:4" x14ac:dyDescent="0.3">
      <c r="A368" s="10" t="s">
        <v>753</v>
      </c>
      <c r="B368" s="10" t="s">
        <v>753</v>
      </c>
      <c r="C368" s="10" t="s">
        <v>123</v>
      </c>
      <c r="D368" s="10" t="s">
        <v>348</v>
      </c>
    </row>
    <row r="369" spans="1:4" x14ac:dyDescent="0.3">
      <c r="A369" s="10" t="s">
        <v>3939</v>
      </c>
      <c r="B369" s="10" t="s">
        <v>739</v>
      </c>
      <c r="C369" s="10" t="s">
        <v>123</v>
      </c>
      <c r="D369" s="10" t="s">
        <v>348</v>
      </c>
    </row>
    <row r="370" spans="1:4" x14ac:dyDescent="0.3">
      <c r="A370" s="10" t="s">
        <v>2765</v>
      </c>
      <c r="B370" s="10" t="s">
        <v>282</v>
      </c>
      <c r="C370" s="10" t="s">
        <v>115</v>
      </c>
      <c r="D370" s="10" t="s">
        <v>273</v>
      </c>
    </row>
    <row r="371" spans="1:4" x14ac:dyDescent="0.3">
      <c r="A371" s="10" t="s">
        <v>3615</v>
      </c>
      <c r="B371" s="10" t="s">
        <v>754</v>
      </c>
      <c r="C371" s="10" t="s">
        <v>123</v>
      </c>
      <c r="D371" s="10" t="s">
        <v>348</v>
      </c>
    </row>
    <row r="372" spans="1:4" x14ac:dyDescent="0.3">
      <c r="A372" s="10" t="s">
        <v>755</v>
      </c>
      <c r="B372" s="10" t="s">
        <v>755</v>
      </c>
      <c r="C372" s="10" t="s">
        <v>123</v>
      </c>
      <c r="D372" s="10" t="s">
        <v>348</v>
      </c>
    </row>
    <row r="373" spans="1:4" x14ac:dyDescent="0.3">
      <c r="A373" s="10" t="s">
        <v>3231</v>
      </c>
      <c r="B373" s="10" t="s">
        <v>388</v>
      </c>
      <c r="C373" s="10" t="s">
        <v>123</v>
      </c>
      <c r="D373" s="10" t="s">
        <v>348</v>
      </c>
    </row>
    <row r="374" spans="1:4" x14ac:dyDescent="0.3">
      <c r="A374" s="10" t="s">
        <v>3358</v>
      </c>
      <c r="B374" s="10" t="s">
        <v>393</v>
      </c>
      <c r="C374" s="10" t="s">
        <v>123</v>
      </c>
      <c r="D374" s="10" t="s">
        <v>348</v>
      </c>
    </row>
    <row r="375" spans="1:4" x14ac:dyDescent="0.3">
      <c r="A375" s="10" t="s">
        <v>393</v>
      </c>
      <c r="B375" s="10" t="s">
        <v>393</v>
      </c>
      <c r="C375" s="10" t="s">
        <v>123</v>
      </c>
      <c r="D375" s="10" t="s">
        <v>348</v>
      </c>
    </row>
    <row r="376" spans="1:4" x14ac:dyDescent="0.3">
      <c r="A376" s="10" t="s">
        <v>2372</v>
      </c>
      <c r="B376" s="10" t="s">
        <v>756</v>
      </c>
      <c r="C376" s="10" t="s">
        <v>123</v>
      </c>
      <c r="D376" s="10" t="s">
        <v>294</v>
      </c>
    </row>
    <row r="377" spans="1:4" x14ac:dyDescent="0.3">
      <c r="A377" s="10" t="s">
        <v>3907</v>
      </c>
      <c r="B377" s="10" t="s">
        <v>761</v>
      </c>
      <c r="C377" s="10" t="s">
        <v>123</v>
      </c>
      <c r="D377" s="10" t="s">
        <v>348</v>
      </c>
    </row>
    <row r="378" spans="1:4" x14ac:dyDescent="0.3">
      <c r="A378" s="10" t="s">
        <v>3389</v>
      </c>
      <c r="B378" s="10" t="s">
        <v>762</v>
      </c>
      <c r="C378" s="10" t="s">
        <v>123</v>
      </c>
      <c r="D378" s="10" t="s">
        <v>348</v>
      </c>
    </row>
    <row r="379" spans="1:4" x14ac:dyDescent="0.3">
      <c r="A379" s="10" t="s">
        <v>2755</v>
      </c>
      <c r="B379" s="10" t="s">
        <v>285</v>
      </c>
      <c r="C379" s="10" t="s">
        <v>115</v>
      </c>
      <c r="D379" s="10" t="s">
        <v>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M4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1" width="8" customWidth="1"/>
    <col min="2" max="2" width="24" customWidth="1"/>
    <col min="3" max="3" width="12" customWidth="1"/>
    <col min="4" max="4" width="10" customWidth="1"/>
    <col min="5" max="7" width="11" customWidth="1"/>
    <col min="8" max="8" width="24" customWidth="1"/>
    <col min="9" max="9" width="26" customWidth="1"/>
    <col min="10" max="10" width="32" customWidth="1"/>
    <col min="11" max="11" width="6" customWidth="1"/>
    <col min="12" max="12" width="26" customWidth="1"/>
    <col min="13" max="13" width="12" customWidth="1"/>
  </cols>
  <sheetData>
    <row r="1" spans="1:13" ht="15.6" x14ac:dyDescent="0.3">
      <c r="A1" s="15" t="s">
        <v>3944</v>
      </c>
    </row>
    <row r="2" spans="1:13" x14ac:dyDescent="0.3">
      <c r="A2" s="7" t="s">
        <v>3945</v>
      </c>
    </row>
    <row r="4" spans="1:13" ht="26.4" x14ac:dyDescent="0.3">
      <c r="A4" s="16" t="s">
        <v>239</v>
      </c>
      <c r="B4" s="16" t="s">
        <v>2001</v>
      </c>
      <c r="C4" s="16" t="s">
        <v>3946</v>
      </c>
      <c r="D4" s="16" t="s">
        <v>3947</v>
      </c>
      <c r="E4" s="16" t="s">
        <v>3948</v>
      </c>
      <c r="F4" s="16" t="s">
        <v>3949</v>
      </c>
      <c r="G4" s="16" t="s">
        <v>3950</v>
      </c>
      <c r="H4" s="16" t="s">
        <v>3951</v>
      </c>
      <c r="I4" s="16" t="s">
        <v>3952</v>
      </c>
      <c r="J4" s="16" t="s">
        <v>238</v>
      </c>
      <c r="K4" s="16" t="s">
        <v>108</v>
      </c>
      <c r="L4" s="16" t="s">
        <v>183</v>
      </c>
      <c r="M4" s="16" t="s">
        <v>3953</v>
      </c>
    </row>
    <row r="5" spans="1:13" x14ac:dyDescent="0.3">
      <c r="A5" s="10" t="s">
        <v>1430</v>
      </c>
      <c r="B5" s="10" t="s">
        <v>3954</v>
      </c>
      <c r="C5" s="10" t="s">
        <v>247</v>
      </c>
      <c r="D5" s="10" t="s">
        <v>3955</v>
      </c>
      <c r="E5" s="31">
        <v>1725</v>
      </c>
      <c r="F5" s="10" t="s">
        <v>3956</v>
      </c>
      <c r="G5" s="10" t="s">
        <v>3957</v>
      </c>
      <c r="H5" s="10" t="s">
        <v>3958</v>
      </c>
      <c r="I5" s="10" t="s">
        <v>245</v>
      </c>
      <c r="J5" s="10" t="s">
        <v>245</v>
      </c>
      <c r="K5" s="10" t="s">
        <v>113</v>
      </c>
      <c r="L5" s="10" t="s">
        <v>184</v>
      </c>
      <c r="M5" s="31">
        <v>105000</v>
      </c>
    </row>
    <row r="6" spans="1:13" x14ac:dyDescent="0.3">
      <c r="A6" s="10" t="s">
        <v>1432</v>
      </c>
      <c r="B6" s="10" t="s">
        <v>3959</v>
      </c>
      <c r="C6" s="10" t="s">
        <v>247</v>
      </c>
      <c r="D6" s="10" t="s">
        <v>3955</v>
      </c>
      <c r="E6" s="31">
        <v>2560</v>
      </c>
      <c r="F6" s="10" t="s">
        <v>3960</v>
      </c>
      <c r="G6" s="10" t="s">
        <v>3961</v>
      </c>
      <c r="H6" s="10" t="s">
        <v>3958</v>
      </c>
      <c r="I6" s="10" t="s">
        <v>278</v>
      </c>
      <c r="J6" s="10" t="s">
        <v>278</v>
      </c>
      <c r="K6" s="10" t="s">
        <v>115</v>
      </c>
      <c r="L6" s="10" t="s">
        <v>185</v>
      </c>
      <c r="M6" s="31">
        <v>250000</v>
      </c>
    </row>
    <row r="7" spans="1:13" x14ac:dyDescent="0.3">
      <c r="A7" s="10" t="s">
        <v>1432</v>
      </c>
      <c r="B7" s="10" t="s">
        <v>3962</v>
      </c>
      <c r="C7" s="10" t="s">
        <v>3963</v>
      </c>
      <c r="D7" s="10" t="s">
        <v>3955</v>
      </c>
      <c r="E7" s="31">
        <v>2560</v>
      </c>
      <c r="F7" s="10" t="s">
        <v>3960</v>
      </c>
      <c r="G7" s="10" t="s">
        <v>3961</v>
      </c>
      <c r="H7" s="10" t="s">
        <v>2120</v>
      </c>
      <c r="I7" s="10" t="s">
        <v>278</v>
      </c>
      <c r="J7" s="10" t="s">
        <v>278</v>
      </c>
      <c r="K7" s="10" t="s">
        <v>115</v>
      </c>
      <c r="L7" s="10" t="s">
        <v>185</v>
      </c>
      <c r="M7" s="31">
        <v>8060000</v>
      </c>
    </row>
    <row r="8" spans="1:13" x14ac:dyDescent="0.3">
      <c r="A8" s="10" t="s">
        <v>1434</v>
      </c>
      <c r="B8" s="10" t="s">
        <v>3964</v>
      </c>
      <c r="C8" s="10" t="s">
        <v>247</v>
      </c>
      <c r="D8" s="10" t="s">
        <v>3955</v>
      </c>
      <c r="E8" s="31">
        <v>2375</v>
      </c>
      <c r="F8" s="10" t="s">
        <v>3965</v>
      </c>
      <c r="G8" s="10" t="s">
        <v>3966</v>
      </c>
      <c r="H8" s="10" t="s">
        <v>2120</v>
      </c>
      <c r="I8" s="10" t="s">
        <v>2932</v>
      </c>
      <c r="J8" s="10" t="s">
        <v>986</v>
      </c>
      <c r="K8" s="10" t="s">
        <v>117</v>
      </c>
      <c r="L8" s="10" t="s">
        <v>186</v>
      </c>
      <c r="M8" s="31">
        <v>184340</v>
      </c>
    </row>
    <row r="9" spans="1:13" x14ac:dyDescent="0.3">
      <c r="A9" s="10" t="s">
        <v>1434</v>
      </c>
      <c r="B9" s="10" t="s">
        <v>3967</v>
      </c>
      <c r="C9" s="10" t="s">
        <v>3963</v>
      </c>
      <c r="D9" s="10" t="s">
        <v>3955</v>
      </c>
      <c r="E9" s="31">
        <v>2375</v>
      </c>
      <c r="F9" s="10" t="s">
        <v>3965</v>
      </c>
      <c r="G9" s="10" t="s">
        <v>3966</v>
      </c>
      <c r="H9" s="10" t="s">
        <v>2120</v>
      </c>
      <c r="I9" s="10" t="s">
        <v>2932</v>
      </c>
      <c r="J9" s="10" t="s">
        <v>986</v>
      </c>
      <c r="K9" s="10" t="s">
        <v>117</v>
      </c>
      <c r="L9" s="10" t="s">
        <v>186</v>
      </c>
      <c r="M9" s="31">
        <v>207480</v>
      </c>
    </row>
    <row r="10" spans="1:13" x14ac:dyDescent="0.3">
      <c r="A10" s="10" t="s">
        <v>1435</v>
      </c>
      <c r="B10" s="10" t="s">
        <v>3968</v>
      </c>
      <c r="C10" s="10" t="s">
        <v>247</v>
      </c>
      <c r="D10" s="10" t="s">
        <v>3955</v>
      </c>
      <c r="E10" s="31">
        <v>1840</v>
      </c>
      <c r="F10" s="10" t="s">
        <v>3969</v>
      </c>
      <c r="G10" s="10" t="s">
        <v>3970</v>
      </c>
      <c r="H10" s="10" t="s">
        <v>3958</v>
      </c>
      <c r="I10" s="10" t="s">
        <v>2890</v>
      </c>
      <c r="J10" s="10" t="s">
        <v>245</v>
      </c>
      <c r="K10" s="10" t="s">
        <v>113</v>
      </c>
      <c r="L10" s="10" t="s">
        <v>184</v>
      </c>
      <c r="M10" s="31">
        <v>100000</v>
      </c>
    </row>
    <row r="11" spans="1:13" x14ac:dyDescent="0.3">
      <c r="A11" s="10" t="s">
        <v>1435</v>
      </c>
      <c r="B11" s="10" t="s">
        <v>3971</v>
      </c>
      <c r="C11" s="10" t="s">
        <v>3963</v>
      </c>
      <c r="D11" s="10" t="s">
        <v>3955</v>
      </c>
      <c r="E11" s="31">
        <v>1840</v>
      </c>
      <c r="F11" s="10" t="s">
        <v>3969</v>
      </c>
      <c r="G11" s="10" t="s">
        <v>3970</v>
      </c>
      <c r="H11" s="10" t="s">
        <v>3958</v>
      </c>
      <c r="I11" s="10" t="s">
        <v>3972</v>
      </c>
      <c r="J11" s="10" t="s">
        <v>1278</v>
      </c>
      <c r="K11" s="10" t="s">
        <v>123</v>
      </c>
      <c r="L11" s="10" t="s">
        <v>196</v>
      </c>
      <c r="M11" s="31">
        <v>82500</v>
      </c>
    </row>
    <row r="12" spans="1:13" x14ac:dyDescent="0.3">
      <c r="A12" s="10" t="s">
        <v>1436</v>
      </c>
      <c r="B12" s="10" t="s">
        <v>3973</v>
      </c>
      <c r="C12" s="10" t="s">
        <v>247</v>
      </c>
      <c r="D12" s="10" t="s">
        <v>3955</v>
      </c>
      <c r="E12" s="31">
        <v>2115</v>
      </c>
      <c r="F12" s="10" t="s">
        <v>3974</v>
      </c>
      <c r="G12" s="10" t="s">
        <v>3975</v>
      </c>
      <c r="H12" s="10" t="s">
        <v>3976</v>
      </c>
      <c r="I12" s="10"/>
      <c r="J12" s="10"/>
      <c r="K12" s="10"/>
      <c r="L12" s="10" t="s">
        <v>2064</v>
      </c>
      <c r="M12" s="31"/>
    </row>
    <row r="13" spans="1:13" x14ac:dyDescent="0.3">
      <c r="A13" s="10" t="s">
        <v>1436</v>
      </c>
      <c r="B13" s="10" t="s">
        <v>3977</v>
      </c>
      <c r="C13" s="10" t="s">
        <v>3963</v>
      </c>
      <c r="D13" s="10" t="s">
        <v>3955</v>
      </c>
      <c r="E13" s="31">
        <v>2115</v>
      </c>
      <c r="F13" s="10" t="s">
        <v>3974</v>
      </c>
      <c r="G13" s="10" t="s">
        <v>3975</v>
      </c>
      <c r="H13" s="10" t="s">
        <v>2120</v>
      </c>
      <c r="I13" s="10" t="s">
        <v>923</v>
      </c>
      <c r="J13" s="10" t="s">
        <v>923</v>
      </c>
      <c r="K13" s="10" t="s">
        <v>115</v>
      </c>
      <c r="L13" s="10" t="s">
        <v>185</v>
      </c>
      <c r="M13" s="31">
        <v>216000</v>
      </c>
    </row>
    <row r="14" spans="1:13" x14ac:dyDescent="0.3">
      <c r="A14" s="10" t="s">
        <v>1437</v>
      </c>
      <c r="B14" s="10" t="s">
        <v>3978</v>
      </c>
      <c r="C14" s="10" t="s">
        <v>247</v>
      </c>
      <c r="D14" s="10" t="s">
        <v>3955</v>
      </c>
      <c r="E14" s="31">
        <v>1842</v>
      </c>
      <c r="F14" s="10" t="s">
        <v>3979</v>
      </c>
      <c r="G14" s="10" t="s">
        <v>3980</v>
      </c>
      <c r="H14" s="10"/>
      <c r="I14" s="10"/>
      <c r="J14" s="10"/>
      <c r="K14" s="10"/>
      <c r="L14" s="10" t="s">
        <v>2064</v>
      </c>
      <c r="M14" s="31"/>
    </row>
    <row r="15" spans="1:13" x14ac:dyDescent="0.3">
      <c r="A15" s="10" t="s">
        <v>1438</v>
      </c>
      <c r="B15" s="10" t="s">
        <v>3981</v>
      </c>
      <c r="C15" s="10" t="s">
        <v>247</v>
      </c>
      <c r="D15" s="10" t="s">
        <v>3955</v>
      </c>
      <c r="E15" s="31">
        <v>1525</v>
      </c>
      <c r="F15" s="10" t="s">
        <v>3982</v>
      </c>
      <c r="G15" s="10" t="s">
        <v>3983</v>
      </c>
      <c r="H15" s="10" t="s">
        <v>2120</v>
      </c>
      <c r="I15" s="10" t="s">
        <v>3984</v>
      </c>
      <c r="J15" s="10" t="s">
        <v>940</v>
      </c>
      <c r="K15" s="10" t="s">
        <v>115</v>
      </c>
      <c r="L15" s="10" t="s">
        <v>185</v>
      </c>
      <c r="M15" s="31">
        <v>146000</v>
      </c>
    </row>
    <row r="16" spans="1:13" x14ac:dyDescent="0.3">
      <c r="A16" s="10" t="s">
        <v>1439</v>
      </c>
      <c r="B16" s="10" t="s">
        <v>3978</v>
      </c>
      <c r="C16" s="10" t="s">
        <v>247</v>
      </c>
      <c r="D16" s="10" t="s">
        <v>3955</v>
      </c>
      <c r="E16" s="31">
        <v>1868</v>
      </c>
      <c r="F16" s="10" t="s">
        <v>3979</v>
      </c>
      <c r="G16" s="10" t="s">
        <v>3980</v>
      </c>
      <c r="H16" s="10"/>
      <c r="I16" s="10"/>
      <c r="J16" s="10"/>
      <c r="K16" s="10"/>
      <c r="L16" s="10" t="s">
        <v>2064</v>
      </c>
      <c r="M16" s="31"/>
    </row>
    <row r="17" spans="1:13" x14ac:dyDescent="0.3">
      <c r="A17" s="10" t="s">
        <v>1440</v>
      </c>
      <c r="B17" s="10" t="s">
        <v>3985</v>
      </c>
      <c r="C17" s="10" t="s">
        <v>247</v>
      </c>
      <c r="D17" s="10" t="s">
        <v>3986</v>
      </c>
      <c r="E17" s="31">
        <v>1740</v>
      </c>
      <c r="F17" s="10" t="s">
        <v>3987</v>
      </c>
      <c r="G17" s="10" t="s">
        <v>3988</v>
      </c>
      <c r="H17" s="10" t="s">
        <v>2120</v>
      </c>
      <c r="I17" s="10" t="s">
        <v>3989</v>
      </c>
      <c r="J17" s="10" t="s">
        <v>789</v>
      </c>
      <c r="K17" s="10" t="s">
        <v>115</v>
      </c>
      <c r="L17" s="10" t="s">
        <v>185</v>
      </c>
      <c r="M17" s="31">
        <v>84600</v>
      </c>
    </row>
    <row r="18" spans="1:13" x14ac:dyDescent="0.3">
      <c r="A18" s="10" t="s">
        <v>1440</v>
      </c>
      <c r="B18" s="10" t="s">
        <v>3990</v>
      </c>
      <c r="C18" s="10" t="s">
        <v>3963</v>
      </c>
      <c r="D18" s="10" t="s">
        <v>3986</v>
      </c>
      <c r="E18" s="31">
        <v>1740</v>
      </c>
      <c r="F18" s="10" t="s">
        <v>3987</v>
      </c>
      <c r="G18" s="10" t="s">
        <v>3988</v>
      </c>
      <c r="H18" s="10" t="s">
        <v>772</v>
      </c>
      <c r="I18" s="10"/>
      <c r="J18" s="10"/>
      <c r="K18" s="10"/>
      <c r="L18" s="10" t="s">
        <v>2064</v>
      </c>
      <c r="M18" s="31">
        <v>60000</v>
      </c>
    </row>
    <row r="19" spans="1:13" x14ac:dyDescent="0.3">
      <c r="A19" s="10" t="s">
        <v>1441</v>
      </c>
      <c r="B19" s="10" t="s">
        <v>3991</v>
      </c>
      <c r="C19" s="10" t="s">
        <v>247</v>
      </c>
      <c r="D19" s="10" t="s">
        <v>3955</v>
      </c>
      <c r="E19" s="31">
        <v>2250</v>
      </c>
      <c r="F19" s="10" t="s">
        <v>3992</v>
      </c>
      <c r="G19" s="10" t="s">
        <v>3993</v>
      </c>
      <c r="H19" s="10" t="s">
        <v>3994</v>
      </c>
      <c r="I19" s="10" t="s">
        <v>2733</v>
      </c>
      <c r="J19" s="10" t="s">
        <v>430</v>
      </c>
      <c r="K19" s="10" t="s">
        <v>123</v>
      </c>
      <c r="L19" s="10" t="s">
        <v>203</v>
      </c>
      <c r="M19" s="31">
        <v>65000</v>
      </c>
    </row>
    <row r="20" spans="1:13" x14ac:dyDescent="0.3">
      <c r="A20" s="10" t="s">
        <v>1441</v>
      </c>
      <c r="B20" s="10" t="s">
        <v>3995</v>
      </c>
      <c r="C20" s="10" t="s">
        <v>3963</v>
      </c>
      <c r="D20" s="10" t="s">
        <v>3955</v>
      </c>
      <c r="E20" s="31">
        <v>2250</v>
      </c>
      <c r="F20" s="10" t="s">
        <v>3992</v>
      </c>
      <c r="G20" s="10" t="s">
        <v>3993</v>
      </c>
      <c r="H20" s="10" t="s">
        <v>3976</v>
      </c>
      <c r="I20" s="10"/>
      <c r="J20" s="10"/>
      <c r="K20" s="10"/>
      <c r="L20" s="10" t="s">
        <v>2064</v>
      </c>
      <c r="M20" s="31"/>
    </row>
    <row r="21" spans="1:13" x14ac:dyDescent="0.3">
      <c r="A21" s="10" t="s">
        <v>1442</v>
      </c>
      <c r="B21" s="10" t="s">
        <v>3996</v>
      </c>
      <c r="C21" s="10" t="s">
        <v>247</v>
      </c>
      <c r="D21" s="10" t="s">
        <v>3955</v>
      </c>
      <c r="E21" s="31">
        <v>1895</v>
      </c>
      <c r="F21" s="10" t="s">
        <v>3997</v>
      </c>
      <c r="G21" s="10" t="s">
        <v>3998</v>
      </c>
      <c r="H21" s="10" t="s">
        <v>3999</v>
      </c>
      <c r="I21" s="10" t="s">
        <v>1187</v>
      </c>
      <c r="J21" s="10" t="s">
        <v>1187</v>
      </c>
      <c r="K21" s="10" t="s">
        <v>123</v>
      </c>
      <c r="L21" s="10" t="s">
        <v>198</v>
      </c>
      <c r="M21" s="31">
        <v>62000</v>
      </c>
    </row>
    <row r="22" spans="1:13" x14ac:dyDescent="0.3">
      <c r="A22" s="10" t="s">
        <v>1443</v>
      </c>
      <c r="B22" s="10" t="s">
        <v>4000</v>
      </c>
      <c r="C22" s="10" t="s">
        <v>247</v>
      </c>
      <c r="D22" s="10" t="s">
        <v>3955</v>
      </c>
      <c r="E22" s="31">
        <v>2610</v>
      </c>
      <c r="F22" s="10" t="s">
        <v>4001</v>
      </c>
      <c r="G22" s="10" t="s">
        <v>4002</v>
      </c>
      <c r="H22" s="10" t="s">
        <v>3958</v>
      </c>
      <c r="I22" s="10" t="s">
        <v>802</v>
      </c>
      <c r="J22" s="10" t="s">
        <v>802</v>
      </c>
      <c r="K22" s="10" t="s">
        <v>115</v>
      </c>
      <c r="L22" s="10" t="s">
        <v>185</v>
      </c>
      <c r="M22" s="31">
        <v>193000</v>
      </c>
    </row>
    <row r="23" spans="1:13" x14ac:dyDescent="0.3">
      <c r="A23" s="10" t="s">
        <v>1443</v>
      </c>
      <c r="B23" s="10" t="s">
        <v>4003</v>
      </c>
      <c r="C23" s="10" t="s">
        <v>3963</v>
      </c>
      <c r="D23" s="10" t="s">
        <v>3955</v>
      </c>
      <c r="E23" s="31">
        <v>2610</v>
      </c>
      <c r="F23" s="10" t="s">
        <v>4001</v>
      </c>
      <c r="G23" s="10" t="s">
        <v>4002</v>
      </c>
      <c r="H23" s="10" t="s">
        <v>2120</v>
      </c>
      <c r="I23" s="10" t="s">
        <v>802</v>
      </c>
      <c r="J23" s="10" t="s">
        <v>802</v>
      </c>
      <c r="K23" s="10" t="s">
        <v>115</v>
      </c>
      <c r="L23" s="10" t="s">
        <v>185</v>
      </c>
      <c r="M23" s="31">
        <v>208000</v>
      </c>
    </row>
    <row r="24" spans="1:13" x14ac:dyDescent="0.3">
      <c r="A24" s="10" t="s">
        <v>1444</v>
      </c>
      <c r="B24" s="10" t="s">
        <v>4004</v>
      </c>
      <c r="C24" s="10" t="s">
        <v>247</v>
      </c>
      <c r="D24" s="10" t="s">
        <v>3955</v>
      </c>
      <c r="E24" s="31">
        <v>1865</v>
      </c>
      <c r="F24" s="10" t="s">
        <v>4005</v>
      </c>
      <c r="G24" s="10" t="s">
        <v>4006</v>
      </c>
      <c r="H24" s="10" t="s">
        <v>3498</v>
      </c>
      <c r="I24" s="10" t="s">
        <v>4007</v>
      </c>
      <c r="J24" s="10" t="s">
        <v>1115</v>
      </c>
      <c r="K24" s="10" t="s">
        <v>123</v>
      </c>
      <c r="L24" s="10" t="s">
        <v>189</v>
      </c>
      <c r="M24" s="31">
        <v>87312</v>
      </c>
    </row>
    <row r="25" spans="1:13" x14ac:dyDescent="0.3">
      <c r="A25" s="10" t="s">
        <v>1445</v>
      </c>
      <c r="B25" s="10" t="s">
        <v>4008</v>
      </c>
      <c r="C25" s="10" t="s">
        <v>247</v>
      </c>
      <c r="D25" s="10" t="s">
        <v>3955</v>
      </c>
      <c r="E25" s="31">
        <v>2285</v>
      </c>
      <c r="F25" s="10" t="s">
        <v>4009</v>
      </c>
      <c r="G25" s="10" t="s">
        <v>4010</v>
      </c>
      <c r="H25" s="10" t="s">
        <v>3958</v>
      </c>
      <c r="I25" s="10" t="s">
        <v>1110</v>
      </c>
      <c r="J25" s="10" t="s">
        <v>1110</v>
      </c>
      <c r="K25" s="10" t="s">
        <v>121</v>
      </c>
      <c r="L25" s="10" t="s">
        <v>188</v>
      </c>
      <c r="M25" s="31">
        <v>113675</v>
      </c>
    </row>
    <row r="26" spans="1:13" x14ac:dyDescent="0.3">
      <c r="A26" s="10" t="s">
        <v>1445</v>
      </c>
      <c r="B26" s="10" t="s">
        <v>4011</v>
      </c>
      <c r="C26" s="10" t="s">
        <v>3963</v>
      </c>
      <c r="D26" s="10" t="s">
        <v>3955</v>
      </c>
      <c r="E26" s="31">
        <v>2285</v>
      </c>
      <c r="F26" s="10" t="s">
        <v>4009</v>
      </c>
      <c r="G26" s="10" t="s">
        <v>4010</v>
      </c>
      <c r="H26" s="10" t="s">
        <v>3999</v>
      </c>
      <c r="I26" s="10" t="s">
        <v>4012</v>
      </c>
      <c r="J26" s="10" t="s">
        <v>1292</v>
      </c>
      <c r="K26" s="10" t="s">
        <v>123</v>
      </c>
      <c r="L26" s="10" t="s">
        <v>199</v>
      </c>
      <c r="M26" s="31">
        <v>15705.2</v>
      </c>
    </row>
    <row r="27" spans="1:13" x14ac:dyDescent="0.3">
      <c r="A27" s="10" t="s">
        <v>1446</v>
      </c>
      <c r="B27" s="10" t="s">
        <v>3978</v>
      </c>
      <c r="C27" s="10" t="s">
        <v>247</v>
      </c>
      <c r="D27" s="10" t="s">
        <v>3955</v>
      </c>
      <c r="E27" s="31">
        <v>2185</v>
      </c>
      <c r="F27" s="10" t="s">
        <v>4013</v>
      </c>
      <c r="G27" s="10" t="s">
        <v>4014</v>
      </c>
      <c r="H27" s="10"/>
      <c r="I27" s="10"/>
      <c r="J27" s="10"/>
      <c r="K27" s="10"/>
      <c r="L27" s="10" t="s">
        <v>2064</v>
      </c>
      <c r="M27" s="31"/>
    </row>
    <row r="28" spans="1:13" x14ac:dyDescent="0.3">
      <c r="A28" s="10" t="s">
        <v>1447</v>
      </c>
      <c r="B28" s="10" t="s">
        <v>3978</v>
      </c>
      <c r="C28" s="10" t="s">
        <v>247</v>
      </c>
      <c r="D28" s="10" t="s">
        <v>3955</v>
      </c>
      <c r="E28" s="31">
        <v>1975</v>
      </c>
      <c r="F28" s="10" t="s">
        <v>4015</v>
      </c>
      <c r="G28" s="10" t="s">
        <v>4016</v>
      </c>
      <c r="H28" s="10"/>
      <c r="I28" s="10"/>
      <c r="J28" s="10"/>
      <c r="K28" s="10"/>
      <c r="L28" s="10" t="s">
        <v>2064</v>
      </c>
      <c r="M28" s="31"/>
    </row>
    <row r="29" spans="1:13" x14ac:dyDescent="0.3">
      <c r="A29" s="10" t="s">
        <v>1448</v>
      </c>
      <c r="B29" s="10" t="s">
        <v>4017</v>
      </c>
      <c r="C29" s="10" t="s">
        <v>247</v>
      </c>
      <c r="D29" s="10" t="s">
        <v>3955</v>
      </c>
      <c r="E29" s="31">
        <v>2345</v>
      </c>
      <c r="F29" s="10" t="s">
        <v>4018</v>
      </c>
      <c r="G29" s="10" t="s">
        <v>4019</v>
      </c>
      <c r="H29" s="10" t="s">
        <v>4020</v>
      </c>
      <c r="I29" s="10" t="s">
        <v>1131</v>
      </c>
      <c r="J29" s="10" t="s">
        <v>1131</v>
      </c>
      <c r="K29" s="10" t="s">
        <v>123</v>
      </c>
      <c r="L29" s="10" t="s">
        <v>193</v>
      </c>
      <c r="M29" s="31">
        <v>180000</v>
      </c>
    </row>
    <row r="30" spans="1:13" x14ac:dyDescent="0.3">
      <c r="A30" s="10" t="s">
        <v>1448</v>
      </c>
      <c r="B30" s="10" t="s">
        <v>4021</v>
      </c>
      <c r="C30" s="10" t="s">
        <v>3963</v>
      </c>
      <c r="D30" s="10" t="s">
        <v>3955</v>
      </c>
      <c r="E30" s="31">
        <v>2345</v>
      </c>
      <c r="F30" s="10" t="s">
        <v>4018</v>
      </c>
      <c r="G30" s="10" t="s">
        <v>4019</v>
      </c>
      <c r="H30" s="10" t="s">
        <v>4022</v>
      </c>
      <c r="I30" s="10"/>
      <c r="J30" s="10"/>
      <c r="K30" s="10"/>
      <c r="L30" s="10" t="s">
        <v>2064</v>
      </c>
      <c r="M30" s="31"/>
    </row>
    <row r="31" spans="1:13" x14ac:dyDescent="0.3">
      <c r="A31" s="10" t="s">
        <v>1449</v>
      </c>
      <c r="B31" s="10" t="s">
        <v>4023</v>
      </c>
      <c r="C31" s="10" t="s">
        <v>247</v>
      </c>
      <c r="D31" s="10" t="s">
        <v>3955</v>
      </c>
      <c r="E31" s="31">
        <v>1795</v>
      </c>
      <c r="F31" s="10" t="s">
        <v>4024</v>
      </c>
      <c r="G31" s="10" t="s">
        <v>4025</v>
      </c>
      <c r="H31" s="10" t="s">
        <v>3498</v>
      </c>
      <c r="I31" s="10" t="s">
        <v>1115</v>
      </c>
      <c r="J31" s="10" t="s">
        <v>1115</v>
      </c>
      <c r="K31" s="10" t="s">
        <v>123</v>
      </c>
      <c r="L31" s="10" t="s">
        <v>189</v>
      </c>
      <c r="M31" s="31">
        <v>81608.039999999994</v>
      </c>
    </row>
    <row r="32" spans="1:13" x14ac:dyDescent="0.3">
      <c r="A32" s="10" t="s">
        <v>1450</v>
      </c>
      <c r="B32" s="10" t="s">
        <v>4026</v>
      </c>
      <c r="C32" s="10" t="s">
        <v>247</v>
      </c>
      <c r="D32" s="10" t="s">
        <v>3955</v>
      </c>
      <c r="E32" s="31">
        <v>1895</v>
      </c>
      <c r="F32" s="10" t="s">
        <v>4027</v>
      </c>
      <c r="G32" s="10" t="s">
        <v>4028</v>
      </c>
      <c r="H32" s="10" t="s">
        <v>4022</v>
      </c>
      <c r="I32" s="10"/>
      <c r="J32" s="10"/>
      <c r="K32" s="10"/>
      <c r="L32" s="10" t="s">
        <v>2064</v>
      </c>
      <c r="M32" s="31"/>
    </row>
    <row r="33" spans="1:13" x14ac:dyDescent="0.3">
      <c r="A33" s="10" t="s">
        <v>1450</v>
      </c>
      <c r="B33" s="10" t="s">
        <v>4029</v>
      </c>
      <c r="C33" s="10" t="s">
        <v>3963</v>
      </c>
      <c r="D33" s="10" t="s">
        <v>3955</v>
      </c>
      <c r="E33" s="31">
        <v>1895</v>
      </c>
      <c r="F33" s="10" t="s">
        <v>4027</v>
      </c>
      <c r="G33" s="10" t="s">
        <v>4028</v>
      </c>
      <c r="H33" s="10" t="s">
        <v>2120</v>
      </c>
      <c r="I33" s="10" t="s">
        <v>4030</v>
      </c>
      <c r="J33" s="10" t="s">
        <v>986</v>
      </c>
      <c r="K33" s="10" t="s">
        <v>117</v>
      </c>
      <c r="L33" s="10" t="s">
        <v>186</v>
      </c>
      <c r="M33" s="31">
        <v>130000</v>
      </c>
    </row>
    <row r="34" spans="1:13" x14ac:dyDescent="0.3">
      <c r="A34" s="10" t="s">
        <v>1451</v>
      </c>
      <c r="B34" s="10" t="s">
        <v>4031</v>
      </c>
      <c r="C34" s="10" t="s">
        <v>247</v>
      </c>
      <c r="D34" s="10" t="s">
        <v>3986</v>
      </c>
      <c r="E34" s="31">
        <v>1850</v>
      </c>
      <c r="F34" s="10" t="s">
        <v>4032</v>
      </c>
      <c r="G34" s="10" t="s">
        <v>4033</v>
      </c>
      <c r="H34" s="10" t="s">
        <v>4034</v>
      </c>
      <c r="I34" s="10" t="s">
        <v>1282</v>
      </c>
      <c r="J34" s="10" t="s">
        <v>1282</v>
      </c>
      <c r="K34" s="10" t="s">
        <v>123</v>
      </c>
      <c r="L34" s="10" t="s">
        <v>191</v>
      </c>
      <c r="M34" s="31">
        <v>108000</v>
      </c>
    </row>
    <row r="35" spans="1:13" x14ac:dyDescent="0.3">
      <c r="A35" s="10" t="s">
        <v>1451</v>
      </c>
      <c r="B35" s="10" t="s">
        <v>4035</v>
      </c>
      <c r="C35" s="10" t="s">
        <v>3963</v>
      </c>
      <c r="D35" s="10" t="s">
        <v>3986</v>
      </c>
      <c r="E35" s="31">
        <v>1850</v>
      </c>
      <c r="F35" s="10" t="s">
        <v>4032</v>
      </c>
      <c r="G35" s="10" t="s">
        <v>4033</v>
      </c>
      <c r="H35" s="10" t="s">
        <v>772</v>
      </c>
      <c r="I35" s="10"/>
      <c r="J35" s="10"/>
      <c r="K35" s="10"/>
      <c r="L35" s="10" t="s">
        <v>2064</v>
      </c>
      <c r="M35" s="31"/>
    </row>
    <row r="36" spans="1:13" x14ac:dyDescent="0.3">
      <c r="A36" s="10" t="s">
        <v>1451</v>
      </c>
      <c r="B36" s="10" t="s">
        <v>4036</v>
      </c>
      <c r="C36" s="10" t="s">
        <v>3963</v>
      </c>
      <c r="D36" s="10" t="s">
        <v>3986</v>
      </c>
      <c r="E36" s="31">
        <v>1850</v>
      </c>
      <c r="F36" s="10" t="s">
        <v>4032</v>
      </c>
      <c r="G36" s="10" t="s">
        <v>4033</v>
      </c>
      <c r="H36" s="10" t="s">
        <v>3958</v>
      </c>
      <c r="I36" s="10" t="s">
        <v>1360</v>
      </c>
      <c r="J36" s="10" t="s">
        <v>1360</v>
      </c>
      <c r="K36" s="10" t="s">
        <v>123</v>
      </c>
      <c r="L36" s="10" t="s">
        <v>200</v>
      </c>
      <c r="M36" s="31">
        <v>60400</v>
      </c>
    </row>
    <row r="37" spans="1:13" x14ac:dyDescent="0.3">
      <c r="A37" s="10" t="s">
        <v>1452</v>
      </c>
      <c r="B37" s="10" t="s">
        <v>3978</v>
      </c>
      <c r="C37" s="10" t="s">
        <v>247</v>
      </c>
      <c r="D37" s="10" t="s">
        <v>3955</v>
      </c>
      <c r="E37" s="31">
        <v>1863</v>
      </c>
      <c r="F37" s="10" t="s">
        <v>4037</v>
      </c>
      <c r="G37" s="10" t="s">
        <v>4038</v>
      </c>
      <c r="H37" s="10"/>
      <c r="I37" s="10"/>
      <c r="J37" s="10"/>
      <c r="K37" s="10"/>
      <c r="L37" s="10" t="s">
        <v>2064</v>
      </c>
      <c r="M37" s="31"/>
    </row>
    <row r="38" spans="1:13" x14ac:dyDescent="0.3">
      <c r="A38" s="10" t="s">
        <v>1453</v>
      </c>
      <c r="B38" s="10" t="s">
        <v>4039</v>
      </c>
      <c r="C38" s="10" t="s">
        <v>247</v>
      </c>
      <c r="D38" s="10" t="s">
        <v>3955</v>
      </c>
      <c r="E38" s="31">
        <v>1495</v>
      </c>
      <c r="F38" s="10" t="s">
        <v>4040</v>
      </c>
      <c r="G38" s="10" t="s">
        <v>4041</v>
      </c>
      <c r="H38" s="10" t="s">
        <v>2120</v>
      </c>
      <c r="I38" s="10" t="s">
        <v>4042</v>
      </c>
      <c r="J38" s="10" t="s">
        <v>789</v>
      </c>
      <c r="K38" s="10" t="s">
        <v>115</v>
      </c>
      <c r="L38" s="10" t="s">
        <v>185</v>
      </c>
      <c r="M38" s="31">
        <v>78250</v>
      </c>
    </row>
    <row r="39" spans="1:13" x14ac:dyDescent="0.3">
      <c r="A39" s="10" t="s">
        <v>1454</v>
      </c>
      <c r="B39" s="10" t="s">
        <v>3978</v>
      </c>
      <c r="C39" s="10" t="s">
        <v>247</v>
      </c>
      <c r="D39" s="10" t="s">
        <v>3955</v>
      </c>
      <c r="E39" s="31">
        <v>1850</v>
      </c>
      <c r="F39" s="10" t="s">
        <v>4043</v>
      </c>
      <c r="G39" s="10" t="s">
        <v>4044</v>
      </c>
      <c r="H39" s="10"/>
      <c r="I39" s="10"/>
      <c r="J39" s="10"/>
      <c r="K39" s="10"/>
      <c r="L39" s="10" t="s">
        <v>2064</v>
      </c>
      <c r="M39" s="31"/>
    </row>
    <row r="40" spans="1:13" x14ac:dyDescent="0.3">
      <c r="A40" s="10" t="s">
        <v>1455</v>
      </c>
      <c r="B40" s="10" t="s">
        <v>4045</v>
      </c>
      <c r="C40" s="10" t="s">
        <v>247</v>
      </c>
      <c r="D40" s="10" t="s">
        <v>3955</v>
      </c>
      <c r="E40" s="31">
        <v>2000</v>
      </c>
      <c r="F40" s="10" t="s">
        <v>4046</v>
      </c>
      <c r="G40" s="10" t="s">
        <v>4047</v>
      </c>
      <c r="H40" s="10"/>
      <c r="I40" s="10"/>
      <c r="J40" s="10"/>
      <c r="K40" s="10"/>
      <c r="L40" s="10" t="s">
        <v>2064</v>
      </c>
      <c r="M40" s="31"/>
    </row>
    <row r="41" spans="1:13" x14ac:dyDescent="0.3">
      <c r="A41" s="10" t="s">
        <v>1456</v>
      </c>
      <c r="B41" s="10" t="s">
        <v>4048</v>
      </c>
      <c r="C41" s="10" t="s">
        <v>247</v>
      </c>
      <c r="D41" s="10" t="s">
        <v>3955</v>
      </c>
      <c r="E41" s="31">
        <v>1895</v>
      </c>
      <c r="F41" s="10" t="s">
        <v>4049</v>
      </c>
      <c r="G41" s="10" t="s">
        <v>4050</v>
      </c>
      <c r="H41" s="10" t="s">
        <v>3958</v>
      </c>
      <c r="I41" s="10" t="s">
        <v>2890</v>
      </c>
      <c r="J41" s="10" t="s">
        <v>245</v>
      </c>
      <c r="K41" s="10" t="s">
        <v>113</v>
      </c>
      <c r="L41" s="10" t="s">
        <v>184</v>
      </c>
      <c r="M41" s="31">
        <v>328000</v>
      </c>
    </row>
    <row r="42" spans="1:13" x14ac:dyDescent="0.3">
      <c r="A42" s="10" t="s">
        <v>1456</v>
      </c>
      <c r="B42" s="10" t="s">
        <v>4051</v>
      </c>
      <c r="C42" s="10" t="s">
        <v>3963</v>
      </c>
      <c r="D42" s="10" t="s">
        <v>3955</v>
      </c>
      <c r="E42" s="31">
        <v>1895</v>
      </c>
      <c r="F42" s="10" t="s">
        <v>4049</v>
      </c>
      <c r="G42" s="10" t="s">
        <v>4050</v>
      </c>
      <c r="H42" s="10" t="s">
        <v>3976</v>
      </c>
      <c r="I42" s="10"/>
      <c r="J42" s="10"/>
      <c r="K42" s="10"/>
      <c r="L42" s="10" t="s">
        <v>2064</v>
      </c>
      <c r="M42" s="31"/>
    </row>
    <row r="43" spans="1:13" x14ac:dyDescent="0.3">
      <c r="A43" s="10" t="s">
        <v>1457</v>
      </c>
      <c r="B43" s="10" t="s">
        <v>4052</v>
      </c>
      <c r="C43" s="10" t="s">
        <v>247</v>
      </c>
      <c r="D43" s="10" t="s">
        <v>3955</v>
      </c>
      <c r="E43" s="31">
        <v>2155</v>
      </c>
      <c r="F43" s="10" t="s">
        <v>4053</v>
      </c>
      <c r="G43" s="10" t="s">
        <v>4054</v>
      </c>
      <c r="H43" s="10" t="s">
        <v>4055</v>
      </c>
      <c r="I43" s="10" t="s">
        <v>1168</v>
      </c>
      <c r="J43" s="10" t="s">
        <v>1168</v>
      </c>
      <c r="K43" s="10" t="s">
        <v>123</v>
      </c>
      <c r="L43" s="10" t="s">
        <v>194</v>
      </c>
      <c r="M43" s="31">
        <v>50000</v>
      </c>
    </row>
    <row r="44" spans="1:13" x14ac:dyDescent="0.3">
      <c r="A44" s="10" t="s">
        <v>1458</v>
      </c>
      <c r="B44" s="10" t="s">
        <v>4056</v>
      </c>
      <c r="C44" s="10" t="s">
        <v>247</v>
      </c>
      <c r="D44" s="10" t="s">
        <v>3955</v>
      </c>
      <c r="E44" s="31">
        <v>1995</v>
      </c>
      <c r="F44" s="10" t="s">
        <v>4057</v>
      </c>
      <c r="G44" s="10" t="s">
        <v>4058</v>
      </c>
      <c r="H44" s="10" t="s">
        <v>3958</v>
      </c>
      <c r="I44" s="10" t="s">
        <v>1070</v>
      </c>
      <c r="J44" s="10" t="s">
        <v>1070</v>
      </c>
      <c r="K44" s="10" t="s">
        <v>119</v>
      </c>
      <c r="L44" s="10" t="s">
        <v>187</v>
      </c>
      <c r="M44" s="31">
        <v>94000</v>
      </c>
    </row>
    <row r="45" spans="1:13" x14ac:dyDescent="0.3">
      <c r="A45" s="10" t="s">
        <v>1458</v>
      </c>
      <c r="B45" s="10" t="s">
        <v>4059</v>
      </c>
      <c r="C45" s="10" t="s">
        <v>3963</v>
      </c>
      <c r="D45" s="10" t="s">
        <v>3955</v>
      </c>
      <c r="E45" s="31">
        <v>1995</v>
      </c>
      <c r="F45" s="10" t="s">
        <v>4057</v>
      </c>
      <c r="G45" s="10" t="s">
        <v>4058</v>
      </c>
      <c r="H45" s="10" t="s">
        <v>3958</v>
      </c>
      <c r="I45" s="10" t="s">
        <v>2890</v>
      </c>
      <c r="J45" s="10" t="s">
        <v>245</v>
      </c>
      <c r="K45" s="10" t="s">
        <v>113</v>
      </c>
      <c r="L45" s="10" t="s">
        <v>184</v>
      </c>
      <c r="M45" s="31">
        <v>112000</v>
      </c>
    </row>
    <row r="46" spans="1:13" x14ac:dyDescent="0.3">
      <c r="A46" s="10" t="s">
        <v>1459</v>
      </c>
      <c r="B46" s="10" t="s">
        <v>4060</v>
      </c>
      <c r="C46" s="10" t="s">
        <v>247</v>
      </c>
      <c r="D46" s="10" t="s">
        <v>3955</v>
      </c>
      <c r="E46" s="31">
        <v>2495</v>
      </c>
      <c r="F46" s="10" t="s">
        <v>4061</v>
      </c>
      <c r="G46" s="10" t="s">
        <v>4062</v>
      </c>
      <c r="H46" s="10" t="s">
        <v>2120</v>
      </c>
      <c r="I46" s="10"/>
      <c r="J46" s="10"/>
      <c r="K46" s="10"/>
      <c r="L46" s="10" t="s">
        <v>2064</v>
      </c>
      <c r="M46" s="31"/>
    </row>
    <row r="47" spans="1:13" x14ac:dyDescent="0.3">
      <c r="A47" s="10" t="s">
        <v>1459</v>
      </c>
      <c r="B47" s="10" t="s">
        <v>4063</v>
      </c>
      <c r="C47" s="10" t="s">
        <v>3963</v>
      </c>
      <c r="D47" s="10" t="s">
        <v>3955</v>
      </c>
      <c r="E47" s="31">
        <v>2495</v>
      </c>
      <c r="F47" s="10" t="s">
        <v>4061</v>
      </c>
      <c r="G47" s="10" t="s">
        <v>4062</v>
      </c>
      <c r="H47" s="10" t="s">
        <v>2120</v>
      </c>
      <c r="I47" s="10"/>
      <c r="J47" s="10"/>
      <c r="K47" s="10"/>
      <c r="L47" s="10" t="s">
        <v>2064</v>
      </c>
      <c r="M47" s="31"/>
    </row>
    <row r="48" spans="1:13" x14ac:dyDescent="0.3">
      <c r="A48" s="10" t="s">
        <v>1459</v>
      </c>
      <c r="B48" s="10" t="s">
        <v>4064</v>
      </c>
      <c r="C48" s="10" t="s">
        <v>3963</v>
      </c>
      <c r="D48" s="10" t="s">
        <v>3955</v>
      </c>
      <c r="E48" s="31">
        <v>2495</v>
      </c>
      <c r="F48" s="10" t="s">
        <v>4061</v>
      </c>
      <c r="G48" s="10" t="s">
        <v>4062</v>
      </c>
      <c r="H48" s="10" t="s">
        <v>2120</v>
      </c>
      <c r="I48" s="10" t="s">
        <v>4065</v>
      </c>
      <c r="J48" s="10" t="s">
        <v>784</v>
      </c>
      <c r="K48" s="10" t="s">
        <v>115</v>
      </c>
      <c r="L48" s="10" t="s">
        <v>185</v>
      </c>
      <c r="M48" s="31">
        <v>176800</v>
      </c>
    </row>
    <row r="49" spans="1:13" x14ac:dyDescent="0.3">
      <c r="A49" s="10" t="s">
        <v>1460</v>
      </c>
      <c r="B49" s="10" t="s">
        <v>4066</v>
      </c>
      <c r="C49" s="10" t="s">
        <v>247</v>
      </c>
      <c r="D49" s="10" t="s">
        <v>3955</v>
      </c>
      <c r="E49" s="31">
        <v>2410</v>
      </c>
      <c r="F49" s="10" t="s">
        <v>4067</v>
      </c>
      <c r="G49" s="10" t="s">
        <v>4068</v>
      </c>
      <c r="H49" s="10" t="s">
        <v>2120</v>
      </c>
      <c r="I49" s="10" t="s">
        <v>4069</v>
      </c>
      <c r="J49" s="10" t="s">
        <v>276</v>
      </c>
      <c r="K49" s="10" t="s">
        <v>115</v>
      </c>
      <c r="L49" s="10" t="s">
        <v>185</v>
      </c>
      <c r="M49" s="31">
        <v>216000</v>
      </c>
    </row>
    <row r="50" spans="1:13" x14ac:dyDescent="0.3">
      <c r="A50" s="10" t="s">
        <v>1460</v>
      </c>
      <c r="B50" s="10" t="s">
        <v>4070</v>
      </c>
      <c r="C50" s="10" t="s">
        <v>3963</v>
      </c>
      <c r="D50" s="10" t="s">
        <v>3955</v>
      </c>
      <c r="E50" s="31">
        <v>2410</v>
      </c>
      <c r="F50" s="10" t="s">
        <v>4067</v>
      </c>
      <c r="G50" s="10" t="s">
        <v>4068</v>
      </c>
      <c r="H50" s="10" t="s">
        <v>2120</v>
      </c>
      <c r="I50" s="10" t="s">
        <v>2237</v>
      </c>
      <c r="J50" s="10" t="s">
        <v>276</v>
      </c>
      <c r="K50" s="10" t="s">
        <v>115</v>
      </c>
      <c r="L50" s="10" t="s">
        <v>185</v>
      </c>
      <c r="M50" s="31">
        <v>216000</v>
      </c>
    </row>
    <row r="51" spans="1:13" x14ac:dyDescent="0.3">
      <c r="A51" s="10" t="s">
        <v>1461</v>
      </c>
      <c r="B51" s="10" t="s">
        <v>4071</v>
      </c>
      <c r="C51" s="10" t="s">
        <v>247</v>
      </c>
      <c r="D51" s="10" t="s">
        <v>3955</v>
      </c>
      <c r="E51" s="31">
        <v>2325</v>
      </c>
      <c r="F51" s="10" t="s">
        <v>4072</v>
      </c>
      <c r="G51" s="10" t="s">
        <v>4073</v>
      </c>
      <c r="H51" s="10" t="s">
        <v>3958</v>
      </c>
      <c r="I51" s="10" t="s">
        <v>4074</v>
      </c>
      <c r="J51" s="10" t="s">
        <v>245</v>
      </c>
      <c r="K51" s="10" t="s">
        <v>113</v>
      </c>
      <c r="L51" s="10" t="s">
        <v>184</v>
      </c>
      <c r="M51" s="31">
        <v>183000</v>
      </c>
    </row>
    <row r="52" spans="1:13" x14ac:dyDescent="0.3">
      <c r="A52" s="10" t="s">
        <v>1461</v>
      </c>
      <c r="B52" s="10" t="s">
        <v>4075</v>
      </c>
      <c r="C52" s="10" t="s">
        <v>3963</v>
      </c>
      <c r="D52" s="10" t="s">
        <v>3955</v>
      </c>
      <c r="E52" s="31">
        <v>2325</v>
      </c>
      <c r="F52" s="10" t="s">
        <v>4072</v>
      </c>
      <c r="G52" s="10" t="s">
        <v>4073</v>
      </c>
      <c r="H52" s="10" t="s">
        <v>3976</v>
      </c>
      <c r="I52" s="10"/>
      <c r="J52" s="10"/>
      <c r="K52" s="10"/>
      <c r="L52" s="10" t="s">
        <v>2064</v>
      </c>
      <c r="M52" s="31"/>
    </row>
    <row r="53" spans="1:13" x14ac:dyDescent="0.3">
      <c r="A53" s="10" t="s">
        <v>1462</v>
      </c>
      <c r="B53" s="10" t="s">
        <v>4076</v>
      </c>
      <c r="C53" s="10" t="s">
        <v>247</v>
      </c>
      <c r="D53" s="10" t="s">
        <v>3955</v>
      </c>
      <c r="E53" s="31">
        <v>2275</v>
      </c>
      <c r="F53" s="10" t="s">
        <v>4077</v>
      </c>
      <c r="G53" s="10" t="s">
        <v>4078</v>
      </c>
      <c r="H53" s="10" t="s">
        <v>2120</v>
      </c>
      <c r="I53" s="10" t="s">
        <v>932</v>
      </c>
      <c r="J53" s="10" t="s">
        <v>932</v>
      </c>
      <c r="K53" s="10" t="s">
        <v>115</v>
      </c>
      <c r="L53" s="10" t="s">
        <v>185</v>
      </c>
      <c r="M53" s="31">
        <v>143000</v>
      </c>
    </row>
    <row r="54" spans="1:13" x14ac:dyDescent="0.3">
      <c r="A54" s="10" t="s">
        <v>1462</v>
      </c>
      <c r="B54" s="10" t="s">
        <v>4079</v>
      </c>
      <c r="C54" s="10" t="s">
        <v>3963</v>
      </c>
      <c r="D54" s="10" t="s">
        <v>3955</v>
      </c>
      <c r="E54" s="31">
        <v>2275</v>
      </c>
      <c r="F54" s="10" t="s">
        <v>4077</v>
      </c>
      <c r="G54" s="10" t="s">
        <v>4078</v>
      </c>
      <c r="H54" s="10" t="s">
        <v>4022</v>
      </c>
      <c r="I54" s="10"/>
      <c r="J54" s="10"/>
      <c r="K54" s="10"/>
      <c r="L54" s="10" t="s">
        <v>2064</v>
      </c>
      <c r="M54" s="31"/>
    </row>
    <row r="55" spans="1:13" x14ac:dyDescent="0.3">
      <c r="A55" s="10" t="s">
        <v>1463</v>
      </c>
      <c r="B55" s="10" t="s">
        <v>4080</v>
      </c>
      <c r="C55" s="10" t="s">
        <v>247</v>
      </c>
      <c r="D55" s="10" t="s">
        <v>3955</v>
      </c>
      <c r="E55" s="31">
        <v>1925</v>
      </c>
      <c r="F55" s="10" t="s">
        <v>4081</v>
      </c>
      <c r="G55" s="10" t="s">
        <v>4082</v>
      </c>
      <c r="H55" s="10" t="s">
        <v>2120</v>
      </c>
      <c r="I55" s="10" t="s">
        <v>4083</v>
      </c>
      <c r="J55" s="10" t="s">
        <v>830</v>
      </c>
      <c r="K55" s="10" t="s">
        <v>115</v>
      </c>
      <c r="L55" s="10" t="s">
        <v>185</v>
      </c>
      <c r="M55" s="31">
        <v>125000</v>
      </c>
    </row>
    <row r="56" spans="1:13" x14ac:dyDescent="0.3">
      <c r="A56" s="10" t="s">
        <v>1464</v>
      </c>
      <c r="B56" s="10" t="s">
        <v>4084</v>
      </c>
      <c r="C56" s="10" t="s">
        <v>247</v>
      </c>
      <c r="D56" s="10" t="s">
        <v>3955</v>
      </c>
      <c r="E56" s="31">
        <v>2520</v>
      </c>
      <c r="F56" s="10" t="s">
        <v>4085</v>
      </c>
      <c r="G56" s="10" t="s">
        <v>4086</v>
      </c>
      <c r="H56" s="10"/>
      <c r="I56" s="10"/>
      <c r="J56" s="10"/>
      <c r="K56" s="10"/>
      <c r="L56" s="10" t="s">
        <v>2064</v>
      </c>
      <c r="M56" s="31"/>
    </row>
    <row r="57" spans="1:13" x14ac:dyDescent="0.3">
      <c r="A57" s="10" t="s">
        <v>1465</v>
      </c>
      <c r="B57" s="10" t="s">
        <v>4087</v>
      </c>
      <c r="C57" s="10" t="s">
        <v>247</v>
      </c>
      <c r="D57" s="10" t="s">
        <v>3955</v>
      </c>
      <c r="E57" s="31">
        <v>2510</v>
      </c>
      <c r="F57" s="10" t="s">
        <v>4088</v>
      </c>
      <c r="G57" s="10" t="s">
        <v>4089</v>
      </c>
      <c r="H57" s="10" t="s">
        <v>2120</v>
      </c>
      <c r="I57" s="10" t="s">
        <v>4090</v>
      </c>
      <c r="J57" s="10" t="s">
        <v>825</v>
      </c>
      <c r="K57" s="10" t="s">
        <v>115</v>
      </c>
      <c r="L57" s="10" t="s">
        <v>185</v>
      </c>
      <c r="M57" s="31">
        <v>182000</v>
      </c>
    </row>
    <row r="58" spans="1:13" x14ac:dyDescent="0.3">
      <c r="A58" s="10" t="s">
        <v>1465</v>
      </c>
      <c r="B58" s="10" t="s">
        <v>4091</v>
      </c>
      <c r="C58" s="10" t="s">
        <v>3963</v>
      </c>
      <c r="D58" s="10" t="s">
        <v>3955</v>
      </c>
      <c r="E58" s="31">
        <v>2510</v>
      </c>
      <c r="F58" s="10" t="s">
        <v>4088</v>
      </c>
      <c r="G58" s="10" t="s">
        <v>4089</v>
      </c>
      <c r="H58" s="10" t="s">
        <v>2120</v>
      </c>
      <c r="I58" s="10" t="s">
        <v>825</v>
      </c>
      <c r="J58" s="10" t="s">
        <v>825</v>
      </c>
      <c r="K58" s="10" t="s">
        <v>115</v>
      </c>
      <c r="L58" s="10" t="s">
        <v>185</v>
      </c>
      <c r="M58" s="31">
        <v>108000</v>
      </c>
    </row>
    <row r="59" spans="1:13" x14ac:dyDescent="0.3">
      <c r="A59" s="10" t="s">
        <v>1466</v>
      </c>
      <c r="B59" s="10" t="s">
        <v>4092</v>
      </c>
      <c r="C59" s="10" t="s">
        <v>247</v>
      </c>
      <c r="D59" s="10" t="s">
        <v>3986</v>
      </c>
      <c r="E59" s="31">
        <v>2170</v>
      </c>
      <c r="F59" s="10" t="s">
        <v>4093</v>
      </c>
      <c r="G59" s="10" t="s">
        <v>4094</v>
      </c>
      <c r="H59" s="10" t="s">
        <v>4095</v>
      </c>
      <c r="I59" s="10" t="s">
        <v>245</v>
      </c>
      <c r="J59" s="10" t="s">
        <v>245</v>
      </c>
      <c r="K59" s="10" t="s">
        <v>113</v>
      </c>
      <c r="L59" s="10" t="s">
        <v>184</v>
      </c>
      <c r="M59" s="31">
        <v>139000</v>
      </c>
    </row>
    <row r="60" spans="1:13" x14ac:dyDescent="0.3">
      <c r="A60" s="10" t="s">
        <v>1466</v>
      </c>
      <c r="B60" s="10" t="s">
        <v>4096</v>
      </c>
      <c r="C60" s="10" t="s">
        <v>3963</v>
      </c>
      <c r="D60" s="10" t="s">
        <v>3986</v>
      </c>
      <c r="E60" s="31">
        <v>2170</v>
      </c>
      <c r="F60" s="10" t="s">
        <v>4093</v>
      </c>
      <c r="G60" s="10" t="s">
        <v>4094</v>
      </c>
      <c r="H60" s="10" t="s">
        <v>4097</v>
      </c>
      <c r="I60" s="10" t="s">
        <v>245</v>
      </c>
      <c r="J60" s="10" t="s">
        <v>245</v>
      </c>
      <c r="K60" s="10" t="s">
        <v>113</v>
      </c>
      <c r="L60" s="10" t="s">
        <v>184</v>
      </c>
      <c r="M60" s="31">
        <v>182500</v>
      </c>
    </row>
    <row r="61" spans="1:13" x14ac:dyDescent="0.3">
      <c r="A61" s="10" t="s">
        <v>1467</v>
      </c>
      <c r="B61" s="10" t="s">
        <v>4098</v>
      </c>
      <c r="C61" s="10" t="s">
        <v>247</v>
      </c>
      <c r="D61" s="10" t="s">
        <v>3955</v>
      </c>
      <c r="E61" s="31">
        <v>2185</v>
      </c>
      <c r="F61" s="10" t="s">
        <v>4099</v>
      </c>
      <c r="G61" s="10" t="s">
        <v>4100</v>
      </c>
      <c r="H61" s="10" t="s">
        <v>3958</v>
      </c>
      <c r="I61" s="10" t="s">
        <v>245</v>
      </c>
      <c r="J61" s="10" t="s">
        <v>245</v>
      </c>
      <c r="K61" s="10" t="s">
        <v>113</v>
      </c>
      <c r="L61" s="10" t="s">
        <v>184</v>
      </c>
      <c r="M61" s="31">
        <v>80400</v>
      </c>
    </row>
    <row r="62" spans="1:13" x14ac:dyDescent="0.3">
      <c r="A62" s="10" t="s">
        <v>1467</v>
      </c>
      <c r="B62" s="10" t="s">
        <v>4101</v>
      </c>
      <c r="C62" s="10" t="s">
        <v>3963</v>
      </c>
      <c r="D62" s="10" t="s">
        <v>3955</v>
      </c>
      <c r="E62" s="31">
        <v>2185</v>
      </c>
      <c r="F62" s="10" t="s">
        <v>4099</v>
      </c>
      <c r="G62" s="10" t="s">
        <v>4100</v>
      </c>
      <c r="H62" s="10" t="s">
        <v>3958</v>
      </c>
      <c r="I62" s="10"/>
      <c r="J62" s="10"/>
      <c r="K62" s="10"/>
      <c r="L62" s="10" t="s">
        <v>2064</v>
      </c>
      <c r="M62" s="31"/>
    </row>
    <row r="63" spans="1:13" x14ac:dyDescent="0.3">
      <c r="A63" s="10" t="s">
        <v>1468</v>
      </c>
      <c r="B63" s="10" t="s">
        <v>3978</v>
      </c>
      <c r="C63" s="10" t="s">
        <v>247</v>
      </c>
      <c r="D63" s="10" t="s">
        <v>3955</v>
      </c>
      <c r="E63" s="31">
        <v>1885</v>
      </c>
      <c r="F63" s="10" t="s">
        <v>4043</v>
      </c>
      <c r="G63" s="10" t="s">
        <v>4044</v>
      </c>
      <c r="H63" s="10"/>
      <c r="I63" s="10"/>
      <c r="J63" s="10"/>
      <c r="K63" s="10"/>
      <c r="L63" s="10" t="s">
        <v>2064</v>
      </c>
      <c r="M63" s="31"/>
    </row>
    <row r="64" spans="1:13" x14ac:dyDescent="0.3">
      <c r="A64" s="10" t="s">
        <v>1469</v>
      </c>
      <c r="B64" s="10" t="s">
        <v>4102</v>
      </c>
      <c r="C64" s="10" t="s">
        <v>247</v>
      </c>
      <c r="D64" s="10" t="s">
        <v>3955</v>
      </c>
      <c r="E64" s="31">
        <v>1650</v>
      </c>
      <c r="F64" s="10" t="s">
        <v>4057</v>
      </c>
      <c r="G64" s="10" t="s">
        <v>4058</v>
      </c>
      <c r="H64" s="10" t="s">
        <v>3958</v>
      </c>
      <c r="I64" s="10" t="s">
        <v>4074</v>
      </c>
      <c r="J64" s="10" t="s">
        <v>245</v>
      </c>
      <c r="K64" s="10" t="s">
        <v>113</v>
      </c>
      <c r="L64" s="10" t="s">
        <v>184</v>
      </c>
      <c r="M64" s="31">
        <v>83000</v>
      </c>
    </row>
    <row r="65" spans="1:13" x14ac:dyDescent="0.3">
      <c r="A65" s="10" t="s">
        <v>1470</v>
      </c>
      <c r="B65" s="10" t="s">
        <v>3978</v>
      </c>
      <c r="C65" s="10" t="s">
        <v>247</v>
      </c>
      <c r="D65" s="10" t="s">
        <v>3955</v>
      </c>
      <c r="E65" s="31">
        <v>1905</v>
      </c>
      <c r="F65" s="10" t="s">
        <v>3982</v>
      </c>
      <c r="G65" s="10" t="s">
        <v>4103</v>
      </c>
      <c r="H65" s="10"/>
      <c r="I65" s="10"/>
      <c r="J65" s="10"/>
      <c r="K65" s="10"/>
      <c r="L65" s="10" t="s">
        <v>2064</v>
      </c>
      <c r="M65" s="31"/>
    </row>
    <row r="66" spans="1:13" x14ac:dyDescent="0.3">
      <c r="A66" s="10" t="s">
        <v>1471</v>
      </c>
      <c r="B66" s="10" t="s">
        <v>4104</v>
      </c>
      <c r="C66" s="10" t="s">
        <v>247</v>
      </c>
      <c r="D66" s="10" t="s">
        <v>3955</v>
      </c>
      <c r="E66" s="31">
        <v>2050</v>
      </c>
      <c r="F66" s="10" t="s">
        <v>4105</v>
      </c>
      <c r="G66" s="10" t="s">
        <v>4106</v>
      </c>
      <c r="H66" s="10" t="s">
        <v>4097</v>
      </c>
      <c r="I66" s="10" t="s">
        <v>245</v>
      </c>
      <c r="J66" s="10" t="s">
        <v>245</v>
      </c>
      <c r="K66" s="10" t="s">
        <v>113</v>
      </c>
      <c r="L66" s="10" t="s">
        <v>184</v>
      </c>
      <c r="M66" s="31">
        <v>96000</v>
      </c>
    </row>
    <row r="67" spans="1:13" x14ac:dyDescent="0.3">
      <c r="A67" s="10" t="s">
        <v>1471</v>
      </c>
      <c r="B67" s="10" t="s">
        <v>4107</v>
      </c>
      <c r="C67" s="10" t="s">
        <v>3963</v>
      </c>
      <c r="D67" s="10" t="s">
        <v>3955</v>
      </c>
      <c r="E67" s="31">
        <v>2050</v>
      </c>
      <c r="F67" s="10" t="s">
        <v>4105</v>
      </c>
      <c r="G67" s="10" t="s">
        <v>4106</v>
      </c>
      <c r="H67" s="10" t="s">
        <v>3958</v>
      </c>
      <c r="I67" s="10" t="s">
        <v>2890</v>
      </c>
      <c r="J67" s="10" t="s">
        <v>245</v>
      </c>
      <c r="K67" s="10" t="s">
        <v>113</v>
      </c>
      <c r="L67" s="10" t="s">
        <v>184</v>
      </c>
      <c r="M67" s="31">
        <v>90000</v>
      </c>
    </row>
    <row r="68" spans="1:13" x14ac:dyDescent="0.3">
      <c r="A68" s="10" t="s">
        <v>1471</v>
      </c>
      <c r="B68" s="10" t="s">
        <v>4108</v>
      </c>
      <c r="C68" s="10" t="s">
        <v>3963</v>
      </c>
      <c r="D68" s="10" t="s">
        <v>3955</v>
      </c>
      <c r="E68" s="31">
        <v>2050</v>
      </c>
      <c r="F68" s="10" t="s">
        <v>4105</v>
      </c>
      <c r="G68" s="10" t="s">
        <v>4106</v>
      </c>
      <c r="H68" s="10" t="s">
        <v>772</v>
      </c>
      <c r="I68" s="10"/>
      <c r="J68" s="10"/>
      <c r="K68" s="10"/>
      <c r="L68" s="10" t="s">
        <v>2064</v>
      </c>
      <c r="M68" s="31">
        <v>120000</v>
      </c>
    </row>
    <row r="69" spans="1:13" x14ac:dyDescent="0.3">
      <c r="A69" s="10" t="s">
        <v>1471</v>
      </c>
      <c r="B69" s="10" t="s">
        <v>4109</v>
      </c>
      <c r="C69" s="10" t="s">
        <v>3963</v>
      </c>
      <c r="D69" s="10" t="s">
        <v>3955</v>
      </c>
      <c r="E69" s="31">
        <v>2050</v>
      </c>
      <c r="F69" s="10" t="s">
        <v>4105</v>
      </c>
      <c r="G69" s="10" t="s">
        <v>4106</v>
      </c>
      <c r="H69" s="10" t="s">
        <v>3958</v>
      </c>
      <c r="I69" s="10"/>
      <c r="J69" s="10"/>
      <c r="K69" s="10"/>
      <c r="L69" s="10" t="s">
        <v>2064</v>
      </c>
      <c r="M69" s="31">
        <v>100000</v>
      </c>
    </row>
    <row r="70" spans="1:13" x14ac:dyDescent="0.3">
      <c r="A70" s="10" t="s">
        <v>1472</v>
      </c>
      <c r="B70" s="10" t="s">
        <v>4110</v>
      </c>
      <c r="C70" s="10" t="s">
        <v>247</v>
      </c>
      <c r="D70" s="10" t="s">
        <v>3986</v>
      </c>
      <c r="E70" s="31">
        <v>1920</v>
      </c>
      <c r="F70" s="10" t="s">
        <v>4111</v>
      </c>
      <c r="G70" s="10" t="s">
        <v>4112</v>
      </c>
      <c r="H70" s="10" t="s">
        <v>3958</v>
      </c>
      <c r="I70" s="10" t="s">
        <v>4113</v>
      </c>
      <c r="J70" s="10" t="s">
        <v>245</v>
      </c>
      <c r="K70" s="10" t="s">
        <v>113</v>
      </c>
      <c r="L70" s="10" t="s">
        <v>184</v>
      </c>
      <c r="M70" s="31">
        <v>130000</v>
      </c>
    </row>
    <row r="71" spans="1:13" x14ac:dyDescent="0.3">
      <c r="A71" s="10" t="s">
        <v>1472</v>
      </c>
      <c r="B71" s="10" t="s">
        <v>4114</v>
      </c>
      <c r="C71" s="10" t="s">
        <v>3963</v>
      </c>
      <c r="D71" s="10" t="s">
        <v>3986</v>
      </c>
      <c r="E71" s="31">
        <v>1920</v>
      </c>
      <c r="F71" s="10" t="s">
        <v>4111</v>
      </c>
      <c r="G71" s="10" t="s">
        <v>4112</v>
      </c>
      <c r="H71" s="10" t="s">
        <v>3958</v>
      </c>
      <c r="I71" s="10" t="s">
        <v>4115</v>
      </c>
      <c r="J71" s="10" t="s">
        <v>1105</v>
      </c>
      <c r="K71" s="10" t="s">
        <v>121</v>
      </c>
      <c r="L71" s="10" t="s">
        <v>188</v>
      </c>
      <c r="M71" s="31">
        <v>100000</v>
      </c>
    </row>
    <row r="72" spans="1:13" x14ac:dyDescent="0.3">
      <c r="A72" s="10" t="s">
        <v>1473</v>
      </c>
      <c r="B72" s="10" t="s">
        <v>4116</v>
      </c>
      <c r="C72" s="10" t="s">
        <v>247</v>
      </c>
      <c r="D72" s="10" t="s">
        <v>3955</v>
      </c>
      <c r="E72" s="31">
        <v>2000</v>
      </c>
      <c r="F72" s="10" t="s">
        <v>4117</v>
      </c>
      <c r="G72" s="10" t="s">
        <v>4118</v>
      </c>
      <c r="H72" s="10" t="s">
        <v>4022</v>
      </c>
      <c r="I72" s="10"/>
      <c r="J72" s="10"/>
      <c r="K72" s="10"/>
      <c r="L72" s="10" t="s">
        <v>2064</v>
      </c>
      <c r="M72" s="31">
        <v>175000</v>
      </c>
    </row>
    <row r="73" spans="1:13" x14ac:dyDescent="0.3">
      <c r="A73" s="10" t="s">
        <v>1473</v>
      </c>
      <c r="B73" s="10" t="s">
        <v>4119</v>
      </c>
      <c r="C73" s="10" t="s">
        <v>3963</v>
      </c>
      <c r="D73" s="10" t="s">
        <v>3955</v>
      </c>
      <c r="E73" s="31">
        <v>2000</v>
      </c>
      <c r="F73" s="10" t="s">
        <v>4117</v>
      </c>
      <c r="G73" s="10" t="s">
        <v>4118</v>
      </c>
      <c r="H73" s="10" t="s">
        <v>2120</v>
      </c>
      <c r="I73" s="10" t="s">
        <v>2890</v>
      </c>
      <c r="J73" s="10" t="s">
        <v>245</v>
      </c>
      <c r="K73" s="10" t="s">
        <v>113</v>
      </c>
      <c r="L73" s="10" t="s">
        <v>184</v>
      </c>
      <c r="M73" s="31">
        <v>175000</v>
      </c>
    </row>
    <row r="74" spans="1:13" x14ac:dyDescent="0.3">
      <c r="A74" s="10" t="s">
        <v>1474</v>
      </c>
      <c r="B74" s="10" t="s">
        <v>4120</v>
      </c>
      <c r="C74" s="10" t="s">
        <v>247</v>
      </c>
      <c r="D74" s="10" t="s">
        <v>3955</v>
      </c>
      <c r="E74" s="31">
        <v>1850</v>
      </c>
      <c r="F74" s="10" t="s">
        <v>4121</v>
      </c>
      <c r="G74" s="10" t="s">
        <v>4122</v>
      </c>
      <c r="H74" s="10" t="s">
        <v>3958</v>
      </c>
      <c r="I74" s="10" t="s">
        <v>4074</v>
      </c>
      <c r="J74" s="10" t="s">
        <v>245</v>
      </c>
      <c r="K74" s="10" t="s">
        <v>113</v>
      </c>
      <c r="L74" s="10" t="s">
        <v>184</v>
      </c>
      <c r="M74" s="31">
        <v>96000</v>
      </c>
    </row>
    <row r="75" spans="1:13" x14ac:dyDescent="0.3">
      <c r="A75" s="10" t="s">
        <v>1475</v>
      </c>
      <c r="B75" s="10" t="s">
        <v>4123</v>
      </c>
      <c r="C75" s="10" t="s">
        <v>247</v>
      </c>
      <c r="D75" s="10" t="s">
        <v>3955</v>
      </c>
      <c r="E75" s="31">
        <v>2495</v>
      </c>
      <c r="F75" s="10" t="s">
        <v>4124</v>
      </c>
      <c r="G75" s="10" t="s">
        <v>4125</v>
      </c>
      <c r="H75" s="10" t="s">
        <v>2120</v>
      </c>
      <c r="I75" s="10" t="s">
        <v>4126</v>
      </c>
      <c r="J75" s="10" t="s">
        <v>977</v>
      </c>
      <c r="K75" s="10" t="s">
        <v>115</v>
      </c>
      <c r="L75" s="10" t="s">
        <v>185</v>
      </c>
      <c r="M75" s="31">
        <v>114400</v>
      </c>
    </row>
    <row r="76" spans="1:13" x14ac:dyDescent="0.3">
      <c r="A76" s="10" t="s">
        <v>1475</v>
      </c>
      <c r="B76" s="10" t="s">
        <v>4127</v>
      </c>
      <c r="C76" s="10" t="s">
        <v>3963</v>
      </c>
      <c r="D76" s="10" t="s">
        <v>3955</v>
      </c>
      <c r="E76" s="31">
        <v>2495</v>
      </c>
      <c r="F76" s="10" t="s">
        <v>4124</v>
      </c>
      <c r="G76" s="10" t="s">
        <v>4125</v>
      </c>
      <c r="H76" s="10" t="s">
        <v>2120</v>
      </c>
      <c r="I76" s="10" t="s">
        <v>4128</v>
      </c>
      <c r="J76" s="10" t="s">
        <v>810</v>
      </c>
      <c r="K76" s="10" t="s">
        <v>115</v>
      </c>
      <c r="L76" s="10" t="s">
        <v>185</v>
      </c>
      <c r="M76" s="31">
        <v>182000</v>
      </c>
    </row>
    <row r="77" spans="1:13" x14ac:dyDescent="0.3">
      <c r="A77" s="10" t="s">
        <v>1476</v>
      </c>
      <c r="B77" s="10" t="s">
        <v>4129</v>
      </c>
      <c r="C77" s="10" t="s">
        <v>247</v>
      </c>
      <c r="D77" s="10" t="s">
        <v>3955</v>
      </c>
      <c r="E77" s="31">
        <v>1945</v>
      </c>
      <c r="F77" s="10" t="s">
        <v>4130</v>
      </c>
      <c r="G77" s="10" t="s">
        <v>4131</v>
      </c>
      <c r="H77" s="10" t="s">
        <v>3958</v>
      </c>
      <c r="I77" s="10" t="s">
        <v>4132</v>
      </c>
      <c r="J77" s="10" t="s">
        <v>245</v>
      </c>
      <c r="K77" s="10" t="s">
        <v>113</v>
      </c>
      <c r="L77" s="10" t="s">
        <v>184</v>
      </c>
      <c r="M77" s="31">
        <v>120000</v>
      </c>
    </row>
    <row r="78" spans="1:13" x14ac:dyDescent="0.3">
      <c r="A78" s="10" t="s">
        <v>1477</v>
      </c>
      <c r="B78" s="10" t="s">
        <v>4133</v>
      </c>
      <c r="C78" s="10" t="s">
        <v>247</v>
      </c>
      <c r="D78" s="10" t="s">
        <v>3955</v>
      </c>
      <c r="E78" s="31">
        <v>2375</v>
      </c>
      <c r="F78" s="10" t="s">
        <v>4134</v>
      </c>
      <c r="G78" s="10" t="s">
        <v>4135</v>
      </c>
      <c r="H78" s="10" t="s">
        <v>3958</v>
      </c>
      <c r="I78" s="10"/>
      <c r="J78" s="10"/>
      <c r="K78" s="10"/>
      <c r="L78" s="10" t="s">
        <v>2064</v>
      </c>
      <c r="M78" s="31"/>
    </row>
    <row r="79" spans="1:13" x14ac:dyDescent="0.3">
      <c r="A79" s="10" t="s">
        <v>1477</v>
      </c>
      <c r="B79" s="10" t="s">
        <v>4136</v>
      </c>
      <c r="C79" s="10" t="s">
        <v>3963</v>
      </c>
      <c r="D79" s="10" t="s">
        <v>3955</v>
      </c>
      <c r="E79" s="31">
        <v>2375</v>
      </c>
      <c r="F79" s="10" t="s">
        <v>4134</v>
      </c>
      <c r="G79" s="10" t="s">
        <v>4135</v>
      </c>
      <c r="H79" s="10" t="s">
        <v>3958</v>
      </c>
      <c r="I79" s="10" t="s">
        <v>245</v>
      </c>
      <c r="J79" s="10" t="s">
        <v>245</v>
      </c>
      <c r="K79" s="10" t="s">
        <v>113</v>
      </c>
      <c r="L79" s="10" t="s">
        <v>184</v>
      </c>
      <c r="M79" s="31">
        <v>90000</v>
      </c>
    </row>
    <row r="80" spans="1:13" x14ac:dyDescent="0.3">
      <c r="A80" s="10" t="s">
        <v>1478</v>
      </c>
      <c r="B80" s="10" t="s">
        <v>4137</v>
      </c>
      <c r="C80" s="10" t="s">
        <v>247</v>
      </c>
      <c r="D80" s="10" t="s">
        <v>3955</v>
      </c>
      <c r="E80" s="31">
        <v>2160</v>
      </c>
      <c r="F80" s="10" t="s">
        <v>4138</v>
      </c>
      <c r="G80" s="10" t="s">
        <v>4139</v>
      </c>
      <c r="H80" s="10" t="s">
        <v>2120</v>
      </c>
      <c r="I80" s="10" t="s">
        <v>2237</v>
      </c>
      <c r="J80" s="10" t="s">
        <v>276</v>
      </c>
      <c r="K80" s="10" t="s">
        <v>115</v>
      </c>
      <c r="L80" s="10" t="s">
        <v>185</v>
      </c>
      <c r="M80" s="31">
        <v>63000</v>
      </c>
    </row>
    <row r="81" spans="1:13" x14ac:dyDescent="0.3">
      <c r="A81" s="10" t="s">
        <v>1479</v>
      </c>
      <c r="B81" s="10" t="s">
        <v>4140</v>
      </c>
      <c r="C81" s="10" t="s">
        <v>247</v>
      </c>
      <c r="D81" s="10" t="s">
        <v>3955</v>
      </c>
      <c r="E81" s="31">
        <v>2330</v>
      </c>
      <c r="F81" s="10" t="s">
        <v>4141</v>
      </c>
      <c r="G81" s="10" t="s">
        <v>4019</v>
      </c>
      <c r="H81" s="10" t="s">
        <v>3958</v>
      </c>
      <c r="I81" s="10" t="s">
        <v>4074</v>
      </c>
      <c r="J81" s="10" t="s">
        <v>245</v>
      </c>
      <c r="K81" s="10" t="s">
        <v>113</v>
      </c>
      <c r="L81" s="10" t="s">
        <v>184</v>
      </c>
      <c r="M81" s="31">
        <v>135000</v>
      </c>
    </row>
    <row r="82" spans="1:13" x14ac:dyDescent="0.3">
      <c r="A82" s="10" t="s">
        <v>1479</v>
      </c>
      <c r="B82" s="10" t="s">
        <v>4142</v>
      </c>
      <c r="C82" s="10" t="s">
        <v>3963</v>
      </c>
      <c r="D82" s="10" t="s">
        <v>3955</v>
      </c>
      <c r="E82" s="31">
        <v>2330</v>
      </c>
      <c r="F82" s="10" t="s">
        <v>4141</v>
      </c>
      <c r="G82" s="10" t="s">
        <v>4019</v>
      </c>
      <c r="H82" s="10" t="s">
        <v>3958</v>
      </c>
      <c r="I82" s="10" t="s">
        <v>2890</v>
      </c>
      <c r="J82" s="10" t="s">
        <v>245</v>
      </c>
      <c r="K82" s="10" t="s">
        <v>113</v>
      </c>
      <c r="L82" s="10" t="s">
        <v>184</v>
      </c>
      <c r="M82" s="31">
        <v>123000</v>
      </c>
    </row>
    <row r="83" spans="1:13" x14ac:dyDescent="0.3">
      <c r="A83" s="10" t="s">
        <v>1480</v>
      </c>
      <c r="B83" s="10" t="s">
        <v>2808</v>
      </c>
      <c r="C83" s="10" t="s">
        <v>247</v>
      </c>
      <c r="D83" s="10" t="s">
        <v>3955</v>
      </c>
      <c r="E83" s="31">
        <v>2105</v>
      </c>
      <c r="F83" s="10" t="s">
        <v>4143</v>
      </c>
      <c r="G83" s="10" t="s">
        <v>3998</v>
      </c>
      <c r="H83" s="10" t="s">
        <v>2120</v>
      </c>
      <c r="I83" s="10" t="s">
        <v>1173</v>
      </c>
      <c r="J83" s="10" t="s">
        <v>1173</v>
      </c>
      <c r="K83" s="10" t="s">
        <v>123</v>
      </c>
      <c r="L83" s="10" t="s">
        <v>197</v>
      </c>
      <c r="M83" s="31">
        <v>72000</v>
      </c>
    </row>
    <row r="84" spans="1:13" x14ac:dyDescent="0.3">
      <c r="A84" s="10" t="s">
        <v>1481</v>
      </c>
      <c r="B84" s="10" t="s">
        <v>4144</v>
      </c>
      <c r="C84" s="10" t="s">
        <v>247</v>
      </c>
      <c r="D84" s="10" t="s">
        <v>3955</v>
      </c>
      <c r="E84" s="31">
        <v>2175</v>
      </c>
      <c r="F84" s="10" t="s">
        <v>4145</v>
      </c>
      <c r="G84" s="10" t="s">
        <v>4146</v>
      </c>
      <c r="H84" s="10" t="s">
        <v>4034</v>
      </c>
      <c r="I84" s="10" t="s">
        <v>4147</v>
      </c>
      <c r="J84" s="10" t="s">
        <v>354</v>
      </c>
      <c r="K84" s="10" t="s">
        <v>123</v>
      </c>
      <c r="L84" s="10" t="s">
        <v>191</v>
      </c>
      <c r="M84" s="31">
        <v>57600</v>
      </c>
    </row>
    <row r="85" spans="1:13" x14ac:dyDescent="0.3">
      <c r="A85" s="10" t="s">
        <v>1481</v>
      </c>
      <c r="B85" s="10" t="s">
        <v>4148</v>
      </c>
      <c r="C85" s="10" t="s">
        <v>3963</v>
      </c>
      <c r="D85" s="10" t="s">
        <v>3955</v>
      </c>
      <c r="E85" s="31">
        <v>2175</v>
      </c>
      <c r="F85" s="10" t="s">
        <v>4145</v>
      </c>
      <c r="G85" s="10" t="s">
        <v>4146</v>
      </c>
      <c r="H85" s="10" t="s">
        <v>4097</v>
      </c>
      <c r="I85" s="10" t="s">
        <v>4149</v>
      </c>
      <c r="J85" s="10" t="s">
        <v>1213</v>
      </c>
      <c r="K85" s="10" t="s">
        <v>123</v>
      </c>
      <c r="L85" s="10" t="s">
        <v>201</v>
      </c>
      <c r="M85" s="31">
        <v>14016</v>
      </c>
    </row>
    <row r="86" spans="1:13" x14ac:dyDescent="0.3">
      <c r="A86" s="10" t="s">
        <v>1482</v>
      </c>
      <c r="B86" s="10" t="s">
        <v>4150</v>
      </c>
      <c r="C86" s="10" t="s">
        <v>247</v>
      </c>
      <c r="D86" s="10" t="s">
        <v>3955</v>
      </c>
      <c r="E86" s="31">
        <v>1875</v>
      </c>
      <c r="F86" s="10" t="s">
        <v>4151</v>
      </c>
      <c r="G86" s="10" t="s">
        <v>4152</v>
      </c>
      <c r="H86" s="10" t="s">
        <v>3999</v>
      </c>
      <c r="I86" s="10" t="s">
        <v>1143</v>
      </c>
      <c r="J86" s="10" t="s">
        <v>1143</v>
      </c>
      <c r="K86" s="10" t="s">
        <v>123</v>
      </c>
      <c r="L86" s="10" t="s">
        <v>189</v>
      </c>
      <c r="M86" s="31">
        <v>100440</v>
      </c>
    </row>
    <row r="87" spans="1:13" x14ac:dyDescent="0.3">
      <c r="A87" s="10" t="s">
        <v>1483</v>
      </c>
      <c r="B87" s="10" t="s">
        <v>4153</v>
      </c>
      <c r="C87" s="10" t="s">
        <v>247</v>
      </c>
      <c r="D87" s="10" t="s">
        <v>3955</v>
      </c>
      <c r="E87" s="31">
        <v>1725</v>
      </c>
      <c r="F87" s="10" t="s">
        <v>4154</v>
      </c>
      <c r="G87" s="10" t="s">
        <v>4155</v>
      </c>
      <c r="H87" s="10" t="s">
        <v>3958</v>
      </c>
      <c r="I87" s="10" t="s">
        <v>2890</v>
      </c>
      <c r="J87" s="10" t="s">
        <v>245</v>
      </c>
      <c r="K87" s="10" t="s">
        <v>113</v>
      </c>
      <c r="L87" s="10" t="s">
        <v>184</v>
      </c>
      <c r="M87" s="31">
        <v>120000</v>
      </c>
    </row>
    <row r="88" spans="1:13" x14ac:dyDescent="0.3">
      <c r="A88" s="10" t="s">
        <v>1483</v>
      </c>
      <c r="B88" s="10" t="s">
        <v>4156</v>
      </c>
      <c r="C88" s="10" t="s">
        <v>3963</v>
      </c>
      <c r="D88" s="10" t="s">
        <v>3955</v>
      </c>
      <c r="E88" s="31">
        <v>1725</v>
      </c>
      <c r="F88" s="10" t="s">
        <v>4154</v>
      </c>
      <c r="G88" s="10" t="s">
        <v>4155</v>
      </c>
      <c r="H88" s="10" t="s">
        <v>3976</v>
      </c>
      <c r="I88" s="10"/>
      <c r="J88" s="10"/>
      <c r="K88" s="10"/>
      <c r="L88" s="10" t="s">
        <v>2064</v>
      </c>
      <c r="M88" s="31"/>
    </row>
    <row r="89" spans="1:13" x14ac:dyDescent="0.3">
      <c r="A89" s="10" t="s">
        <v>1484</v>
      </c>
      <c r="B89" s="10" t="s">
        <v>4157</v>
      </c>
      <c r="C89" s="10" t="s">
        <v>247</v>
      </c>
      <c r="D89" s="10" t="s">
        <v>3955</v>
      </c>
      <c r="E89" s="31">
        <v>1655</v>
      </c>
      <c r="F89" s="10" t="s">
        <v>4158</v>
      </c>
      <c r="G89" s="10" t="s">
        <v>4159</v>
      </c>
      <c r="H89" s="10" t="s">
        <v>3958</v>
      </c>
      <c r="I89" s="10" t="s">
        <v>2890</v>
      </c>
      <c r="J89" s="10" t="s">
        <v>245</v>
      </c>
      <c r="K89" s="10" t="s">
        <v>113</v>
      </c>
      <c r="L89" s="10" t="s">
        <v>184</v>
      </c>
      <c r="M89" s="31">
        <v>95000</v>
      </c>
    </row>
    <row r="90" spans="1:13" x14ac:dyDescent="0.3">
      <c r="A90" s="10" t="s">
        <v>1485</v>
      </c>
      <c r="B90" s="10" t="s">
        <v>4160</v>
      </c>
      <c r="C90" s="10" t="s">
        <v>247</v>
      </c>
      <c r="D90" s="10" t="s">
        <v>3955</v>
      </c>
      <c r="E90" s="31">
        <v>1775</v>
      </c>
      <c r="F90" s="10" t="s">
        <v>4154</v>
      </c>
      <c r="G90" s="10" t="s">
        <v>4155</v>
      </c>
      <c r="H90" s="10" t="s">
        <v>3958</v>
      </c>
      <c r="I90" s="10" t="s">
        <v>4161</v>
      </c>
      <c r="J90" s="10" t="s">
        <v>245</v>
      </c>
      <c r="K90" s="10" t="s">
        <v>113</v>
      </c>
      <c r="L90" s="10" t="s">
        <v>184</v>
      </c>
      <c r="M90" s="31">
        <v>80000</v>
      </c>
    </row>
    <row r="91" spans="1:13" x14ac:dyDescent="0.3">
      <c r="A91" s="10" t="s">
        <v>1486</v>
      </c>
      <c r="B91" s="10" t="s">
        <v>4162</v>
      </c>
      <c r="C91" s="10" t="s">
        <v>247</v>
      </c>
      <c r="D91" s="10" t="s">
        <v>3955</v>
      </c>
      <c r="E91" s="31">
        <v>2005</v>
      </c>
      <c r="F91" s="10" t="s">
        <v>4163</v>
      </c>
      <c r="G91" s="10" t="s">
        <v>4164</v>
      </c>
      <c r="H91" s="10" t="s">
        <v>3958</v>
      </c>
      <c r="I91" s="10" t="s">
        <v>1049</v>
      </c>
      <c r="J91" s="10" t="s">
        <v>1049</v>
      </c>
      <c r="K91" s="10" t="s">
        <v>119</v>
      </c>
      <c r="L91" s="10" t="s">
        <v>187</v>
      </c>
      <c r="M91" s="31">
        <v>75000</v>
      </c>
    </row>
    <row r="92" spans="1:13" x14ac:dyDescent="0.3">
      <c r="A92" s="10" t="s">
        <v>1486</v>
      </c>
      <c r="B92" s="10" t="s">
        <v>4165</v>
      </c>
      <c r="C92" s="10" t="s">
        <v>3963</v>
      </c>
      <c r="D92" s="10" t="s">
        <v>3955</v>
      </c>
      <c r="E92" s="31">
        <v>2005</v>
      </c>
      <c r="F92" s="10" t="s">
        <v>4163</v>
      </c>
      <c r="G92" s="10" t="s">
        <v>4164</v>
      </c>
      <c r="H92" s="10" t="s">
        <v>3958</v>
      </c>
      <c r="I92" s="10" t="s">
        <v>1049</v>
      </c>
      <c r="J92" s="10" t="s">
        <v>1049</v>
      </c>
      <c r="K92" s="10" t="s">
        <v>119</v>
      </c>
      <c r="L92" s="10" t="s">
        <v>187</v>
      </c>
      <c r="M92" s="31">
        <v>75000</v>
      </c>
    </row>
    <row r="93" spans="1:13" x14ac:dyDescent="0.3">
      <c r="A93" s="10" t="s">
        <v>1487</v>
      </c>
      <c r="B93" s="10" t="s">
        <v>4166</v>
      </c>
      <c r="C93" s="10" t="s">
        <v>247</v>
      </c>
      <c r="D93" s="10" t="s">
        <v>4167</v>
      </c>
      <c r="E93" s="31">
        <v>0</v>
      </c>
      <c r="F93" s="10" t="s">
        <v>4152</v>
      </c>
      <c r="G93" s="10" t="s">
        <v>4168</v>
      </c>
      <c r="H93" s="10" t="s">
        <v>3958</v>
      </c>
      <c r="I93" s="10" t="s">
        <v>245</v>
      </c>
      <c r="J93" s="10" t="s">
        <v>245</v>
      </c>
      <c r="K93" s="10" t="s">
        <v>113</v>
      </c>
      <c r="L93" s="10" t="s">
        <v>184</v>
      </c>
      <c r="M93" s="31">
        <v>108000</v>
      </c>
    </row>
    <row r="94" spans="1:13" x14ac:dyDescent="0.3">
      <c r="A94" s="10" t="s">
        <v>1487</v>
      </c>
      <c r="B94" s="10" t="s">
        <v>4169</v>
      </c>
      <c r="C94" s="10" t="s">
        <v>247</v>
      </c>
      <c r="D94" s="10" t="s">
        <v>3986</v>
      </c>
      <c r="E94" s="31">
        <v>2300</v>
      </c>
      <c r="F94" s="10" t="s">
        <v>4170</v>
      </c>
      <c r="G94" s="10" t="s">
        <v>4053</v>
      </c>
      <c r="H94" s="10" t="s">
        <v>3498</v>
      </c>
      <c r="I94" s="10" t="s">
        <v>1386</v>
      </c>
      <c r="J94" s="10" t="s">
        <v>1386</v>
      </c>
      <c r="K94" s="10" t="s">
        <v>123</v>
      </c>
      <c r="L94" s="10" t="s">
        <v>198</v>
      </c>
      <c r="M94" s="31">
        <v>50000</v>
      </c>
    </row>
    <row r="95" spans="1:13" x14ac:dyDescent="0.3">
      <c r="A95" s="10" t="s">
        <v>1487</v>
      </c>
      <c r="B95" s="10" t="s">
        <v>4171</v>
      </c>
      <c r="C95" s="10" t="s">
        <v>3963</v>
      </c>
      <c r="D95" s="10" t="s">
        <v>4167</v>
      </c>
      <c r="E95" s="31">
        <v>0</v>
      </c>
      <c r="F95" s="10" t="s">
        <v>4152</v>
      </c>
      <c r="G95" s="10" t="s">
        <v>4168</v>
      </c>
      <c r="H95" s="10" t="s">
        <v>3958</v>
      </c>
      <c r="I95" s="10" t="s">
        <v>245</v>
      </c>
      <c r="J95" s="10" t="s">
        <v>245</v>
      </c>
      <c r="K95" s="10" t="s">
        <v>113</v>
      </c>
      <c r="L95" s="10" t="s">
        <v>184</v>
      </c>
      <c r="M95" s="31">
        <v>93070</v>
      </c>
    </row>
    <row r="96" spans="1:13" x14ac:dyDescent="0.3">
      <c r="A96" s="10" t="s">
        <v>1487</v>
      </c>
      <c r="B96" s="10" t="s">
        <v>4172</v>
      </c>
      <c r="C96" s="10" t="s">
        <v>3963</v>
      </c>
      <c r="D96" s="10" t="s">
        <v>3986</v>
      </c>
      <c r="E96" s="31">
        <v>2300</v>
      </c>
      <c r="F96" s="10" t="s">
        <v>4170</v>
      </c>
      <c r="G96" s="10" t="s">
        <v>4053</v>
      </c>
      <c r="H96" s="10" t="s">
        <v>4173</v>
      </c>
      <c r="I96" s="10" t="s">
        <v>4174</v>
      </c>
      <c r="J96" s="10" t="s">
        <v>1394</v>
      </c>
      <c r="K96" s="10" t="s">
        <v>123</v>
      </c>
      <c r="L96" s="10" t="s">
        <v>194</v>
      </c>
      <c r="M96" s="31">
        <v>33000</v>
      </c>
    </row>
    <row r="97" spans="1:13" x14ac:dyDescent="0.3">
      <c r="A97" s="10" t="s">
        <v>1488</v>
      </c>
      <c r="B97" s="10" t="s">
        <v>4175</v>
      </c>
      <c r="C97" s="10" t="s">
        <v>247</v>
      </c>
      <c r="D97" s="10" t="s">
        <v>3955</v>
      </c>
      <c r="E97" s="31">
        <v>1925</v>
      </c>
      <c r="F97" s="10" t="s">
        <v>4176</v>
      </c>
      <c r="G97" s="10" t="s">
        <v>4177</v>
      </c>
      <c r="H97" s="10" t="s">
        <v>3958</v>
      </c>
      <c r="I97" s="10" t="s">
        <v>4132</v>
      </c>
      <c r="J97" s="10" t="s">
        <v>245</v>
      </c>
      <c r="K97" s="10" t="s">
        <v>113</v>
      </c>
      <c r="L97" s="10" t="s">
        <v>184</v>
      </c>
      <c r="M97" s="31">
        <v>112000</v>
      </c>
    </row>
    <row r="98" spans="1:13" x14ac:dyDescent="0.3">
      <c r="A98" s="10" t="s">
        <v>1488</v>
      </c>
      <c r="B98" s="10" t="s">
        <v>4178</v>
      </c>
      <c r="C98" s="10" t="s">
        <v>3963</v>
      </c>
      <c r="D98" s="10" t="s">
        <v>3955</v>
      </c>
      <c r="E98" s="31">
        <v>1925</v>
      </c>
      <c r="F98" s="10" t="s">
        <v>4176</v>
      </c>
      <c r="G98" s="10" t="s">
        <v>4177</v>
      </c>
      <c r="H98" s="10" t="s">
        <v>4022</v>
      </c>
      <c r="I98" s="10"/>
      <c r="J98" s="10"/>
      <c r="K98" s="10"/>
      <c r="L98" s="10" t="s">
        <v>2064</v>
      </c>
      <c r="M98" s="31"/>
    </row>
    <row r="99" spans="1:13" x14ac:dyDescent="0.3">
      <c r="A99" s="10" t="s">
        <v>1489</v>
      </c>
      <c r="B99" s="10" t="s">
        <v>4179</v>
      </c>
      <c r="C99" s="10" t="s">
        <v>247</v>
      </c>
      <c r="D99" s="10" t="s">
        <v>3986</v>
      </c>
      <c r="E99" s="31">
        <v>2300</v>
      </c>
      <c r="F99" s="10" t="s">
        <v>4180</v>
      </c>
      <c r="G99" s="10" t="s">
        <v>4181</v>
      </c>
      <c r="H99" s="10" t="s">
        <v>2120</v>
      </c>
      <c r="I99" s="10" t="s">
        <v>4182</v>
      </c>
      <c r="J99" s="10" t="s">
        <v>815</v>
      </c>
      <c r="K99" s="10" t="s">
        <v>115</v>
      </c>
      <c r="L99" s="10" t="s">
        <v>185</v>
      </c>
      <c r="M99" s="31">
        <v>132000</v>
      </c>
    </row>
    <row r="100" spans="1:13" x14ac:dyDescent="0.3">
      <c r="A100" s="10" t="s">
        <v>1489</v>
      </c>
      <c r="B100" s="10" t="s">
        <v>4183</v>
      </c>
      <c r="C100" s="10" t="s">
        <v>247</v>
      </c>
      <c r="D100" s="10" t="s">
        <v>4167</v>
      </c>
      <c r="E100" s="31">
        <v>0</v>
      </c>
      <c r="F100" s="10" t="s">
        <v>4184</v>
      </c>
      <c r="G100" s="10" t="s">
        <v>4185</v>
      </c>
      <c r="H100" s="10" t="s">
        <v>2120</v>
      </c>
      <c r="I100" s="10" t="s">
        <v>4186</v>
      </c>
      <c r="J100" s="10" t="s">
        <v>830</v>
      </c>
      <c r="K100" s="10" t="s">
        <v>115</v>
      </c>
      <c r="L100" s="10" t="s">
        <v>185</v>
      </c>
      <c r="M100" s="31">
        <v>301600</v>
      </c>
    </row>
    <row r="101" spans="1:13" x14ac:dyDescent="0.3">
      <c r="A101" s="10" t="s">
        <v>1489</v>
      </c>
      <c r="B101" s="10" t="s">
        <v>4187</v>
      </c>
      <c r="C101" s="10" t="s">
        <v>3963</v>
      </c>
      <c r="D101" s="10" t="s">
        <v>3986</v>
      </c>
      <c r="E101" s="31">
        <v>2300</v>
      </c>
      <c r="F101" s="10" t="s">
        <v>4180</v>
      </c>
      <c r="G101" s="10" t="s">
        <v>4181</v>
      </c>
      <c r="H101" s="10" t="s">
        <v>2120</v>
      </c>
      <c r="I101" s="10" t="s">
        <v>4188</v>
      </c>
      <c r="J101" s="10" t="s">
        <v>815</v>
      </c>
      <c r="K101" s="10" t="s">
        <v>115</v>
      </c>
      <c r="L101" s="10" t="s">
        <v>185</v>
      </c>
      <c r="M101" s="31">
        <v>120000</v>
      </c>
    </row>
    <row r="102" spans="1:13" x14ac:dyDescent="0.3">
      <c r="A102" s="10" t="s">
        <v>1490</v>
      </c>
      <c r="B102" s="10" t="s">
        <v>4189</v>
      </c>
      <c r="C102" s="10" t="s">
        <v>247</v>
      </c>
      <c r="D102" s="10" t="s">
        <v>3986</v>
      </c>
      <c r="E102" s="31">
        <v>2500</v>
      </c>
      <c r="F102" s="10" t="s">
        <v>4190</v>
      </c>
      <c r="G102" s="10" t="s">
        <v>4191</v>
      </c>
      <c r="H102" s="10" t="s">
        <v>4192</v>
      </c>
      <c r="I102" s="10"/>
      <c r="J102" s="10"/>
      <c r="K102" s="10"/>
      <c r="L102" s="10" t="s">
        <v>2064</v>
      </c>
      <c r="M102" s="31"/>
    </row>
    <row r="103" spans="1:13" x14ac:dyDescent="0.3">
      <c r="A103" s="10" t="s">
        <v>1490</v>
      </c>
      <c r="B103" s="10" t="s">
        <v>4193</v>
      </c>
      <c r="C103" s="10" t="s">
        <v>3963</v>
      </c>
      <c r="D103" s="10" t="s">
        <v>3986</v>
      </c>
      <c r="E103" s="31">
        <v>2500</v>
      </c>
      <c r="F103" s="10" t="s">
        <v>4190</v>
      </c>
      <c r="G103" s="10" t="s">
        <v>4191</v>
      </c>
      <c r="H103" s="10" t="s">
        <v>772</v>
      </c>
      <c r="I103" s="10"/>
      <c r="J103" s="10"/>
      <c r="K103" s="10"/>
      <c r="L103" s="10" t="s">
        <v>2064</v>
      </c>
      <c r="M103" s="31"/>
    </row>
    <row r="104" spans="1:13" x14ac:dyDescent="0.3">
      <c r="A104" s="10" t="s">
        <v>1490</v>
      </c>
      <c r="B104" s="10" t="s">
        <v>4194</v>
      </c>
      <c r="C104" s="10" t="s">
        <v>3963</v>
      </c>
      <c r="D104" s="10" t="s">
        <v>3986</v>
      </c>
      <c r="E104" s="31">
        <v>2500</v>
      </c>
      <c r="F104" s="10" t="s">
        <v>4190</v>
      </c>
      <c r="G104" s="10" t="s">
        <v>4191</v>
      </c>
      <c r="H104" s="10" t="s">
        <v>4192</v>
      </c>
      <c r="I104" s="10"/>
      <c r="J104" s="10"/>
      <c r="K104" s="10"/>
      <c r="L104" s="10" t="s">
        <v>2064</v>
      </c>
      <c r="M104" s="31"/>
    </row>
    <row r="105" spans="1:13" x14ac:dyDescent="0.3">
      <c r="A105" s="10" t="s">
        <v>1491</v>
      </c>
      <c r="B105" s="10" t="s">
        <v>4195</v>
      </c>
      <c r="C105" s="10" t="s">
        <v>247</v>
      </c>
      <c r="D105" s="10" t="s">
        <v>3955</v>
      </c>
      <c r="E105" s="31">
        <v>2065</v>
      </c>
      <c r="F105" s="10" t="s">
        <v>4196</v>
      </c>
      <c r="G105" s="10" t="s">
        <v>4197</v>
      </c>
      <c r="H105" s="10" t="s">
        <v>2120</v>
      </c>
      <c r="I105" s="10" t="s">
        <v>4198</v>
      </c>
      <c r="J105" s="10" t="s">
        <v>274</v>
      </c>
      <c r="K105" s="10" t="s">
        <v>115</v>
      </c>
      <c r="L105" s="10" t="s">
        <v>185</v>
      </c>
      <c r="M105" s="31">
        <v>98404.800000000003</v>
      </c>
    </row>
    <row r="106" spans="1:13" x14ac:dyDescent="0.3">
      <c r="A106" s="10" t="s">
        <v>1492</v>
      </c>
      <c r="B106" s="10" t="s">
        <v>4199</v>
      </c>
      <c r="C106" s="10" t="s">
        <v>247</v>
      </c>
      <c r="D106" s="10" t="s">
        <v>3955</v>
      </c>
      <c r="E106" s="31">
        <v>2180</v>
      </c>
      <c r="F106" s="10" t="s">
        <v>4200</v>
      </c>
      <c r="G106" s="10" t="s">
        <v>4201</v>
      </c>
      <c r="H106" s="10" t="s">
        <v>3994</v>
      </c>
      <c r="I106" s="10" t="s">
        <v>4202</v>
      </c>
      <c r="J106" s="10" t="s">
        <v>1348</v>
      </c>
      <c r="K106" s="10" t="s">
        <v>123</v>
      </c>
      <c r="L106" s="10" t="s">
        <v>195</v>
      </c>
      <c r="M106" s="31">
        <v>90000</v>
      </c>
    </row>
    <row r="107" spans="1:13" x14ac:dyDescent="0.3">
      <c r="A107" s="10" t="s">
        <v>1492</v>
      </c>
      <c r="B107" s="10" t="s">
        <v>4203</v>
      </c>
      <c r="C107" s="10" t="s">
        <v>3963</v>
      </c>
      <c r="D107" s="10" t="s">
        <v>3955</v>
      </c>
      <c r="E107" s="31">
        <v>2180</v>
      </c>
      <c r="F107" s="10" t="s">
        <v>4200</v>
      </c>
      <c r="G107" s="10" t="s">
        <v>4201</v>
      </c>
      <c r="H107" s="10" t="s">
        <v>3976</v>
      </c>
      <c r="I107" s="10"/>
      <c r="J107" s="10"/>
      <c r="K107" s="10"/>
      <c r="L107" s="10" t="s">
        <v>2064</v>
      </c>
      <c r="M107" s="31"/>
    </row>
    <row r="108" spans="1:13" x14ac:dyDescent="0.3">
      <c r="A108" s="10" t="s">
        <v>1493</v>
      </c>
      <c r="B108" s="10" t="s">
        <v>4204</v>
      </c>
      <c r="C108" s="10" t="s">
        <v>247</v>
      </c>
      <c r="D108" s="10" t="s">
        <v>3955</v>
      </c>
      <c r="E108" s="31">
        <v>2340</v>
      </c>
      <c r="F108" s="10" t="s">
        <v>3974</v>
      </c>
      <c r="G108" s="10" t="s">
        <v>3975</v>
      </c>
      <c r="H108" s="10" t="s">
        <v>2120</v>
      </c>
      <c r="I108" s="10" t="s">
        <v>980</v>
      </c>
      <c r="J108" s="10" t="s">
        <v>980</v>
      </c>
      <c r="K108" s="10" t="s">
        <v>115</v>
      </c>
      <c r="L108" s="10" t="s">
        <v>185</v>
      </c>
      <c r="M108" s="31">
        <v>228800</v>
      </c>
    </row>
    <row r="109" spans="1:13" x14ac:dyDescent="0.3">
      <c r="A109" s="10" t="s">
        <v>1494</v>
      </c>
      <c r="B109" s="10" t="s">
        <v>4205</v>
      </c>
      <c r="C109" s="10" t="s">
        <v>247</v>
      </c>
      <c r="D109" s="10" t="s">
        <v>3955</v>
      </c>
      <c r="E109" s="31">
        <v>2400</v>
      </c>
      <c r="F109" s="10" t="s">
        <v>4206</v>
      </c>
      <c r="G109" s="10" t="s">
        <v>4207</v>
      </c>
      <c r="H109" s="10" t="s">
        <v>2120</v>
      </c>
      <c r="I109" s="10" t="s">
        <v>852</v>
      </c>
      <c r="J109" s="10" t="s">
        <v>852</v>
      </c>
      <c r="K109" s="10" t="s">
        <v>115</v>
      </c>
      <c r="L109" s="10" t="s">
        <v>185</v>
      </c>
      <c r="M109" s="31">
        <v>156000</v>
      </c>
    </row>
    <row r="110" spans="1:13" x14ac:dyDescent="0.3">
      <c r="A110" s="10" t="s">
        <v>1494</v>
      </c>
      <c r="B110" s="10" t="s">
        <v>4208</v>
      </c>
      <c r="C110" s="10" t="s">
        <v>3963</v>
      </c>
      <c r="D110" s="10" t="s">
        <v>3955</v>
      </c>
      <c r="E110" s="31">
        <v>2400</v>
      </c>
      <c r="F110" s="10" t="s">
        <v>4206</v>
      </c>
      <c r="G110" s="10" t="s">
        <v>4207</v>
      </c>
      <c r="H110" s="10" t="s">
        <v>3976</v>
      </c>
      <c r="I110" s="10"/>
      <c r="J110" s="10"/>
      <c r="K110" s="10"/>
      <c r="L110" s="10" t="s">
        <v>2064</v>
      </c>
      <c r="M110" s="31"/>
    </row>
    <row r="111" spans="1:13" x14ac:dyDescent="0.3">
      <c r="A111" s="10" t="s">
        <v>1495</v>
      </c>
      <c r="B111" s="10" t="s">
        <v>4209</v>
      </c>
      <c r="C111" s="10" t="s">
        <v>247</v>
      </c>
      <c r="D111" s="10" t="s">
        <v>3955</v>
      </c>
      <c r="E111" s="31">
        <v>2280</v>
      </c>
      <c r="F111" s="10" t="s">
        <v>4210</v>
      </c>
      <c r="G111" s="10" t="s">
        <v>4211</v>
      </c>
      <c r="H111" s="10" t="s">
        <v>3958</v>
      </c>
      <c r="I111" s="10" t="s">
        <v>2890</v>
      </c>
      <c r="J111" s="10" t="s">
        <v>245</v>
      </c>
      <c r="K111" s="10" t="s">
        <v>113</v>
      </c>
      <c r="L111" s="10" t="s">
        <v>184</v>
      </c>
      <c r="M111" s="31">
        <v>147000</v>
      </c>
    </row>
    <row r="112" spans="1:13" x14ac:dyDescent="0.3">
      <c r="A112" s="10" t="s">
        <v>1495</v>
      </c>
      <c r="B112" s="10" t="s">
        <v>4212</v>
      </c>
      <c r="C112" s="10" t="s">
        <v>3963</v>
      </c>
      <c r="D112" s="10" t="s">
        <v>3955</v>
      </c>
      <c r="E112" s="31">
        <v>2280</v>
      </c>
      <c r="F112" s="10" t="s">
        <v>4210</v>
      </c>
      <c r="G112" s="10" t="s">
        <v>4211</v>
      </c>
      <c r="H112" s="10" t="s">
        <v>3976</v>
      </c>
      <c r="I112" s="10"/>
      <c r="J112" s="10"/>
      <c r="K112" s="10"/>
      <c r="L112" s="10" t="s">
        <v>2064</v>
      </c>
      <c r="M112" s="31"/>
    </row>
    <row r="113" spans="1:13" x14ac:dyDescent="0.3">
      <c r="A113" s="10" t="s">
        <v>1496</v>
      </c>
      <c r="B113" s="10" t="s">
        <v>4213</v>
      </c>
      <c r="C113" s="10" t="s">
        <v>247</v>
      </c>
      <c r="D113" s="10" t="s">
        <v>3955</v>
      </c>
      <c r="E113" s="31">
        <v>2005</v>
      </c>
      <c r="F113" s="10" t="s">
        <v>4214</v>
      </c>
      <c r="G113" s="10" t="s">
        <v>4215</v>
      </c>
      <c r="H113" s="10" t="s">
        <v>3958</v>
      </c>
      <c r="I113" s="10" t="s">
        <v>4216</v>
      </c>
      <c r="J113" s="10" t="s">
        <v>989</v>
      </c>
      <c r="K113" s="10" t="s">
        <v>117</v>
      </c>
      <c r="L113" s="10" t="s">
        <v>186</v>
      </c>
      <c r="M113" s="31">
        <v>72000</v>
      </c>
    </row>
    <row r="114" spans="1:13" x14ac:dyDescent="0.3">
      <c r="A114" s="10" t="s">
        <v>1497</v>
      </c>
      <c r="B114" s="10" t="s">
        <v>3978</v>
      </c>
      <c r="C114" s="10" t="s">
        <v>247</v>
      </c>
      <c r="D114" s="10" t="s">
        <v>3955</v>
      </c>
      <c r="E114" s="31">
        <v>1855</v>
      </c>
      <c r="F114" s="10" t="s">
        <v>4217</v>
      </c>
      <c r="G114" s="10" t="s">
        <v>4218</v>
      </c>
      <c r="H114" s="10"/>
      <c r="I114" s="10"/>
      <c r="J114" s="10"/>
      <c r="K114" s="10"/>
      <c r="L114" s="10" t="s">
        <v>2064</v>
      </c>
      <c r="M114" s="31"/>
    </row>
    <row r="115" spans="1:13" x14ac:dyDescent="0.3">
      <c r="A115" s="10" t="s">
        <v>1498</v>
      </c>
      <c r="B115" s="10" t="s">
        <v>3978</v>
      </c>
      <c r="C115" s="10" t="s">
        <v>247</v>
      </c>
      <c r="D115" s="10" t="s">
        <v>3955</v>
      </c>
      <c r="E115" s="31">
        <v>1855</v>
      </c>
      <c r="F115" s="10" t="s">
        <v>4217</v>
      </c>
      <c r="G115" s="10" t="s">
        <v>4218</v>
      </c>
      <c r="H115" s="10"/>
      <c r="I115" s="10"/>
      <c r="J115" s="10"/>
      <c r="K115" s="10"/>
      <c r="L115" s="10" t="s">
        <v>2064</v>
      </c>
      <c r="M115" s="31"/>
    </row>
    <row r="116" spans="1:13" x14ac:dyDescent="0.3">
      <c r="A116" s="10" t="s">
        <v>1499</v>
      </c>
      <c r="B116" s="10" t="s">
        <v>4219</v>
      </c>
      <c r="C116" s="10" t="s">
        <v>247</v>
      </c>
      <c r="D116" s="10" t="s">
        <v>3955</v>
      </c>
      <c r="E116" s="31">
        <v>2005</v>
      </c>
      <c r="F116" s="10" t="s">
        <v>4220</v>
      </c>
      <c r="G116" s="10" t="s">
        <v>4221</v>
      </c>
      <c r="H116" s="10" t="s">
        <v>3958</v>
      </c>
      <c r="I116" s="10" t="s">
        <v>245</v>
      </c>
      <c r="J116" s="10" t="s">
        <v>245</v>
      </c>
      <c r="K116" s="10" t="s">
        <v>113</v>
      </c>
      <c r="L116" s="10" t="s">
        <v>184</v>
      </c>
      <c r="M116" s="31">
        <v>130000</v>
      </c>
    </row>
    <row r="117" spans="1:13" x14ac:dyDescent="0.3">
      <c r="A117" s="10" t="s">
        <v>1499</v>
      </c>
      <c r="B117" s="10" t="s">
        <v>4222</v>
      </c>
      <c r="C117" s="10" t="s">
        <v>3963</v>
      </c>
      <c r="D117" s="10" t="s">
        <v>3955</v>
      </c>
      <c r="E117" s="31">
        <v>2005</v>
      </c>
      <c r="F117" s="10" t="s">
        <v>4220</v>
      </c>
      <c r="G117" s="10" t="s">
        <v>4221</v>
      </c>
      <c r="H117" s="10" t="s">
        <v>4022</v>
      </c>
      <c r="I117" s="10"/>
      <c r="J117" s="10"/>
      <c r="K117" s="10"/>
      <c r="L117" s="10" t="s">
        <v>2064</v>
      </c>
      <c r="M117" s="31"/>
    </row>
    <row r="118" spans="1:13" x14ac:dyDescent="0.3">
      <c r="A118" s="10" t="s">
        <v>1500</v>
      </c>
      <c r="B118" s="10" t="s">
        <v>4084</v>
      </c>
      <c r="C118" s="10" t="s">
        <v>247</v>
      </c>
      <c r="D118" s="10" t="s">
        <v>3955</v>
      </c>
      <c r="E118" s="31">
        <v>2105</v>
      </c>
      <c r="F118" s="10" t="s">
        <v>4223</v>
      </c>
      <c r="G118" s="10" t="s">
        <v>4224</v>
      </c>
      <c r="H118" s="10"/>
      <c r="I118" s="10"/>
      <c r="J118" s="10"/>
      <c r="K118" s="10"/>
      <c r="L118" s="10" t="s">
        <v>2064</v>
      </c>
      <c r="M118" s="31"/>
    </row>
    <row r="119" spans="1:13" x14ac:dyDescent="0.3">
      <c r="A119" s="10" t="s">
        <v>1501</v>
      </c>
      <c r="B119" s="10" t="s">
        <v>4225</v>
      </c>
      <c r="C119" s="10" t="s">
        <v>247</v>
      </c>
      <c r="D119" s="10" t="s">
        <v>3955</v>
      </c>
      <c r="E119" s="31">
        <v>2355</v>
      </c>
      <c r="F119" s="10" t="s">
        <v>4226</v>
      </c>
      <c r="G119" s="10" t="s">
        <v>4227</v>
      </c>
      <c r="H119" s="10" t="s">
        <v>3958</v>
      </c>
      <c r="I119" s="10"/>
      <c r="J119" s="10"/>
      <c r="K119" s="10"/>
      <c r="L119" s="10" t="s">
        <v>2064</v>
      </c>
      <c r="M119" s="31"/>
    </row>
    <row r="120" spans="1:13" x14ac:dyDescent="0.3">
      <c r="A120" s="10" t="s">
        <v>1501</v>
      </c>
      <c r="B120" s="10" t="s">
        <v>4228</v>
      </c>
      <c r="C120" s="10" t="s">
        <v>3963</v>
      </c>
      <c r="D120" s="10" t="s">
        <v>3955</v>
      </c>
      <c r="E120" s="31">
        <v>2355</v>
      </c>
      <c r="F120" s="10" t="s">
        <v>4226</v>
      </c>
      <c r="G120" s="10" t="s">
        <v>4227</v>
      </c>
      <c r="H120" s="10" t="s">
        <v>3958</v>
      </c>
      <c r="I120" s="10" t="s">
        <v>245</v>
      </c>
      <c r="J120" s="10" t="s">
        <v>245</v>
      </c>
      <c r="K120" s="10" t="s">
        <v>113</v>
      </c>
      <c r="L120" s="10" t="s">
        <v>184</v>
      </c>
      <c r="M120" s="31">
        <v>108000</v>
      </c>
    </row>
    <row r="121" spans="1:13" x14ac:dyDescent="0.3">
      <c r="A121" s="10" t="s">
        <v>1502</v>
      </c>
      <c r="B121" s="10" t="s">
        <v>4229</v>
      </c>
      <c r="C121" s="10" t="s">
        <v>247</v>
      </c>
      <c r="D121" s="10" t="s">
        <v>3955</v>
      </c>
      <c r="E121" s="31">
        <v>2240</v>
      </c>
      <c r="F121" s="10" t="s">
        <v>4230</v>
      </c>
      <c r="G121" s="10" t="s">
        <v>4231</v>
      </c>
      <c r="H121" s="10" t="s">
        <v>2120</v>
      </c>
      <c r="I121" s="10" t="s">
        <v>4232</v>
      </c>
      <c r="J121" s="10" t="s">
        <v>944</v>
      </c>
      <c r="K121" s="10" t="s">
        <v>115</v>
      </c>
      <c r="L121" s="10" t="s">
        <v>185</v>
      </c>
      <c r="M121" s="31">
        <v>240000</v>
      </c>
    </row>
    <row r="122" spans="1:13" x14ac:dyDescent="0.3">
      <c r="A122" s="10" t="s">
        <v>1503</v>
      </c>
      <c r="B122" s="10" t="s">
        <v>4233</v>
      </c>
      <c r="C122" s="10" t="s">
        <v>247</v>
      </c>
      <c r="D122" s="10" t="s">
        <v>3955</v>
      </c>
      <c r="E122" s="31">
        <v>1895</v>
      </c>
      <c r="F122" s="10" t="s">
        <v>4234</v>
      </c>
      <c r="G122" s="10" t="s">
        <v>4235</v>
      </c>
      <c r="H122" s="10" t="s">
        <v>2120</v>
      </c>
      <c r="I122" s="10" t="s">
        <v>4236</v>
      </c>
      <c r="J122" s="10" t="s">
        <v>789</v>
      </c>
      <c r="K122" s="10" t="s">
        <v>115</v>
      </c>
      <c r="L122" s="10" t="s">
        <v>185</v>
      </c>
      <c r="M122" s="31">
        <v>201200</v>
      </c>
    </row>
    <row r="123" spans="1:13" x14ac:dyDescent="0.3">
      <c r="A123" s="10" t="s">
        <v>1503</v>
      </c>
      <c r="B123" s="10" t="s">
        <v>4237</v>
      </c>
      <c r="C123" s="10" t="s">
        <v>3963</v>
      </c>
      <c r="D123" s="10" t="s">
        <v>3955</v>
      </c>
      <c r="E123" s="31">
        <v>1895</v>
      </c>
      <c r="F123" s="10" t="s">
        <v>4234</v>
      </c>
      <c r="G123" s="10" t="s">
        <v>4235</v>
      </c>
      <c r="H123" s="10" t="s">
        <v>2120</v>
      </c>
      <c r="I123" s="10" t="s">
        <v>3989</v>
      </c>
      <c r="J123" s="10" t="s">
        <v>789</v>
      </c>
      <c r="K123" s="10" t="s">
        <v>115</v>
      </c>
      <c r="L123" s="10" t="s">
        <v>185</v>
      </c>
      <c r="M123" s="31">
        <v>175604</v>
      </c>
    </row>
    <row r="124" spans="1:13" x14ac:dyDescent="0.3">
      <c r="A124" s="10" t="s">
        <v>1504</v>
      </c>
      <c r="B124" s="10" t="s">
        <v>3978</v>
      </c>
      <c r="C124" s="10" t="s">
        <v>247</v>
      </c>
      <c r="D124" s="10" t="s">
        <v>3955</v>
      </c>
      <c r="E124" s="31">
        <v>1855</v>
      </c>
      <c r="F124" s="10" t="s">
        <v>4124</v>
      </c>
      <c r="G124" s="10" t="s">
        <v>4125</v>
      </c>
      <c r="H124" s="10"/>
      <c r="I124" s="10"/>
      <c r="J124" s="10"/>
      <c r="K124" s="10"/>
      <c r="L124" s="10" t="s">
        <v>2064</v>
      </c>
      <c r="M124" s="31"/>
    </row>
    <row r="125" spans="1:13" x14ac:dyDescent="0.3">
      <c r="A125" s="10" t="s">
        <v>1505</v>
      </c>
      <c r="B125" s="10" t="s">
        <v>4238</v>
      </c>
      <c r="C125" s="10" t="s">
        <v>247</v>
      </c>
      <c r="D125" s="10" t="s">
        <v>3955</v>
      </c>
      <c r="E125" s="31">
        <v>1785</v>
      </c>
      <c r="F125" s="10" t="s">
        <v>4239</v>
      </c>
      <c r="G125" s="10" t="s">
        <v>4240</v>
      </c>
      <c r="H125" s="10" t="s">
        <v>2120</v>
      </c>
      <c r="I125" s="10"/>
      <c r="J125" s="10"/>
      <c r="K125" s="10"/>
      <c r="L125" s="10" t="s">
        <v>2064</v>
      </c>
      <c r="M125" s="31">
        <v>53790</v>
      </c>
    </row>
    <row r="126" spans="1:13" x14ac:dyDescent="0.3">
      <c r="A126" s="10" t="s">
        <v>1506</v>
      </c>
      <c r="B126" s="10" t="s">
        <v>4241</v>
      </c>
      <c r="C126" s="10" t="s">
        <v>247</v>
      </c>
      <c r="D126" s="10" t="s">
        <v>3955</v>
      </c>
      <c r="E126" s="31">
        <v>2005</v>
      </c>
      <c r="F126" s="10" t="s">
        <v>4242</v>
      </c>
      <c r="G126" s="10" t="s">
        <v>4243</v>
      </c>
      <c r="H126" s="10" t="s">
        <v>2120</v>
      </c>
      <c r="I126" s="10" t="s">
        <v>4244</v>
      </c>
      <c r="J126" s="10" t="s">
        <v>784</v>
      </c>
      <c r="K126" s="10" t="s">
        <v>115</v>
      </c>
      <c r="L126" s="10" t="s">
        <v>185</v>
      </c>
      <c r="M126" s="31">
        <v>302900</v>
      </c>
    </row>
    <row r="127" spans="1:13" x14ac:dyDescent="0.3">
      <c r="A127" s="10" t="s">
        <v>1506</v>
      </c>
      <c r="B127" s="10" t="s">
        <v>4245</v>
      </c>
      <c r="C127" s="10" t="s">
        <v>3963</v>
      </c>
      <c r="D127" s="10" t="s">
        <v>3955</v>
      </c>
      <c r="E127" s="31">
        <v>2005</v>
      </c>
      <c r="F127" s="10" t="s">
        <v>4242</v>
      </c>
      <c r="G127" s="10" t="s">
        <v>4243</v>
      </c>
      <c r="H127" s="10" t="s">
        <v>4022</v>
      </c>
      <c r="I127" s="10"/>
      <c r="J127" s="10"/>
      <c r="K127" s="10"/>
      <c r="L127" s="10" t="s">
        <v>2064</v>
      </c>
      <c r="M127" s="31"/>
    </row>
    <row r="128" spans="1:13" x14ac:dyDescent="0.3">
      <c r="A128" s="10" t="s">
        <v>1507</v>
      </c>
      <c r="B128" s="10" t="s">
        <v>4246</v>
      </c>
      <c r="C128" s="10" t="s">
        <v>247</v>
      </c>
      <c r="D128" s="10" t="s">
        <v>3955</v>
      </c>
      <c r="E128" s="31">
        <v>2010</v>
      </c>
      <c r="F128" s="10" t="s">
        <v>4247</v>
      </c>
      <c r="G128" s="10" t="s">
        <v>4248</v>
      </c>
      <c r="H128" s="10" t="s">
        <v>2120</v>
      </c>
      <c r="I128" s="10"/>
      <c r="J128" s="10"/>
      <c r="K128" s="10"/>
      <c r="L128" s="10" t="s">
        <v>2064</v>
      </c>
      <c r="M128" s="31"/>
    </row>
    <row r="129" spans="1:13" x14ac:dyDescent="0.3">
      <c r="A129" s="10" t="s">
        <v>1507</v>
      </c>
      <c r="B129" s="10" t="s">
        <v>4249</v>
      </c>
      <c r="C129" s="10" t="s">
        <v>3963</v>
      </c>
      <c r="D129" s="10" t="s">
        <v>3955</v>
      </c>
      <c r="E129" s="31">
        <v>2010</v>
      </c>
      <c r="F129" s="10" t="s">
        <v>4247</v>
      </c>
      <c r="G129" s="10" t="s">
        <v>4248</v>
      </c>
      <c r="H129" s="10" t="s">
        <v>2120</v>
      </c>
      <c r="I129" s="10" t="s">
        <v>4250</v>
      </c>
      <c r="J129" s="10" t="s">
        <v>954</v>
      </c>
      <c r="K129" s="10" t="s">
        <v>115</v>
      </c>
      <c r="L129" s="10" t="s">
        <v>185</v>
      </c>
      <c r="M129" s="31">
        <v>117000</v>
      </c>
    </row>
    <row r="130" spans="1:13" x14ac:dyDescent="0.3">
      <c r="A130" s="10" t="s">
        <v>1508</v>
      </c>
      <c r="B130" s="10" t="s">
        <v>4251</v>
      </c>
      <c r="C130" s="10" t="s">
        <v>247</v>
      </c>
      <c r="D130" s="10" t="s">
        <v>3955</v>
      </c>
      <c r="E130" s="31">
        <v>2005</v>
      </c>
      <c r="F130" s="10" t="s">
        <v>4223</v>
      </c>
      <c r="G130" s="10" t="s">
        <v>4252</v>
      </c>
      <c r="H130" s="10" t="s">
        <v>2120</v>
      </c>
      <c r="I130" s="10" t="s">
        <v>4253</v>
      </c>
      <c r="J130" s="10" t="s">
        <v>935</v>
      </c>
      <c r="K130" s="10" t="s">
        <v>115</v>
      </c>
      <c r="L130" s="10" t="s">
        <v>185</v>
      </c>
      <c r="M130" s="31">
        <v>110000</v>
      </c>
    </row>
    <row r="131" spans="1:13" x14ac:dyDescent="0.3">
      <c r="A131" s="10" t="s">
        <v>1508</v>
      </c>
      <c r="B131" s="10" t="s">
        <v>4254</v>
      </c>
      <c r="C131" s="10" t="s">
        <v>3963</v>
      </c>
      <c r="D131" s="10" t="s">
        <v>3955</v>
      </c>
      <c r="E131" s="31">
        <v>2005</v>
      </c>
      <c r="F131" s="10" t="s">
        <v>4223</v>
      </c>
      <c r="G131" s="10" t="s">
        <v>4252</v>
      </c>
      <c r="H131" s="10" t="s">
        <v>3976</v>
      </c>
      <c r="I131" s="10"/>
      <c r="J131" s="10"/>
      <c r="K131" s="10"/>
      <c r="L131" s="10" t="s">
        <v>2064</v>
      </c>
      <c r="M131" s="31"/>
    </row>
    <row r="132" spans="1:13" x14ac:dyDescent="0.3">
      <c r="A132" s="10" t="s">
        <v>1509</v>
      </c>
      <c r="B132" s="10" t="s">
        <v>4255</v>
      </c>
      <c r="C132" s="10" t="s">
        <v>247</v>
      </c>
      <c r="D132" s="10" t="s">
        <v>3955</v>
      </c>
      <c r="E132" s="31">
        <v>2070</v>
      </c>
      <c r="F132" s="10" t="s">
        <v>4256</v>
      </c>
      <c r="G132" s="10" t="s">
        <v>4257</v>
      </c>
      <c r="H132" s="10" t="s">
        <v>3999</v>
      </c>
      <c r="I132" s="10" t="s">
        <v>397</v>
      </c>
      <c r="J132" s="10" t="s">
        <v>397</v>
      </c>
      <c r="K132" s="10" t="s">
        <v>123</v>
      </c>
      <c r="L132" s="10" t="s">
        <v>192</v>
      </c>
      <c r="M132" s="31">
        <v>80000</v>
      </c>
    </row>
    <row r="133" spans="1:13" x14ac:dyDescent="0.3">
      <c r="A133" s="10" t="s">
        <v>1509</v>
      </c>
      <c r="B133" s="10" t="s">
        <v>4258</v>
      </c>
      <c r="C133" s="10" t="s">
        <v>3963</v>
      </c>
      <c r="D133" s="10" t="s">
        <v>3955</v>
      </c>
      <c r="E133" s="31">
        <v>2070</v>
      </c>
      <c r="F133" s="10" t="s">
        <v>4256</v>
      </c>
      <c r="G133" s="10" t="s">
        <v>4257</v>
      </c>
      <c r="H133" s="10" t="s">
        <v>3999</v>
      </c>
      <c r="I133" s="10" t="s">
        <v>1151</v>
      </c>
      <c r="J133" s="10" t="s">
        <v>1151</v>
      </c>
      <c r="K133" s="10" t="s">
        <v>123</v>
      </c>
      <c r="L133" s="10" t="s">
        <v>190</v>
      </c>
      <c r="M133" s="31">
        <v>47000</v>
      </c>
    </row>
    <row r="134" spans="1:13" x14ac:dyDescent="0.3">
      <c r="A134" s="10" t="s">
        <v>1510</v>
      </c>
      <c r="B134" s="10" t="s">
        <v>4259</v>
      </c>
      <c r="C134" s="10" t="s">
        <v>247</v>
      </c>
      <c r="D134" s="10" t="s">
        <v>3955</v>
      </c>
      <c r="E134" s="31">
        <v>1670</v>
      </c>
      <c r="F134" s="10" t="s">
        <v>4260</v>
      </c>
      <c r="G134" s="10" t="s">
        <v>4261</v>
      </c>
      <c r="H134" s="10" t="s">
        <v>3958</v>
      </c>
      <c r="I134" s="10" t="s">
        <v>245</v>
      </c>
      <c r="J134" s="10" t="s">
        <v>245</v>
      </c>
      <c r="K134" s="10" t="s">
        <v>113</v>
      </c>
      <c r="L134" s="10" t="s">
        <v>184</v>
      </c>
      <c r="M134" s="31">
        <v>87300</v>
      </c>
    </row>
    <row r="135" spans="1:13" x14ac:dyDescent="0.3">
      <c r="A135" s="10" t="s">
        <v>1511</v>
      </c>
      <c r="B135" s="10" t="s">
        <v>4262</v>
      </c>
      <c r="C135" s="10" t="s">
        <v>247</v>
      </c>
      <c r="D135" s="10" t="s">
        <v>3955</v>
      </c>
      <c r="E135" s="31">
        <v>2005</v>
      </c>
      <c r="F135" s="10" t="s">
        <v>4024</v>
      </c>
      <c r="G135" s="10" t="s">
        <v>4263</v>
      </c>
      <c r="H135" s="10" t="s">
        <v>2120</v>
      </c>
      <c r="I135" s="10" t="s">
        <v>4264</v>
      </c>
      <c r="J135" s="10" t="s">
        <v>802</v>
      </c>
      <c r="K135" s="10" t="s">
        <v>115</v>
      </c>
      <c r="L135" s="10" t="s">
        <v>185</v>
      </c>
      <c r="M135" s="31">
        <v>249600</v>
      </c>
    </row>
    <row r="136" spans="1:13" x14ac:dyDescent="0.3">
      <c r="A136" s="10" t="s">
        <v>1511</v>
      </c>
      <c r="B136" s="10" t="s">
        <v>4265</v>
      </c>
      <c r="C136" s="10" t="s">
        <v>3963</v>
      </c>
      <c r="D136" s="10" t="s">
        <v>3955</v>
      </c>
      <c r="E136" s="31">
        <v>2005</v>
      </c>
      <c r="F136" s="10" t="s">
        <v>4024</v>
      </c>
      <c r="G136" s="10" t="s">
        <v>4263</v>
      </c>
      <c r="H136" s="10" t="s">
        <v>2120</v>
      </c>
      <c r="I136" s="10"/>
      <c r="J136" s="10"/>
      <c r="K136" s="10"/>
      <c r="L136" s="10" t="s">
        <v>2064</v>
      </c>
      <c r="M136" s="31"/>
    </row>
    <row r="137" spans="1:13" x14ac:dyDescent="0.3">
      <c r="A137" s="10" t="s">
        <v>1512</v>
      </c>
      <c r="B137" s="10" t="s">
        <v>4266</v>
      </c>
      <c r="C137" s="10" t="s">
        <v>247</v>
      </c>
      <c r="D137" s="10" t="s">
        <v>3955</v>
      </c>
      <c r="E137" s="31">
        <v>2380</v>
      </c>
      <c r="F137" s="10" t="s">
        <v>4267</v>
      </c>
      <c r="G137" s="10" t="s">
        <v>4268</v>
      </c>
      <c r="H137" s="10" t="s">
        <v>4269</v>
      </c>
      <c r="I137" s="10" t="s">
        <v>4270</v>
      </c>
      <c r="J137" s="10" t="s">
        <v>393</v>
      </c>
      <c r="K137" s="10" t="s">
        <v>123</v>
      </c>
      <c r="L137" s="10" t="s">
        <v>192</v>
      </c>
      <c r="M137" s="31">
        <v>21576</v>
      </c>
    </row>
    <row r="138" spans="1:13" x14ac:dyDescent="0.3">
      <c r="A138" s="10" t="s">
        <v>1512</v>
      </c>
      <c r="B138" s="10" t="s">
        <v>4271</v>
      </c>
      <c r="C138" s="10" t="s">
        <v>3963</v>
      </c>
      <c r="D138" s="10" t="s">
        <v>3955</v>
      </c>
      <c r="E138" s="31">
        <v>2380</v>
      </c>
      <c r="F138" s="10" t="s">
        <v>4267</v>
      </c>
      <c r="G138" s="10" t="s">
        <v>4268</v>
      </c>
      <c r="H138" s="10" t="s">
        <v>2120</v>
      </c>
      <c r="I138" s="10" t="s">
        <v>4272</v>
      </c>
      <c r="J138" s="10" t="s">
        <v>840</v>
      </c>
      <c r="K138" s="10" t="s">
        <v>115</v>
      </c>
      <c r="L138" s="10" t="s">
        <v>185</v>
      </c>
      <c r="M138" s="31">
        <v>131872</v>
      </c>
    </row>
    <row r="139" spans="1:13" x14ac:dyDescent="0.3">
      <c r="A139" s="10" t="s">
        <v>1513</v>
      </c>
      <c r="B139" s="10" t="s">
        <v>4273</v>
      </c>
      <c r="C139" s="10" t="s">
        <v>247</v>
      </c>
      <c r="D139" s="10" t="s">
        <v>3986</v>
      </c>
      <c r="E139" s="31">
        <v>1570</v>
      </c>
      <c r="F139" s="10" t="s">
        <v>4274</v>
      </c>
      <c r="G139" s="10" t="s">
        <v>4275</v>
      </c>
      <c r="H139" s="10" t="s">
        <v>2120</v>
      </c>
      <c r="I139" s="10" t="s">
        <v>4276</v>
      </c>
      <c r="J139" s="10" t="s">
        <v>810</v>
      </c>
      <c r="K139" s="10" t="s">
        <v>115</v>
      </c>
      <c r="L139" s="10" t="s">
        <v>185</v>
      </c>
      <c r="M139" s="31">
        <v>100000</v>
      </c>
    </row>
    <row r="140" spans="1:13" x14ac:dyDescent="0.3">
      <c r="A140" s="10" t="s">
        <v>1513</v>
      </c>
      <c r="B140" s="10" t="s">
        <v>4277</v>
      </c>
      <c r="C140" s="10" t="s">
        <v>247</v>
      </c>
      <c r="D140" s="10" t="s">
        <v>4167</v>
      </c>
      <c r="E140" s="31">
        <v>0</v>
      </c>
      <c r="F140" s="10" t="s">
        <v>4191</v>
      </c>
      <c r="G140" s="10" t="s">
        <v>4278</v>
      </c>
      <c r="H140" s="10" t="s">
        <v>3958</v>
      </c>
      <c r="I140" s="10" t="s">
        <v>245</v>
      </c>
      <c r="J140" s="10" t="s">
        <v>245</v>
      </c>
      <c r="K140" s="10" t="s">
        <v>113</v>
      </c>
      <c r="L140" s="10" t="s">
        <v>184</v>
      </c>
      <c r="M140" s="31">
        <v>130000</v>
      </c>
    </row>
    <row r="141" spans="1:13" x14ac:dyDescent="0.3">
      <c r="A141" s="10" t="s">
        <v>1513</v>
      </c>
      <c r="B141" s="10" t="s">
        <v>4279</v>
      </c>
      <c r="C141" s="10" t="s">
        <v>3963</v>
      </c>
      <c r="D141" s="10" t="s">
        <v>3986</v>
      </c>
      <c r="E141" s="31">
        <v>1570</v>
      </c>
      <c r="F141" s="10" t="s">
        <v>4274</v>
      </c>
      <c r="G141" s="10" t="s">
        <v>4275</v>
      </c>
      <c r="H141" s="10" t="s">
        <v>2120</v>
      </c>
      <c r="I141" s="10" t="s">
        <v>4280</v>
      </c>
      <c r="J141" s="10" t="s">
        <v>810</v>
      </c>
      <c r="K141" s="10" t="s">
        <v>115</v>
      </c>
      <c r="L141" s="10" t="s">
        <v>185</v>
      </c>
      <c r="M141" s="31">
        <v>3120000</v>
      </c>
    </row>
    <row r="142" spans="1:13" x14ac:dyDescent="0.3">
      <c r="A142" s="10" t="s">
        <v>1514</v>
      </c>
      <c r="B142" s="10" t="s">
        <v>4281</v>
      </c>
      <c r="C142" s="10" t="s">
        <v>247</v>
      </c>
      <c r="D142" s="10" t="s">
        <v>3955</v>
      </c>
      <c r="E142" s="31">
        <v>1880</v>
      </c>
      <c r="F142" s="10" t="s">
        <v>4282</v>
      </c>
      <c r="G142" s="10" t="s">
        <v>4218</v>
      </c>
      <c r="H142" s="10" t="s">
        <v>3958</v>
      </c>
      <c r="I142" s="10" t="s">
        <v>4283</v>
      </c>
      <c r="J142" s="10" t="s">
        <v>1060</v>
      </c>
      <c r="K142" s="10" t="s">
        <v>119</v>
      </c>
      <c r="L142" s="10" t="s">
        <v>187</v>
      </c>
      <c r="M142" s="31">
        <v>107000</v>
      </c>
    </row>
    <row r="143" spans="1:13" x14ac:dyDescent="0.3">
      <c r="A143" s="10" t="s">
        <v>1515</v>
      </c>
      <c r="B143" s="10" t="s">
        <v>3978</v>
      </c>
      <c r="C143" s="10" t="s">
        <v>247</v>
      </c>
      <c r="D143" s="10" t="s">
        <v>3955</v>
      </c>
      <c r="E143" s="31">
        <v>2380</v>
      </c>
      <c r="F143" s="10" t="s">
        <v>4284</v>
      </c>
      <c r="G143" s="10" t="s">
        <v>4285</v>
      </c>
      <c r="H143" s="10"/>
      <c r="I143" s="10"/>
      <c r="J143" s="10"/>
      <c r="K143" s="10"/>
      <c r="L143" s="10" t="s">
        <v>2064</v>
      </c>
      <c r="M143" s="31"/>
    </row>
    <row r="144" spans="1:13" x14ac:dyDescent="0.3">
      <c r="A144" s="10" t="s">
        <v>1516</v>
      </c>
      <c r="B144" s="10" t="s">
        <v>4286</v>
      </c>
      <c r="C144" s="10" t="s">
        <v>247</v>
      </c>
      <c r="D144" s="10" t="s">
        <v>3955</v>
      </c>
      <c r="E144" s="31">
        <v>2570</v>
      </c>
      <c r="F144" s="10" t="s">
        <v>4287</v>
      </c>
      <c r="G144" s="10" t="s">
        <v>4288</v>
      </c>
      <c r="H144" s="10" t="s">
        <v>2120</v>
      </c>
      <c r="I144" s="10" t="s">
        <v>4289</v>
      </c>
      <c r="J144" s="10" t="s">
        <v>276</v>
      </c>
      <c r="K144" s="10" t="s">
        <v>115</v>
      </c>
      <c r="L144" s="10" t="s">
        <v>185</v>
      </c>
      <c r="M144" s="31">
        <v>200000</v>
      </c>
    </row>
    <row r="145" spans="1:13" x14ac:dyDescent="0.3">
      <c r="A145" s="10" t="s">
        <v>1517</v>
      </c>
      <c r="B145" s="10" t="s">
        <v>4290</v>
      </c>
      <c r="C145" s="10" t="s">
        <v>247</v>
      </c>
      <c r="D145" s="10" t="s">
        <v>3955</v>
      </c>
      <c r="E145" s="31">
        <v>2275</v>
      </c>
      <c r="F145" s="10" t="s">
        <v>4291</v>
      </c>
      <c r="G145" s="10" t="s">
        <v>4292</v>
      </c>
      <c r="H145" s="10" t="s">
        <v>3999</v>
      </c>
      <c r="I145" s="10" t="s">
        <v>4293</v>
      </c>
      <c r="J145" s="10" t="s">
        <v>1029</v>
      </c>
      <c r="K145" s="10" t="s">
        <v>117</v>
      </c>
      <c r="L145" s="10" t="s">
        <v>186</v>
      </c>
      <c r="M145" s="31">
        <v>79040</v>
      </c>
    </row>
    <row r="146" spans="1:13" x14ac:dyDescent="0.3">
      <c r="A146" s="10" t="s">
        <v>1517</v>
      </c>
      <c r="B146" s="10" t="s">
        <v>4294</v>
      </c>
      <c r="C146" s="10" t="s">
        <v>3963</v>
      </c>
      <c r="D146" s="10" t="s">
        <v>3955</v>
      </c>
      <c r="E146" s="31">
        <v>2275</v>
      </c>
      <c r="F146" s="10" t="s">
        <v>4291</v>
      </c>
      <c r="G146" s="10" t="s">
        <v>4292</v>
      </c>
      <c r="H146" s="10" t="s">
        <v>4173</v>
      </c>
      <c r="I146" s="10"/>
      <c r="J146" s="10"/>
      <c r="K146" s="10"/>
      <c r="L146" s="10" t="s">
        <v>2064</v>
      </c>
      <c r="M146" s="31">
        <v>52342</v>
      </c>
    </row>
    <row r="147" spans="1:13" x14ac:dyDescent="0.3">
      <c r="A147" s="10" t="s">
        <v>1518</v>
      </c>
      <c r="B147" s="10" t="s">
        <v>4295</v>
      </c>
      <c r="C147" s="10" t="s">
        <v>247</v>
      </c>
      <c r="D147" s="10" t="s">
        <v>3955</v>
      </c>
      <c r="E147" s="31">
        <v>2050</v>
      </c>
      <c r="F147" s="10" t="s">
        <v>4296</v>
      </c>
      <c r="G147" s="10" t="s">
        <v>4297</v>
      </c>
      <c r="H147" s="10" t="s">
        <v>3498</v>
      </c>
      <c r="I147" s="10" t="s">
        <v>1139</v>
      </c>
      <c r="J147" s="10" t="s">
        <v>1139</v>
      </c>
      <c r="K147" s="10" t="s">
        <v>123</v>
      </c>
      <c r="L147" s="10" t="s">
        <v>189</v>
      </c>
      <c r="M147" s="31">
        <v>78000</v>
      </c>
    </row>
    <row r="148" spans="1:13" x14ac:dyDescent="0.3">
      <c r="A148" s="10" t="s">
        <v>1519</v>
      </c>
      <c r="B148" s="10" t="s">
        <v>3978</v>
      </c>
      <c r="C148" s="10" t="s">
        <v>247</v>
      </c>
      <c r="D148" s="10" t="s">
        <v>3955</v>
      </c>
      <c r="E148" s="31">
        <v>1845</v>
      </c>
      <c r="F148" s="10" t="s">
        <v>4298</v>
      </c>
      <c r="G148" s="10" t="s">
        <v>4299</v>
      </c>
      <c r="H148" s="10"/>
      <c r="I148" s="10"/>
      <c r="J148" s="10"/>
      <c r="K148" s="10"/>
      <c r="L148" s="10" t="s">
        <v>2064</v>
      </c>
      <c r="M148" s="31"/>
    </row>
    <row r="149" spans="1:13" x14ac:dyDescent="0.3">
      <c r="A149" s="10" t="s">
        <v>1520</v>
      </c>
      <c r="B149" s="10" t="s">
        <v>3978</v>
      </c>
      <c r="C149" s="10" t="s">
        <v>247</v>
      </c>
      <c r="D149" s="10" t="s">
        <v>3955</v>
      </c>
      <c r="E149" s="31">
        <v>1845</v>
      </c>
      <c r="F149" s="10" t="s">
        <v>4298</v>
      </c>
      <c r="G149" s="10" t="s">
        <v>4299</v>
      </c>
      <c r="H149" s="10"/>
      <c r="I149" s="10"/>
      <c r="J149" s="10"/>
      <c r="K149" s="10"/>
      <c r="L149" s="10" t="s">
        <v>2064</v>
      </c>
      <c r="M149" s="31"/>
    </row>
    <row r="150" spans="1:13" x14ac:dyDescent="0.3">
      <c r="A150" s="10" t="s">
        <v>1521</v>
      </c>
      <c r="B150" s="10" t="s">
        <v>4300</v>
      </c>
      <c r="C150" s="10" t="s">
        <v>247</v>
      </c>
      <c r="D150" s="10" t="s">
        <v>3955</v>
      </c>
      <c r="E150" s="31">
        <v>1895</v>
      </c>
      <c r="F150" s="10" t="s">
        <v>4301</v>
      </c>
      <c r="G150" s="10" t="s">
        <v>4302</v>
      </c>
      <c r="H150" s="10" t="s">
        <v>3958</v>
      </c>
      <c r="I150" s="10" t="s">
        <v>1009</v>
      </c>
      <c r="J150" s="10" t="s">
        <v>1009</v>
      </c>
      <c r="K150" s="10" t="s">
        <v>117</v>
      </c>
      <c r="L150" s="10" t="s">
        <v>186</v>
      </c>
      <c r="M150" s="31">
        <v>138000</v>
      </c>
    </row>
    <row r="151" spans="1:13" x14ac:dyDescent="0.3">
      <c r="A151" s="10" t="s">
        <v>1521</v>
      </c>
      <c r="B151" s="10" t="s">
        <v>4303</v>
      </c>
      <c r="C151" s="10" t="s">
        <v>3963</v>
      </c>
      <c r="D151" s="10" t="s">
        <v>3955</v>
      </c>
      <c r="E151" s="31">
        <v>1895</v>
      </c>
      <c r="F151" s="10" t="s">
        <v>4301</v>
      </c>
      <c r="G151" s="10" t="s">
        <v>4302</v>
      </c>
      <c r="H151" s="10" t="s">
        <v>4022</v>
      </c>
      <c r="I151" s="10"/>
      <c r="J151" s="10"/>
      <c r="K151" s="10"/>
      <c r="L151" s="10" t="s">
        <v>2064</v>
      </c>
      <c r="M151" s="31"/>
    </row>
    <row r="152" spans="1:13" x14ac:dyDescent="0.3">
      <c r="A152" s="10" t="s">
        <v>1522</v>
      </c>
      <c r="B152" s="10" t="s">
        <v>4304</v>
      </c>
      <c r="C152" s="10" t="s">
        <v>247</v>
      </c>
      <c r="D152" s="10" t="s">
        <v>3955</v>
      </c>
      <c r="E152" s="31">
        <v>2050</v>
      </c>
      <c r="F152" s="10" t="s">
        <v>4305</v>
      </c>
      <c r="G152" s="10" t="s">
        <v>4306</v>
      </c>
      <c r="H152" s="10" t="s">
        <v>2120</v>
      </c>
      <c r="I152" s="10" t="s">
        <v>4188</v>
      </c>
      <c r="J152" s="10" t="s">
        <v>815</v>
      </c>
      <c r="K152" s="10" t="s">
        <v>115</v>
      </c>
      <c r="L152" s="10" t="s">
        <v>185</v>
      </c>
      <c r="M152" s="31">
        <v>96000</v>
      </c>
    </row>
    <row r="153" spans="1:13" x14ac:dyDescent="0.3">
      <c r="A153" s="10" t="s">
        <v>1523</v>
      </c>
      <c r="B153" s="10" t="s">
        <v>4307</v>
      </c>
      <c r="C153" s="10" t="s">
        <v>247</v>
      </c>
      <c r="D153" s="10" t="s">
        <v>3955</v>
      </c>
      <c r="E153" s="31">
        <v>1875</v>
      </c>
      <c r="F153" s="10" t="s">
        <v>4308</v>
      </c>
      <c r="G153" s="10" t="s">
        <v>4309</v>
      </c>
      <c r="H153" s="10" t="s">
        <v>3958</v>
      </c>
      <c r="I153" s="10" t="s">
        <v>245</v>
      </c>
      <c r="J153" s="10" t="s">
        <v>245</v>
      </c>
      <c r="K153" s="10" t="s">
        <v>113</v>
      </c>
      <c r="L153" s="10" t="s">
        <v>184</v>
      </c>
      <c r="M153" s="31">
        <v>96000</v>
      </c>
    </row>
    <row r="154" spans="1:13" x14ac:dyDescent="0.3">
      <c r="A154" s="10" t="s">
        <v>1523</v>
      </c>
      <c r="B154" s="10" t="s">
        <v>4310</v>
      </c>
      <c r="C154" s="10" t="s">
        <v>3963</v>
      </c>
      <c r="D154" s="10" t="s">
        <v>3955</v>
      </c>
      <c r="E154" s="31">
        <v>1875</v>
      </c>
      <c r="F154" s="10" t="s">
        <v>4308</v>
      </c>
      <c r="G154" s="10" t="s">
        <v>4309</v>
      </c>
      <c r="H154" s="10" t="s">
        <v>3958</v>
      </c>
      <c r="I154" s="10" t="s">
        <v>4311</v>
      </c>
      <c r="J154" s="10" t="s">
        <v>245</v>
      </c>
      <c r="K154" s="10" t="s">
        <v>113</v>
      </c>
      <c r="L154" s="10" t="s">
        <v>184</v>
      </c>
      <c r="M154" s="31">
        <v>108000</v>
      </c>
    </row>
    <row r="155" spans="1:13" x14ac:dyDescent="0.3">
      <c r="A155" s="10" t="s">
        <v>1524</v>
      </c>
      <c r="B155" s="10" t="s">
        <v>4312</v>
      </c>
      <c r="C155" s="10" t="s">
        <v>247</v>
      </c>
      <c r="D155" s="10" t="s">
        <v>3955</v>
      </c>
      <c r="E155" s="31">
        <v>2050</v>
      </c>
      <c r="F155" s="10" t="s">
        <v>4313</v>
      </c>
      <c r="G155" s="10" t="s">
        <v>4073</v>
      </c>
      <c r="H155" s="10" t="s">
        <v>3958</v>
      </c>
      <c r="I155" s="10" t="s">
        <v>245</v>
      </c>
      <c r="J155" s="10" t="s">
        <v>245</v>
      </c>
      <c r="K155" s="10" t="s">
        <v>113</v>
      </c>
      <c r="L155" s="10" t="s">
        <v>184</v>
      </c>
      <c r="M155" s="31">
        <v>105000</v>
      </c>
    </row>
    <row r="156" spans="1:13" x14ac:dyDescent="0.3">
      <c r="A156" s="10" t="s">
        <v>1524</v>
      </c>
      <c r="B156" s="10" t="s">
        <v>4314</v>
      </c>
      <c r="C156" s="10" t="s">
        <v>3963</v>
      </c>
      <c r="D156" s="10" t="s">
        <v>3955</v>
      </c>
      <c r="E156" s="31">
        <v>2050</v>
      </c>
      <c r="F156" s="10" t="s">
        <v>4313</v>
      </c>
      <c r="G156" s="10" t="s">
        <v>4073</v>
      </c>
      <c r="H156" s="10" t="s">
        <v>3958</v>
      </c>
      <c r="I156" s="10" t="s">
        <v>245</v>
      </c>
      <c r="J156" s="10" t="s">
        <v>245</v>
      </c>
      <c r="K156" s="10" t="s">
        <v>113</v>
      </c>
      <c r="L156" s="10" t="s">
        <v>184</v>
      </c>
      <c r="M156" s="31">
        <v>105000</v>
      </c>
    </row>
    <row r="157" spans="1:13" x14ac:dyDescent="0.3">
      <c r="A157" s="10" t="s">
        <v>1525</v>
      </c>
      <c r="B157" s="10" t="s">
        <v>4315</v>
      </c>
      <c r="C157" s="10" t="s">
        <v>247</v>
      </c>
      <c r="D157" s="10" t="s">
        <v>3986</v>
      </c>
      <c r="E157" s="31">
        <v>1975</v>
      </c>
      <c r="F157" s="10" t="s">
        <v>4316</v>
      </c>
      <c r="G157" s="10" t="s">
        <v>4317</v>
      </c>
      <c r="H157" s="10" t="s">
        <v>3958</v>
      </c>
      <c r="I157" s="10" t="s">
        <v>4318</v>
      </c>
      <c r="J157" s="10" t="s">
        <v>1100</v>
      </c>
      <c r="K157" s="10" t="s">
        <v>121</v>
      </c>
      <c r="L157" s="10" t="s">
        <v>188</v>
      </c>
      <c r="M157" s="31">
        <v>102000</v>
      </c>
    </row>
    <row r="158" spans="1:13" x14ac:dyDescent="0.3">
      <c r="A158" s="10" t="s">
        <v>1525</v>
      </c>
      <c r="B158" s="10" t="s">
        <v>4319</v>
      </c>
      <c r="C158" s="10" t="s">
        <v>247</v>
      </c>
      <c r="D158" s="10" t="s">
        <v>4167</v>
      </c>
      <c r="E158" s="31">
        <v>0</v>
      </c>
      <c r="F158" s="10" t="s">
        <v>4320</v>
      </c>
      <c r="G158" s="10" t="s">
        <v>4321</v>
      </c>
      <c r="H158" s="10" t="s">
        <v>3958</v>
      </c>
      <c r="I158" s="10" t="s">
        <v>2890</v>
      </c>
      <c r="J158" s="10" t="s">
        <v>245</v>
      </c>
      <c r="K158" s="10" t="s">
        <v>113</v>
      </c>
      <c r="L158" s="10" t="s">
        <v>184</v>
      </c>
      <c r="M158" s="31">
        <v>96000</v>
      </c>
    </row>
    <row r="159" spans="1:13" x14ac:dyDescent="0.3">
      <c r="A159" s="10" t="s">
        <v>1525</v>
      </c>
      <c r="B159" s="10" t="s">
        <v>4322</v>
      </c>
      <c r="C159" s="10" t="s">
        <v>3963</v>
      </c>
      <c r="D159" s="10" t="s">
        <v>4167</v>
      </c>
      <c r="E159" s="31">
        <v>0</v>
      </c>
      <c r="F159" s="10" t="s">
        <v>4320</v>
      </c>
      <c r="G159" s="10" t="s">
        <v>4321</v>
      </c>
      <c r="H159" s="10" t="s">
        <v>4269</v>
      </c>
      <c r="I159" s="10" t="s">
        <v>4323</v>
      </c>
      <c r="J159" s="10" t="s">
        <v>1192</v>
      </c>
      <c r="K159" s="10" t="s">
        <v>123</v>
      </c>
      <c r="L159" s="10" t="s">
        <v>192</v>
      </c>
      <c r="M159" s="31">
        <v>51398</v>
      </c>
    </row>
    <row r="160" spans="1:13" x14ac:dyDescent="0.3">
      <c r="A160" s="10" t="s">
        <v>1526</v>
      </c>
      <c r="B160" s="10" t="s">
        <v>3978</v>
      </c>
      <c r="C160" s="10" t="s">
        <v>247</v>
      </c>
      <c r="D160" s="10" t="s">
        <v>3955</v>
      </c>
      <c r="E160" s="31">
        <v>1850</v>
      </c>
      <c r="F160" s="10" t="s">
        <v>4324</v>
      </c>
      <c r="G160" s="10" t="s">
        <v>4325</v>
      </c>
      <c r="H160" s="10"/>
      <c r="I160" s="10"/>
      <c r="J160" s="10"/>
      <c r="K160" s="10"/>
      <c r="L160" s="10" t="s">
        <v>2064</v>
      </c>
      <c r="M160" s="31"/>
    </row>
    <row r="161" spans="1:13" x14ac:dyDescent="0.3">
      <c r="A161" s="10" t="s">
        <v>1527</v>
      </c>
      <c r="B161" s="10" t="s">
        <v>3978</v>
      </c>
      <c r="C161" s="10" t="s">
        <v>247</v>
      </c>
      <c r="D161" s="10" t="s">
        <v>3955</v>
      </c>
      <c r="E161" s="31">
        <v>1850</v>
      </c>
      <c r="F161" s="10" t="s">
        <v>4324</v>
      </c>
      <c r="G161" s="10" t="s">
        <v>4325</v>
      </c>
      <c r="H161" s="10"/>
      <c r="I161" s="10"/>
      <c r="J161" s="10"/>
      <c r="K161" s="10"/>
      <c r="L161" s="10" t="s">
        <v>2064</v>
      </c>
      <c r="M161" s="31"/>
    </row>
    <row r="162" spans="1:13" x14ac:dyDescent="0.3">
      <c r="A162" s="10" t="s">
        <v>1528</v>
      </c>
      <c r="B162" s="10" t="s">
        <v>4326</v>
      </c>
      <c r="C162" s="10" t="s">
        <v>247</v>
      </c>
      <c r="D162" s="10" t="s">
        <v>3955</v>
      </c>
      <c r="E162" s="31">
        <v>2100</v>
      </c>
      <c r="F162" s="10" t="s">
        <v>4327</v>
      </c>
      <c r="G162" s="10" t="s">
        <v>4328</v>
      </c>
      <c r="H162" s="10" t="s">
        <v>772</v>
      </c>
      <c r="I162" s="10" t="s">
        <v>1156</v>
      </c>
      <c r="J162" s="10" t="s">
        <v>1156</v>
      </c>
      <c r="K162" s="10" t="s">
        <v>123</v>
      </c>
      <c r="L162" s="10" t="s">
        <v>189</v>
      </c>
      <c r="M162" s="31">
        <v>74400</v>
      </c>
    </row>
    <row r="163" spans="1:13" x14ac:dyDescent="0.3">
      <c r="A163" s="10" t="s">
        <v>1528</v>
      </c>
      <c r="B163" s="10" t="s">
        <v>4329</v>
      </c>
      <c r="C163" s="10" t="s">
        <v>3963</v>
      </c>
      <c r="D163" s="10" t="s">
        <v>3955</v>
      </c>
      <c r="E163" s="31">
        <v>2100</v>
      </c>
      <c r="F163" s="10" t="s">
        <v>4327</v>
      </c>
      <c r="G163" s="10" t="s">
        <v>4328</v>
      </c>
      <c r="H163" s="10" t="s">
        <v>4192</v>
      </c>
      <c r="I163" s="10" t="s">
        <v>1403</v>
      </c>
      <c r="J163" s="10" t="s">
        <v>1403</v>
      </c>
      <c r="K163" s="10" t="s">
        <v>123</v>
      </c>
      <c r="L163" s="10" t="s">
        <v>199</v>
      </c>
      <c r="M163" s="31">
        <v>52000</v>
      </c>
    </row>
    <row r="164" spans="1:13" x14ac:dyDescent="0.3">
      <c r="A164" s="10" t="s">
        <v>1529</v>
      </c>
      <c r="B164" s="10" t="s">
        <v>4330</v>
      </c>
      <c r="C164" s="10" t="s">
        <v>247</v>
      </c>
      <c r="D164" s="10" t="s">
        <v>3986</v>
      </c>
      <c r="E164" s="31">
        <v>1875</v>
      </c>
      <c r="F164" s="10" t="s">
        <v>4331</v>
      </c>
      <c r="G164" s="10" t="s">
        <v>4332</v>
      </c>
      <c r="H164" s="10" t="s">
        <v>3958</v>
      </c>
      <c r="I164" s="10" t="s">
        <v>245</v>
      </c>
      <c r="J164" s="10" t="s">
        <v>245</v>
      </c>
      <c r="K164" s="10" t="s">
        <v>113</v>
      </c>
      <c r="L164" s="10" t="s">
        <v>184</v>
      </c>
      <c r="M164" s="31">
        <v>120000</v>
      </c>
    </row>
    <row r="165" spans="1:13" x14ac:dyDescent="0.3">
      <c r="A165" s="10" t="s">
        <v>1529</v>
      </c>
      <c r="B165" s="10" t="s">
        <v>4333</v>
      </c>
      <c r="C165" s="10" t="s">
        <v>3963</v>
      </c>
      <c r="D165" s="10" t="s">
        <v>3986</v>
      </c>
      <c r="E165" s="31">
        <v>1875</v>
      </c>
      <c r="F165" s="10" t="s">
        <v>4331</v>
      </c>
      <c r="G165" s="10" t="s">
        <v>4332</v>
      </c>
      <c r="H165" s="10" t="s">
        <v>3958</v>
      </c>
      <c r="I165" s="10"/>
      <c r="J165" s="10"/>
      <c r="K165" s="10"/>
      <c r="L165" s="10" t="s">
        <v>2064</v>
      </c>
      <c r="M165" s="31">
        <v>101000</v>
      </c>
    </row>
    <row r="166" spans="1:13" x14ac:dyDescent="0.3">
      <c r="A166" s="10" t="s">
        <v>1530</v>
      </c>
      <c r="B166" s="10" t="s">
        <v>4334</v>
      </c>
      <c r="C166" s="10" t="s">
        <v>247</v>
      </c>
      <c r="D166" s="10" t="s">
        <v>3955</v>
      </c>
      <c r="E166" s="31">
        <v>1795</v>
      </c>
      <c r="F166" s="10" t="s">
        <v>4024</v>
      </c>
      <c r="G166" s="10" t="s">
        <v>4025</v>
      </c>
      <c r="H166" s="10" t="s">
        <v>3498</v>
      </c>
      <c r="I166" s="10" t="s">
        <v>576</v>
      </c>
      <c r="J166" s="10" t="s">
        <v>1143</v>
      </c>
      <c r="K166" s="10" t="s">
        <v>123</v>
      </c>
      <c r="L166" s="10" t="s">
        <v>189</v>
      </c>
      <c r="M166" s="31">
        <v>63720</v>
      </c>
    </row>
    <row r="167" spans="1:13" x14ac:dyDescent="0.3">
      <c r="A167" s="10" t="s">
        <v>1530</v>
      </c>
      <c r="B167" s="10" t="s">
        <v>4335</v>
      </c>
      <c r="C167" s="10" t="s">
        <v>3963</v>
      </c>
      <c r="D167" s="10" t="s">
        <v>3955</v>
      </c>
      <c r="E167" s="31">
        <v>1795</v>
      </c>
      <c r="F167" s="10" t="s">
        <v>4024</v>
      </c>
      <c r="G167" s="10" t="s">
        <v>4025</v>
      </c>
      <c r="H167" s="10" t="s">
        <v>3976</v>
      </c>
      <c r="I167" s="10"/>
      <c r="J167" s="10"/>
      <c r="K167" s="10"/>
      <c r="L167" s="10" t="s">
        <v>2064</v>
      </c>
      <c r="M167" s="31"/>
    </row>
    <row r="168" spans="1:13" x14ac:dyDescent="0.3">
      <c r="A168" s="10" t="s">
        <v>1530</v>
      </c>
      <c r="B168" s="10" t="s">
        <v>4336</v>
      </c>
      <c r="C168" s="10" t="s">
        <v>3963</v>
      </c>
      <c r="D168" s="10" t="s">
        <v>3955</v>
      </c>
      <c r="E168" s="31">
        <v>1795</v>
      </c>
      <c r="F168" s="10" t="s">
        <v>4024</v>
      </c>
      <c r="G168" s="10" t="s">
        <v>4025</v>
      </c>
      <c r="H168" s="10" t="s">
        <v>4097</v>
      </c>
      <c r="I168" s="10"/>
      <c r="J168" s="10"/>
      <c r="K168" s="10"/>
      <c r="L168" s="10" t="s">
        <v>2064</v>
      </c>
      <c r="M168" s="31"/>
    </row>
    <row r="169" spans="1:13" x14ac:dyDescent="0.3">
      <c r="A169" s="10" t="s">
        <v>1531</v>
      </c>
      <c r="B169" s="10" t="s">
        <v>4337</v>
      </c>
      <c r="C169" s="10" t="s">
        <v>247</v>
      </c>
      <c r="D169" s="10" t="s">
        <v>3955</v>
      </c>
      <c r="E169" s="31">
        <v>2250</v>
      </c>
      <c r="F169" s="10" t="s">
        <v>4088</v>
      </c>
      <c r="G169" s="10" t="s">
        <v>4089</v>
      </c>
      <c r="H169" s="10"/>
      <c r="I169" s="10"/>
      <c r="J169" s="10"/>
      <c r="K169" s="10"/>
      <c r="L169" s="10" t="s">
        <v>2064</v>
      </c>
      <c r="M169" s="31"/>
    </row>
    <row r="170" spans="1:13" x14ac:dyDescent="0.3">
      <c r="A170" s="10" t="s">
        <v>1532</v>
      </c>
      <c r="B170" s="10" t="s">
        <v>4338</v>
      </c>
      <c r="C170" s="10" t="s">
        <v>247</v>
      </c>
      <c r="D170" s="10" t="s">
        <v>3955</v>
      </c>
      <c r="E170" s="31">
        <v>1845</v>
      </c>
      <c r="F170" s="10" t="s">
        <v>4088</v>
      </c>
      <c r="G170" s="10" t="s">
        <v>4089</v>
      </c>
      <c r="H170" s="10" t="s">
        <v>2120</v>
      </c>
      <c r="I170" s="10" t="s">
        <v>893</v>
      </c>
      <c r="J170" s="10" t="s">
        <v>893</v>
      </c>
      <c r="K170" s="10" t="s">
        <v>115</v>
      </c>
      <c r="L170" s="10" t="s">
        <v>185</v>
      </c>
      <c r="M170" s="31">
        <v>107000</v>
      </c>
    </row>
    <row r="171" spans="1:13" x14ac:dyDescent="0.3">
      <c r="A171" s="10" t="s">
        <v>1533</v>
      </c>
      <c r="B171" s="10" t="s">
        <v>4339</v>
      </c>
      <c r="C171" s="10" t="s">
        <v>247</v>
      </c>
      <c r="D171" s="10" t="s">
        <v>3955</v>
      </c>
      <c r="E171" s="31">
        <v>2110</v>
      </c>
      <c r="F171" s="10" t="s">
        <v>4340</v>
      </c>
      <c r="G171" s="10" t="s">
        <v>4341</v>
      </c>
      <c r="H171" s="10" t="s">
        <v>2120</v>
      </c>
      <c r="I171" s="10" t="s">
        <v>4042</v>
      </c>
      <c r="J171" s="10" t="s">
        <v>789</v>
      </c>
      <c r="K171" s="10" t="s">
        <v>115</v>
      </c>
      <c r="L171" s="10" t="s">
        <v>185</v>
      </c>
      <c r="M171" s="31">
        <v>83000</v>
      </c>
    </row>
    <row r="172" spans="1:13" x14ac:dyDescent="0.3">
      <c r="A172" s="10" t="s">
        <v>1533</v>
      </c>
      <c r="B172" s="10" t="s">
        <v>4342</v>
      </c>
      <c r="C172" s="10" t="s">
        <v>3963</v>
      </c>
      <c r="D172" s="10" t="s">
        <v>3955</v>
      </c>
      <c r="E172" s="31">
        <v>2110</v>
      </c>
      <c r="F172" s="10" t="s">
        <v>4340</v>
      </c>
      <c r="G172" s="10" t="s">
        <v>4341</v>
      </c>
      <c r="H172" s="10" t="s">
        <v>2120</v>
      </c>
      <c r="I172" s="10" t="s">
        <v>4343</v>
      </c>
      <c r="J172" s="10" t="s">
        <v>789</v>
      </c>
      <c r="K172" s="10" t="s">
        <v>115</v>
      </c>
      <c r="L172" s="10" t="s">
        <v>185</v>
      </c>
      <c r="M172" s="31">
        <v>72800</v>
      </c>
    </row>
    <row r="173" spans="1:13" x14ac:dyDescent="0.3">
      <c r="A173" s="10" t="s">
        <v>1534</v>
      </c>
      <c r="B173" s="10" t="s">
        <v>4344</v>
      </c>
      <c r="C173" s="10" t="s">
        <v>247</v>
      </c>
      <c r="D173" s="10" t="s">
        <v>4167</v>
      </c>
      <c r="E173" s="31">
        <v>0</v>
      </c>
      <c r="F173" s="10" t="s">
        <v>4345</v>
      </c>
      <c r="G173" s="10" t="s">
        <v>4346</v>
      </c>
      <c r="H173" s="10" t="s">
        <v>3958</v>
      </c>
      <c r="I173" s="10" t="s">
        <v>1221</v>
      </c>
      <c r="J173" s="10" t="s">
        <v>1221</v>
      </c>
      <c r="K173" s="10" t="s">
        <v>123</v>
      </c>
      <c r="L173" s="10" t="s">
        <v>193</v>
      </c>
      <c r="M173" s="31">
        <v>138000</v>
      </c>
    </row>
    <row r="174" spans="1:13" x14ac:dyDescent="0.3">
      <c r="A174" s="10" t="s">
        <v>1534</v>
      </c>
      <c r="B174" s="10" t="s">
        <v>4347</v>
      </c>
      <c r="C174" s="10" t="s">
        <v>247</v>
      </c>
      <c r="D174" s="10" t="s">
        <v>3986</v>
      </c>
      <c r="E174" s="31">
        <v>2475</v>
      </c>
      <c r="F174" s="10" t="s">
        <v>4348</v>
      </c>
      <c r="G174" s="10" t="s">
        <v>4349</v>
      </c>
      <c r="H174" s="10" t="s">
        <v>772</v>
      </c>
      <c r="I174" s="10" t="s">
        <v>1196</v>
      </c>
      <c r="J174" s="10" t="s">
        <v>1196</v>
      </c>
      <c r="K174" s="10" t="s">
        <v>123</v>
      </c>
      <c r="L174" s="10" t="s">
        <v>190</v>
      </c>
      <c r="M174" s="31">
        <v>12000</v>
      </c>
    </row>
    <row r="175" spans="1:13" x14ac:dyDescent="0.3">
      <c r="A175" s="10" t="s">
        <v>1534</v>
      </c>
      <c r="B175" s="10" t="s">
        <v>4350</v>
      </c>
      <c r="C175" s="10" t="s">
        <v>3963</v>
      </c>
      <c r="D175" s="10" t="s">
        <v>3986</v>
      </c>
      <c r="E175" s="31">
        <v>2475</v>
      </c>
      <c r="F175" s="10" t="s">
        <v>4348</v>
      </c>
      <c r="G175" s="10" t="s">
        <v>4349</v>
      </c>
      <c r="H175" s="10" t="s">
        <v>4097</v>
      </c>
      <c r="I175" s="10"/>
      <c r="J175" s="10"/>
      <c r="K175" s="10"/>
      <c r="L175" s="10" t="s">
        <v>2064</v>
      </c>
      <c r="M175" s="31">
        <v>72883</v>
      </c>
    </row>
    <row r="176" spans="1:13" x14ac:dyDescent="0.3">
      <c r="A176" s="10" t="s">
        <v>1534</v>
      </c>
      <c r="B176" s="10" t="s">
        <v>4351</v>
      </c>
      <c r="C176" s="10" t="s">
        <v>3963</v>
      </c>
      <c r="D176" s="10" t="s">
        <v>3986</v>
      </c>
      <c r="E176" s="31">
        <v>2475</v>
      </c>
      <c r="F176" s="10" t="s">
        <v>4348</v>
      </c>
      <c r="G176" s="10" t="s">
        <v>4349</v>
      </c>
      <c r="H176" s="10" t="s">
        <v>4352</v>
      </c>
      <c r="I176" s="10" t="s">
        <v>4353</v>
      </c>
      <c r="J176" s="10" t="s">
        <v>1126</v>
      </c>
      <c r="K176" s="10" t="s">
        <v>123</v>
      </c>
      <c r="L176" s="10" t="s">
        <v>190</v>
      </c>
      <c r="M176" s="31">
        <v>30000</v>
      </c>
    </row>
    <row r="177" spans="1:13" x14ac:dyDescent="0.3">
      <c r="A177" s="10" t="s">
        <v>1534</v>
      </c>
      <c r="B177" s="10" t="s">
        <v>4354</v>
      </c>
      <c r="C177" s="10" t="s">
        <v>3963</v>
      </c>
      <c r="D177" s="10" t="s">
        <v>3986</v>
      </c>
      <c r="E177" s="31">
        <v>2475</v>
      </c>
      <c r="F177" s="10" t="s">
        <v>4348</v>
      </c>
      <c r="G177" s="10" t="s">
        <v>4349</v>
      </c>
      <c r="H177" s="10" t="s">
        <v>772</v>
      </c>
      <c r="I177" s="10" t="s">
        <v>1019</v>
      </c>
      <c r="J177" s="10" t="s">
        <v>1019</v>
      </c>
      <c r="K177" s="10" t="s">
        <v>117</v>
      </c>
      <c r="L177" s="10" t="s">
        <v>186</v>
      </c>
      <c r="M177" s="31">
        <v>36000</v>
      </c>
    </row>
    <row r="178" spans="1:13" x14ac:dyDescent="0.3">
      <c r="A178" s="10" t="s">
        <v>1535</v>
      </c>
      <c r="B178" s="10" t="s">
        <v>4355</v>
      </c>
      <c r="C178" s="10" t="s">
        <v>247</v>
      </c>
      <c r="D178" s="10" t="s">
        <v>3955</v>
      </c>
      <c r="E178" s="31">
        <v>1565</v>
      </c>
      <c r="F178" s="10" t="s">
        <v>4356</v>
      </c>
      <c r="G178" s="10" t="s">
        <v>4191</v>
      </c>
      <c r="H178" s="10" t="s">
        <v>3958</v>
      </c>
      <c r="I178" s="10" t="s">
        <v>4074</v>
      </c>
      <c r="J178" s="10" t="s">
        <v>245</v>
      </c>
      <c r="K178" s="10" t="s">
        <v>113</v>
      </c>
      <c r="L178" s="10" t="s">
        <v>184</v>
      </c>
      <c r="M178" s="31">
        <v>140000</v>
      </c>
    </row>
    <row r="179" spans="1:13" x14ac:dyDescent="0.3">
      <c r="A179" s="10" t="s">
        <v>1536</v>
      </c>
      <c r="B179" s="10" t="s">
        <v>4357</v>
      </c>
      <c r="C179" s="10" t="s">
        <v>247</v>
      </c>
      <c r="D179" s="10" t="s">
        <v>3986</v>
      </c>
      <c r="E179" s="31">
        <v>1875</v>
      </c>
      <c r="F179" s="10" t="s">
        <v>4358</v>
      </c>
      <c r="G179" s="10" t="s">
        <v>4359</v>
      </c>
      <c r="H179" s="10" t="s">
        <v>2477</v>
      </c>
      <c r="I179" s="10" t="s">
        <v>1345</v>
      </c>
      <c r="J179" s="10" t="s">
        <v>1345</v>
      </c>
      <c r="K179" s="10" t="s">
        <v>123</v>
      </c>
      <c r="L179" s="10" t="s">
        <v>194</v>
      </c>
      <c r="M179" s="31">
        <v>8000</v>
      </c>
    </row>
    <row r="180" spans="1:13" x14ac:dyDescent="0.3">
      <c r="A180" s="10" t="s">
        <v>1536</v>
      </c>
      <c r="B180" s="10" t="s">
        <v>4360</v>
      </c>
      <c r="C180" s="10" t="s">
        <v>3963</v>
      </c>
      <c r="D180" s="10" t="s">
        <v>3986</v>
      </c>
      <c r="E180" s="31">
        <v>1875</v>
      </c>
      <c r="F180" s="10" t="s">
        <v>4358</v>
      </c>
      <c r="G180" s="10" t="s">
        <v>4359</v>
      </c>
      <c r="H180" s="10" t="s">
        <v>2120</v>
      </c>
      <c r="I180" s="10" t="s">
        <v>802</v>
      </c>
      <c r="J180" s="10" t="s">
        <v>802</v>
      </c>
      <c r="K180" s="10" t="s">
        <v>115</v>
      </c>
      <c r="L180" s="10" t="s">
        <v>185</v>
      </c>
      <c r="M180" s="31">
        <v>192000</v>
      </c>
    </row>
    <row r="181" spans="1:13" x14ac:dyDescent="0.3">
      <c r="A181" s="10" t="s">
        <v>1537</v>
      </c>
      <c r="B181" s="10" t="s">
        <v>3978</v>
      </c>
      <c r="C181" s="10" t="s">
        <v>247</v>
      </c>
      <c r="D181" s="10" t="s">
        <v>3955</v>
      </c>
      <c r="E181" s="31">
        <v>2225</v>
      </c>
      <c r="F181" s="10" t="s">
        <v>4361</v>
      </c>
      <c r="G181" s="10" t="s">
        <v>4362</v>
      </c>
      <c r="H181" s="10"/>
      <c r="I181" s="10"/>
      <c r="J181" s="10"/>
      <c r="K181" s="10"/>
      <c r="L181" s="10" t="s">
        <v>2064</v>
      </c>
      <c r="M181" s="31"/>
    </row>
    <row r="182" spans="1:13" x14ac:dyDescent="0.3">
      <c r="A182" s="10" t="s">
        <v>1538</v>
      </c>
      <c r="B182" s="10" t="s">
        <v>4363</v>
      </c>
      <c r="C182" s="10" t="s">
        <v>247</v>
      </c>
      <c r="D182" s="10" t="s">
        <v>3955</v>
      </c>
      <c r="E182" s="31">
        <v>2595</v>
      </c>
      <c r="F182" s="10" t="s">
        <v>4364</v>
      </c>
      <c r="G182" s="10" t="s">
        <v>4365</v>
      </c>
      <c r="H182" s="10" t="s">
        <v>2120</v>
      </c>
      <c r="I182" s="10" t="s">
        <v>4244</v>
      </c>
      <c r="J182" s="10" t="s">
        <v>784</v>
      </c>
      <c r="K182" s="10" t="s">
        <v>115</v>
      </c>
      <c r="L182" s="10" t="s">
        <v>185</v>
      </c>
      <c r="M182" s="31">
        <v>220688</v>
      </c>
    </row>
    <row r="183" spans="1:13" x14ac:dyDescent="0.3">
      <c r="A183" s="10" t="s">
        <v>1539</v>
      </c>
      <c r="B183" s="10" t="s">
        <v>4366</v>
      </c>
      <c r="C183" s="10" t="s">
        <v>247</v>
      </c>
      <c r="D183" s="10" t="s">
        <v>4167</v>
      </c>
      <c r="E183" s="31">
        <v>0</v>
      </c>
      <c r="F183" s="10" t="s">
        <v>4152</v>
      </c>
      <c r="G183" s="10" t="s">
        <v>4168</v>
      </c>
      <c r="H183" s="10" t="s">
        <v>4055</v>
      </c>
      <c r="I183" s="10" t="s">
        <v>1266</v>
      </c>
      <c r="J183" s="10" t="s">
        <v>1266</v>
      </c>
      <c r="K183" s="10" t="s">
        <v>123</v>
      </c>
      <c r="L183" s="10" t="s">
        <v>194</v>
      </c>
      <c r="M183" s="31">
        <v>55000</v>
      </c>
    </row>
    <row r="184" spans="1:13" x14ac:dyDescent="0.3">
      <c r="A184" s="10" t="s">
        <v>1539</v>
      </c>
      <c r="B184" s="10" t="s">
        <v>4367</v>
      </c>
      <c r="C184" s="10" t="s">
        <v>247</v>
      </c>
      <c r="D184" s="10" t="s">
        <v>3986</v>
      </c>
      <c r="E184" s="31">
        <v>2385</v>
      </c>
      <c r="F184" s="10" t="s">
        <v>4368</v>
      </c>
      <c r="G184" s="10" t="s">
        <v>4320</v>
      </c>
      <c r="H184" s="10" t="s">
        <v>772</v>
      </c>
      <c r="I184" s="10" t="s">
        <v>1406</v>
      </c>
      <c r="J184" s="10" t="s">
        <v>1406</v>
      </c>
      <c r="K184" s="10" t="s">
        <v>123</v>
      </c>
      <c r="L184" s="10" t="s">
        <v>195</v>
      </c>
      <c r="M184" s="31">
        <v>12000</v>
      </c>
    </row>
    <row r="185" spans="1:13" x14ac:dyDescent="0.3">
      <c r="A185" s="10" t="s">
        <v>1539</v>
      </c>
      <c r="B185" s="10" t="s">
        <v>4369</v>
      </c>
      <c r="C185" s="10" t="s">
        <v>3963</v>
      </c>
      <c r="D185" s="10" t="s">
        <v>4167</v>
      </c>
      <c r="E185" s="31">
        <v>0</v>
      </c>
      <c r="F185" s="10" t="s">
        <v>4152</v>
      </c>
      <c r="G185" s="10" t="s">
        <v>4168</v>
      </c>
      <c r="H185" s="10" t="s">
        <v>2120</v>
      </c>
      <c r="I185" s="10" t="s">
        <v>4370</v>
      </c>
      <c r="J185" s="10" t="s">
        <v>820</v>
      </c>
      <c r="K185" s="10" t="s">
        <v>115</v>
      </c>
      <c r="L185" s="10" t="s">
        <v>185</v>
      </c>
      <c r="M185" s="31">
        <v>200000</v>
      </c>
    </row>
    <row r="186" spans="1:13" x14ac:dyDescent="0.3">
      <c r="A186" s="10" t="s">
        <v>1540</v>
      </c>
      <c r="B186" s="10" t="s">
        <v>4371</v>
      </c>
      <c r="C186" s="10" t="s">
        <v>247</v>
      </c>
      <c r="D186" s="10" t="s">
        <v>3955</v>
      </c>
      <c r="E186" s="31">
        <v>2100</v>
      </c>
      <c r="F186" s="10" t="s">
        <v>4372</v>
      </c>
      <c r="G186" s="10" t="s">
        <v>4373</v>
      </c>
      <c r="H186" s="10" t="s">
        <v>3958</v>
      </c>
      <c r="I186" s="10" t="s">
        <v>4374</v>
      </c>
      <c r="J186" s="10" t="s">
        <v>1090</v>
      </c>
      <c r="K186" s="10" t="s">
        <v>119</v>
      </c>
      <c r="L186" s="10" t="s">
        <v>187</v>
      </c>
      <c r="M186" s="31">
        <v>85000</v>
      </c>
    </row>
    <row r="187" spans="1:13" x14ac:dyDescent="0.3">
      <c r="A187" s="10" t="s">
        <v>1540</v>
      </c>
      <c r="B187" s="10" t="s">
        <v>4375</v>
      </c>
      <c r="C187" s="10" t="s">
        <v>3963</v>
      </c>
      <c r="D187" s="10" t="s">
        <v>3955</v>
      </c>
      <c r="E187" s="31">
        <v>2100</v>
      </c>
      <c r="F187" s="10" t="s">
        <v>4372</v>
      </c>
      <c r="G187" s="10" t="s">
        <v>4373</v>
      </c>
      <c r="H187" s="10" t="s">
        <v>3976</v>
      </c>
      <c r="I187" s="10"/>
      <c r="J187" s="10"/>
      <c r="K187" s="10"/>
      <c r="L187" s="10" t="s">
        <v>2064</v>
      </c>
      <c r="M187" s="31"/>
    </row>
    <row r="188" spans="1:13" x14ac:dyDescent="0.3">
      <c r="A188" s="10" t="s">
        <v>1541</v>
      </c>
      <c r="B188" s="10" t="s">
        <v>3978</v>
      </c>
      <c r="C188" s="10" t="s">
        <v>247</v>
      </c>
      <c r="D188" s="10" t="s">
        <v>3955</v>
      </c>
      <c r="E188" s="31">
        <v>1800</v>
      </c>
      <c r="F188" s="10" t="s">
        <v>4376</v>
      </c>
      <c r="G188" s="10" t="s">
        <v>4377</v>
      </c>
      <c r="H188" s="10"/>
      <c r="I188" s="10"/>
      <c r="J188" s="10"/>
      <c r="K188" s="10"/>
      <c r="L188" s="10" t="s">
        <v>2064</v>
      </c>
      <c r="M188" s="31"/>
    </row>
    <row r="189" spans="1:13" x14ac:dyDescent="0.3">
      <c r="A189" s="10" t="s">
        <v>1542</v>
      </c>
      <c r="B189" s="10" t="s">
        <v>4378</v>
      </c>
      <c r="C189" s="10" t="s">
        <v>247</v>
      </c>
      <c r="D189" s="10" t="s">
        <v>3955</v>
      </c>
      <c r="E189" s="31">
        <v>1850</v>
      </c>
      <c r="F189" s="10" t="s">
        <v>4009</v>
      </c>
      <c r="G189" s="10" t="s">
        <v>4118</v>
      </c>
      <c r="H189" s="10" t="s">
        <v>4034</v>
      </c>
      <c r="I189" s="10" t="s">
        <v>1205</v>
      </c>
      <c r="J189" s="10" t="s">
        <v>1205</v>
      </c>
      <c r="K189" s="10" t="s">
        <v>123</v>
      </c>
      <c r="L189" s="10" t="s">
        <v>191</v>
      </c>
      <c r="M189" s="31">
        <v>74880</v>
      </c>
    </row>
    <row r="190" spans="1:13" x14ac:dyDescent="0.3">
      <c r="A190" s="10" t="s">
        <v>1543</v>
      </c>
      <c r="B190" s="10" t="s">
        <v>4379</v>
      </c>
      <c r="C190" s="10" t="s">
        <v>247</v>
      </c>
      <c r="D190" s="10" t="s">
        <v>3955</v>
      </c>
      <c r="E190" s="31">
        <v>1975</v>
      </c>
      <c r="F190" s="10" t="s">
        <v>4348</v>
      </c>
      <c r="G190" s="10" t="s">
        <v>4380</v>
      </c>
      <c r="H190" s="10" t="s">
        <v>3958</v>
      </c>
      <c r="I190" s="10" t="s">
        <v>4381</v>
      </c>
      <c r="J190" s="10" t="s">
        <v>245</v>
      </c>
      <c r="K190" s="10" t="s">
        <v>113</v>
      </c>
      <c r="L190" s="10" t="s">
        <v>184</v>
      </c>
      <c r="M190" s="31">
        <v>108000</v>
      </c>
    </row>
    <row r="191" spans="1:13" x14ac:dyDescent="0.3">
      <c r="A191" s="10" t="s">
        <v>1543</v>
      </c>
      <c r="B191" s="10" t="s">
        <v>4382</v>
      </c>
      <c r="C191" s="10" t="s">
        <v>3963</v>
      </c>
      <c r="D191" s="10" t="s">
        <v>3955</v>
      </c>
      <c r="E191" s="31">
        <v>1975</v>
      </c>
      <c r="F191" s="10" t="s">
        <v>4348</v>
      </c>
      <c r="G191" s="10" t="s">
        <v>4380</v>
      </c>
      <c r="H191" s="10" t="s">
        <v>3958</v>
      </c>
      <c r="I191" s="10" t="s">
        <v>2890</v>
      </c>
      <c r="J191" s="10" t="s">
        <v>245</v>
      </c>
      <c r="K191" s="10" t="s">
        <v>113</v>
      </c>
      <c r="L191" s="10" t="s">
        <v>184</v>
      </c>
      <c r="M191" s="31">
        <v>100000</v>
      </c>
    </row>
    <row r="192" spans="1:13" x14ac:dyDescent="0.3">
      <c r="A192" s="10" t="s">
        <v>1544</v>
      </c>
      <c r="B192" s="10" t="s">
        <v>4383</v>
      </c>
      <c r="C192" s="10" t="s">
        <v>247</v>
      </c>
      <c r="D192" s="10" t="s">
        <v>3955</v>
      </c>
      <c r="E192" s="31">
        <v>2175</v>
      </c>
      <c r="F192" s="10" t="s">
        <v>4384</v>
      </c>
      <c r="G192" s="10" t="s">
        <v>4385</v>
      </c>
      <c r="H192" s="10" t="s">
        <v>4173</v>
      </c>
      <c r="I192" s="10" t="s">
        <v>4132</v>
      </c>
      <c r="J192" s="10" t="s">
        <v>245</v>
      </c>
      <c r="K192" s="10" t="s">
        <v>113</v>
      </c>
      <c r="L192" s="10" t="s">
        <v>184</v>
      </c>
      <c r="M192" s="31">
        <v>110600</v>
      </c>
    </row>
    <row r="193" spans="1:13" x14ac:dyDescent="0.3">
      <c r="A193" s="10" t="s">
        <v>1544</v>
      </c>
      <c r="B193" s="10" t="s">
        <v>4386</v>
      </c>
      <c r="C193" s="10" t="s">
        <v>3963</v>
      </c>
      <c r="D193" s="10" t="s">
        <v>3955</v>
      </c>
      <c r="E193" s="31">
        <v>2175</v>
      </c>
      <c r="F193" s="10" t="s">
        <v>4384</v>
      </c>
      <c r="G193" s="10" t="s">
        <v>4385</v>
      </c>
      <c r="H193" s="10" t="s">
        <v>4095</v>
      </c>
      <c r="I193" s="10" t="s">
        <v>2890</v>
      </c>
      <c r="J193" s="10" t="s">
        <v>245</v>
      </c>
      <c r="K193" s="10" t="s">
        <v>113</v>
      </c>
      <c r="L193" s="10" t="s">
        <v>184</v>
      </c>
      <c r="M193" s="31">
        <v>104000</v>
      </c>
    </row>
    <row r="194" spans="1:13" x14ac:dyDescent="0.3">
      <c r="A194" s="10" t="s">
        <v>1545</v>
      </c>
      <c r="B194" s="10" t="s">
        <v>4387</v>
      </c>
      <c r="C194" s="10" t="s">
        <v>247</v>
      </c>
      <c r="D194" s="10" t="s">
        <v>3955</v>
      </c>
      <c r="E194" s="31">
        <v>1975</v>
      </c>
      <c r="F194" s="10" t="s">
        <v>4388</v>
      </c>
      <c r="G194" s="10" t="s">
        <v>4389</v>
      </c>
      <c r="H194" s="10" t="s">
        <v>3958</v>
      </c>
      <c r="I194" s="10" t="s">
        <v>4390</v>
      </c>
      <c r="J194" s="10" t="s">
        <v>1080</v>
      </c>
      <c r="K194" s="10" t="s">
        <v>119</v>
      </c>
      <c r="L194" s="10" t="s">
        <v>187</v>
      </c>
      <c r="M194" s="31">
        <v>120000</v>
      </c>
    </row>
    <row r="195" spans="1:13" x14ac:dyDescent="0.3">
      <c r="A195" s="10" t="s">
        <v>1546</v>
      </c>
      <c r="B195" s="10" t="s">
        <v>4391</v>
      </c>
      <c r="C195" s="10" t="s">
        <v>247</v>
      </c>
      <c r="D195" s="10" t="s">
        <v>3955</v>
      </c>
      <c r="E195" s="31">
        <v>2100</v>
      </c>
      <c r="F195" s="10" t="s">
        <v>4392</v>
      </c>
      <c r="G195" s="10" t="s">
        <v>4393</v>
      </c>
      <c r="H195" s="10" t="s">
        <v>3958</v>
      </c>
      <c r="I195" s="10" t="s">
        <v>245</v>
      </c>
      <c r="J195" s="10" t="s">
        <v>245</v>
      </c>
      <c r="K195" s="10" t="s">
        <v>113</v>
      </c>
      <c r="L195" s="10" t="s">
        <v>184</v>
      </c>
      <c r="M195" s="31">
        <v>148500</v>
      </c>
    </row>
    <row r="196" spans="1:13" x14ac:dyDescent="0.3">
      <c r="A196" s="10" t="s">
        <v>1546</v>
      </c>
      <c r="B196" s="10" t="s">
        <v>4394</v>
      </c>
      <c r="C196" s="10" t="s">
        <v>3963</v>
      </c>
      <c r="D196" s="10" t="s">
        <v>3955</v>
      </c>
      <c r="E196" s="31">
        <v>2100</v>
      </c>
      <c r="F196" s="10" t="s">
        <v>4392</v>
      </c>
      <c r="G196" s="10" t="s">
        <v>4393</v>
      </c>
      <c r="H196" s="10" t="s">
        <v>3958</v>
      </c>
      <c r="I196" s="10" t="s">
        <v>4161</v>
      </c>
      <c r="J196" s="10" t="s">
        <v>245</v>
      </c>
      <c r="K196" s="10" t="s">
        <v>113</v>
      </c>
      <c r="L196" s="10" t="s">
        <v>184</v>
      </c>
      <c r="M196" s="31">
        <v>125000</v>
      </c>
    </row>
    <row r="197" spans="1:13" x14ac:dyDescent="0.3">
      <c r="A197" s="10" t="s">
        <v>1547</v>
      </c>
      <c r="B197" s="10" t="s">
        <v>4395</v>
      </c>
      <c r="C197" s="10" t="s">
        <v>247</v>
      </c>
      <c r="D197" s="10" t="s">
        <v>3955</v>
      </c>
      <c r="E197" s="31">
        <v>1845</v>
      </c>
      <c r="F197" s="10" t="s">
        <v>4396</v>
      </c>
      <c r="G197" s="10" t="s">
        <v>4397</v>
      </c>
      <c r="H197" s="10" t="s">
        <v>2120</v>
      </c>
      <c r="I197" s="10" t="s">
        <v>4398</v>
      </c>
      <c r="J197" s="10" t="s">
        <v>835</v>
      </c>
      <c r="K197" s="10" t="s">
        <v>115</v>
      </c>
      <c r="L197" s="10" t="s">
        <v>185</v>
      </c>
      <c r="M197" s="31">
        <v>171600</v>
      </c>
    </row>
    <row r="198" spans="1:13" x14ac:dyDescent="0.3">
      <c r="A198" s="10" t="s">
        <v>1547</v>
      </c>
      <c r="B198" s="10" t="s">
        <v>4399</v>
      </c>
      <c r="C198" s="10" t="s">
        <v>3963</v>
      </c>
      <c r="D198" s="10" t="s">
        <v>3955</v>
      </c>
      <c r="E198" s="31">
        <v>1845</v>
      </c>
      <c r="F198" s="10" t="s">
        <v>4396</v>
      </c>
      <c r="G198" s="10" t="s">
        <v>4397</v>
      </c>
      <c r="H198" s="10" t="s">
        <v>2120</v>
      </c>
      <c r="I198" s="10" t="s">
        <v>835</v>
      </c>
      <c r="J198" s="10" t="s">
        <v>835</v>
      </c>
      <c r="K198" s="10" t="s">
        <v>115</v>
      </c>
      <c r="L198" s="10" t="s">
        <v>185</v>
      </c>
      <c r="M198" s="31">
        <v>131488.79999999999</v>
      </c>
    </row>
    <row r="199" spans="1:13" x14ac:dyDescent="0.3">
      <c r="A199" s="10" t="s">
        <v>1548</v>
      </c>
      <c r="B199" s="10" t="s">
        <v>4400</v>
      </c>
      <c r="C199" s="10" t="s">
        <v>247</v>
      </c>
      <c r="D199" s="10" t="s">
        <v>3955</v>
      </c>
      <c r="E199" s="31">
        <v>1875</v>
      </c>
      <c r="F199" s="10" t="s">
        <v>4181</v>
      </c>
      <c r="G199" s="10" t="s">
        <v>4401</v>
      </c>
      <c r="H199" s="10" t="s">
        <v>3958</v>
      </c>
      <c r="I199" s="10" t="s">
        <v>2890</v>
      </c>
      <c r="J199" s="10" t="s">
        <v>245</v>
      </c>
      <c r="K199" s="10" t="s">
        <v>113</v>
      </c>
      <c r="L199" s="10" t="s">
        <v>184</v>
      </c>
      <c r="M199" s="31">
        <v>83000</v>
      </c>
    </row>
    <row r="200" spans="1:13" x14ac:dyDescent="0.3">
      <c r="A200" s="10" t="s">
        <v>1549</v>
      </c>
      <c r="B200" s="10" t="s">
        <v>3978</v>
      </c>
      <c r="C200" s="10" t="s">
        <v>247</v>
      </c>
      <c r="D200" s="10" t="s">
        <v>3955</v>
      </c>
      <c r="E200" s="31">
        <v>1800</v>
      </c>
      <c r="F200" s="10" t="s">
        <v>4376</v>
      </c>
      <c r="G200" s="10" t="s">
        <v>4377</v>
      </c>
      <c r="H200" s="10"/>
      <c r="I200" s="10"/>
      <c r="J200" s="10"/>
      <c r="K200" s="10"/>
      <c r="L200" s="10" t="s">
        <v>2064</v>
      </c>
      <c r="M200" s="31"/>
    </row>
    <row r="201" spans="1:13" x14ac:dyDescent="0.3">
      <c r="A201" s="10" t="s">
        <v>1550</v>
      </c>
      <c r="B201" s="10" t="s">
        <v>4402</v>
      </c>
      <c r="C201" s="10" t="s">
        <v>247</v>
      </c>
      <c r="D201" s="10" t="s">
        <v>3955</v>
      </c>
      <c r="E201" s="31">
        <v>2210</v>
      </c>
      <c r="F201" s="10" t="s">
        <v>4403</v>
      </c>
      <c r="G201" s="10" t="s">
        <v>4404</v>
      </c>
      <c r="H201" s="10" t="s">
        <v>2120</v>
      </c>
      <c r="I201" s="10" t="s">
        <v>4405</v>
      </c>
      <c r="J201" s="10" t="s">
        <v>278</v>
      </c>
      <c r="K201" s="10" t="s">
        <v>115</v>
      </c>
      <c r="L201" s="10" t="s">
        <v>185</v>
      </c>
      <c r="M201" s="31">
        <v>130000</v>
      </c>
    </row>
    <row r="202" spans="1:13" x14ac:dyDescent="0.3">
      <c r="A202" s="10" t="s">
        <v>1551</v>
      </c>
      <c r="B202" s="10" t="s">
        <v>4406</v>
      </c>
      <c r="C202" s="10" t="s">
        <v>247</v>
      </c>
      <c r="D202" s="10" t="s">
        <v>3955</v>
      </c>
      <c r="E202" s="31">
        <v>1795</v>
      </c>
      <c r="F202" s="10" t="s">
        <v>4407</v>
      </c>
      <c r="G202" s="10" t="s">
        <v>4002</v>
      </c>
      <c r="H202" s="10" t="s">
        <v>2477</v>
      </c>
      <c r="I202" s="10" t="s">
        <v>4408</v>
      </c>
      <c r="J202" s="10" t="s">
        <v>1147</v>
      </c>
      <c r="K202" s="10" t="s">
        <v>123</v>
      </c>
      <c r="L202" s="10" t="s">
        <v>195</v>
      </c>
      <c r="M202" s="31">
        <v>198000</v>
      </c>
    </row>
    <row r="203" spans="1:13" x14ac:dyDescent="0.3">
      <c r="A203" s="10" t="s">
        <v>1551</v>
      </c>
      <c r="B203" s="10" t="s">
        <v>4409</v>
      </c>
      <c r="C203" s="10" t="s">
        <v>3963</v>
      </c>
      <c r="D203" s="10" t="s">
        <v>3955</v>
      </c>
      <c r="E203" s="31">
        <v>1795</v>
      </c>
      <c r="F203" s="10" t="s">
        <v>4407</v>
      </c>
      <c r="G203" s="10" t="s">
        <v>4002</v>
      </c>
      <c r="H203" s="10" t="s">
        <v>2477</v>
      </c>
      <c r="I203" s="10" t="s">
        <v>4408</v>
      </c>
      <c r="J203" s="10" t="s">
        <v>1147</v>
      </c>
      <c r="K203" s="10" t="s">
        <v>123</v>
      </c>
      <c r="L203" s="10" t="s">
        <v>195</v>
      </c>
      <c r="M203" s="31">
        <v>204000</v>
      </c>
    </row>
    <row r="204" spans="1:13" x14ac:dyDescent="0.3">
      <c r="A204" s="10" t="s">
        <v>1552</v>
      </c>
      <c r="B204" s="10" t="s">
        <v>4410</v>
      </c>
      <c r="C204" s="10" t="s">
        <v>247</v>
      </c>
      <c r="D204" s="10" t="s">
        <v>3955</v>
      </c>
      <c r="E204" s="31">
        <v>2100</v>
      </c>
      <c r="F204" s="10" t="s">
        <v>4411</v>
      </c>
      <c r="G204" s="10" t="s">
        <v>4412</v>
      </c>
      <c r="H204" s="10" t="s">
        <v>3958</v>
      </c>
      <c r="I204" s="10" t="s">
        <v>245</v>
      </c>
      <c r="J204" s="10" t="s">
        <v>245</v>
      </c>
      <c r="K204" s="10" t="s">
        <v>113</v>
      </c>
      <c r="L204" s="10" t="s">
        <v>184</v>
      </c>
      <c r="M204" s="31">
        <v>130000</v>
      </c>
    </row>
    <row r="205" spans="1:13" x14ac:dyDescent="0.3">
      <c r="A205" s="10" t="s">
        <v>1552</v>
      </c>
      <c r="B205" s="10" t="s">
        <v>4413</v>
      </c>
      <c r="C205" s="10" t="s">
        <v>3963</v>
      </c>
      <c r="D205" s="10" t="s">
        <v>3955</v>
      </c>
      <c r="E205" s="31">
        <v>2100</v>
      </c>
      <c r="F205" s="10" t="s">
        <v>4411</v>
      </c>
      <c r="G205" s="10" t="s">
        <v>4412</v>
      </c>
      <c r="H205" s="10" t="s">
        <v>3958</v>
      </c>
      <c r="I205" s="10" t="s">
        <v>245</v>
      </c>
      <c r="J205" s="10" t="s">
        <v>245</v>
      </c>
      <c r="K205" s="10" t="s">
        <v>113</v>
      </c>
      <c r="L205" s="10" t="s">
        <v>184</v>
      </c>
      <c r="M205" s="31">
        <v>99000</v>
      </c>
    </row>
    <row r="206" spans="1:13" x14ac:dyDescent="0.3">
      <c r="A206" s="10" t="s">
        <v>1553</v>
      </c>
      <c r="B206" s="10" t="s">
        <v>4414</v>
      </c>
      <c r="C206" s="10" t="s">
        <v>247</v>
      </c>
      <c r="D206" s="10" t="s">
        <v>3955</v>
      </c>
      <c r="E206" s="31">
        <v>2100</v>
      </c>
      <c r="F206" s="10" t="s">
        <v>4415</v>
      </c>
      <c r="G206" s="10" t="s">
        <v>4261</v>
      </c>
      <c r="H206" s="10"/>
      <c r="I206" s="10"/>
      <c r="J206" s="10"/>
      <c r="K206" s="10"/>
      <c r="L206" s="10" t="s">
        <v>2064</v>
      </c>
      <c r="M206" s="31"/>
    </row>
    <row r="207" spans="1:13" x14ac:dyDescent="0.3">
      <c r="A207" s="10" t="s">
        <v>1554</v>
      </c>
      <c r="B207" s="10" t="s">
        <v>4416</v>
      </c>
      <c r="C207" s="10" t="s">
        <v>247</v>
      </c>
      <c r="D207" s="10" t="s">
        <v>3955</v>
      </c>
      <c r="E207" s="31">
        <v>1700</v>
      </c>
      <c r="F207" s="10" t="s">
        <v>4417</v>
      </c>
      <c r="G207" s="10" t="s">
        <v>4418</v>
      </c>
      <c r="H207" s="10" t="s">
        <v>3958</v>
      </c>
      <c r="I207" s="10" t="s">
        <v>4419</v>
      </c>
      <c r="J207" s="10" t="s">
        <v>1287</v>
      </c>
      <c r="K207" s="10" t="s">
        <v>123</v>
      </c>
      <c r="L207" s="10" t="s">
        <v>201</v>
      </c>
      <c r="M207" s="31">
        <v>106000</v>
      </c>
    </row>
    <row r="208" spans="1:13" x14ac:dyDescent="0.3">
      <c r="A208" s="10" t="s">
        <v>1555</v>
      </c>
      <c r="B208" s="10" t="s">
        <v>4420</v>
      </c>
      <c r="C208" s="10" t="s">
        <v>247</v>
      </c>
      <c r="D208" s="10" t="s">
        <v>3955</v>
      </c>
      <c r="E208" s="31">
        <v>1795</v>
      </c>
      <c r="F208" s="10" t="s">
        <v>4421</v>
      </c>
      <c r="G208" s="10" t="s">
        <v>4309</v>
      </c>
      <c r="H208" s="10" t="s">
        <v>3958</v>
      </c>
      <c r="I208" s="10" t="s">
        <v>2105</v>
      </c>
      <c r="J208" s="10" t="s">
        <v>269</v>
      </c>
      <c r="K208" s="10" t="s">
        <v>115</v>
      </c>
      <c r="L208" s="10" t="s">
        <v>185</v>
      </c>
      <c r="M208" s="31">
        <v>65000</v>
      </c>
    </row>
    <row r="209" spans="1:13" x14ac:dyDescent="0.3">
      <c r="A209" s="10" t="s">
        <v>1555</v>
      </c>
      <c r="B209" s="10" t="s">
        <v>4422</v>
      </c>
      <c r="C209" s="10" t="s">
        <v>3963</v>
      </c>
      <c r="D209" s="10" t="s">
        <v>3955</v>
      </c>
      <c r="E209" s="31">
        <v>1795</v>
      </c>
      <c r="F209" s="10" t="s">
        <v>4421</v>
      </c>
      <c r="G209" s="10" t="s">
        <v>4309</v>
      </c>
      <c r="H209" s="10" t="s">
        <v>4034</v>
      </c>
      <c r="I209" s="10" t="s">
        <v>4423</v>
      </c>
      <c r="J209" s="10" t="s">
        <v>1328</v>
      </c>
      <c r="K209" s="10" t="s">
        <v>123</v>
      </c>
      <c r="L209" s="10" t="s">
        <v>191</v>
      </c>
      <c r="M209" s="31">
        <v>62400</v>
      </c>
    </row>
    <row r="210" spans="1:13" x14ac:dyDescent="0.3">
      <c r="A210" s="10" t="s">
        <v>1556</v>
      </c>
      <c r="B210" s="10" t="s">
        <v>4424</v>
      </c>
      <c r="C210" s="10" t="s">
        <v>247</v>
      </c>
      <c r="D210" s="10" t="s">
        <v>3955</v>
      </c>
      <c r="E210" s="31">
        <v>2595</v>
      </c>
      <c r="F210" s="10" t="s">
        <v>4425</v>
      </c>
      <c r="G210" s="10" t="s">
        <v>4426</v>
      </c>
      <c r="H210" s="10" t="s">
        <v>4034</v>
      </c>
      <c r="I210" s="10" t="s">
        <v>2635</v>
      </c>
      <c r="J210" s="10" t="s">
        <v>354</v>
      </c>
      <c r="K210" s="10" t="s">
        <v>123</v>
      </c>
      <c r="L210" s="10" t="s">
        <v>191</v>
      </c>
      <c r="M210" s="31">
        <v>323400</v>
      </c>
    </row>
    <row r="211" spans="1:13" x14ac:dyDescent="0.3">
      <c r="A211" s="10" t="s">
        <v>1556</v>
      </c>
      <c r="B211" s="10" t="s">
        <v>4427</v>
      </c>
      <c r="C211" s="10" t="s">
        <v>3963</v>
      </c>
      <c r="D211" s="10" t="s">
        <v>3955</v>
      </c>
      <c r="E211" s="31">
        <v>2595</v>
      </c>
      <c r="F211" s="10" t="s">
        <v>4425</v>
      </c>
      <c r="G211" s="10" t="s">
        <v>4426</v>
      </c>
      <c r="H211" s="10" t="s">
        <v>772</v>
      </c>
      <c r="I211" s="10"/>
      <c r="J211" s="10"/>
      <c r="K211" s="10"/>
      <c r="L211" s="10" t="s">
        <v>2064</v>
      </c>
      <c r="M211" s="31"/>
    </row>
    <row r="212" spans="1:13" x14ac:dyDescent="0.3">
      <c r="A212" s="10" t="s">
        <v>1556</v>
      </c>
      <c r="B212" s="10" t="s">
        <v>4428</v>
      </c>
      <c r="C212" s="10" t="s">
        <v>3963</v>
      </c>
      <c r="D212" s="10" t="s">
        <v>3955</v>
      </c>
      <c r="E212" s="31">
        <v>2595</v>
      </c>
      <c r="F212" s="10" t="s">
        <v>4425</v>
      </c>
      <c r="G212" s="10" t="s">
        <v>4426</v>
      </c>
      <c r="H212" s="10" t="s">
        <v>772</v>
      </c>
      <c r="I212" s="10"/>
      <c r="J212" s="10"/>
      <c r="K212" s="10"/>
      <c r="L212" s="10" t="s">
        <v>2064</v>
      </c>
      <c r="M212" s="31"/>
    </row>
    <row r="213" spans="1:13" x14ac:dyDescent="0.3">
      <c r="A213" s="10" t="s">
        <v>1556</v>
      </c>
      <c r="B213" s="10" t="s">
        <v>4429</v>
      </c>
      <c r="C213" s="10" t="s">
        <v>3963</v>
      </c>
      <c r="D213" s="10" t="s">
        <v>3955</v>
      </c>
      <c r="E213" s="31">
        <v>2595</v>
      </c>
      <c r="F213" s="10" t="s">
        <v>4425</v>
      </c>
      <c r="G213" s="10" t="s">
        <v>4426</v>
      </c>
      <c r="H213" s="10" t="s">
        <v>772</v>
      </c>
      <c r="I213" s="10"/>
      <c r="J213" s="10"/>
      <c r="K213" s="10"/>
      <c r="L213" s="10" t="s">
        <v>2064</v>
      </c>
      <c r="M213" s="31"/>
    </row>
    <row r="214" spans="1:13" x14ac:dyDescent="0.3">
      <c r="A214" s="10" t="s">
        <v>1557</v>
      </c>
      <c r="B214" s="10" t="s">
        <v>4430</v>
      </c>
      <c r="C214" s="10" t="s">
        <v>247</v>
      </c>
      <c r="D214" s="10" t="s">
        <v>3955</v>
      </c>
      <c r="E214" s="31">
        <v>1689</v>
      </c>
      <c r="F214" s="10" t="s">
        <v>4431</v>
      </c>
      <c r="G214" s="10" t="s">
        <v>4432</v>
      </c>
      <c r="H214" s="10" t="s">
        <v>3958</v>
      </c>
      <c r="I214" s="10"/>
      <c r="J214" s="10"/>
      <c r="K214" s="10"/>
      <c r="L214" s="10" t="s">
        <v>2064</v>
      </c>
      <c r="M214" s="31">
        <v>96500</v>
      </c>
    </row>
    <row r="215" spans="1:13" x14ac:dyDescent="0.3">
      <c r="A215" s="10" t="s">
        <v>1558</v>
      </c>
      <c r="B215" s="10" t="s">
        <v>4433</v>
      </c>
      <c r="C215" s="10" t="s">
        <v>247</v>
      </c>
      <c r="D215" s="10" t="s">
        <v>3955</v>
      </c>
      <c r="E215" s="31">
        <v>2205</v>
      </c>
      <c r="F215" s="10" t="s">
        <v>4143</v>
      </c>
      <c r="G215" s="10" t="s">
        <v>4426</v>
      </c>
      <c r="H215" s="10" t="s">
        <v>2120</v>
      </c>
      <c r="I215" s="10" t="s">
        <v>4434</v>
      </c>
      <c r="J215" s="10" t="s">
        <v>918</v>
      </c>
      <c r="K215" s="10" t="s">
        <v>115</v>
      </c>
      <c r="L215" s="10" t="s">
        <v>185</v>
      </c>
      <c r="M215" s="31">
        <v>190000</v>
      </c>
    </row>
    <row r="216" spans="1:13" x14ac:dyDescent="0.3">
      <c r="A216" s="10" t="s">
        <v>1559</v>
      </c>
      <c r="B216" s="10" t="s">
        <v>4435</v>
      </c>
      <c r="C216" s="10" t="s">
        <v>247</v>
      </c>
      <c r="D216" s="10" t="s">
        <v>3955</v>
      </c>
      <c r="E216" s="31">
        <v>2425</v>
      </c>
      <c r="F216" s="10" t="s">
        <v>4088</v>
      </c>
      <c r="G216" s="10" t="s">
        <v>4089</v>
      </c>
      <c r="H216" s="10" t="s">
        <v>2120</v>
      </c>
      <c r="I216" s="10" t="s">
        <v>4436</v>
      </c>
      <c r="J216" s="10" t="s">
        <v>276</v>
      </c>
      <c r="K216" s="10" t="s">
        <v>115</v>
      </c>
      <c r="L216" s="10" t="s">
        <v>185</v>
      </c>
      <c r="M216" s="31">
        <v>222000</v>
      </c>
    </row>
    <row r="217" spans="1:13" x14ac:dyDescent="0.3">
      <c r="A217" s="10" t="s">
        <v>1559</v>
      </c>
      <c r="B217" s="10" t="s">
        <v>4437</v>
      </c>
      <c r="C217" s="10" t="s">
        <v>3963</v>
      </c>
      <c r="D217" s="10" t="s">
        <v>3955</v>
      </c>
      <c r="E217" s="31">
        <v>2425</v>
      </c>
      <c r="F217" s="10" t="s">
        <v>4088</v>
      </c>
      <c r="G217" s="10" t="s">
        <v>4089</v>
      </c>
      <c r="H217" s="10" t="s">
        <v>2120</v>
      </c>
      <c r="I217" s="10" t="s">
        <v>4438</v>
      </c>
      <c r="J217" s="10" t="s">
        <v>276</v>
      </c>
      <c r="K217" s="10" t="s">
        <v>115</v>
      </c>
      <c r="L217" s="10" t="s">
        <v>185</v>
      </c>
      <c r="M217" s="31">
        <v>244400</v>
      </c>
    </row>
    <row r="218" spans="1:13" x14ac:dyDescent="0.3">
      <c r="A218" s="10" t="s">
        <v>1560</v>
      </c>
      <c r="B218" s="10" t="s">
        <v>4439</v>
      </c>
      <c r="C218" s="10" t="s">
        <v>247</v>
      </c>
      <c r="D218" s="10" t="s">
        <v>3955</v>
      </c>
      <c r="E218" s="31">
        <v>2585</v>
      </c>
      <c r="F218" s="10" t="s">
        <v>4282</v>
      </c>
      <c r="G218" s="10" t="s">
        <v>4218</v>
      </c>
      <c r="H218" s="10" t="s">
        <v>3958</v>
      </c>
      <c r="I218" s="10" t="s">
        <v>4440</v>
      </c>
      <c r="J218" s="10" t="s">
        <v>1085</v>
      </c>
      <c r="K218" s="10" t="s">
        <v>119</v>
      </c>
      <c r="L218" s="10" t="s">
        <v>187</v>
      </c>
      <c r="M218" s="31">
        <v>176270.25</v>
      </c>
    </row>
    <row r="219" spans="1:13" x14ac:dyDescent="0.3">
      <c r="A219" s="10" t="s">
        <v>1560</v>
      </c>
      <c r="B219" s="10" t="s">
        <v>4441</v>
      </c>
      <c r="C219" s="10" t="s">
        <v>3963</v>
      </c>
      <c r="D219" s="10" t="s">
        <v>3955</v>
      </c>
      <c r="E219" s="31">
        <v>2585</v>
      </c>
      <c r="F219" s="10" t="s">
        <v>4282</v>
      </c>
      <c r="G219" s="10" t="s">
        <v>4218</v>
      </c>
      <c r="H219" s="10" t="s">
        <v>4352</v>
      </c>
      <c r="I219" s="10"/>
      <c r="J219" s="10"/>
      <c r="K219" s="10"/>
      <c r="L219" s="10" t="s">
        <v>2064</v>
      </c>
      <c r="M219" s="31">
        <v>16310.94</v>
      </c>
    </row>
    <row r="220" spans="1:13" x14ac:dyDescent="0.3">
      <c r="A220" s="10" t="s">
        <v>1561</v>
      </c>
      <c r="B220" s="10" t="s">
        <v>4442</v>
      </c>
      <c r="C220" s="10" t="s">
        <v>247</v>
      </c>
      <c r="D220" s="10" t="s">
        <v>3955</v>
      </c>
      <c r="E220" s="31">
        <v>2455</v>
      </c>
      <c r="F220" s="10" t="s">
        <v>4443</v>
      </c>
      <c r="G220" s="10" t="s">
        <v>4285</v>
      </c>
      <c r="H220" s="10" t="s">
        <v>3958</v>
      </c>
      <c r="I220" s="10" t="s">
        <v>4074</v>
      </c>
      <c r="J220" s="10" t="s">
        <v>245</v>
      </c>
      <c r="K220" s="10" t="s">
        <v>113</v>
      </c>
      <c r="L220" s="10" t="s">
        <v>184</v>
      </c>
      <c r="M220" s="31">
        <v>230000</v>
      </c>
    </row>
    <row r="221" spans="1:13" x14ac:dyDescent="0.3">
      <c r="A221" s="10" t="s">
        <v>1561</v>
      </c>
      <c r="B221" s="10" t="s">
        <v>4444</v>
      </c>
      <c r="C221" s="10" t="s">
        <v>3963</v>
      </c>
      <c r="D221" s="10" t="s">
        <v>3955</v>
      </c>
      <c r="E221" s="31">
        <v>2455</v>
      </c>
      <c r="F221" s="10" t="s">
        <v>4443</v>
      </c>
      <c r="G221" s="10" t="s">
        <v>4285</v>
      </c>
      <c r="H221" s="10" t="s">
        <v>3999</v>
      </c>
      <c r="I221" s="10" t="s">
        <v>1182</v>
      </c>
      <c r="J221" s="10" t="s">
        <v>1182</v>
      </c>
      <c r="K221" s="10" t="s">
        <v>123</v>
      </c>
      <c r="L221" s="10" t="s">
        <v>189</v>
      </c>
      <c r="M221" s="31">
        <v>61000</v>
      </c>
    </row>
    <row r="222" spans="1:13" x14ac:dyDescent="0.3">
      <c r="A222" s="10" t="s">
        <v>1562</v>
      </c>
      <c r="B222" s="10" t="s">
        <v>4445</v>
      </c>
      <c r="C222" s="10" t="s">
        <v>247</v>
      </c>
      <c r="D222" s="10" t="s">
        <v>3955</v>
      </c>
      <c r="E222" s="31">
        <v>2210</v>
      </c>
      <c r="F222" s="10" t="s">
        <v>4446</v>
      </c>
      <c r="G222" s="10" t="s">
        <v>4447</v>
      </c>
      <c r="H222" s="10" t="s">
        <v>2120</v>
      </c>
      <c r="I222" s="10" t="s">
        <v>2105</v>
      </c>
      <c r="J222" s="10" t="s">
        <v>269</v>
      </c>
      <c r="K222" s="10" t="s">
        <v>115</v>
      </c>
      <c r="L222" s="10" t="s">
        <v>185</v>
      </c>
      <c r="M222" s="31">
        <v>106000</v>
      </c>
    </row>
    <row r="223" spans="1:13" x14ac:dyDescent="0.3">
      <c r="A223" s="10" t="s">
        <v>1563</v>
      </c>
      <c r="B223" s="10" t="s">
        <v>4448</v>
      </c>
      <c r="C223" s="10" t="s">
        <v>247</v>
      </c>
      <c r="D223" s="10" t="s">
        <v>3955</v>
      </c>
      <c r="E223" s="31">
        <v>1770</v>
      </c>
      <c r="F223" s="10" t="s">
        <v>4449</v>
      </c>
      <c r="G223" s="10" t="s">
        <v>4125</v>
      </c>
      <c r="H223" s="10" t="s">
        <v>3958</v>
      </c>
      <c r="I223" s="10" t="s">
        <v>4450</v>
      </c>
      <c r="J223" s="10" t="s">
        <v>1417</v>
      </c>
      <c r="K223" s="10" t="s">
        <v>123</v>
      </c>
      <c r="L223" s="10" t="s">
        <v>193</v>
      </c>
      <c r="M223" s="31">
        <v>108600.44</v>
      </c>
    </row>
    <row r="224" spans="1:13" x14ac:dyDescent="0.3">
      <c r="A224" s="10" t="s">
        <v>1564</v>
      </c>
      <c r="B224" s="10" t="s">
        <v>4451</v>
      </c>
      <c r="C224" s="10" t="s">
        <v>247</v>
      </c>
      <c r="D224" s="10" t="s">
        <v>3955</v>
      </c>
      <c r="E224" s="31">
        <v>1985</v>
      </c>
      <c r="F224" s="10" t="s">
        <v>4452</v>
      </c>
      <c r="G224" s="10" t="s">
        <v>4453</v>
      </c>
      <c r="H224" s="10" t="s">
        <v>2120</v>
      </c>
      <c r="I224" s="10" t="s">
        <v>278</v>
      </c>
      <c r="J224" s="10" t="s">
        <v>278</v>
      </c>
      <c r="K224" s="10" t="s">
        <v>115</v>
      </c>
      <c r="L224" s="10" t="s">
        <v>185</v>
      </c>
      <c r="M224" s="31">
        <v>150000</v>
      </c>
    </row>
    <row r="225" spans="1:13" x14ac:dyDescent="0.3">
      <c r="A225" s="10" t="s">
        <v>1565</v>
      </c>
      <c r="B225" s="10" t="s">
        <v>4454</v>
      </c>
      <c r="C225" s="10" t="s">
        <v>247</v>
      </c>
      <c r="D225" s="10" t="s">
        <v>3955</v>
      </c>
      <c r="E225" s="31">
        <v>2005</v>
      </c>
      <c r="F225" s="10" t="s">
        <v>4455</v>
      </c>
      <c r="G225" s="10" t="s">
        <v>4073</v>
      </c>
      <c r="H225" s="10" t="s">
        <v>3958</v>
      </c>
      <c r="I225" s="10" t="s">
        <v>4456</v>
      </c>
      <c r="J225" s="10" t="s">
        <v>1044</v>
      </c>
      <c r="K225" s="10" t="s">
        <v>117</v>
      </c>
      <c r="L225" s="10" t="s">
        <v>186</v>
      </c>
      <c r="M225" s="31">
        <v>90000</v>
      </c>
    </row>
    <row r="226" spans="1:13" x14ac:dyDescent="0.3">
      <c r="A226" s="10" t="s">
        <v>1565</v>
      </c>
      <c r="B226" s="10" t="s">
        <v>4457</v>
      </c>
      <c r="C226" s="10" t="s">
        <v>3963</v>
      </c>
      <c r="D226" s="10" t="s">
        <v>3955</v>
      </c>
      <c r="E226" s="31">
        <v>2005</v>
      </c>
      <c r="F226" s="10" t="s">
        <v>4455</v>
      </c>
      <c r="G226" s="10" t="s">
        <v>4073</v>
      </c>
      <c r="H226" s="10" t="s">
        <v>3958</v>
      </c>
      <c r="I226" s="10" t="s">
        <v>1399</v>
      </c>
      <c r="J226" s="10" t="s">
        <v>1399</v>
      </c>
      <c r="K226" s="10" t="s">
        <v>123</v>
      </c>
      <c r="L226" s="10" t="s">
        <v>192</v>
      </c>
      <c r="M226" s="31">
        <v>50400</v>
      </c>
    </row>
    <row r="227" spans="1:13" x14ac:dyDescent="0.3">
      <c r="A227" s="10" t="s">
        <v>1566</v>
      </c>
      <c r="B227" s="10" t="s">
        <v>4458</v>
      </c>
      <c r="C227" s="10" t="s">
        <v>247</v>
      </c>
      <c r="D227" s="10" t="s">
        <v>3955</v>
      </c>
      <c r="E227" s="31">
        <v>2675</v>
      </c>
      <c r="F227" s="10" t="s">
        <v>4099</v>
      </c>
      <c r="G227" s="10" t="s">
        <v>4100</v>
      </c>
      <c r="H227" s="10" t="s">
        <v>2120</v>
      </c>
      <c r="I227" s="10" t="s">
        <v>4459</v>
      </c>
      <c r="J227" s="10" t="s">
        <v>857</v>
      </c>
      <c r="K227" s="10" t="s">
        <v>115</v>
      </c>
      <c r="L227" s="10" t="s">
        <v>185</v>
      </c>
      <c r="M227" s="31">
        <v>286000</v>
      </c>
    </row>
    <row r="228" spans="1:13" x14ac:dyDescent="0.3">
      <c r="A228" s="10" t="s">
        <v>1566</v>
      </c>
      <c r="B228" s="10" t="s">
        <v>4460</v>
      </c>
      <c r="C228" s="10" t="s">
        <v>3963</v>
      </c>
      <c r="D228" s="10" t="s">
        <v>3955</v>
      </c>
      <c r="E228" s="31">
        <v>2675</v>
      </c>
      <c r="F228" s="10" t="s">
        <v>4099</v>
      </c>
      <c r="G228" s="10" t="s">
        <v>4100</v>
      </c>
      <c r="H228" s="10" t="s">
        <v>2120</v>
      </c>
      <c r="I228" s="10" t="s">
        <v>4459</v>
      </c>
      <c r="J228" s="10" t="s">
        <v>857</v>
      </c>
      <c r="K228" s="10" t="s">
        <v>115</v>
      </c>
      <c r="L228" s="10" t="s">
        <v>185</v>
      </c>
      <c r="M228" s="31">
        <v>286000</v>
      </c>
    </row>
    <row r="229" spans="1:13" x14ac:dyDescent="0.3">
      <c r="A229" s="10" t="s">
        <v>1567</v>
      </c>
      <c r="B229" s="10" t="s">
        <v>4461</v>
      </c>
      <c r="C229" s="10" t="s">
        <v>247</v>
      </c>
      <c r="D229" s="10" t="s">
        <v>3955</v>
      </c>
      <c r="E229" s="31">
        <v>2005</v>
      </c>
      <c r="F229" s="10" t="s">
        <v>4462</v>
      </c>
      <c r="G229" s="10" t="s">
        <v>4038</v>
      </c>
      <c r="H229" s="10" t="s">
        <v>3958</v>
      </c>
      <c r="I229" s="10" t="s">
        <v>4132</v>
      </c>
      <c r="J229" s="10" t="s">
        <v>245</v>
      </c>
      <c r="K229" s="10" t="s">
        <v>113</v>
      </c>
      <c r="L229" s="10" t="s">
        <v>184</v>
      </c>
      <c r="M229" s="31">
        <v>123000</v>
      </c>
    </row>
    <row r="230" spans="1:13" x14ac:dyDescent="0.3">
      <c r="A230" s="10" t="s">
        <v>1567</v>
      </c>
      <c r="B230" s="10" t="s">
        <v>4463</v>
      </c>
      <c r="C230" s="10" t="s">
        <v>3963</v>
      </c>
      <c r="D230" s="10" t="s">
        <v>3955</v>
      </c>
      <c r="E230" s="31">
        <v>2005</v>
      </c>
      <c r="F230" s="10" t="s">
        <v>4462</v>
      </c>
      <c r="G230" s="10" t="s">
        <v>4038</v>
      </c>
      <c r="H230" s="10" t="s">
        <v>772</v>
      </c>
      <c r="I230" s="10" t="s">
        <v>1208</v>
      </c>
      <c r="J230" s="10" t="s">
        <v>1208</v>
      </c>
      <c r="K230" s="10" t="s">
        <v>123</v>
      </c>
      <c r="L230" s="10" t="s">
        <v>192</v>
      </c>
      <c r="M230" s="31">
        <v>29250</v>
      </c>
    </row>
    <row r="231" spans="1:13" x14ac:dyDescent="0.3">
      <c r="A231" s="10" t="s">
        <v>1568</v>
      </c>
      <c r="B231" s="10" t="s">
        <v>4464</v>
      </c>
      <c r="C231" s="10" t="s">
        <v>247</v>
      </c>
      <c r="D231" s="10" t="s">
        <v>3955</v>
      </c>
      <c r="E231" s="31">
        <v>2320</v>
      </c>
      <c r="F231" s="10" t="s">
        <v>3969</v>
      </c>
      <c r="G231" s="10" t="s">
        <v>4465</v>
      </c>
      <c r="H231" s="10" t="s">
        <v>2120</v>
      </c>
      <c r="I231" s="10" t="s">
        <v>2237</v>
      </c>
      <c r="J231" s="10" t="s">
        <v>276</v>
      </c>
      <c r="K231" s="10" t="s">
        <v>115</v>
      </c>
      <c r="L231" s="10" t="s">
        <v>185</v>
      </c>
      <c r="M231" s="31">
        <v>227000</v>
      </c>
    </row>
    <row r="232" spans="1:13" x14ac:dyDescent="0.3">
      <c r="A232" s="10" t="s">
        <v>1568</v>
      </c>
      <c r="B232" s="10" t="s">
        <v>4466</v>
      </c>
      <c r="C232" s="10" t="s">
        <v>3963</v>
      </c>
      <c r="D232" s="10" t="s">
        <v>3955</v>
      </c>
      <c r="E232" s="31">
        <v>2320</v>
      </c>
      <c r="F232" s="10" t="s">
        <v>3969</v>
      </c>
      <c r="G232" s="10" t="s">
        <v>4465</v>
      </c>
      <c r="H232" s="10" t="s">
        <v>2120</v>
      </c>
      <c r="I232" s="10"/>
      <c r="J232" s="10"/>
      <c r="K232" s="10"/>
      <c r="L232" s="10" t="s">
        <v>2064</v>
      </c>
      <c r="M232" s="31"/>
    </row>
    <row r="233" spans="1:13" x14ac:dyDescent="0.3">
      <c r="A233" s="10" t="s">
        <v>1569</v>
      </c>
      <c r="B233" s="10" t="s">
        <v>4467</v>
      </c>
      <c r="C233" s="10" t="s">
        <v>247</v>
      </c>
      <c r="D233" s="10" t="s">
        <v>3955</v>
      </c>
      <c r="E233" s="31">
        <v>2005</v>
      </c>
      <c r="F233" s="10" t="s">
        <v>4305</v>
      </c>
      <c r="G233" s="10" t="s">
        <v>4306</v>
      </c>
      <c r="H233" s="10" t="s">
        <v>4055</v>
      </c>
      <c r="I233" s="10" t="s">
        <v>1024</v>
      </c>
      <c r="J233" s="10" t="s">
        <v>1024</v>
      </c>
      <c r="K233" s="10" t="s">
        <v>117</v>
      </c>
      <c r="L233" s="10" t="s">
        <v>186</v>
      </c>
      <c r="M233" s="31">
        <v>90500</v>
      </c>
    </row>
    <row r="234" spans="1:13" x14ac:dyDescent="0.3">
      <c r="A234" s="10" t="s">
        <v>1569</v>
      </c>
      <c r="B234" s="10" t="s">
        <v>4468</v>
      </c>
      <c r="C234" s="10" t="s">
        <v>3963</v>
      </c>
      <c r="D234" s="10" t="s">
        <v>3955</v>
      </c>
      <c r="E234" s="31">
        <v>2005</v>
      </c>
      <c r="F234" s="10" t="s">
        <v>4305</v>
      </c>
      <c r="G234" s="10" t="s">
        <v>4306</v>
      </c>
      <c r="H234" s="10" t="s">
        <v>3976</v>
      </c>
      <c r="I234" s="10"/>
      <c r="J234" s="10"/>
      <c r="K234" s="10"/>
      <c r="L234" s="10" t="s">
        <v>2064</v>
      </c>
      <c r="M234" s="31"/>
    </row>
    <row r="235" spans="1:13" x14ac:dyDescent="0.3">
      <c r="A235" s="10" t="s">
        <v>1570</v>
      </c>
      <c r="B235" s="10" t="s">
        <v>4469</v>
      </c>
      <c r="C235" s="10" t="s">
        <v>247</v>
      </c>
      <c r="D235" s="10" t="s">
        <v>3986</v>
      </c>
      <c r="E235" s="31">
        <v>1860</v>
      </c>
      <c r="F235" s="10" t="s">
        <v>4282</v>
      </c>
      <c r="G235" s="10" t="s">
        <v>4218</v>
      </c>
      <c r="H235" s="10" t="s">
        <v>3958</v>
      </c>
      <c r="I235" s="10" t="s">
        <v>245</v>
      </c>
      <c r="J235" s="10" t="s">
        <v>245</v>
      </c>
      <c r="K235" s="10" t="s">
        <v>113</v>
      </c>
      <c r="L235" s="10" t="s">
        <v>184</v>
      </c>
      <c r="M235" s="31">
        <v>90871</v>
      </c>
    </row>
    <row r="236" spans="1:13" x14ac:dyDescent="0.3">
      <c r="A236" s="10" t="s">
        <v>1570</v>
      </c>
      <c r="B236" s="10" t="s">
        <v>4470</v>
      </c>
      <c r="C236" s="10" t="s">
        <v>247</v>
      </c>
      <c r="D236" s="10" t="s">
        <v>4167</v>
      </c>
      <c r="E236" s="31">
        <v>0</v>
      </c>
      <c r="F236" s="10" t="s">
        <v>4471</v>
      </c>
      <c r="G236" s="10" t="s">
        <v>4472</v>
      </c>
      <c r="H236" s="10" t="s">
        <v>3958</v>
      </c>
      <c r="I236" s="10" t="s">
        <v>2890</v>
      </c>
      <c r="J236" s="10" t="s">
        <v>245</v>
      </c>
      <c r="K236" s="10" t="s">
        <v>113</v>
      </c>
      <c r="L236" s="10" t="s">
        <v>184</v>
      </c>
      <c r="M236" s="31">
        <v>110400</v>
      </c>
    </row>
    <row r="237" spans="1:13" x14ac:dyDescent="0.3">
      <c r="A237" s="10" t="s">
        <v>1570</v>
      </c>
      <c r="B237" s="10" t="s">
        <v>4473</v>
      </c>
      <c r="C237" s="10" t="s">
        <v>3963</v>
      </c>
      <c r="D237" s="10" t="s">
        <v>3986</v>
      </c>
      <c r="E237" s="31">
        <v>1860</v>
      </c>
      <c r="F237" s="10" t="s">
        <v>4282</v>
      </c>
      <c r="G237" s="10" t="s">
        <v>4218</v>
      </c>
      <c r="H237" s="10" t="s">
        <v>3958</v>
      </c>
      <c r="I237" s="10" t="s">
        <v>4074</v>
      </c>
      <c r="J237" s="10" t="s">
        <v>245</v>
      </c>
      <c r="K237" s="10" t="s">
        <v>113</v>
      </c>
      <c r="L237" s="10" t="s">
        <v>184</v>
      </c>
      <c r="M237" s="31">
        <v>49152</v>
      </c>
    </row>
    <row r="238" spans="1:13" x14ac:dyDescent="0.3">
      <c r="A238" s="10" t="s">
        <v>1571</v>
      </c>
      <c r="B238" s="10" t="s">
        <v>4474</v>
      </c>
      <c r="C238" s="10" t="s">
        <v>247</v>
      </c>
      <c r="D238" s="10" t="s">
        <v>3955</v>
      </c>
      <c r="E238" s="31">
        <v>1905</v>
      </c>
      <c r="F238" s="10" t="s">
        <v>4475</v>
      </c>
      <c r="G238" s="10" t="s">
        <v>4476</v>
      </c>
      <c r="H238" s="10" t="s">
        <v>772</v>
      </c>
      <c r="I238" s="10" t="s">
        <v>4074</v>
      </c>
      <c r="J238" s="10" t="s">
        <v>245</v>
      </c>
      <c r="K238" s="10" t="s">
        <v>113</v>
      </c>
      <c r="L238" s="10" t="s">
        <v>184</v>
      </c>
      <c r="M238" s="31">
        <v>96500</v>
      </c>
    </row>
    <row r="239" spans="1:13" x14ac:dyDescent="0.3">
      <c r="A239" s="10" t="s">
        <v>1572</v>
      </c>
      <c r="B239" s="10" t="s">
        <v>4477</v>
      </c>
      <c r="C239" s="10" t="s">
        <v>247</v>
      </c>
      <c r="D239" s="10" t="s">
        <v>3955</v>
      </c>
      <c r="E239" s="31">
        <v>2110</v>
      </c>
      <c r="F239" s="10" t="s">
        <v>4478</v>
      </c>
      <c r="G239" s="10" t="s">
        <v>4479</v>
      </c>
      <c r="H239" s="10" t="s">
        <v>3958</v>
      </c>
      <c r="I239" s="10" t="s">
        <v>1055</v>
      </c>
      <c r="J239" s="10" t="s">
        <v>1055</v>
      </c>
      <c r="K239" s="10" t="s">
        <v>119</v>
      </c>
      <c r="L239" s="10" t="s">
        <v>187</v>
      </c>
      <c r="M239" s="31">
        <v>146000</v>
      </c>
    </row>
    <row r="240" spans="1:13" x14ac:dyDescent="0.3">
      <c r="A240" s="10" t="s">
        <v>1572</v>
      </c>
      <c r="B240" s="10" t="s">
        <v>4480</v>
      </c>
      <c r="C240" s="10" t="s">
        <v>3963</v>
      </c>
      <c r="D240" s="10" t="s">
        <v>3955</v>
      </c>
      <c r="E240" s="31">
        <v>2110</v>
      </c>
      <c r="F240" s="10" t="s">
        <v>4478</v>
      </c>
      <c r="G240" s="10" t="s">
        <v>4479</v>
      </c>
      <c r="H240" s="10" t="s">
        <v>3958</v>
      </c>
      <c r="I240" s="10" t="s">
        <v>1055</v>
      </c>
      <c r="J240" s="10" t="s">
        <v>1055</v>
      </c>
      <c r="K240" s="10" t="s">
        <v>119</v>
      </c>
      <c r="L240" s="10" t="s">
        <v>187</v>
      </c>
      <c r="M240" s="31">
        <v>103400</v>
      </c>
    </row>
    <row r="241" spans="1:13" x14ac:dyDescent="0.3">
      <c r="A241" s="10" t="s">
        <v>1573</v>
      </c>
      <c r="B241" s="10" t="s">
        <v>4481</v>
      </c>
      <c r="C241" s="10" t="s">
        <v>247</v>
      </c>
      <c r="D241" s="10" t="s">
        <v>3955</v>
      </c>
      <c r="E241" s="31">
        <v>2005</v>
      </c>
      <c r="F241" s="10" t="s">
        <v>4415</v>
      </c>
      <c r="G241" s="10" t="s">
        <v>4201</v>
      </c>
      <c r="H241" s="10" t="s">
        <v>4097</v>
      </c>
      <c r="I241" s="10" t="s">
        <v>245</v>
      </c>
      <c r="J241" s="10" t="s">
        <v>245</v>
      </c>
      <c r="K241" s="10" t="s">
        <v>113</v>
      </c>
      <c r="L241" s="10" t="s">
        <v>184</v>
      </c>
      <c r="M241" s="31">
        <v>115296</v>
      </c>
    </row>
    <row r="242" spans="1:13" x14ac:dyDescent="0.3">
      <c r="A242" s="10" t="s">
        <v>1573</v>
      </c>
      <c r="B242" s="10" t="s">
        <v>4482</v>
      </c>
      <c r="C242" s="10" t="s">
        <v>3963</v>
      </c>
      <c r="D242" s="10" t="s">
        <v>3955</v>
      </c>
      <c r="E242" s="31">
        <v>2005</v>
      </c>
      <c r="F242" s="10" t="s">
        <v>4415</v>
      </c>
      <c r="G242" s="10" t="s">
        <v>4201</v>
      </c>
      <c r="H242" s="10" t="s">
        <v>3976</v>
      </c>
      <c r="I242" s="10"/>
      <c r="J242" s="10"/>
      <c r="K242" s="10"/>
      <c r="L242" s="10" t="s">
        <v>2064</v>
      </c>
      <c r="M242" s="31"/>
    </row>
    <row r="243" spans="1:13" x14ac:dyDescent="0.3">
      <c r="A243" s="10" t="s">
        <v>1574</v>
      </c>
      <c r="B243" s="10" t="s">
        <v>4483</v>
      </c>
      <c r="C243" s="10" t="s">
        <v>247</v>
      </c>
      <c r="D243" s="10" t="s">
        <v>3955</v>
      </c>
      <c r="E243" s="31">
        <v>2140</v>
      </c>
      <c r="F243" s="10" t="s">
        <v>4226</v>
      </c>
      <c r="G243" s="10" t="s">
        <v>4227</v>
      </c>
      <c r="H243" s="10" t="s">
        <v>3958</v>
      </c>
      <c r="I243" s="10" t="s">
        <v>1095</v>
      </c>
      <c r="J243" s="10" t="s">
        <v>1095</v>
      </c>
      <c r="K243" s="10" t="s">
        <v>119</v>
      </c>
      <c r="L243" s="10" t="s">
        <v>187</v>
      </c>
      <c r="M243" s="31">
        <v>110000</v>
      </c>
    </row>
    <row r="244" spans="1:13" x14ac:dyDescent="0.3">
      <c r="A244" s="10" t="s">
        <v>1574</v>
      </c>
      <c r="B244" s="10" t="s">
        <v>4484</v>
      </c>
      <c r="C244" s="10" t="s">
        <v>3963</v>
      </c>
      <c r="D244" s="10" t="s">
        <v>3955</v>
      </c>
      <c r="E244" s="31">
        <v>2140</v>
      </c>
      <c r="F244" s="10" t="s">
        <v>4226</v>
      </c>
      <c r="G244" s="10" t="s">
        <v>4227</v>
      </c>
      <c r="H244" s="10" t="s">
        <v>4034</v>
      </c>
      <c r="I244" s="10" t="s">
        <v>1381</v>
      </c>
      <c r="J244" s="10" t="s">
        <v>1381</v>
      </c>
      <c r="K244" s="10" t="s">
        <v>123</v>
      </c>
      <c r="L244" s="10" t="s">
        <v>191</v>
      </c>
      <c r="M244" s="31">
        <v>63010</v>
      </c>
    </row>
    <row r="245" spans="1:13" x14ac:dyDescent="0.3">
      <c r="A245" s="10" t="s">
        <v>1575</v>
      </c>
      <c r="B245" s="10" t="s">
        <v>4485</v>
      </c>
      <c r="C245" s="10" t="s">
        <v>247</v>
      </c>
      <c r="D245" s="10" t="s">
        <v>3955</v>
      </c>
      <c r="E245" s="31">
        <v>2005</v>
      </c>
      <c r="F245" s="10" t="s">
        <v>4486</v>
      </c>
      <c r="G245" s="10" t="s">
        <v>4487</v>
      </c>
      <c r="H245" s="10" t="s">
        <v>4488</v>
      </c>
      <c r="I245" s="10" t="s">
        <v>4489</v>
      </c>
      <c r="J245" s="10" t="s">
        <v>1014</v>
      </c>
      <c r="K245" s="10" t="s">
        <v>117</v>
      </c>
      <c r="L245" s="10" t="s">
        <v>186</v>
      </c>
      <c r="M245" s="31">
        <v>332000</v>
      </c>
    </row>
    <row r="246" spans="1:13" x14ac:dyDescent="0.3">
      <c r="A246" s="10" t="s">
        <v>1576</v>
      </c>
      <c r="B246" s="10" t="s">
        <v>4490</v>
      </c>
      <c r="C246" s="10" t="s">
        <v>247</v>
      </c>
      <c r="D246" s="10" t="s">
        <v>3955</v>
      </c>
      <c r="E246" s="31">
        <v>1905</v>
      </c>
      <c r="F246" s="10" t="s">
        <v>4491</v>
      </c>
      <c r="G246" s="10" t="s">
        <v>4492</v>
      </c>
      <c r="H246" s="10" t="s">
        <v>2120</v>
      </c>
      <c r="I246" s="10" t="s">
        <v>4236</v>
      </c>
      <c r="J246" s="10" t="s">
        <v>789</v>
      </c>
      <c r="K246" s="10" t="s">
        <v>115</v>
      </c>
      <c r="L246" s="10" t="s">
        <v>185</v>
      </c>
      <c r="M246" s="31">
        <v>108000</v>
      </c>
    </row>
    <row r="247" spans="1:13" x14ac:dyDescent="0.3">
      <c r="A247" s="10" t="s">
        <v>1576</v>
      </c>
      <c r="B247" s="10" t="s">
        <v>4493</v>
      </c>
      <c r="C247" s="10" t="s">
        <v>3963</v>
      </c>
      <c r="D247" s="10" t="s">
        <v>3955</v>
      </c>
      <c r="E247" s="31">
        <v>1905</v>
      </c>
      <c r="F247" s="10" t="s">
        <v>4491</v>
      </c>
      <c r="G247" s="10" t="s">
        <v>4492</v>
      </c>
      <c r="H247" s="10" t="s">
        <v>2120</v>
      </c>
      <c r="I247" s="10" t="s">
        <v>4236</v>
      </c>
      <c r="J247" s="10" t="s">
        <v>789</v>
      </c>
      <c r="K247" s="10" t="s">
        <v>115</v>
      </c>
      <c r="L247" s="10" t="s">
        <v>185</v>
      </c>
      <c r="M247" s="31">
        <v>100984</v>
      </c>
    </row>
    <row r="248" spans="1:13" x14ac:dyDescent="0.3">
      <c r="A248" s="10" t="s">
        <v>1577</v>
      </c>
      <c r="B248" s="10" t="s">
        <v>4494</v>
      </c>
      <c r="C248" s="10" t="s">
        <v>247</v>
      </c>
      <c r="D248" s="10" t="s">
        <v>3955</v>
      </c>
      <c r="E248" s="31">
        <v>2005</v>
      </c>
      <c r="F248" s="10" t="s">
        <v>4495</v>
      </c>
      <c r="G248" s="10" t="s">
        <v>4496</v>
      </c>
      <c r="H248" s="10" t="s">
        <v>4034</v>
      </c>
      <c r="I248" s="10" t="s">
        <v>1295</v>
      </c>
      <c r="J248" s="10" t="s">
        <v>1295</v>
      </c>
      <c r="K248" s="10" t="s">
        <v>123</v>
      </c>
      <c r="L248" s="10" t="s">
        <v>191</v>
      </c>
      <c r="M248" s="31">
        <v>103200</v>
      </c>
    </row>
    <row r="249" spans="1:13" x14ac:dyDescent="0.3">
      <c r="A249" s="10" t="s">
        <v>1577</v>
      </c>
      <c r="B249" s="10" t="s">
        <v>4497</v>
      </c>
      <c r="C249" s="10" t="s">
        <v>3963</v>
      </c>
      <c r="D249" s="10" t="s">
        <v>3955</v>
      </c>
      <c r="E249" s="31">
        <v>2005</v>
      </c>
      <c r="F249" s="10" t="s">
        <v>4495</v>
      </c>
      <c r="G249" s="10" t="s">
        <v>4496</v>
      </c>
      <c r="H249" s="10" t="s">
        <v>4192</v>
      </c>
      <c r="I249" s="10" t="s">
        <v>1218</v>
      </c>
      <c r="J249" s="10" t="s">
        <v>1218</v>
      </c>
      <c r="K249" s="10" t="s">
        <v>123</v>
      </c>
      <c r="L249" s="10" t="s">
        <v>194</v>
      </c>
      <c r="M249" s="31">
        <v>47000</v>
      </c>
    </row>
    <row r="250" spans="1:13" x14ac:dyDescent="0.3">
      <c r="A250" s="10" t="s">
        <v>1578</v>
      </c>
      <c r="B250" s="10" t="s">
        <v>4414</v>
      </c>
      <c r="C250" s="10" t="s">
        <v>247</v>
      </c>
      <c r="D250" s="10" t="s">
        <v>3955</v>
      </c>
      <c r="E250" s="31">
        <v>2705</v>
      </c>
      <c r="F250" s="10" t="s">
        <v>4498</v>
      </c>
      <c r="G250" s="10" t="s">
        <v>4499</v>
      </c>
      <c r="H250" s="10"/>
      <c r="I250" s="10"/>
      <c r="J250" s="10"/>
      <c r="K250" s="10"/>
      <c r="L250" s="10" t="s">
        <v>2064</v>
      </c>
      <c r="M250" s="31"/>
    </row>
    <row r="251" spans="1:13" x14ac:dyDescent="0.3">
      <c r="A251" s="10" t="s">
        <v>1579</v>
      </c>
      <c r="B251" s="10" t="s">
        <v>4500</v>
      </c>
      <c r="C251" s="10" t="s">
        <v>247</v>
      </c>
      <c r="D251" s="10" t="s">
        <v>3955</v>
      </c>
      <c r="E251" s="31">
        <v>1775</v>
      </c>
      <c r="F251" s="10" t="s">
        <v>3997</v>
      </c>
      <c r="G251" s="10" t="s">
        <v>3998</v>
      </c>
      <c r="H251" s="10" t="s">
        <v>3958</v>
      </c>
      <c r="I251" s="10" t="s">
        <v>1004</v>
      </c>
      <c r="J251" s="10" t="s">
        <v>1004</v>
      </c>
      <c r="K251" s="10" t="s">
        <v>117</v>
      </c>
      <c r="L251" s="10" t="s">
        <v>186</v>
      </c>
      <c r="M251" s="31">
        <v>94250</v>
      </c>
    </row>
    <row r="252" spans="1:13" x14ac:dyDescent="0.3">
      <c r="A252" s="10" t="s">
        <v>1580</v>
      </c>
      <c r="B252" s="10" t="s">
        <v>4501</v>
      </c>
      <c r="C252" s="10" t="s">
        <v>247</v>
      </c>
      <c r="D252" s="10" t="s">
        <v>3955</v>
      </c>
      <c r="E252" s="31">
        <v>2245</v>
      </c>
      <c r="F252" s="10" t="s">
        <v>4502</v>
      </c>
      <c r="G252" s="10" t="s">
        <v>4503</v>
      </c>
      <c r="H252" s="10" t="s">
        <v>2120</v>
      </c>
      <c r="I252" s="10" t="s">
        <v>911</v>
      </c>
      <c r="J252" s="10" t="s">
        <v>911</v>
      </c>
      <c r="K252" s="10" t="s">
        <v>115</v>
      </c>
      <c r="L252" s="10" t="s">
        <v>185</v>
      </c>
      <c r="M252" s="31">
        <v>180000</v>
      </c>
    </row>
    <row r="253" spans="1:13" x14ac:dyDescent="0.3">
      <c r="A253" s="10" t="s">
        <v>1580</v>
      </c>
      <c r="B253" s="10" t="s">
        <v>4504</v>
      </c>
      <c r="C253" s="10" t="s">
        <v>3963</v>
      </c>
      <c r="D253" s="10" t="s">
        <v>3955</v>
      </c>
      <c r="E253" s="31">
        <v>2245</v>
      </c>
      <c r="F253" s="10" t="s">
        <v>4502</v>
      </c>
      <c r="G253" s="10" t="s">
        <v>4503</v>
      </c>
      <c r="H253" s="10" t="s">
        <v>2120</v>
      </c>
      <c r="I253" s="10"/>
      <c r="J253" s="10"/>
      <c r="K253" s="10"/>
      <c r="L253" s="10" t="s">
        <v>2064</v>
      </c>
      <c r="M253" s="31"/>
    </row>
    <row r="254" spans="1:13" x14ac:dyDescent="0.3">
      <c r="A254" s="10" t="s">
        <v>1581</v>
      </c>
      <c r="B254" s="10" t="s">
        <v>4505</v>
      </c>
      <c r="C254" s="10" t="s">
        <v>247</v>
      </c>
      <c r="D254" s="10" t="s">
        <v>3955</v>
      </c>
      <c r="E254" s="31">
        <v>2080</v>
      </c>
      <c r="F254" s="10" t="s">
        <v>4506</v>
      </c>
      <c r="G254" s="10" t="s">
        <v>4317</v>
      </c>
      <c r="H254" s="10" t="s">
        <v>4022</v>
      </c>
      <c r="I254" s="10"/>
      <c r="J254" s="10"/>
      <c r="K254" s="10"/>
      <c r="L254" s="10" t="s">
        <v>2064</v>
      </c>
      <c r="M254" s="31">
        <v>32472</v>
      </c>
    </row>
    <row r="255" spans="1:13" x14ac:dyDescent="0.3">
      <c r="A255" s="10" t="s">
        <v>1582</v>
      </c>
      <c r="B255" s="10" t="s">
        <v>4507</v>
      </c>
      <c r="C255" s="10" t="s">
        <v>247</v>
      </c>
      <c r="D255" s="10" t="s">
        <v>3955</v>
      </c>
      <c r="E255" s="31">
        <v>2180</v>
      </c>
      <c r="F255" s="10" t="s">
        <v>4508</v>
      </c>
      <c r="G255" s="10" t="s">
        <v>4509</v>
      </c>
      <c r="H255" s="10" t="s">
        <v>3958</v>
      </c>
      <c r="I255" s="10" t="s">
        <v>245</v>
      </c>
      <c r="J255" s="10" t="s">
        <v>245</v>
      </c>
      <c r="K255" s="10" t="s">
        <v>113</v>
      </c>
      <c r="L255" s="10" t="s">
        <v>184</v>
      </c>
      <c r="M255" s="31">
        <v>120000</v>
      </c>
    </row>
    <row r="256" spans="1:13" x14ac:dyDescent="0.3">
      <c r="A256" s="10" t="s">
        <v>1582</v>
      </c>
      <c r="B256" s="10" t="s">
        <v>4510</v>
      </c>
      <c r="C256" s="10" t="s">
        <v>3963</v>
      </c>
      <c r="D256" s="10" t="s">
        <v>3955</v>
      </c>
      <c r="E256" s="31">
        <v>2180</v>
      </c>
      <c r="F256" s="10" t="s">
        <v>4508</v>
      </c>
      <c r="G256" s="10" t="s">
        <v>4509</v>
      </c>
      <c r="H256" s="10" t="s">
        <v>4269</v>
      </c>
      <c r="I256" s="10"/>
      <c r="J256" s="10"/>
      <c r="K256" s="10"/>
      <c r="L256" s="10" t="s">
        <v>2064</v>
      </c>
      <c r="M256" s="31"/>
    </row>
    <row r="257" spans="1:13" x14ac:dyDescent="0.3">
      <c r="A257" s="10" t="s">
        <v>1583</v>
      </c>
      <c r="B257" s="10" t="s">
        <v>4511</v>
      </c>
      <c r="C257" s="10" t="s">
        <v>247</v>
      </c>
      <c r="D257" s="10" t="s">
        <v>3955</v>
      </c>
      <c r="E257" s="31">
        <v>2130</v>
      </c>
      <c r="F257" s="10" t="s">
        <v>4151</v>
      </c>
      <c r="G257" s="10" t="s">
        <v>4512</v>
      </c>
      <c r="H257" s="10" t="s">
        <v>2120</v>
      </c>
      <c r="I257" s="10" t="s">
        <v>844</v>
      </c>
      <c r="J257" s="10" t="s">
        <v>844</v>
      </c>
      <c r="K257" s="10" t="s">
        <v>115</v>
      </c>
      <c r="L257" s="10" t="s">
        <v>185</v>
      </c>
      <c r="M257" s="31">
        <v>156000</v>
      </c>
    </row>
    <row r="258" spans="1:13" x14ac:dyDescent="0.3">
      <c r="A258" s="10" t="s">
        <v>1583</v>
      </c>
      <c r="B258" s="10" t="s">
        <v>4513</v>
      </c>
      <c r="C258" s="10" t="s">
        <v>3963</v>
      </c>
      <c r="D258" s="10" t="s">
        <v>3955</v>
      </c>
      <c r="E258" s="31">
        <v>2130</v>
      </c>
      <c r="F258" s="10" t="s">
        <v>4151</v>
      </c>
      <c r="G258" s="10" t="s">
        <v>4512</v>
      </c>
      <c r="H258" s="10" t="s">
        <v>4022</v>
      </c>
      <c r="I258" s="10"/>
      <c r="J258" s="10"/>
      <c r="K258" s="10"/>
      <c r="L258" s="10" t="s">
        <v>2064</v>
      </c>
      <c r="M258" s="31"/>
    </row>
    <row r="259" spans="1:13" x14ac:dyDescent="0.3">
      <c r="A259" s="10" t="s">
        <v>1584</v>
      </c>
      <c r="B259" s="10" t="s">
        <v>4514</v>
      </c>
      <c r="C259" s="10" t="s">
        <v>247</v>
      </c>
      <c r="D259" s="10" t="s">
        <v>3955</v>
      </c>
      <c r="E259" s="31">
        <v>1595</v>
      </c>
      <c r="F259" s="10" t="s">
        <v>4515</v>
      </c>
      <c r="G259" s="10" t="s">
        <v>4516</v>
      </c>
      <c r="H259" s="10" t="s">
        <v>2120</v>
      </c>
      <c r="I259" s="10" t="s">
        <v>4517</v>
      </c>
      <c r="J259" s="10" t="s">
        <v>1320</v>
      </c>
      <c r="K259" s="10" t="s">
        <v>123</v>
      </c>
      <c r="L259" s="10" t="s">
        <v>202</v>
      </c>
      <c r="M259" s="31">
        <v>264000</v>
      </c>
    </row>
    <row r="260" spans="1:13" x14ac:dyDescent="0.3">
      <c r="A260" s="10" t="s">
        <v>1585</v>
      </c>
      <c r="B260" s="10" t="s">
        <v>4518</v>
      </c>
      <c r="C260" s="10" t="s">
        <v>247</v>
      </c>
      <c r="D260" s="10" t="s">
        <v>3955</v>
      </c>
      <c r="E260" s="31">
        <v>1495</v>
      </c>
      <c r="F260" s="10" t="s">
        <v>4519</v>
      </c>
      <c r="G260" s="10" t="s">
        <v>4520</v>
      </c>
      <c r="H260" s="10" t="s">
        <v>3958</v>
      </c>
      <c r="I260" s="10" t="s">
        <v>269</v>
      </c>
      <c r="J260" s="10" t="s">
        <v>269</v>
      </c>
      <c r="K260" s="10" t="s">
        <v>115</v>
      </c>
      <c r="L260" s="10" t="s">
        <v>185</v>
      </c>
      <c r="M260" s="31">
        <v>122000</v>
      </c>
    </row>
    <row r="261" spans="1:13" x14ac:dyDescent="0.3">
      <c r="A261" s="10" t="s">
        <v>1586</v>
      </c>
      <c r="B261" s="10" t="s">
        <v>4521</v>
      </c>
      <c r="C261" s="10" t="s">
        <v>247</v>
      </c>
      <c r="D261" s="10" t="s">
        <v>3955</v>
      </c>
      <c r="E261" s="31">
        <v>1595</v>
      </c>
      <c r="F261" s="10" t="s">
        <v>4522</v>
      </c>
      <c r="G261" s="10" t="s">
        <v>4523</v>
      </c>
      <c r="H261" s="10" t="s">
        <v>2120</v>
      </c>
      <c r="I261" s="10" t="s">
        <v>815</v>
      </c>
      <c r="J261" s="10" t="s">
        <v>815</v>
      </c>
      <c r="K261" s="10" t="s">
        <v>115</v>
      </c>
      <c r="L261" s="10" t="s">
        <v>185</v>
      </c>
      <c r="M261" s="31">
        <v>90749</v>
      </c>
    </row>
    <row r="262" spans="1:13" x14ac:dyDescent="0.3">
      <c r="A262" s="10" t="s">
        <v>1587</v>
      </c>
      <c r="B262" s="10" t="s">
        <v>4524</v>
      </c>
      <c r="C262" s="10" t="s">
        <v>247</v>
      </c>
      <c r="D262" s="10" t="s">
        <v>3955</v>
      </c>
      <c r="E262" s="31">
        <v>1605</v>
      </c>
      <c r="F262" s="10" t="s">
        <v>4525</v>
      </c>
      <c r="G262" s="10" t="s">
        <v>4526</v>
      </c>
      <c r="H262" s="10" t="s">
        <v>4527</v>
      </c>
      <c r="I262" s="10" t="s">
        <v>4528</v>
      </c>
      <c r="J262" s="10" t="s">
        <v>1234</v>
      </c>
      <c r="K262" s="10" t="s">
        <v>123</v>
      </c>
      <c r="L262" s="10" t="s">
        <v>190</v>
      </c>
      <c r="M262" s="31">
        <v>55000</v>
      </c>
    </row>
    <row r="263" spans="1:13" x14ac:dyDescent="0.3">
      <c r="A263" s="10" t="s">
        <v>1588</v>
      </c>
      <c r="B263" s="10" t="s">
        <v>4529</v>
      </c>
      <c r="C263" s="10" t="s">
        <v>247</v>
      </c>
      <c r="D263" s="10" t="s">
        <v>3955</v>
      </c>
      <c r="E263" s="31">
        <v>2045</v>
      </c>
      <c r="F263" s="10" t="s">
        <v>4530</v>
      </c>
      <c r="G263" s="10" t="s">
        <v>4531</v>
      </c>
      <c r="H263" s="10" t="s">
        <v>2120</v>
      </c>
      <c r="I263" s="10" t="s">
        <v>825</v>
      </c>
      <c r="J263" s="10" t="s">
        <v>825</v>
      </c>
      <c r="K263" s="10" t="s">
        <v>115</v>
      </c>
      <c r="L263" s="10" t="s">
        <v>185</v>
      </c>
      <c r="M263" s="31">
        <v>135200</v>
      </c>
    </row>
    <row r="264" spans="1:13" x14ac:dyDescent="0.3">
      <c r="A264" s="10" t="s">
        <v>1589</v>
      </c>
      <c r="B264" s="10" t="s">
        <v>4532</v>
      </c>
      <c r="C264" s="10" t="s">
        <v>247</v>
      </c>
      <c r="D264" s="10" t="s">
        <v>3955</v>
      </c>
      <c r="E264" s="31">
        <v>2230</v>
      </c>
      <c r="F264" s="10" t="s">
        <v>4181</v>
      </c>
      <c r="G264" s="10" t="s">
        <v>4533</v>
      </c>
      <c r="H264" s="10" t="s">
        <v>3958</v>
      </c>
      <c r="I264" s="10" t="s">
        <v>245</v>
      </c>
      <c r="J264" s="10" t="s">
        <v>245</v>
      </c>
      <c r="K264" s="10" t="s">
        <v>113</v>
      </c>
      <c r="L264" s="10" t="s">
        <v>184</v>
      </c>
      <c r="M264" s="31">
        <v>96500</v>
      </c>
    </row>
    <row r="265" spans="1:13" x14ac:dyDescent="0.3">
      <c r="A265" s="10" t="s">
        <v>1589</v>
      </c>
      <c r="B265" s="10" t="s">
        <v>4534</v>
      </c>
      <c r="C265" s="10" t="s">
        <v>3963</v>
      </c>
      <c r="D265" s="10" t="s">
        <v>3955</v>
      </c>
      <c r="E265" s="31">
        <v>2230</v>
      </c>
      <c r="F265" s="10" t="s">
        <v>4181</v>
      </c>
      <c r="G265" s="10" t="s">
        <v>4533</v>
      </c>
      <c r="H265" s="10" t="s">
        <v>3958</v>
      </c>
      <c r="I265" s="10"/>
      <c r="J265" s="10"/>
      <c r="K265" s="10"/>
      <c r="L265" s="10" t="s">
        <v>2064</v>
      </c>
      <c r="M265" s="31"/>
    </row>
    <row r="266" spans="1:13" x14ac:dyDescent="0.3">
      <c r="A266" s="10" t="s">
        <v>1590</v>
      </c>
      <c r="B266" s="10" t="s">
        <v>4535</v>
      </c>
      <c r="C266" s="10" t="s">
        <v>247</v>
      </c>
      <c r="D266" s="10" t="s">
        <v>3986</v>
      </c>
      <c r="E266" s="31">
        <v>2075</v>
      </c>
      <c r="F266" s="10" t="s">
        <v>4536</v>
      </c>
      <c r="G266" s="10" t="s">
        <v>4537</v>
      </c>
      <c r="H266" s="10" t="s">
        <v>3958</v>
      </c>
      <c r="I266" s="10" t="s">
        <v>2890</v>
      </c>
      <c r="J266" s="10" t="s">
        <v>245</v>
      </c>
      <c r="K266" s="10" t="s">
        <v>113</v>
      </c>
      <c r="L266" s="10" t="s">
        <v>184</v>
      </c>
      <c r="M266" s="31">
        <v>118000</v>
      </c>
    </row>
    <row r="267" spans="1:13" x14ac:dyDescent="0.3">
      <c r="A267" s="10" t="s">
        <v>1590</v>
      </c>
      <c r="B267" s="10" t="s">
        <v>4538</v>
      </c>
      <c r="C267" s="10" t="s">
        <v>3963</v>
      </c>
      <c r="D267" s="10" t="s">
        <v>3986</v>
      </c>
      <c r="E267" s="31">
        <v>2075</v>
      </c>
      <c r="F267" s="10" t="s">
        <v>4536</v>
      </c>
      <c r="G267" s="10" t="s">
        <v>4537</v>
      </c>
      <c r="H267" s="10" t="s">
        <v>3958</v>
      </c>
      <c r="I267" s="10" t="s">
        <v>245</v>
      </c>
      <c r="J267" s="10" t="s">
        <v>245</v>
      </c>
      <c r="K267" s="10" t="s">
        <v>113</v>
      </c>
      <c r="L267" s="10" t="s">
        <v>184</v>
      </c>
      <c r="M267" s="31">
        <v>86400</v>
      </c>
    </row>
    <row r="268" spans="1:13" x14ac:dyDescent="0.3">
      <c r="A268" s="10" t="s">
        <v>1591</v>
      </c>
      <c r="B268" s="10" t="s">
        <v>4539</v>
      </c>
      <c r="C268" s="10" t="s">
        <v>247</v>
      </c>
      <c r="D268" s="10" t="s">
        <v>3955</v>
      </c>
      <c r="E268" s="31">
        <v>1955</v>
      </c>
      <c r="F268" s="10" t="s">
        <v>4200</v>
      </c>
      <c r="G268" s="10" t="s">
        <v>4201</v>
      </c>
      <c r="H268" s="10" t="s">
        <v>2120</v>
      </c>
      <c r="I268" s="10" t="s">
        <v>974</v>
      </c>
      <c r="J268" s="10" t="s">
        <v>974</v>
      </c>
      <c r="K268" s="10" t="s">
        <v>115</v>
      </c>
      <c r="L268" s="10" t="s">
        <v>185</v>
      </c>
      <c r="M268" s="31">
        <v>48000</v>
      </c>
    </row>
    <row r="269" spans="1:13" x14ac:dyDescent="0.3">
      <c r="A269" s="10" t="s">
        <v>1591</v>
      </c>
      <c r="B269" s="10" t="s">
        <v>4540</v>
      </c>
      <c r="C269" s="10" t="s">
        <v>3963</v>
      </c>
      <c r="D269" s="10" t="s">
        <v>3955</v>
      </c>
      <c r="E269" s="31">
        <v>1955</v>
      </c>
      <c r="F269" s="10" t="s">
        <v>4200</v>
      </c>
      <c r="G269" s="10" t="s">
        <v>4201</v>
      </c>
      <c r="H269" s="10" t="s">
        <v>3498</v>
      </c>
      <c r="I269" s="10" t="s">
        <v>1115</v>
      </c>
      <c r="J269" s="10" t="s">
        <v>1115</v>
      </c>
      <c r="K269" s="10" t="s">
        <v>123</v>
      </c>
      <c r="L269" s="10" t="s">
        <v>189</v>
      </c>
      <c r="M269" s="31">
        <v>42000</v>
      </c>
    </row>
    <row r="270" spans="1:13" x14ac:dyDescent="0.3">
      <c r="A270" s="10" t="s">
        <v>1592</v>
      </c>
      <c r="B270" s="10" t="s">
        <v>4541</v>
      </c>
      <c r="C270" s="10" t="s">
        <v>247</v>
      </c>
      <c r="D270" s="10" t="s">
        <v>3955</v>
      </c>
      <c r="E270" s="31">
        <v>1775</v>
      </c>
      <c r="F270" s="10" t="s">
        <v>4542</v>
      </c>
      <c r="G270" s="10" t="s">
        <v>4543</v>
      </c>
      <c r="H270" s="10" t="s">
        <v>3958</v>
      </c>
      <c r="I270" s="10" t="s">
        <v>2890</v>
      </c>
      <c r="J270" s="10" t="s">
        <v>245</v>
      </c>
      <c r="K270" s="10" t="s">
        <v>113</v>
      </c>
      <c r="L270" s="10" t="s">
        <v>184</v>
      </c>
      <c r="M270" s="31">
        <v>97650</v>
      </c>
    </row>
    <row r="271" spans="1:13" x14ac:dyDescent="0.3">
      <c r="A271" s="10" t="s">
        <v>1592</v>
      </c>
      <c r="B271" s="10" t="s">
        <v>4544</v>
      </c>
      <c r="C271" s="10" t="s">
        <v>3963</v>
      </c>
      <c r="D271" s="10" t="s">
        <v>3955</v>
      </c>
      <c r="E271" s="31">
        <v>1775</v>
      </c>
      <c r="F271" s="10" t="s">
        <v>4542</v>
      </c>
      <c r="G271" s="10" t="s">
        <v>4543</v>
      </c>
      <c r="H271" s="10" t="s">
        <v>3976</v>
      </c>
      <c r="I271" s="10"/>
      <c r="J271" s="10"/>
      <c r="K271" s="10"/>
      <c r="L271" s="10" t="s">
        <v>2064</v>
      </c>
      <c r="M271" s="31"/>
    </row>
    <row r="272" spans="1:13" x14ac:dyDescent="0.3">
      <c r="A272" s="10" t="s">
        <v>1593</v>
      </c>
      <c r="B272" s="10" t="s">
        <v>4545</v>
      </c>
      <c r="C272" s="10" t="s">
        <v>247</v>
      </c>
      <c r="D272" s="10" t="s">
        <v>3955</v>
      </c>
      <c r="E272" s="31">
        <v>1620</v>
      </c>
      <c r="F272" s="10" t="s">
        <v>4372</v>
      </c>
      <c r="G272" s="10" t="s">
        <v>4546</v>
      </c>
      <c r="H272" s="10" t="s">
        <v>2120</v>
      </c>
      <c r="I272" s="10" t="s">
        <v>4280</v>
      </c>
      <c r="J272" s="10" t="s">
        <v>810</v>
      </c>
      <c r="K272" s="10" t="s">
        <v>115</v>
      </c>
      <c r="L272" s="10" t="s">
        <v>185</v>
      </c>
      <c r="M272" s="31">
        <v>150000</v>
      </c>
    </row>
    <row r="273" spans="1:13" x14ac:dyDescent="0.3">
      <c r="A273" s="10" t="s">
        <v>1594</v>
      </c>
      <c r="B273" s="10" t="s">
        <v>4547</v>
      </c>
      <c r="C273" s="10" t="s">
        <v>247</v>
      </c>
      <c r="D273" s="10" t="s">
        <v>3986</v>
      </c>
      <c r="E273" s="31">
        <v>1750</v>
      </c>
      <c r="F273" s="10" t="s">
        <v>4548</v>
      </c>
      <c r="G273" s="10" t="s">
        <v>4549</v>
      </c>
      <c r="H273" s="10" t="s">
        <v>772</v>
      </c>
      <c r="I273" s="10"/>
      <c r="J273" s="10"/>
      <c r="K273" s="10"/>
      <c r="L273" s="10" t="s">
        <v>2064</v>
      </c>
      <c r="M273" s="31"/>
    </row>
    <row r="274" spans="1:13" x14ac:dyDescent="0.3">
      <c r="A274" s="10" t="s">
        <v>1595</v>
      </c>
      <c r="B274" s="10" t="s">
        <v>4550</v>
      </c>
      <c r="C274" s="10" t="s">
        <v>247</v>
      </c>
      <c r="D274" s="10" t="s">
        <v>4167</v>
      </c>
      <c r="E274" s="31">
        <v>0</v>
      </c>
      <c r="F274" s="10" t="s">
        <v>4292</v>
      </c>
      <c r="G274" s="10" t="s">
        <v>4551</v>
      </c>
      <c r="H274" s="10" t="s">
        <v>3958</v>
      </c>
      <c r="I274" s="10" t="s">
        <v>1100</v>
      </c>
      <c r="J274" s="10" t="s">
        <v>1100</v>
      </c>
      <c r="K274" s="10" t="s">
        <v>121</v>
      </c>
      <c r="L274" s="10" t="s">
        <v>188</v>
      </c>
      <c r="M274" s="31">
        <v>138000</v>
      </c>
    </row>
    <row r="275" spans="1:13" x14ac:dyDescent="0.3">
      <c r="A275" s="10" t="s">
        <v>1595</v>
      </c>
      <c r="B275" s="10" t="s">
        <v>4552</v>
      </c>
      <c r="C275" s="10" t="s">
        <v>247</v>
      </c>
      <c r="D275" s="10" t="s">
        <v>3986</v>
      </c>
      <c r="E275" s="31">
        <v>1640</v>
      </c>
      <c r="F275" s="10" t="s">
        <v>4553</v>
      </c>
      <c r="G275" s="10" t="s">
        <v>4345</v>
      </c>
      <c r="H275" s="10" t="s">
        <v>3958</v>
      </c>
      <c r="I275" s="10" t="s">
        <v>245</v>
      </c>
      <c r="J275" s="10" t="s">
        <v>245</v>
      </c>
      <c r="K275" s="10" t="s">
        <v>113</v>
      </c>
      <c r="L275" s="10" t="s">
        <v>184</v>
      </c>
      <c r="M275" s="31">
        <v>102485</v>
      </c>
    </row>
    <row r="276" spans="1:13" x14ac:dyDescent="0.3">
      <c r="A276" s="10" t="s">
        <v>1596</v>
      </c>
      <c r="B276" s="10" t="s">
        <v>4554</v>
      </c>
      <c r="C276" s="10" t="s">
        <v>247</v>
      </c>
      <c r="D276" s="10" t="s">
        <v>3986</v>
      </c>
      <c r="E276" s="31">
        <v>1825</v>
      </c>
      <c r="F276" s="10" t="s">
        <v>4356</v>
      </c>
      <c r="G276" s="10" t="s">
        <v>4191</v>
      </c>
      <c r="H276" s="10" t="s">
        <v>2120</v>
      </c>
      <c r="I276" s="10" t="s">
        <v>4555</v>
      </c>
      <c r="J276" s="10" t="s">
        <v>1276</v>
      </c>
      <c r="K276" s="10" t="s">
        <v>123</v>
      </c>
      <c r="L276" s="10" t="s">
        <v>196</v>
      </c>
      <c r="M276" s="31">
        <v>130000</v>
      </c>
    </row>
    <row r="277" spans="1:13" x14ac:dyDescent="0.3">
      <c r="A277" s="10" t="s">
        <v>1597</v>
      </c>
      <c r="B277" s="10" t="s">
        <v>4556</v>
      </c>
      <c r="C277" s="10" t="s">
        <v>247</v>
      </c>
      <c r="D277" s="10" t="s">
        <v>3986</v>
      </c>
      <c r="E277" s="31">
        <v>2175</v>
      </c>
      <c r="F277" s="10" t="s">
        <v>4001</v>
      </c>
      <c r="G277" s="10" t="s">
        <v>4002</v>
      </c>
      <c r="H277" s="10" t="s">
        <v>4527</v>
      </c>
      <c r="I277" s="10" t="s">
        <v>1337</v>
      </c>
      <c r="J277" s="10" t="s">
        <v>1337</v>
      </c>
      <c r="K277" s="10" t="s">
        <v>123</v>
      </c>
      <c r="L277" s="10" t="s">
        <v>190</v>
      </c>
      <c r="M277" s="31">
        <v>78800</v>
      </c>
    </row>
    <row r="278" spans="1:13" x14ac:dyDescent="0.3">
      <c r="A278" s="10" t="s">
        <v>1597</v>
      </c>
      <c r="B278" s="10" t="s">
        <v>4557</v>
      </c>
      <c r="C278" s="10" t="s">
        <v>3963</v>
      </c>
      <c r="D278" s="10" t="s">
        <v>3986</v>
      </c>
      <c r="E278" s="31">
        <v>2175</v>
      </c>
      <c r="F278" s="10" t="s">
        <v>4001</v>
      </c>
      <c r="G278" s="10" t="s">
        <v>4002</v>
      </c>
      <c r="H278" s="10" t="s">
        <v>2120</v>
      </c>
      <c r="I278" s="10" t="s">
        <v>947</v>
      </c>
      <c r="J278" s="10" t="s">
        <v>947</v>
      </c>
      <c r="K278" s="10" t="s">
        <v>115</v>
      </c>
      <c r="L278" s="10" t="s">
        <v>185</v>
      </c>
      <c r="M278" s="31">
        <v>156000</v>
      </c>
    </row>
    <row r="279" spans="1:13" x14ac:dyDescent="0.3">
      <c r="A279" s="10" t="s">
        <v>1598</v>
      </c>
      <c r="B279" s="10" t="s">
        <v>4558</v>
      </c>
      <c r="C279" s="10" t="s">
        <v>247</v>
      </c>
      <c r="D279" s="10" t="s">
        <v>3955</v>
      </c>
      <c r="E279" s="31">
        <v>2125</v>
      </c>
      <c r="F279" s="10" t="s">
        <v>4536</v>
      </c>
      <c r="G279" s="10" t="s">
        <v>4537</v>
      </c>
      <c r="H279" s="10" t="s">
        <v>3958</v>
      </c>
      <c r="I279" s="10" t="s">
        <v>1131</v>
      </c>
      <c r="J279" s="10" t="s">
        <v>1131</v>
      </c>
      <c r="K279" s="10" t="s">
        <v>123</v>
      </c>
      <c r="L279" s="10" t="s">
        <v>193</v>
      </c>
      <c r="M279" s="31">
        <v>85000</v>
      </c>
    </row>
    <row r="280" spans="1:13" x14ac:dyDescent="0.3">
      <c r="A280" s="10" t="s">
        <v>1598</v>
      </c>
      <c r="B280" s="10" t="s">
        <v>4559</v>
      </c>
      <c r="C280" s="10" t="s">
        <v>3963</v>
      </c>
      <c r="D280" s="10" t="s">
        <v>3955</v>
      </c>
      <c r="E280" s="31">
        <v>2125</v>
      </c>
      <c r="F280" s="10" t="s">
        <v>4536</v>
      </c>
      <c r="G280" s="10" t="s">
        <v>4537</v>
      </c>
      <c r="H280" s="10" t="s">
        <v>3958</v>
      </c>
      <c r="I280" s="10" t="s">
        <v>4074</v>
      </c>
      <c r="J280" s="10" t="s">
        <v>245</v>
      </c>
      <c r="K280" s="10" t="s">
        <v>113</v>
      </c>
      <c r="L280" s="10" t="s">
        <v>184</v>
      </c>
      <c r="M280" s="31">
        <v>85000</v>
      </c>
    </row>
    <row r="281" spans="1:13" x14ac:dyDescent="0.3">
      <c r="A281" s="10" t="s">
        <v>1598</v>
      </c>
      <c r="B281" s="10" t="s">
        <v>4560</v>
      </c>
      <c r="C281" s="10" t="s">
        <v>3963</v>
      </c>
      <c r="D281" s="10" t="s">
        <v>3955</v>
      </c>
      <c r="E281" s="31">
        <v>2125</v>
      </c>
      <c r="F281" s="10" t="s">
        <v>4536</v>
      </c>
      <c r="G281" s="10" t="s">
        <v>4537</v>
      </c>
      <c r="H281" s="10" t="s">
        <v>3958</v>
      </c>
      <c r="I281" s="10" t="s">
        <v>4561</v>
      </c>
      <c r="J281" s="10" t="s">
        <v>1253</v>
      </c>
      <c r="K281" s="10" t="s">
        <v>123</v>
      </c>
      <c r="L281" s="10" t="s">
        <v>193</v>
      </c>
      <c r="M281" s="31">
        <v>85000</v>
      </c>
    </row>
    <row r="282" spans="1:13" x14ac:dyDescent="0.3">
      <c r="A282" s="10" t="s">
        <v>1599</v>
      </c>
      <c r="B282" s="10" t="s">
        <v>4562</v>
      </c>
      <c r="C282" s="10" t="s">
        <v>247</v>
      </c>
      <c r="D282" s="10" t="s">
        <v>3955</v>
      </c>
      <c r="E282" s="31">
        <v>2200</v>
      </c>
      <c r="F282" s="10" t="s">
        <v>4446</v>
      </c>
      <c r="G282" s="10" t="s">
        <v>4447</v>
      </c>
      <c r="H282" s="10" t="s">
        <v>3958</v>
      </c>
      <c r="I282" s="10" t="s">
        <v>245</v>
      </c>
      <c r="J282" s="10" t="s">
        <v>245</v>
      </c>
      <c r="K282" s="10" t="s">
        <v>113</v>
      </c>
      <c r="L282" s="10" t="s">
        <v>184</v>
      </c>
      <c r="M282" s="31">
        <v>147000</v>
      </c>
    </row>
    <row r="283" spans="1:13" x14ac:dyDescent="0.3">
      <c r="A283" s="10" t="s">
        <v>1599</v>
      </c>
      <c r="B283" s="10" t="s">
        <v>4563</v>
      </c>
      <c r="C283" s="10" t="s">
        <v>3963</v>
      </c>
      <c r="D283" s="10" t="s">
        <v>3955</v>
      </c>
      <c r="E283" s="31">
        <v>2200</v>
      </c>
      <c r="F283" s="10" t="s">
        <v>4446</v>
      </c>
      <c r="G283" s="10" t="s">
        <v>4447</v>
      </c>
      <c r="H283" s="10" t="s">
        <v>3976</v>
      </c>
      <c r="I283" s="10"/>
      <c r="J283" s="10"/>
      <c r="K283" s="10"/>
      <c r="L283" s="10" t="s">
        <v>2064</v>
      </c>
      <c r="M283" s="31"/>
    </row>
    <row r="284" spans="1:13" x14ac:dyDescent="0.3">
      <c r="A284" s="10" t="s">
        <v>1600</v>
      </c>
      <c r="B284" s="10" t="s">
        <v>4564</v>
      </c>
      <c r="C284" s="10" t="s">
        <v>247</v>
      </c>
      <c r="D284" s="10" t="s">
        <v>3955</v>
      </c>
      <c r="E284" s="31">
        <v>1700</v>
      </c>
      <c r="F284" s="10" t="s">
        <v>4358</v>
      </c>
      <c r="G284" s="10" t="s">
        <v>4359</v>
      </c>
      <c r="H284" s="10" t="s">
        <v>3958</v>
      </c>
      <c r="I284" s="10" t="s">
        <v>2890</v>
      </c>
      <c r="J284" s="10" t="s">
        <v>245</v>
      </c>
      <c r="K284" s="10" t="s">
        <v>113</v>
      </c>
      <c r="L284" s="10" t="s">
        <v>184</v>
      </c>
      <c r="M284" s="31">
        <v>120000</v>
      </c>
    </row>
    <row r="285" spans="1:13" x14ac:dyDescent="0.3">
      <c r="A285" s="10" t="s">
        <v>1601</v>
      </c>
      <c r="B285" s="10" t="s">
        <v>4565</v>
      </c>
      <c r="C285" s="10" t="s">
        <v>247</v>
      </c>
      <c r="D285" s="10" t="s">
        <v>3955</v>
      </c>
      <c r="E285" s="31">
        <v>1700</v>
      </c>
      <c r="F285" s="10" t="s">
        <v>4566</v>
      </c>
      <c r="G285" s="10" t="s">
        <v>4567</v>
      </c>
      <c r="H285" s="10" t="s">
        <v>3958</v>
      </c>
      <c r="I285" s="10" t="s">
        <v>2890</v>
      </c>
      <c r="J285" s="10" t="s">
        <v>245</v>
      </c>
      <c r="K285" s="10" t="s">
        <v>113</v>
      </c>
      <c r="L285" s="10" t="s">
        <v>184</v>
      </c>
      <c r="M285" s="31">
        <v>120000</v>
      </c>
    </row>
    <row r="286" spans="1:13" x14ac:dyDescent="0.3">
      <c r="A286" s="10" t="s">
        <v>1602</v>
      </c>
      <c r="B286" s="10" t="s">
        <v>4568</v>
      </c>
      <c r="C286" s="10" t="s">
        <v>247</v>
      </c>
      <c r="D286" s="10" t="s">
        <v>3955</v>
      </c>
      <c r="E286" s="31">
        <v>1775</v>
      </c>
      <c r="F286" s="10" t="s">
        <v>4455</v>
      </c>
      <c r="G286" s="10" t="s">
        <v>4073</v>
      </c>
      <c r="H286" s="10" t="s">
        <v>2120</v>
      </c>
      <c r="I286" s="10" t="s">
        <v>852</v>
      </c>
      <c r="J286" s="10" t="s">
        <v>852</v>
      </c>
      <c r="K286" s="10" t="s">
        <v>115</v>
      </c>
      <c r="L286" s="10" t="s">
        <v>185</v>
      </c>
      <c r="M286" s="31">
        <v>154445.20000000001</v>
      </c>
    </row>
    <row r="287" spans="1:13" x14ac:dyDescent="0.3">
      <c r="A287" s="10" t="s">
        <v>1602</v>
      </c>
      <c r="B287" s="10" t="s">
        <v>4569</v>
      </c>
      <c r="C287" s="10" t="s">
        <v>3963</v>
      </c>
      <c r="D287" s="10" t="s">
        <v>3955</v>
      </c>
      <c r="E287" s="31">
        <v>1775</v>
      </c>
      <c r="F287" s="10" t="s">
        <v>4455</v>
      </c>
      <c r="G287" s="10" t="s">
        <v>4073</v>
      </c>
      <c r="H287" s="10" t="s">
        <v>3976</v>
      </c>
      <c r="I287" s="10"/>
      <c r="J287" s="10"/>
      <c r="K287" s="10"/>
      <c r="L287" s="10" t="s">
        <v>2064</v>
      </c>
      <c r="M287" s="31"/>
    </row>
    <row r="288" spans="1:13" x14ac:dyDescent="0.3">
      <c r="A288" s="10" t="s">
        <v>1603</v>
      </c>
      <c r="B288" s="10" t="s">
        <v>4570</v>
      </c>
      <c r="C288" s="10" t="s">
        <v>247</v>
      </c>
      <c r="D288" s="10" t="s">
        <v>3955</v>
      </c>
      <c r="E288" s="31">
        <v>1615</v>
      </c>
      <c r="F288" s="10" t="s">
        <v>4571</v>
      </c>
      <c r="G288" s="10" t="s">
        <v>4572</v>
      </c>
      <c r="H288" s="10" t="s">
        <v>4055</v>
      </c>
      <c r="I288" s="10" t="s">
        <v>882</v>
      </c>
      <c r="J288" s="10" t="s">
        <v>882</v>
      </c>
      <c r="K288" s="10" t="s">
        <v>115</v>
      </c>
      <c r="L288" s="10" t="s">
        <v>185</v>
      </c>
      <c r="M288" s="31">
        <v>55680</v>
      </c>
    </row>
    <row r="289" spans="1:13" x14ac:dyDescent="0.3">
      <c r="A289" s="10" t="s">
        <v>1604</v>
      </c>
      <c r="B289" s="10" t="s">
        <v>4573</v>
      </c>
      <c r="C289" s="10" t="s">
        <v>247</v>
      </c>
      <c r="D289" s="10" t="s">
        <v>3955</v>
      </c>
      <c r="E289" s="31">
        <v>1800</v>
      </c>
      <c r="F289" s="10" t="s">
        <v>4553</v>
      </c>
      <c r="G289" s="10" t="s">
        <v>4574</v>
      </c>
      <c r="H289" s="10" t="s">
        <v>4034</v>
      </c>
      <c r="I289" s="10" t="s">
        <v>2249</v>
      </c>
      <c r="J289" s="10" t="s">
        <v>354</v>
      </c>
      <c r="K289" s="10" t="s">
        <v>123</v>
      </c>
      <c r="L289" s="10" t="s">
        <v>191</v>
      </c>
      <c r="M289" s="31">
        <v>72275</v>
      </c>
    </row>
    <row r="290" spans="1:13" x14ac:dyDescent="0.3">
      <c r="A290" s="10" t="s">
        <v>1604</v>
      </c>
      <c r="B290" s="10" t="s">
        <v>4575</v>
      </c>
      <c r="C290" s="10" t="s">
        <v>3963</v>
      </c>
      <c r="D290" s="10" t="s">
        <v>3955</v>
      </c>
      <c r="E290" s="31">
        <v>1800</v>
      </c>
      <c r="F290" s="10" t="s">
        <v>4553</v>
      </c>
      <c r="G290" s="10" t="s">
        <v>4574</v>
      </c>
      <c r="H290" s="10" t="s">
        <v>772</v>
      </c>
      <c r="I290" s="10"/>
      <c r="J290" s="10"/>
      <c r="K290" s="10"/>
      <c r="L290" s="10" t="s">
        <v>2064</v>
      </c>
      <c r="M290" s="31"/>
    </row>
    <row r="291" spans="1:13" x14ac:dyDescent="0.3">
      <c r="A291" s="10" t="s">
        <v>1605</v>
      </c>
      <c r="B291" s="10" t="s">
        <v>4576</v>
      </c>
      <c r="C291" s="10" t="s">
        <v>247</v>
      </c>
      <c r="D291" s="10" t="s">
        <v>4167</v>
      </c>
      <c r="E291" s="31">
        <v>0</v>
      </c>
      <c r="F291" s="10" t="s">
        <v>4577</v>
      </c>
      <c r="G291" s="10" t="s">
        <v>4578</v>
      </c>
      <c r="H291" s="10" t="s">
        <v>3958</v>
      </c>
      <c r="I291" s="10" t="s">
        <v>1372</v>
      </c>
      <c r="J291" s="10" t="s">
        <v>1372</v>
      </c>
      <c r="K291" s="10" t="s">
        <v>123</v>
      </c>
      <c r="L291" s="10" t="s">
        <v>193</v>
      </c>
      <c r="M291" s="31">
        <v>180000</v>
      </c>
    </row>
    <row r="292" spans="1:13" x14ac:dyDescent="0.3">
      <c r="A292" s="10" t="s">
        <v>1605</v>
      </c>
      <c r="B292" s="10" t="s">
        <v>4579</v>
      </c>
      <c r="C292" s="10" t="s">
        <v>247</v>
      </c>
      <c r="D292" s="10" t="s">
        <v>3986</v>
      </c>
      <c r="E292" s="31">
        <v>2100</v>
      </c>
      <c r="F292" s="10" t="s">
        <v>4580</v>
      </c>
      <c r="G292" s="10" t="s">
        <v>4567</v>
      </c>
      <c r="H292" s="10" t="s">
        <v>2120</v>
      </c>
      <c r="I292" s="10" t="s">
        <v>902</v>
      </c>
      <c r="J292" s="10" t="s">
        <v>902</v>
      </c>
      <c r="K292" s="10" t="s">
        <v>115</v>
      </c>
      <c r="L292" s="10" t="s">
        <v>185</v>
      </c>
      <c r="M292" s="31">
        <v>120000</v>
      </c>
    </row>
    <row r="293" spans="1:13" x14ac:dyDescent="0.3">
      <c r="A293" s="10" t="s">
        <v>1605</v>
      </c>
      <c r="B293" s="10" t="s">
        <v>4581</v>
      </c>
      <c r="C293" s="10" t="s">
        <v>3963</v>
      </c>
      <c r="D293" s="10" t="s">
        <v>4167</v>
      </c>
      <c r="E293" s="31">
        <v>0</v>
      </c>
      <c r="F293" s="10" t="s">
        <v>4577</v>
      </c>
      <c r="G293" s="10" t="s">
        <v>4578</v>
      </c>
      <c r="H293" s="10" t="s">
        <v>772</v>
      </c>
      <c r="I293" s="10" t="s">
        <v>1341</v>
      </c>
      <c r="J293" s="10" t="s">
        <v>1341</v>
      </c>
      <c r="K293" s="10" t="s">
        <v>123</v>
      </c>
      <c r="L293" s="10" t="s">
        <v>192</v>
      </c>
      <c r="M293" s="31">
        <v>36000</v>
      </c>
    </row>
    <row r="294" spans="1:13" x14ac:dyDescent="0.3">
      <c r="A294" s="10" t="s">
        <v>1605</v>
      </c>
      <c r="B294" s="10" t="s">
        <v>4582</v>
      </c>
      <c r="C294" s="10" t="s">
        <v>3963</v>
      </c>
      <c r="D294" s="10" t="s">
        <v>3986</v>
      </c>
      <c r="E294" s="31">
        <v>2100</v>
      </c>
      <c r="F294" s="10" t="s">
        <v>4580</v>
      </c>
      <c r="G294" s="10" t="s">
        <v>4567</v>
      </c>
      <c r="H294" s="10" t="s">
        <v>3999</v>
      </c>
      <c r="I294" s="10" t="s">
        <v>4583</v>
      </c>
      <c r="J294" s="10" t="s">
        <v>1333</v>
      </c>
      <c r="K294" s="10" t="s">
        <v>123</v>
      </c>
      <c r="L294" s="10" t="s">
        <v>190</v>
      </c>
      <c r="M294" s="31">
        <v>9600</v>
      </c>
    </row>
    <row r="295" spans="1:13" x14ac:dyDescent="0.3">
      <c r="A295" s="10" t="s">
        <v>1606</v>
      </c>
      <c r="B295" s="10" t="s">
        <v>4584</v>
      </c>
      <c r="C295" s="10" t="s">
        <v>247</v>
      </c>
      <c r="D295" s="10" t="s">
        <v>3955</v>
      </c>
      <c r="E295" s="31">
        <v>2105</v>
      </c>
      <c r="F295" s="10" t="s">
        <v>4585</v>
      </c>
      <c r="G295" s="10" t="s">
        <v>4586</v>
      </c>
      <c r="H295" s="10" t="s">
        <v>2120</v>
      </c>
      <c r="I295" s="10" t="s">
        <v>4587</v>
      </c>
      <c r="J295" s="10" t="s">
        <v>906</v>
      </c>
      <c r="K295" s="10" t="s">
        <v>115</v>
      </c>
      <c r="L295" s="10" t="s">
        <v>185</v>
      </c>
      <c r="M295" s="31">
        <v>98806.34</v>
      </c>
    </row>
    <row r="296" spans="1:13" x14ac:dyDescent="0.3">
      <c r="A296" s="10" t="s">
        <v>1607</v>
      </c>
      <c r="B296" s="10" t="s">
        <v>4588</v>
      </c>
      <c r="C296" s="10" t="s">
        <v>247</v>
      </c>
      <c r="D296" s="10" t="s">
        <v>3955</v>
      </c>
      <c r="E296" s="31">
        <v>2255</v>
      </c>
      <c r="F296" s="10" t="s">
        <v>4145</v>
      </c>
      <c r="G296" s="10" t="s">
        <v>4146</v>
      </c>
      <c r="H296" s="10" t="s">
        <v>2120</v>
      </c>
      <c r="I296" s="10" t="s">
        <v>4589</v>
      </c>
      <c r="J296" s="10" t="s">
        <v>965</v>
      </c>
      <c r="K296" s="10" t="s">
        <v>115</v>
      </c>
      <c r="L296" s="10" t="s">
        <v>185</v>
      </c>
      <c r="M296" s="31">
        <v>144000</v>
      </c>
    </row>
    <row r="297" spans="1:13" x14ac:dyDescent="0.3">
      <c r="A297" s="10" t="s">
        <v>1607</v>
      </c>
      <c r="B297" s="10" t="s">
        <v>4590</v>
      </c>
      <c r="C297" s="10" t="s">
        <v>3963</v>
      </c>
      <c r="D297" s="10" t="s">
        <v>3955</v>
      </c>
      <c r="E297" s="31">
        <v>2255</v>
      </c>
      <c r="F297" s="10" t="s">
        <v>4145</v>
      </c>
      <c r="G297" s="10" t="s">
        <v>4146</v>
      </c>
      <c r="H297" s="10" t="s">
        <v>2120</v>
      </c>
      <c r="I297" s="10"/>
      <c r="J297" s="10"/>
      <c r="K297" s="10"/>
      <c r="L297" s="10" t="s">
        <v>2064</v>
      </c>
      <c r="M297" s="31"/>
    </row>
    <row r="298" spans="1:13" x14ac:dyDescent="0.3">
      <c r="A298" s="10" t="s">
        <v>1608</v>
      </c>
      <c r="B298" s="10" t="s">
        <v>4591</v>
      </c>
      <c r="C298" s="10" t="s">
        <v>247</v>
      </c>
      <c r="D298" s="10" t="s">
        <v>3955</v>
      </c>
      <c r="E298" s="31">
        <v>1755</v>
      </c>
      <c r="F298" s="10" t="s">
        <v>4077</v>
      </c>
      <c r="G298" s="10" t="s">
        <v>4078</v>
      </c>
      <c r="H298" s="10" t="s">
        <v>2120</v>
      </c>
      <c r="I298" s="10" t="s">
        <v>4592</v>
      </c>
      <c r="J298" s="10" t="s">
        <v>784</v>
      </c>
      <c r="K298" s="10" t="s">
        <v>115</v>
      </c>
      <c r="L298" s="10" t="s">
        <v>185</v>
      </c>
      <c r="M298" s="31">
        <v>204000</v>
      </c>
    </row>
    <row r="299" spans="1:13" x14ac:dyDescent="0.3">
      <c r="A299" s="10" t="s">
        <v>1609</v>
      </c>
      <c r="B299" s="10" t="s">
        <v>4593</v>
      </c>
      <c r="C299" s="10" t="s">
        <v>247</v>
      </c>
      <c r="D299" s="10" t="s">
        <v>3955</v>
      </c>
      <c r="E299" s="31">
        <v>1595</v>
      </c>
      <c r="F299" s="10" t="s">
        <v>4267</v>
      </c>
      <c r="G299" s="10" t="s">
        <v>4268</v>
      </c>
      <c r="H299" s="10" t="s">
        <v>4095</v>
      </c>
      <c r="I299" s="10" t="s">
        <v>4594</v>
      </c>
      <c r="J299" s="10" t="s">
        <v>1060</v>
      </c>
      <c r="K299" s="10" t="s">
        <v>119</v>
      </c>
      <c r="L299" s="10" t="s">
        <v>187</v>
      </c>
      <c r="M299" s="31">
        <v>85000</v>
      </c>
    </row>
    <row r="300" spans="1:13" x14ac:dyDescent="0.3">
      <c r="A300" s="10" t="s">
        <v>1609</v>
      </c>
      <c r="B300" s="10" t="s">
        <v>4595</v>
      </c>
      <c r="C300" s="10" t="s">
        <v>3963</v>
      </c>
      <c r="D300" s="10" t="s">
        <v>3955</v>
      </c>
      <c r="E300" s="31">
        <v>1595</v>
      </c>
      <c r="F300" s="10" t="s">
        <v>4267</v>
      </c>
      <c r="G300" s="10" t="s">
        <v>4268</v>
      </c>
      <c r="H300" s="10" t="s">
        <v>3958</v>
      </c>
      <c r="I300" s="10"/>
      <c r="J300" s="10"/>
      <c r="K300" s="10"/>
      <c r="L300" s="10" t="s">
        <v>2064</v>
      </c>
      <c r="M300" s="31">
        <v>155000</v>
      </c>
    </row>
    <row r="301" spans="1:13" x14ac:dyDescent="0.3">
      <c r="A301" s="10" t="s">
        <v>1610</v>
      </c>
      <c r="B301" s="10" t="s">
        <v>4596</v>
      </c>
      <c r="C301" s="10" t="s">
        <v>247</v>
      </c>
      <c r="D301" s="10" t="s">
        <v>3986</v>
      </c>
      <c r="E301" s="31">
        <v>1780</v>
      </c>
      <c r="F301" s="10" t="s">
        <v>4274</v>
      </c>
      <c r="G301" s="10" t="s">
        <v>4320</v>
      </c>
      <c r="H301" s="10" t="s">
        <v>2120</v>
      </c>
      <c r="I301" s="10" t="s">
        <v>862</v>
      </c>
      <c r="J301" s="10" t="s">
        <v>862</v>
      </c>
      <c r="K301" s="10" t="s">
        <v>115</v>
      </c>
      <c r="L301" s="10" t="s">
        <v>185</v>
      </c>
      <c r="M301" s="31">
        <v>182000</v>
      </c>
    </row>
    <row r="302" spans="1:13" x14ac:dyDescent="0.3">
      <c r="A302" s="10" t="s">
        <v>1611</v>
      </c>
      <c r="B302" s="10" t="s">
        <v>4597</v>
      </c>
      <c r="C302" s="10" t="s">
        <v>247</v>
      </c>
      <c r="D302" s="10" t="s">
        <v>3955</v>
      </c>
      <c r="E302" s="31">
        <v>1550</v>
      </c>
      <c r="F302" s="10" t="s">
        <v>4598</v>
      </c>
      <c r="G302" s="10" t="s">
        <v>4599</v>
      </c>
      <c r="H302" s="10" t="s">
        <v>3958</v>
      </c>
      <c r="I302" s="10" t="s">
        <v>999</v>
      </c>
      <c r="J302" s="10" t="s">
        <v>999</v>
      </c>
      <c r="K302" s="10" t="s">
        <v>117</v>
      </c>
      <c r="L302" s="10" t="s">
        <v>186</v>
      </c>
      <c r="M302" s="31">
        <v>130000</v>
      </c>
    </row>
    <row r="303" spans="1:13" x14ac:dyDescent="0.3">
      <c r="A303" s="10" t="s">
        <v>1612</v>
      </c>
      <c r="B303" s="10" t="s">
        <v>4600</v>
      </c>
      <c r="C303" s="10" t="s">
        <v>247</v>
      </c>
      <c r="D303" s="10" t="s">
        <v>3955</v>
      </c>
      <c r="E303" s="31">
        <v>2060</v>
      </c>
      <c r="F303" s="10" t="s">
        <v>4207</v>
      </c>
      <c r="G303" s="10" t="s">
        <v>4601</v>
      </c>
      <c r="H303" s="10" t="s">
        <v>2120</v>
      </c>
      <c r="I303" s="10" t="s">
        <v>4602</v>
      </c>
      <c r="J303" s="10" t="s">
        <v>1039</v>
      </c>
      <c r="K303" s="10" t="s">
        <v>117</v>
      </c>
      <c r="L303" s="10" t="s">
        <v>186</v>
      </c>
      <c r="M303" s="31">
        <v>130000</v>
      </c>
    </row>
    <row r="304" spans="1:13" x14ac:dyDescent="0.3">
      <c r="A304" s="10" t="s">
        <v>1613</v>
      </c>
      <c r="B304" s="10" t="s">
        <v>4603</v>
      </c>
      <c r="C304" s="10" t="s">
        <v>247</v>
      </c>
      <c r="D304" s="10" t="s">
        <v>4167</v>
      </c>
      <c r="E304" s="31">
        <v>0</v>
      </c>
      <c r="F304" s="10" t="s">
        <v>4604</v>
      </c>
      <c r="G304" s="10" t="s">
        <v>4401</v>
      </c>
      <c r="H304" s="10" t="s">
        <v>4527</v>
      </c>
      <c r="I304" s="10" t="s">
        <v>1309</v>
      </c>
      <c r="J304" s="10" t="s">
        <v>1309</v>
      </c>
      <c r="K304" s="10" t="s">
        <v>123</v>
      </c>
      <c r="L304" s="10" t="s">
        <v>190</v>
      </c>
      <c r="M304" s="31">
        <v>38000</v>
      </c>
    </row>
    <row r="305" spans="1:13" x14ac:dyDescent="0.3">
      <c r="A305" s="10" t="s">
        <v>1613</v>
      </c>
      <c r="B305" s="10" t="s">
        <v>4605</v>
      </c>
      <c r="C305" s="10" t="s">
        <v>3963</v>
      </c>
      <c r="D305" s="10" t="s">
        <v>4167</v>
      </c>
      <c r="E305" s="31">
        <v>0</v>
      </c>
      <c r="F305" s="10" t="s">
        <v>4604</v>
      </c>
      <c r="G305" s="10" t="s">
        <v>4401</v>
      </c>
      <c r="H305" s="10" t="s">
        <v>4527</v>
      </c>
      <c r="I305" s="10" t="s">
        <v>397</v>
      </c>
      <c r="J305" s="10" t="s">
        <v>397</v>
      </c>
      <c r="K305" s="10" t="s">
        <v>123</v>
      </c>
      <c r="L305" s="10" t="s">
        <v>192</v>
      </c>
      <c r="M305" s="31">
        <v>26000</v>
      </c>
    </row>
    <row r="306" spans="1:13" x14ac:dyDescent="0.3">
      <c r="A306" s="10" t="s">
        <v>1613</v>
      </c>
      <c r="B306" s="10" t="s">
        <v>4606</v>
      </c>
      <c r="C306" s="10" t="s">
        <v>3963</v>
      </c>
      <c r="D306" s="10" t="s">
        <v>4167</v>
      </c>
      <c r="E306" s="31">
        <v>0</v>
      </c>
      <c r="F306" s="10" t="s">
        <v>4604</v>
      </c>
      <c r="G306" s="10" t="s">
        <v>4401</v>
      </c>
      <c r="H306" s="10" t="s">
        <v>4055</v>
      </c>
      <c r="I306" s="10" t="s">
        <v>1262</v>
      </c>
      <c r="J306" s="10" t="s">
        <v>1262</v>
      </c>
      <c r="K306" s="10" t="s">
        <v>123</v>
      </c>
      <c r="L306" s="10" t="s">
        <v>198</v>
      </c>
      <c r="M306" s="31">
        <v>42000</v>
      </c>
    </row>
    <row r="307" spans="1:13" x14ac:dyDescent="0.3">
      <c r="A307" s="10" t="s">
        <v>1614</v>
      </c>
      <c r="B307" s="10" t="s">
        <v>4607</v>
      </c>
      <c r="C307" s="10" t="s">
        <v>247</v>
      </c>
      <c r="D307" s="10" t="s">
        <v>3955</v>
      </c>
      <c r="E307" s="31">
        <v>2350</v>
      </c>
      <c r="F307" s="10" t="s">
        <v>4608</v>
      </c>
      <c r="G307" s="10" t="s">
        <v>4224</v>
      </c>
      <c r="H307" s="10" t="s">
        <v>3958</v>
      </c>
      <c r="I307" s="10" t="s">
        <v>245</v>
      </c>
      <c r="J307" s="10" t="s">
        <v>245</v>
      </c>
      <c r="K307" s="10" t="s">
        <v>113</v>
      </c>
      <c r="L307" s="10" t="s">
        <v>184</v>
      </c>
      <c r="M307" s="31">
        <v>193000</v>
      </c>
    </row>
    <row r="308" spans="1:13" x14ac:dyDescent="0.3">
      <c r="A308" s="10" t="s">
        <v>1614</v>
      </c>
      <c r="B308" s="10" t="s">
        <v>4609</v>
      </c>
      <c r="C308" s="10" t="s">
        <v>3963</v>
      </c>
      <c r="D308" s="10" t="s">
        <v>3955</v>
      </c>
      <c r="E308" s="31">
        <v>2350</v>
      </c>
      <c r="F308" s="10" t="s">
        <v>4608</v>
      </c>
      <c r="G308" s="10" t="s">
        <v>4224</v>
      </c>
      <c r="H308" s="10" t="s">
        <v>3958</v>
      </c>
      <c r="I308" s="10"/>
      <c r="J308" s="10"/>
      <c r="K308" s="10"/>
      <c r="L308" s="10" t="s">
        <v>2064</v>
      </c>
      <c r="M308" s="31">
        <v>150000</v>
      </c>
    </row>
    <row r="309" spans="1:13" x14ac:dyDescent="0.3">
      <c r="A309" s="10" t="s">
        <v>1615</v>
      </c>
      <c r="B309" s="10" t="s">
        <v>4610</v>
      </c>
      <c r="C309" s="10" t="s">
        <v>247</v>
      </c>
      <c r="D309" s="10" t="s">
        <v>3955</v>
      </c>
      <c r="E309" s="31">
        <v>1730</v>
      </c>
      <c r="F309" s="10" t="s">
        <v>4296</v>
      </c>
      <c r="G309" s="10" t="s">
        <v>4297</v>
      </c>
      <c r="H309" s="10" t="s">
        <v>2120</v>
      </c>
      <c r="I309" s="10"/>
      <c r="J309" s="10"/>
      <c r="K309" s="10"/>
      <c r="L309" s="10" t="s">
        <v>2064</v>
      </c>
      <c r="M309" s="31">
        <v>146400</v>
      </c>
    </row>
    <row r="310" spans="1:13" x14ac:dyDescent="0.3">
      <c r="A310" s="10" t="s">
        <v>1616</v>
      </c>
      <c r="B310" s="10" t="s">
        <v>4611</v>
      </c>
      <c r="C310" s="10" t="s">
        <v>247</v>
      </c>
      <c r="D310" s="10" t="s">
        <v>3955</v>
      </c>
      <c r="E310" s="31">
        <v>1495</v>
      </c>
      <c r="F310" s="10" t="s">
        <v>4612</v>
      </c>
      <c r="G310" s="10" t="s">
        <v>4613</v>
      </c>
      <c r="H310" s="10" t="s">
        <v>3498</v>
      </c>
      <c r="I310" s="10" t="s">
        <v>1115</v>
      </c>
      <c r="J310" s="10" t="s">
        <v>1115</v>
      </c>
      <c r="K310" s="10" t="s">
        <v>123</v>
      </c>
      <c r="L310" s="10" t="s">
        <v>189</v>
      </c>
      <c r="M310" s="31">
        <v>63600</v>
      </c>
    </row>
    <row r="311" spans="1:13" x14ac:dyDescent="0.3">
      <c r="A311" s="10" t="s">
        <v>1617</v>
      </c>
      <c r="B311" s="10" t="s">
        <v>4614</v>
      </c>
      <c r="C311" s="10" t="s">
        <v>247</v>
      </c>
      <c r="D311" s="10" t="s">
        <v>3955</v>
      </c>
      <c r="E311" s="31">
        <v>2005</v>
      </c>
      <c r="F311" s="10" t="s">
        <v>4615</v>
      </c>
      <c r="G311" s="10" t="s">
        <v>4616</v>
      </c>
      <c r="H311" s="10" t="s">
        <v>4192</v>
      </c>
      <c r="I311" s="10" t="s">
        <v>4617</v>
      </c>
      <c r="J311" s="10" t="s">
        <v>1165</v>
      </c>
      <c r="K311" s="10" t="s">
        <v>123</v>
      </c>
      <c r="L311" s="10" t="s">
        <v>196</v>
      </c>
      <c r="M311" s="31">
        <v>96000</v>
      </c>
    </row>
    <row r="312" spans="1:13" x14ac:dyDescent="0.3">
      <c r="A312" s="10" t="s">
        <v>1618</v>
      </c>
      <c r="B312" s="10" t="s">
        <v>4618</v>
      </c>
      <c r="C312" s="10" t="s">
        <v>247</v>
      </c>
      <c r="D312" s="10" t="s">
        <v>3955</v>
      </c>
      <c r="E312" s="31">
        <v>1895</v>
      </c>
      <c r="F312" s="10" t="s">
        <v>4619</v>
      </c>
      <c r="G312" s="10" t="s">
        <v>4248</v>
      </c>
      <c r="H312" s="10" t="s">
        <v>3958</v>
      </c>
      <c r="I312" s="10"/>
      <c r="J312" s="10"/>
      <c r="K312" s="10"/>
      <c r="L312" s="10" t="s">
        <v>2064</v>
      </c>
      <c r="M312" s="31">
        <v>99500</v>
      </c>
    </row>
    <row r="313" spans="1:13" x14ac:dyDescent="0.3">
      <c r="A313" s="10" t="s">
        <v>1618</v>
      </c>
      <c r="B313" s="10" t="s">
        <v>4620</v>
      </c>
      <c r="C313" s="10" t="s">
        <v>3963</v>
      </c>
      <c r="D313" s="10" t="s">
        <v>3955</v>
      </c>
      <c r="E313" s="31">
        <v>1895</v>
      </c>
      <c r="F313" s="10" t="s">
        <v>4619</v>
      </c>
      <c r="G313" s="10" t="s">
        <v>4248</v>
      </c>
      <c r="H313" s="10" t="s">
        <v>3958</v>
      </c>
      <c r="I313" s="10" t="s">
        <v>4621</v>
      </c>
      <c r="J313" s="10" t="s">
        <v>1065</v>
      </c>
      <c r="K313" s="10" t="s">
        <v>119</v>
      </c>
      <c r="L313" s="10" t="s">
        <v>187</v>
      </c>
      <c r="M313" s="31">
        <v>95000</v>
      </c>
    </row>
    <row r="314" spans="1:13" x14ac:dyDescent="0.3">
      <c r="A314" s="10" t="s">
        <v>1619</v>
      </c>
      <c r="B314" s="10" t="s">
        <v>4622</v>
      </c>
      <c r="C314" s="10" t="s">
        <v>247</v>
      </c>
      <c r="D314" s="10" t="s">
        <v>3955</v>
      </c>
      <c r="E314" s="31">
        <v>1725</v>
      </c>
      <c r="F314" s="10" t="s">
        <v>4623</v>
      </c>
      <c r="G314" s="10" t="s">
        <v>4624</v>
      </c>
      <c r="H314" s="10" t="s">
        <v>3958</v>
      </c>
      <c r="I314" s="10" t="s">
        <v>4132</v>
      </c>
      <c r="J314" s="10" t="s">
        <v>245</v>
      </c>
      <c r="K314" s="10" t="s">
        <v>113</v>
      </c>
      <c r="L314" s="10" t="s">
        <v>184</v>
      </c>
      <c r="M314" s="31">
        <v>91000</v>
      </c>
    </row>
    <row r="315" spans="1:13" x14ac:dyDescent="0.3">
      <c r="A315" s="10" t="s">
        <v>1620</v>
      </c>
      <c r="B315" s="10" t="s">
        <v>4625</v>
      </c>
      <c r="C315" s="10" t="s">
        <v>247</v>
      </c>
      <c r="D315" s="10" t="s">
        <v>3955</v>
      </c>
      <c r="E315" s="31">
        <v>1725</v>
      </c>
      <c r="F315" s="10" t="s">
        <v>4196</v>
      </c>
      <c r="G315" s="10" t="s">
        <v>4197</v>
      </c>
      <c r="H315" s="10" t="s">
        <v>3958</v>
      </c>
      <c r="I315" s="10" t="s">
        <v>245</v>
      </c>
      <c r="J315" s="10" t="s">
        <v>245</v>
      </c>
      <c r="K315" s="10" t="s">
        <v>113</v>
      </c>
      <c r="L315" s="10" t="s">
        <v>184</v>
      </c>
      <c r="M315" s="31">
        <v>120000</v>
      </c>
    </row>
    <row r="316" spans="1:13" x14ac:dyDescent="0.3">
      <c r="A316" s="10" t="s">
        <v>1621</v>
      </c>
      <c r="B316" s="10" t="s">
        <v>4626</v>
      </c>
      <c r="C316" s="10" t="s">
        <v>247</v>
      </c>
      <c r="D316" s="10" t="s">
        <v>3955</v>
      </c>
      <c r="E316" s="31">
        <v>2465</v>
      </c>
      <c r="F316" s="10" t="s">
        <v>4627</v>
      </c>
      <c r="G316" s="10" t="s">
        <v>4628</v>
      </c>
      <c r="H316" s="10" t="s">
        <v>2120</v>
      </c>
      <c r="I316" s="10"/>
      <c r="J316" s="10"/>
      <c r="K316" s="10"/>
      <c r="L316" s="10" t="s">
        <v>2064</v>
      </c>
      <c r="M316" s="31">
        <v>216000</v>
      </c>
    </row>
    <row r="317" spans="1:13" x14ac:dyDescent="0.3">
      <c r="A317" s="10" t="s">
        <v>1621</v>
      </c>
      <c r="B317" s="10" t="s">
        <v>4629</v>
      </c>
      <c r="C317" s="10" t="s">
        <v>3963</v>
      </c>
      <c r="D317" s="10" t="s">
        <v>3955</v>
      </c>
      <c r="E317" s="31">
        <v>2465</v>
      </c>
      <c r="F317" s="10" t="s">
        <v>4627</v>
      </c>
      <c r="G317" s="10" t="s">
        <v>4628</v>
      </c>
      <c r="H317" s="10" t="s">
        <v>2120</v>
      </c>
      <c r="I317" s="10" t="s">
        <v>898</v>
      </c>
      <c r="J317" s="10" t="s">
        <v>898</v>
      </c>
      <c r="K317" s="10" t="s">
        <v>115</v>
      </c>
      <c r="L317" s="10" t="s">
        <v>185</v>
      </c>
      <c r="M317" s="31">
        <v>100000</v>
      </c>
    </row>
    <row r="318" spans="1:13" x14ac:dyDescent="0.3">
      <c r="A318" s="10" t="s">
        <v>1622</v>
      </c>
      <c r="B318" s="10" t="s">
        <v>4630</v>
      </c>
      <c r="C318" s="10" t="s">
        <v>247</v>
      </c>
      <c r="D318" s="10" t="s">
        <v>3955</v>
      </c>
      <c r="E318" s="31">
        <v>2345</v>
      </c>
      <c r="F318" s="10" t="s">
        <v>4631</v>
      </c>
      <c r="G318" s="10" t="s">
        <v>4632</v>
      </c>
      <c r="H318" s="10" t="s">
        <v>2120</v>
      </c>
      <c r="I318" s="10" t="s">
        <v>4633</v>
      </c>
      <c r="J318" s="10" t="s">
        <v>784</v>
      </c>
      <c r="K318" s="10" t="s">
        <v>115</v>
      </c>
      <c r="L318" s="10" t="s">
        <v>185</v>
      </c>
      <c r="M318" s="31">
        <v>130000</v>
      </c>
    </row>
    <row r="319" spans="1:13" x14ac:dyDescent="0.3">
      <c r="A319" s="10" t="s">
        <v>1623</v>
      </c>
      <c r="B319" s="10" t="s">
        <v>4634</v>
      </c>
      <c r="C319" s="10" t="s">
        <v>247</v>
      </c>
      <c r="D319" s="10" t="s">
        <v>3955</v>
      </c>
      <c r="E319" s="31">
        <v>2395</v>
      </c>
      <c r="F319" s="10" t="s">
        <v>4522</v>
      </c>
      <c r="G319" s="10" t="s">
        <v>4523</v>
      </c>
      <c r="H319" s="10" t="s">
        <v>2120</v>
      </c>
      <c r="I319" s="10" t="s">
        <v>4635</v>
      </c>
      <c r="J319" s="10" t="s">
        <v>1365</v>
      </c>
      <c r="K319" s="10" t="s">
        <v>123</v>
      </c>
      <c r="L319" s="10" t="s">
        <v>196</v>
      </c>
      <c r="M319" s="31">
        <v>130000</v>
      </c>
    </row>
    <row r="320" spans="1:13" x14ac:dyDescent="0.3">
      <c r="A320" s="10" t="s">
        <v>1623</v>
      </c>
      <c r="B320" s="10" t="s">
        <v>4636</v>
      </c>
      <c r="C320" s="10" t="s">
        <v>3963</v>
      </c>
      <c r="D320" s="10" t="s">
        <v>3955</v>
      </c>
      <c r="E320" s="31">
        <v>2395</v>
      </c>
      <c r="F320" s="10" t="s">
        <v>4522</v>
      </c>
      <c r="G320" s="10" t="s">
        <v>4523</v>
      </c>
      <c r="H320" s="10" t="s">
        <v>2120</v>
      </c>
      <c r="I320" s="10" t="s">
        <v>4216</v>
      </c>
      <c r="J320" s="10" t="s">
        <v>802</v>
      </c>
      <c r="K320" s="10" t="s">
        <v>115</v>
      </c>
      <c r="L320" s="10" t="s">
        <v>185</v>
      </c>
      <c r="M320" s="31">
        <v>90750.399999999994</v>
      </c>
    </row>
    <row r="321" spans="1:13" x14ac:dyDescent="0.3">
      <c r="A321" s="10" t="s">
        <v>1623</v>
      </c>
      <c r="B321" s="10" t="s">
        <v>4637</v>
      </c>
      <c r="C321" s="10" t="s">
        <v>3963</v>
      </c>
      <c r="D321" s="10" t="s">
        <v>3955</v>
      </c>
      <c r="E321" s="31">
        <v>2395</v>
      </c>
      <c r="F321" s="10" t="s">
        <v>4522</v>
      </c>
      <c r="G321" s="10" t="s">
        <v>4523</v>
      </c>
      <c r="H321" s="10" t="s">
        <v>3976</v>
      </c>
      <c r="I321" s="10"/>
      <c r="J321" s="10"/>
      <c r="K321" s="10"/>
      <c r="L321" s="10" t="s">
        <v>2064</v>
      </c>
      <c r="M321" s="31"/>
    </row>
    <row r="322" spans="1:13" x14ac:dyDescent="0.3">
      <c r="A322" s="10" t="s">
        <v>1624</v>
      </c>
      <c r="B322" s="10" t="s">
        <v>4638</v>
      </c>
      <c r="C322" s="10" t="s">
        <v>247</v>
      </c>
      <c r="D322" s="10" t="s">
        <v>3955</v>
      </c>
      <c r="E322" s="31">
        <v>1725</v>
      </c>
      <c r="F322" s="10" t="s">
        <v>4639</v>
      </c>
      <c r="G322" s="10" t="s">
        <v>4640</v>
      </c>
      <c r="H322" s="10" t="s">
        <v>3498</v>
      </c>
      <c r="I322" s="10" t="s">
        <v>4641</v>
      </c>
      <c r="J322" s="10" t="s">
        <v>1139</v>
      </c>
      <c r="K322" s="10" t="s">
        <v>123</v>
      </c>
      <c r="L322" s="10" t="s">
        <v>189</v>
      </c>
      <c r="M322" s="31">
        <v>90000</v>
      </c>
    </row>
    <row r="323" spans="1:13" x14ac:dyDescent="0.3">
      <c r="A323" s="10" t="s">
        <v>1625</v>
      </c>
      <c r="B323" s="10" t="s">
        <v>4642</v>
      </c>
      <c r="C323" s="10" t="s">
        <v>247</v>
      </c>
      <c r="D323" s="10" t="s">
        <v>3955</v>
      </c>
      <c r="E323" s="31">
        <v>1595</v>
      </c>
      <c r="F323" s="10" t="s">
        <v>4486</v>
      </c>
      <c r="G323" s="10" t="s">
        <v>4643</v>
      </c>
      <c r="H323" s="10" t="s">
        <v>2120</v>
      </c>
      <c r="I323" s="10" t="s">
        <v>4644</v>
      </c>
      <c r="J323" s="10" t="s">
        <v>278</v>
      </c>
      <c r="K323" s="10" t="s">
        <v>115</v>
      </c>
      <c r="L323" s="10" t="s">
        <v>185</v>
      </c>
      <c r="M323" s="31">
        <v>104000</v>
      </c>
    </row>
    <row r="324" spans="1:13" x14ac:dyDescent="0.3">
      <c r="A324" s="10" t="s">
        <v>1625</v>
      </c>
      <c r="B324" s="10" t="s">
        <v>4645</v>
      </c>
      <c r="C324" s="10" t="s">
        <v>3963</v>
      </c>
      <c r="D324" s="10" t="s">
        <v>3955</v>
      </c>
      <c r="E324" s="31">
        <v>1595</v>
      </c>
      <c r="F324" s="10" t="s">
        <v>4486</v>
      </c>
      <c r="G324" s="10" t="s">
        <v>4643</v>
      </c>
      <c r="H324" s="10" t="s">
        <v>2120</v>
      </c>
      <c r="I324" s="10" t="s">
        <v>4644</v>
      </c>
      <c r="J324" s="10" t="s">
        <v>278</v>
      </c>
      <c r="K324" s="10" t="s">
        <v>115</v>
      </c>
      <c r="L324" s="10" t="s">
        <v>185</v>
      </c>
      <c r="M324" s="31">
        <v>93600</v>
      </c>
    </row>
    <row r="325" spans="1:13" x14ac:dyDescent="0.3">
      <c r="A325" s="10" t="s">
        <v>1626</v>
      </c>
      <c r="B325" s="10" t="s">
        <v>4646</v>
      </c>
      <c r="C325" s="10" t="s">
        <v>247</v>
      </c>
      <c r="D325" s="10" t="s">
        <v>3955</v>
      </c>
      <c r="E325" s="31">
        <v>1595</v>
      </c>
      <c r="F325" s="10" t="s">
        <v>4647</v>
      </c>
      <c r="G325" s="10" t="s">
        <v>4648</v>
      </c>
      <c r="H325" s="10" t="s">
        <v>3999</v>
      </c>
      <c r="I325" s="10" t="s">
        <v>1304</v>
      </c>
      <c r="J325" s="10" t="s">
        <v>1304</v>
      </c>
      <c r="K325" s="10" t="s">
        <v>123</v>
      </c>
      <c r="L325" s="10" t="s">
        <v>197</v>
      </c>
      <c r="M325" s="31">
        <v>75000</v>
      </c>
    </row>
    <row r="326" spans="1:13" x14ac:dyDescent="0.3">
      <c r="A326" s="10" t="s">
        <v>1627</v>
      </c>
      <c r="B326" s="10" t="s">
        <v>4649</v>
      </c>
      <c r="C326" s="10" t="s">
        <v>247</v>
      </c>
      <c r="D326" s="10" t="s">
        <v>3955</v>
      </c>
      <c r="E326" s="31">
        <v>1845</v>
      </c>
      <c r="F326" s="10" t="s">
        <v>4650</v>
      </c>
      <c r="G326" s="10" t="s">
        <v>4601</v>
      </c>
      <c r="H326" s="10" t="s">
        <v>4097</v>
      </c>
      <c r="I326" s="10" t="s">
        <v>245</v>
      </c>
      <c r="J326" s="10" t="s">
        <v>245</v>
      </c>
      <c r="K326" s="10" t="s">
        <v>113</v>
      </c>
      <c r="L326" s="10" t="s">
        <v>184</v>
      </c>
      <c r="M326" s="31">
        <v>105000</v>
      </c>
    </row>
    <row r="327" spans="1:13" x14ac:dyDescent="0.3">
      <c r="A327" s="10" t="s">
        <v>1627</v>
      </c>
      <c r="B327" s="10" t="s">
        <v>4651</v>
      </c>
      <c r="C327" s="10" t="s">
        <v>3963</v>
      </c>
      <c r="D327" s="10" t="s">
        <v>3955</v>
      </c>
      <c r="E327" s="31">
        <v>1845</v>
      </c>
      <c r="F327" s="10" t="s">
        <v>4650</v>
      </c>
      <c r="G327" s="10" t="s">
        <v>4601</v>
      </c>
      <c r="H327" s="10" t="s">
        <v>3976</v>
      </c>
      <c r="I327" s="10"/>
      <c r="J327" s="10"/>
      <c r="K327" s="10"/>
      <c r="L327" s="10" t="s">
        <v>2064</v>
      </c>
      <c r="M327" s="31"/>
    </row>
    <row r="328" spans="1:13" x14ac:dyDescent="0.3">
      <c r="A328" s="10" t="s">
        <v>1628</v>
      </c>
      <c r="B328" s="10" t="s">
        <v>4652</v>
      </c>
      <c r="C328" s="10" t="s">
        <v>247</v>
      </c>
      <c r="D328" s="10" t="s">
        <v>3955</v>
      </c>
      <c r="E328" s="31">
        <v>1895</v>
      </c>
      <c r="F328" s="10" t="s">
        <v>3979</v>
      </c>
      <c r="G328" s="10" t="s">
        <v>4653</v>
      </c>
      <c r="H328" s="10" t="s">
        <v>3498</v>
      </c>
      <c r="I328" s="10"/>
      <c r="J328" s="10"/>
      <c r="K328" s="10"/>
      <c r="L328" s="10" t="s">
        <v>2064</v>
      </c>
      <c r="M328" s="31">
        <v>68000</v>
      </c>
    </row>
    <row r="329" spans="1:13" x14ac:dyDescent="0.3">
      <c r="A329" s="10" t="s">
        <v>1628</v>
      </c>
      <c r="B329" s="10" t="s">
        <v>4654</v>
      </c>
      <c r="C329" s="10" t="s">
        <v>3963</v>
      </c>
      <c r="D329" s="10" t="s">
        <v>3955</v>
      </c>
      <c r="E329" s="31">
        <v>1895</v>
      </c>
      <c r="F329" s="10" t="s">
        <v>3979</v>
      </c>
      <c r="G329" s="10" t="s">
        <v>4653</v>
      </c>
      <c r="H329" s="10" t="s">
        <v>4488</v>
      </c>
      <c r="I329" s="10" t="s">
        <v>1389</v>
      </c>
      <c r="J329" s="10" t="s">
        <v>1389</v>
      </c>
      <c r="K329" s="10" t="s">
        <v>123</v>
      </c>
      <c r="L329" s="10" t="s">
        <v>189</v>
      </c>
      <c r="M329" s="31">
        <v>45600</v>
      </c>
    </row>
    <row r="330" spans="1:13" x14ac:dyDescent="0.3">
      <c r="A330" s="10" t="s">
        <v>1629</v>
      </c>
      <c r="B330" s="10" t="s">
        <v>4655</v>
      </c>
      <c r="C330" s="10" t="s">
        <v>247</v>
      </c>
      <c r="D330" s="10" t="s">
        <v>3955</v>
      </c>
      <c r="E330" s="31">
        <v>1565</v>
      </c>
      <c r="F330" s="10" t="s">
        <v>4296</v>
      </c>
      <c r="G330" s="10" t="s">
        <v>4656</v>
      </c>
      <c r="H330" s="10" t="s">
        <v>3958</v>
      </c>
      <c r="I330" s="10" t="s">
        <v>3582</v>
      </c>
      <c r="J330" s="10" t="s">
        <v>245</v>
      </c>
      <c r="K330" s="10" t="s">
        <v>113</v>
      </c>
      <c r="L330" s="10" t="s">
        <v>184</v>
      </c>
      <c r="M330" s="31">
        <v>125000</v>
      </c>
    </row>
    <row r="331" spans="1:13" x14ac:dyDescent="0.3">
      <c r="A331" s="10" t="s">
        <v>1630</v>
      </c>
      <c r="B331" s="10" t="s">
        <v>4657</v>
      </c>
      <c r="C331" s="10" t="s">
        <v>247</v>
      </c>
      <c r="D331" s="10" t="s">
        <v>3955</v>
      </c>
      <c r="E331" s="31">
        <v>1845</v>
      </c>
      <c r="F331" s="10" t="s">
        <v>4658</v>
      </c>
      <c r="G331" s="10" t="s">
        <v>4044</v>
      </c>
      <c r="H331" s="10" t="s">
        <v>3958</v>
      </c>
      <c r="I331" s="10" t="s">
        <v>4659</v>
      </c>
      <c r="J331" s="10" t="s">
        <v>1100</v>
      </c>
      <c r="K331" s="10" t="s">
        <v>121</v>
      </c>
      <c r="L331" s="10" t="s">
        <v>188</v>
      </c>
      <c r="M331" s="31">
        <v>98000</v>
      </c>
    </row>
    <row r="332" spans="1:13" x14ac:dyDescent="0.3">
      <c r="A332" s="10" t="s">
        <v>1630</v>
      </c>
      <c r="B332" s="10" t="s">
        <v>4660</v>
      </c>
      <c r="C332" s="10" t="s">
        <v>3963</v>
      </c>
      <c r="D332" s="10" t="s">
        <v>3955</v>
      </c>
      <c r="E332" s="31">
        <v>1845</v>
      </c>
      <c r="F332" s="10" t="s">
        <v>4658</v>
      </c>
      <c r="G332" s="10" t="s">
        <v>4044</v>
      </c>
      <c r="H332" s="10" t="s">
        <v>3958</v>
      </c>
      <c r="I332" s="10"/>
      <c r="J332" s="10"/>
      <c r="K332" s="10"/>
      <c r="L332" s="10" t="s">
        <v>2064</v>
      </c>
      <c r="M332" s="31"/>
    </row>
    <row r="333" spans="1:13" x14ac:dyDescent="0.3">
      <c r="A333" s="10" t="s">
        <v>1631</v>
      </c>
      <c r="B333" s="10" t="s">
        <v>4661</v>
      </c>
      <c r="C333" s="10" t="s">
        <v>247</v>
      </c>
      <c r="D333" s="10" t="s">
        <v>3955</v>
      </c>
      <c r="E333" s="31">
        <v>2000</v>
      </c>
      <c r="F333" s="10" t="s">
        <v>4662</v>
      </c>
      <c r="G333" s="10" t="s">
        <v>4663</v>
      </c>
      <c r="H333" s="10" t="s">
        <v>3958</v>
      </c>
      <c r="I333" s="10" t="s">
        <v>245</v>
      </c>
      <c r="J333" s="10" t="s">
        <v>245</v>
      </c>
      <c r="K333" s="10" t="s">
        <v>113</v>
      </c>
      <c r="L333" s="10" t="s">
        <v>184</v>
      </c>
      <c r="M333" s="31">
        <v>95000</v>
      </c>
    </row>
    <row r="334" spans="1:13" x14ac:dyDescent="0.3">
      <c r="A334" s="10" t="s">
        <v>1631</v>
      </c>
      <c r="B334" s="10" t="s">
        <v>4664</v>
      </c>
      <c r="C334" s="10" t="s">
        <v>3963</v>
      </c>
      <c r="D334" s="10" t="s">
        <v>3955</v>
      </c>
      <c r="E334" s="31">
        <v>2000</v>
      </c>
      <c r="F334" s="10" t="s">
        <v>4662</v>
      </c>
      <c r="G334" s="10" t="s">
        <v>4663</v>
      </c>
      <c r="H334" s="10" t="s">
        <v>3976</v>
      </c>
      <c r="I334" s="10"/>
      <c r="J334" s="10"/>
      <c r="K334" s="10"/>
      <c r="L334" s="10" t="s">
        <v>2064</v>
      </c>
      <c r="M334" s="31"/>
    </row>
    <row r="335" spans="1:13" x14ac:dyDescent="0.3">
      <c r="A335" s="10" t="s">
        <v>1632</v>
      </c>
      <c r="B335" s="10" t="s">
        <v>4665</v>
      </c>
      <c r="C335" s="10" t="s">
        <v>247</v>
      </c>
      <c r="D335" s="10" t="s">
        <v>3955</v>
      </c>
      <c r="E335" s="31">
        <v>1495</v>
      </c>
      <c r="F335" s="10" t="s">
        <v>4666</v>
      </c>
      <c r="G335" s="10" t="s">
        <v>4667</v>
      </c>
      <c r="H335" s="10" t="s">
        <v>2120</v>
      </c>
      <c r="I335" s="10" t="s">
        <v>872</v>
      </c>
      <c r="J335" s="10" t="s">
        <v>872</v>
      </c>
      <c r="K335" s="10" t="s">
        <v>115</v>
      </c>
      <c r="L335" s="10" t="s">
        <v>185</v>
      </c>
      <c r="M335" s="31">
        <v>150000</v>
      </c>
    </row>
    <row r="336" spans="1:13" x14ac:dyDescent="0.3">
      <c r="A336" s="10" t="s">
        <v>1633</v>
      </c>
      <c r="B336" s="10" t="s">
        <v>4668</v>
      </c>
      <c r="C336" s="10" t="s">
        <v>247</v>
      </c>
      <c r="D336" s="10" t="s">
        <v>3955</v>
      </c>
      <c r="E336" s="31">
        <v>1800</v>
      </c>
      <c r="F336" s="10" t="s">
        <v>4475</v>
      </c>
      <c r="G336" s="10" t="s">
        <v>4669</v>
      </c>
      <c r="H336" s="10" t="s">
        <v>2120</v>
      </c>
      <c r="I336" s="10" t="s">
        <v>844</v>
      </c>
      <c r="J336" s="10" t="s">
        <v>844</v>
      </c>
      <c r="K336" s="10" t="s">
        <v>115</v>
      </c>
      <c r="L336" s="10" t="s">
        <v>185</v>
      </c>
      <c r="M336" s="31">
        <v>83200</v>
      </c>
    </row>
    <row r="337" spans="1:13" x14ac:dyDescent="0.3">
      <c r="A337" s="10" t="s">
        <v>1634</v>
      </c>
      <c r="B337" s="10" t="s">
        <v>4670</v>
      </c>
      <c r="C337" s="10" t="s">
        <v>247</v>
      </c>
      <c r="D337" s="10" t="s">
        <v>3955</v>
      </c>
      <c r="E337" s="31">
        <v>1720</v>
      </c>
      <c r="F337" s="10" t="s">
        <v>4619</v>
      </c>
      <c r="G337" s="10" t="s">
        <v>4248</v>
      </c>
      <c r="H337" s="10" t="s">
        <v>2120</v>
      </c>
      <c r="I337" s="10" t="s">
        <v>4671</v>
      </c>
      <c r="J337" s="10" t="s">
        <v>274</v>
      </c>
      <c r="K337" s="10" t="s">
        <v>115</v>
      </c>
      <c r="L337" s="10" t="s">
        <v>185</v>
      </c>
      <c r="M337" s="31">
        <v>197600</v>
      </c>
    </row>
    <row r="338" spans="1:13" x14ac:dyDescent="0.3">
      <c r="A338" s="10" t="s">
        <v>1635</v>
      </c>
      <c r="B338" s="10" t="s">
        <v>4672</v>
      </c>
      <c r="C338" s="10" t="s">
        <v>247</v>
      </c>
      <c r="D338" s="10" t="s">
        <v>3955</v>
      </c>
      <c r="E338" s="31">
        <v>1565</v>
      </c>
      <c r="F338" s="10" t="s">
        <v>4673</v>
      </c>
      <c r="G338" s="10" t="s">
        <v>4674</v>
      </c>
      <c r="H338" s="10" t="s">
        <v>2120</v>
      </c>
      <c r="I338" s="10" t="s">
        <v>885</v>
      </c>
      <c r="J338" s="10" t="s">
        <v>885</v>
      </c>
      <c r="K338" s="10" t="s">
        <v>115</v>
      </c>
      <c r="L338" s="10" t="s">
        <v>185</v>
      </c>
      <c r="M338" s="31">
        <v>227804.79999999999</v>
      </c>
    </row>
    <row r="339" spans="1:13" x14ac:dyDescent="0.3">
      <c r="A339" s="10" t="s">
        <v>1636</v>
      </c>
      <c r="B339" s="10" t="s">
        <v>4675</v>
      </c>
      <c r="C339" s="10" t="s">
        <v>247</v>
      </c>
      <c r="D339" s="10" t="s">
        <v>3955</v>
      </c>
      <c r="E339" s="31">
        <v>2125</v>
      </c>
      <c r="F339" s="10" t="s">
        <v>4676</v>
      </c>
      <c r="G339" s="10" t="s">
        <v>4677</v>
      </c>
      <c r="H339" s="10" t="s">
        <v>2120</v>
      </c>
      <c r="I339" s="10" t="s">
        <v>2890</v>
      </c>
      <c r="J339" s="10" t="s">
        <v>245</v>
      </c>
      <c r="K339" s="10" t="s">
        <v>113</v>
      </c>
      <c r="L339" s="10" t="s">
        <v>184</v>
      </c>
      <c r="M339" s="31">
        <v>182000</v>
      </c>
    </row>
    <row r="340" spans="1:13" x14ac:dyDescent="0.3">
      <c r="A340" s="10" t="s">
        <v>1637</v>
      </c>
      <c r="B340" s="10" t="s">
        <v>4678</v>
      </c>
      <c r="C340" s="10" t="s">
        <v>247</v>
      </c>
      <c r="D340" s="10" t="s">
        <v>3955</v>
      </c>
      <c r="E340" s="31">
        <v>1955</v>
      </c>
      <c r="F340" s="10" t="s">
        <v>4163</v>
      </c>
      <c r="G340" s="10" t="s">
        <v>4632</v>
      </c>
      <c r="H340" s="10" t="s">
        <v>3994</v>
      </c>
      <c r="I340" s="10" t="s">
        <v>4679</v>
      </c>
      <c r="J340" s="10" t="s">
        <v>802</v>
      </c>
      <c r="K340" s="10" t="s">
        <v>115</v>
      </c>
      <c r="L340" s="10" t="s">
        <v>185</v>
      </c>
      <c r="M340" s="31">
        <v>220000</v>
      </c>
    </row>
    <row r="341" spans="1:13" x14ac:dyDescent="0.3">
      <c r="A341" s="10" t="s">
        <v>1638</v>
      </c>
      <c r="B341" s="10" t="s">
        <v>4680</v>
      </c>
      <c r="C341" s="10" t="s">
        <v>247</v>
      </c>
      <c r="D341" s="10" t="s">
        <v>3955</v>
      </c>
      <c r="E341" s="31">
        <v>2595</v>
      </c>
      <c r="F341" s="10" t="s">
        <v>4239</v>
      </c>
      <c r="G341" s="10" t="s">
        <v>4681</v>
      </c>
      <c r="H341" s="10" t="s">
        <v>3958</v>
      </c>
      <c r="I341" s="10" t="s">
        <v>245</v>
      </c>
      <c r="J341" s="10" t="s">
        <v>245</v>
      </c>
      <c r="K341" s="10" t="s">
        <v>113</v>
      </c>
      <c r="L341" s="10" t="s">
        <v>184</v>
      </c>
      <c r="M341" s="31">
        <v>98000</v>
      </c>
    </row>
    <row r="342" spans="1:13" x14ac:dyDescent="0.3">
      <c r="A342" s="10" t="s">
        <v>1638</v>
      </c>
      <c r="B342" s="10" t="s">
        <v>4682</v>
      </c>
      <c r="C342" s="10" t="s">
        <v>3963</v>
      </c>
      <c r="D342" s="10" t="s">
        <v>3955</v>
      </c>
      <c r="E342" s="31">
        <v>2595</v>
      </c>
      <c r="F342" s="10" t="s">
        <v>4239</v>
      </c>
      <c r="G342" s="10" t="s">
        <v>4681</v>
      </c>
      <c r="H342" s="10" t="s">
        <v>3958</v>
      </c>
      <c r="I342" s="10"/>
      <c r="J342" s="10"/>
      <c r="K342" s="10"/>
      <c r="L342" s="10" t="s">
        <v>2064</v>
      </c>
      <c r="M342" s="31">
        <v>84000</v>
      </c>
    </row>
    <row r="343" spans="1:13" x14ac:dyDescent="0.3">
      <c r="A343" s="10" t="s">
        <v>1639</v>
      </c>
      <c r="B343" s="10" t="s">
        <v>4683</v>
      </c>
      <c r="C343" s="10" t="s">
        <v>247</v>
      </c>
      <c r="D343" s="10" t="s">
        <v>3955</v>
      </c>
      <c r="E343" s="31">
        <v>2395</v>
      </c>
      <c r="F343" s="10" t="s">
        <v>4684</v>
      </c>
      <c r="G343" s="10" t="s">
        <v>4685</v>
      </c>
      <c r="H343" s="10" t="s">
        <v>3999</v>
      </c>
      <c r="I343" s="10" t="s">
        <v>2305</v>
      </c>
      <c r="J343" s="10" t="s">
        <v>1357</v>
      </c>
      <c r="K343" s="10" t="s">
        <v>123</v>
      </c>
      <c r="L343" s="10" t="s">
        <v>191</v>
      </c>
      <c r="M343" s="31">
        <v>36000</v>
      </c>
    </row>
    <row r="344" spans="1:13" x14ac:dyDescent="0.3">
      <c r="A344" s="10" t="s">
        <v>1639</v>
      </c>
      <c r="B344" s="10" t="s">
        <v>4686</v>
      </c>
      <c r="C344" s="10" t="s">
        <v>3963</v>
      </c>
      <c r="D344" s="10" t="s">
        <v>3955</v>
      </c>
      <c r="E344" s="31">
        <v>2395</v>
      </c>
      <c r="F344" s="10" t="s">
        <v>4684</v>
      </c>
      <c r="G344" s="10" t="s">
        <v>4685</v>
      </c>
      <c r="H344" s="10" t="s">
        <v>2477</v>
      </c>
      <c r="I344" s="10" t="s">
        <v>1237</v>
      </c>
      <c r="J344" s="10" t="s">
        <v>1237</v>
      </c>
      <c r="K344" s="10" t="s">
        <v>123</v>
      </c>
      <c r="L344" s="10" t="s">
        <v>192</v>
      </c>
      <c r="M344" s="31">
        <v>44000</v>
      </c>
    </row>
    <row r="345" spans="1:13" x14ac:dyDescent="0.3">
      <c r="A345" s="10" t="s">
        <v>1639</v>
      </c>
      <c r="B345" s="10" t="s">
        <v>4687</v>
      </c>
      <c r="C345" s="10" t="s">
        <v>3963</v>
      </c>
      <c r="D345" s="10" t="s">
        <v>3955</v>
      </c>
      <c r="E345" s="31">
        <v>2395</v>
      </c>
      <c r="F345" s="10" t="s">
        <v>4684</v>
      </c>
      <c r="G345" s="10" t="s">
        <v>4685</v>
      </c>
      <c r="H345" s="10" t="s">
        <v>4352</v>
      </c>
      <c r="I345" s="10" t="s">
        <v>1126</v>
      </c>
      <c r="J345" s="10" t="s">
        <v>1126</v>
      </c>
      <c r="K345" s="10" t="s">
        <v>123</v>
      </c>
      <c r="L345" s="10" t="s">
        <v>190</v>
      </c>
      <c r="M345" s="31">
        <v>32880</v>
      </c>
    </row>
    <row r="346" spans="1:13" x14ac:dyDescent="0.3">
      <c r="A346" s="10" t="s">
        <v>1639</v>
      </c>
      <c r="B346" s="10" t="s">
        <v>4688</v>
      </c>
      <c r="C346" s="10" t="s">
        <v>3963</v>
      </c>
      <c r="D346" s="10" t="s">
        <v>3955</v>
      </c>
      <c r="E346" s="31">
        <v>2395</v>
      </c>
      <c r="F346" s="10" t="s">
        <v>4684</v>
      </c>
      <c r="G346" s="10" t="s">
        <v>4685</v>
      </c>
      <c r="H346" s="10" t="s">
        <v>4034</v>
      </c>
      <c r="I346" s="10" t="s">
        <v>2249</v>
      </c>
      <c r="J346" s="10" t="s">
        <v>354</v>
      </c>
      <c r="K346" s="10" t="s">
        <v>123</v>
      </c>
      <c r="L346" s="10" t="s">
        <v>191</v>
      </c>
      <c r="M346" s="31">
        <v>38400</v>
      </c>
    </row>
    <row r="347" spans="1:13" x14ac:dyDescent="0.3">
      <c r="A347" s="10" t="s">
        <v>1640</v>
      </c>
      <c r="B347" s="10" t="s">
        <v>3978</v>
      </c>
      <c r="C347" s="10" t="s">
        <v>247</v>
      </c>
      <c r="D347" s="10" t="s">
        <v>3955</v>
      </c>
      <c r="E347" s="31">
        <v>1875</v>
      </c>
      <c r="F347" s="10" t="s">
        <v>4689</v>
      </c>
      <c r="G347" s="10" t="s">
        <v>4073</v>
      </c>
      <c r="H347" s="10"/>
      <c r="I347" s="10"/>
      <c r="J347" s="10"/>
      <c r="K347" s="10"/>
      <c r="L347" s="10" t="s">
        <v>2064</v>
      </c>
      <c r="M347" s="31"/>
    </row>
    <row r="348" spans="1:13" x14ac:dyDescent="0.3">
      <c r="A348" s="10" t="s">
        <v>1641</v>
      </c>
      <c r="B348" s="10" t="s">
        <v>4690</v>
      </c>
      <c r="C348" s="10" t="s">
        <v>247</v>
      </c>
      <c r="D348" s="10" t="s">
        <v>3955</v>
      </c>
      <c r="E348" s="31">
        <v>1595</v>
      </c>
      <c r="F348" s="10" t="s">
        <v>4223</v>
      </c>
      <c r="G348" s="10" t="s">
        <v>4224</v>
      </c>
      <c r="H348" s="10" t="s">
        <v>2120</v>
      </c>
      <c r="I348" s="10" t="s">
        <v>4592</v>
      </c>
      <c r="J348" s="10" t="s">
        <v>784</v>
      </c>
      <c r="K348" s="10" t="s">
        <v>115</v>
      </c>
      <c r="L348" s="10" t="s">
        <v>185</v>
      </c>
      <c r="M348" s="31">
        <v>72000</v>
      </c>
    </row>
    <row r="349" spans="1:13" x14ac:dyDescent="0.3">
      <c r="A349" s="10" t="s">
        <v>1642</v>
      </c>
      <c r="B349" s="10" t="s">
        <v>3978</v>
      </c>
      <c r="C349" s="10" t="s">
        <v>247</v>
      </c>
      <c r="D349" s="10" t="s">
        <v>3955</v>
      </c>
      <c r="E349" s="31">
        <v>1875</v>
      </c>
      <c r="F349" s="10" t="s">
        <v>4676</v>
      </c>
      <c r="G349" s="10" t="s">
        <v>4677</v>
      </c>
      <c r="H349" s="10"/>
      <c r="I349" s="10"/>
      <c r="J349" s="10"/>
      <c r="K349" s="10"/>
      <c r="L349" s="10" t="s">
        <v>2064</v>
      </c>
      <c r="M349" s="31"/>
    </row>
    <row r="350" spans="1:13" x14ac:dyDescent="0.3">
      <c r="A350" s="10" t="s">
        <v>1643</v>
      </c>
      <c r="B350" s="10" t="s">
        <v>4691</v>
      </c>
      <c r="C350" s="10" t="s">
        <v>247</v>
      </c>
      <c r="D350" s="10" t="s">
        <v>3955</v>
      </c>
      <c r="E350" s="31">
        <v>1895</v>
      </c>
      <c r="F350" s="10" t="s">
        <v>4452</v>
      </c>
      <c r="G350" s="10" t="s">
        <v>4692</v>
      </c>
      <c r="H350" s="10" t="s">
        <v>2120</v>
      </c>
      <c r="I350" s="10" t="s">
        <v>278</v>
      </c>
      <c r="J350" s="10" t="s">
        <v>278</v>
      </c>
      <c r="K350" s="10" t="s">
        <v>115</v>
      </c>
      <c r="L350" s="10" t="s">
        <v>185</v>
      </c>
      <c r="M350" s="31">
        <v>150000</v>
      </c>
    </row>
    <row r="351" spans="1:13" x14ac:dyDescent="0.3">
      <c r="A351" s="10" t="s">
        <v>1644</v>
      </c>
      <c r="B351" s="10" t="s">
        <v>4693</v>
      </c>
      <c r="C351" s="10" t="s">
        <v>247</v>
      </c>
      <c r="D351" s="10" t="s">
        <v>3955</v>
      </c>
      <c r="E351" s="31">
        <v>2000</v>
      </c>
      <c r="F351" s="10" t="s">
        <v>3982</v>
      </c>
      <c r="G351" s="10" t="s">
        <v>4694</v>
      </c>
      <c r="H351" s="10" t="s">
        <v>3958</v>
      </c>
      <c r="I351" s="10" t="s">
        <v>1034</v>
      </c>
      <c r="J351" s="10" t="s">
        <v>1034</v>
      </c>
      <c r="K351" s="10" t="s">
        <v>117</v>
      </c>
      <c r="L351" s="10" t="s">
        <v>186</v>
      </c>
      <c r="M351" s="31">
        <v>130000</v>
      </c>
    </row>
    <row r="352" spans="1:13" x14ac:dyDescent="0.3">
      <c r="A352" s="10" t="s">
        <v>1645</v>
      </c>
      <c r="B352" s="10" t="s">
        <v>4695</v>
      </c>
      <c r="C352" s="10" t="s">
        <v>247</v>
      </c>
      <c r="D352" s="10" t="s">
        <v>3955</v>
      </c>
      <c r="E352" s="31">
        <v>1565</v>
      </c>
      <c r="F352" s="10" t="s">
        <v>4696</v>
      </c>
      <c r="G352" s="10" t="s">
        <v>4697</v>
      </c>
      <c r="H352" s="10" t="s">
        <v>3958</v>
      </c>
      <c r="I352" s="10" t="s">
        <v>4132</v>
      </c>
      <c r="J352" s="10" t="s">
        <v>245</v>
      </c>
      <c r="K352" s="10" t="s">
        <v>113</v>
      </c>
      <c r="L352" s="10" t="s">
        <v>184</v>
      </c>
      <c r="M352" s="31">
        <v>132000</v>
      </c>
    </row>
    <row r="353" spans="1:13" x14ac:dyDescent="0.3">
      <c r="A353" s="10" t="s">
        <v>1646</v>
      </c>
      <c r="B353" s="10" t="s">
        <v>4698</v>
      </c>
      <c r="C353" s="10" t="s">
        <v>247</v>
      </c>
      <c r="D353" s="10" t="s">
        <v>3955</v>
      </c>
      <c r="E353" s="31">
        <v>2000</v>
      </c>
      <c r="F353" s="10" t="s">
        <v>4699</v>
      </c>
      <c r="G353" s="10" t="s">
        <v>4373</v>
      </c>
      <c r="H353" s="10" t="s">
        <v>3958</v>
      </c>
      <c r="I353" s="10" t="s">
        <v>4700</v>
      </c>
      <c r="J353" s="10" t="s">
        <v>789</v>
      </c>
      <c r="K353" s="10" t="s">
        <v>115</v>
      </c>
      <c r="L353" s="10" t="s">
        <v>185</v>
      </c>
      <c r="M353" s="31">
        <v>170400</v>
      </c>
    </row>
    <row r="354" spans="1:13" x14ac:dyDescent="0.3">
      <c r="A354" s="10" t="s">
        <v>1646</v>
      </c>
      <c r="B354" s="10" t="s">
        <v>4701</v>
      </c>
      <c r="C354" s="10" t="s">
        <v>3963</v>
      </c>
      <c r="D354" s="10" t="s">
        <v>3955</v>
      </c>
      <c r="E354" s="31">
        <v>2000</v>
      </c>
      <c r="F354" s="10" t="s">
        <v>4699</v>
      </c>
      <c r="G354" s="10" t="s">
        <v>4373</v>
      </c>
      <c r="H354" s="10" t="s">
        <v>2120</v>
      </c>
      <c r="I354" s="10" t="s">
        <v>266</v>
      </c>
      <c r="J354" s="10" t="s">
        <v>266</v>
      </c>
      <c r="K354" s="10" t="s">
        <v>115</v>
      </c>
      <c r="L354" s="10" t="s">
        <v>185</v>
      </c>
      <c r="M354" s="31">
        <v>92000</v>
      </c>
    </row>
    <row r="355" spans="1:13" x14ac:dyDescent="0.3">
      <c r="A355" s="10" t="s">
        <v>1647</v>
      </c>
      <c r="B355" s="10" t="s">
        <v>4702</v>
      </c>
      <c r="C355" s="10" t="s">
        <v>247</v>
      </c>
      <c r="D355" s="10" t="s">
        <v>3955</v>
      </c>
      <c r="E355" s="31">
        <v>1795</v>
      </c>
      <c r="F355" s="10" t="s">
        <v>4703</v>
      </c>
      <c r="G355" s="10" t="s">
        <v>4704</v>
      </c>
      <c r="H355" s="10" t="s">
        <v>2120</v>
      </c>
      <c r="I355" s="10"/>
      <c r="J355" s="10"/>
      <c r="K355" s="10"/>
      <c r="L355" s="10" t="s">
        <v>2064</v>
      </c>
      <c r="M355" s="31">
        <v>24700</v>
      </c>
    </row>
    <row r="356" spans="1:13" x14ac:dyDescent="0.3">
      <c r="A356" s="10" t="s">
        <v>1647</v>
      </c>
      <c r="B356" s="10" t="s">
        <v>4705</v>
      </c>
      <c r="C356" s="10" t="s">
        <v>3963</v>
      </c>
      <c r="D356" s="10" t="s">
        <v>3955</v>
      </c>
      <c r="E356" s="31">
        <v>1795</v>
      </c>
      <c r="F356" s="10" t="s">
        <v>4703</v>
      </c>
      <c r="G356" s="10" t="s">
        <v>4704</v>
      </c>
      <c r="H356" s="10" t="s">
        <v>4055</v>
      </c>
      <c r="I356" s="10" t="s">
        <v>1249</v>
      </c>
      <c r="J356" s="10" t="s">
        <v>1249</v>
      </c>
      <c r="K356" s="10" t="s">
        <v>123</v>
      </c>
      <c r="L356" s="10" t="s">
        <v>192</v>
      </c>
      <c r="M356" s="31">
        <v>49000</v>
      </c>
    </row>
    <row r="357" spans="1:13" x14ac:dyDescent="0.3">
      <c r="A357" s="10" t="s">
        <v>1648</v>
      </c>
      <c r="B357" s="10" t="s">
        <v>4706</v>
      </c>
      <c r="C357" s="10" t="s">
        <v>247</v>
      </c>
      <c r="D357" s="10" t="s">
        <v>3955</v>
      </c>
      <c r="E357" s="31">
        <v>1720</v>
      </c>
      <c r="F357" s="10" t="s">
        <v>4417</v>
      </c>
      <c r="G357" s="10" t="s">
        <v>4707</v>
      </c>
      <c r="H357" s="10" t="s">
        <v>2120</v>
      </c>
      <c r="I357" s="10" t="s">
        <v>4370</v>
      </c>
      <c r="J357" s="10" t="s">
        <v>820</v>
      </c>
      <c r="K357" s="10" t="s">
        <v>115</v>
      </c>
      <c r="L357" s="10" t="s">
        <v>185</v>
      </c>
      <c r="M357" s="31">
        <v>168000</v>
      </c>
    </row>
    <row r="358" spans="1:13" x14ac:dyDescent="0.3">
      <c r="A358" s="10" t="s">
        <v>1648</v>
      </c>
      <c r="B358" s="10" t="s">
        <v>4708</v>
      </c>
      <c r="C358" s="10" t="s">
        <v>3963</v>
      </c>
      <c r="D358" s="10" t="s">
        <v>3955</v>
      </c>
      <c r="E358" s="31">
        <v>1720</v>
      </c>
      <c r="F358" s="10" t="s">
        <v>4417</v>
      </c>
      <c r="G358" s="10" t="s">
        <v>4707</v>
      </c>
      <c r="H358" s="10" t="s">
        <v>3976</v>
      </c>
      <c r="I358" s="10"/>
      <c r="J358" s="10"/>
      <c r="K358" s="10"/>
      <c r="L358" s="10" t="s">
        <v>2064</v>
      </c>
      <c r="M358" s="31"/>
    </row>
    <row r="359" spans="1:13" x14ac:dyDescent="0.3">
      <c r="A359" s="10" t="s">
        <v>1649</v>
      </c>
      <c r="B359" s="10" t="s">
        <v>4709</v>
      </c>
      <c r="C359" s="10" t="s">
        <v>247</v>
      </c>
      <c r="D359" s="10" t="s">
        <v>3955</v>
      </c>
      <c r="E359" s="31">
        <v>1675</v>
      </c>
      <c r="F359" s="10" t="s">
        <v>4710</v>
      </c>
      <c r="G359" s="10" t="s">
        <v>4711</v>
      </c>
      <c r="H359" s="10" t="s">
        <v>3958</v>
      </c>
      <c r="I359" s="10" t="s">
        <v>245</v>
      </c>
      <c r="J359" s="10" t="s">
        <v>245</v>
      </c>
      <c r="K359" s="10" t="s">
        <v>113</v>
      </c>
      <c r="L359" s="10" t="s">
        <v>184</v>
      </c>
      <c r="M359" s="31">
        <v>119480</v>
      </c>
    </row>
    <row r="360" spans="1:13" x14ac:dyDescent="0.3">
      <c r="A360" s="10" t="s">
        <v>1650</v>
      </c>
      <c r="B360" s="10" t="s">
        <v>4712</v>
      </c>
      <c r="C360" s="10" t="s">
        <v>247</v>
      </c>
      <c r="D360" s="10" t="s">
        <v>3986</v>
      </c>
      <c r="E360" s="31">
        <v>1595</v>
      </c>
      <c r="F360" s="10" t="s">
        <v>4713</v>
      </c>
      <c r="G360" s="10" t="s">
        <v>4714</v>
      </c>
      <c r="H360" s="10" t="s">
        <v>3994</v>
      </c>
      <c r="I360" s="10" t="s">
        <v>4715</v>
      </c>
      <c r="J360" s="10" t="s">
        <v>840</v>
      </c>
      <c r="K360" s="10" t="s">
        <v>115</v>
      </c>
      <c r="L360" s="10" t="s">
        <v>185</v>
      </c>
      <c r="M360" s="31">
        <v>51334.400000000001</v>
      </c>
    </row>
    <row r="361" spans="1:13" x14ac:dyDescent="0.3">
      <c r="A361" s="10" t="s">
        <v>1651</v>
      </c>
      <c r="B361" s="10" t="s">
        <v>4716</v>
      </c>
      <c r="C361" s="10" t="s">
        <v>247</v>
      </c>
      <c r="D361" s="10" t="s">
        <v>3955</v>
      </c>
      <c r="E361" s="31">
        <v>1775</v>
      </c>
      <c r="F361" s="10" t="s">
        <v>3997</v>
      </c>
      <c r="G361" s="10" t="s">
        <v>4006</v>
      </c>
      <c r="H361" s="10" t="s">
        <v>3958</v>
      </c>
      <c r="I361" s="10"/>
      <c r="J361" s="10"/>
      <c r="K361" s="10"/>
      <c r="L361" s="10" t="s">
        <v>2064</v>
      </c>
      <c r="M361" s="31">
        <v>130000</v>
      </c>
    </row>
    <row r="362" spans="1:13" x14ac:dyDescent="0.3">
      <c r="A362" s="10" t="s">
        <v>1652</v>
      </c>
      <c r="B362" s="10" t="s">
        <v>4717</v>
      </c>
      <c r="C362" s="10" t="s">
        <v>247</v>
      </c>
      <c r="D362" s="10" t="s">
        <v>3955</v>
      </c>
      <c r="E362" s="31">
        <v>2325</v>
      </c>
      <c r="F362" s="10" t="s">
        <v>4718</v>
      </c>
      <c r="G362" s="10" t="s">
        <v>4719</v>
      </c>
      <c r="H362" s="10" t="s">
        <v>3976</v>
      </c>
      <c r="I362" s="10"/>
      <c r="J362" s="10"/>
      <c r="K362" s="10"/>
      <c r="L362" s="10" t="s">
        <v>2064</v>
      </c>
      <c r="M362" s="31"/>
    </row>
    <row r="363" spans="1:13" x14ac:dyDescent="0.3">
      <c r="A363" s="10" t="s">
        <v>1652</v>
      </c>
      <c r="B363" s="10" t="s">
        <v>4720</v>
      </c>
      <c r="C363" s="10" t="s">
        <v>3963</v>
      </c>
      <c r="D363" s="10" t="s">
        <v>3955</v>
      </c>
      <c r="E363" s="31">
        <v>2325</v>
      </c>
      <c r="F363" s="10" t="s">
        <v>4718</v>
      </c>
      <c r="G363" s="10" t="s">
        <v>4719</v>
      </c>
      <c r="H363" s="10" t="s">
        <v>2120</v>
      </c>
      <c r="I363" s="10" t="s">
        <v>951</v>
      </c>
      <c r="J363" s="10" t="s">
        <v>951</v>
      </c>
      <c r="K363" s="10" t="s">
        <v>115</v>
      </c>
      <c r="L363" s="10" t="s">
        <v>185</v>
      </c>
      <c r="M363" s="31">
        <v>72000</v>
      </c>
    </row>
    <row r="364" spans="1:13" x14ac:dyDescent="0.3">
      <c r="A364" s="10" t="s">
        <v>1653</v>
      </c>
      <c r="B364" s="10" t="s">
        <v>4721</v>
      </c>
      <c r="C364" s="10" t="s">
        <v>247</v>
      </c>
      <c r="D364" s="10" t="s">
        <v>3955</v>
      </c>
      <c r="E364" s="31">
        <v>1955</v>
      </c>
      <c r="F364" s="10" t="s">
        <v>4223</v>
      </c>
      <c r="G364" s="10" t="s">
        <v>4252</v>
      </c>
      <c r="H364" s="10" t="s">
        <v>3958</v>
      </c>
      <c r="I364" s="10" t="s">
        <v>245</v>
      </c>
      <c r="J364" s="10" t="s">
        <v>245</v>
      </c>
      <c r="K364" s="10" t="s">
        <v>113</v>
      </c>
      <c r="L364" s="10" t="s">
        <v>184</v>
      </c>
      <c r="M364" s="31">
        <v>145000</v>
      </c>
    </row>
    <row r="365" spans="1:13" x14ac:dyDescent="0.3">
      <c r="A365" s="10" t="s">
        <v>1653</v>
      </c>
      <c r="B365" s="10" t="s">
        <v>4722</v>
      </c>
      <c r="C365" s="10" t="s">
        <v>3963</v>
      </c>
      <c r="D365" s="10" t="s">
        <v>3955</v>
      </c>
      <c r="E365" s="31">
        <v>1955</v>
      </c>
      <c r="F365" s="10" t="s">
        <v>4223</v>
      </c>
      <c r="G365" s="10" t="s">
        <v>4252</v>
      </c>
      <c r="H365" s="10" t="s">
        <v>3958</v>
      </c>
      <c r="I365" s="10"/>
      <c r="J365" s="10"/>
      <c r="K365" s="10"/>
      <c r="L365" s="10" t="s">
        <v>2064</v>
      </c>
      <c r="M365" s="31">
        <v>117000</v>
      </c>
    </row>
    <row r="366" spans="1:13" x14ac:dyDescent="0.3">
      <c r="A366" s="10" t="s">
        <v>1654</v>
      </c>
      <c r="B366" s="10" t="s">
        <v>4723</v>
      </c>
      <c r="C366" s="10" t="s">
        <v>247</v>
      </c>
      <c r="D366" s="10" t="s">
        <v>3955</v>
      </c>
      <c r="E366" s="31">
        <v>2345</v>
      </c>
      <c r="F366" s="10" t="s">
        <v>4608</v>
      </c>
      <c r="G366" s="10" t="s">
        <v>4224</v>
      </c>
      <c r="H366" s="10" t="s">
        <v>772</v>
      </c>
      <c r="I366" s="10"/>
      <c r="J366" s="10"/>
      <c r="K366" s="10"/>
      <c r="L366" s="10" t="s">
        <v>2064</v>
      </c>
      <c r="M366" s="31">
        <v>48028.32</v>
      </c>
    </row>
    <row r="367" spans="1:13" x14ac:dyDescent="0.3">
      <c r="A367" s="10" t="s">
        <v>1654</v>
      </c>
      <c r="B367" s="10" t="s">
        <v>4724</v>
      </c>
      <c r="C367" s="10" t="s">
        <v>3963</v>
      </c>
      <c r="D367" s="10" t="s">
        <v>3955</v>
      </c>
      <c r="E367" s="31">
        <v>2345</v>
      </c>
      <c r="F367" s="10" t="s">
        <v>4608</v>
      </c>
      <c r="G367" s="10" t="s">
        <v>4224</v>
      </c>
      <c r="H367" s="10" t="s">
        <v>4020</v>
      </c>
      <c r="I367" s="10"/>
      <c r="J367" s="10"/>
      <c r="K367" s="10"/>
      <c r="L367" s="10" t="s">
        <v>2064</v>
      </c>
      <c r="M367" s="31"/>
    </row>
    <row r="368" spans="1:13" x14ac:dyDescent="0.3">
      <c r="A368" s="10" t="s">
        <v>1654</v>
      </c>
      <c r="B368" s="10" t="s">
        <v>4725</v>
      </c>
      <c r="C368" s="10" t="s">
        <v>3963</v>
      </c>
      <c r="D368" s="10" t="s">
        <v>3955</v>
      </c>
      <c r="E368" s="31">
        <v>2345</v>
      </c>
      <c r="F368" s="10" t="s">
        <v>4608</v>
      </c>
      <c r="G368" s="10" t="s">
        <v>4224</v>
      </c>
      <c r="H368" s="10" t="s">
        <v>4192</v>
      </c>
      <c r="I368" s="10" t="s">
        <v>4726</v>
      </c>
      <c r="J368" s="10" t="s">
        <v>1226</v>
      </c>
      <c r="K368" s="10" t="s">
        <v>123</v>
      </c>
      <c r="L368" s="10" t="s">
        <v>190</v>
      </c>
      <c r="M368" s="31">
        <v>54000</v>
      </c>
    </row>
    <row r="369" spans="1:13" x14ac:dyDescent="0.3">
      <c r="A369" s="10" t="s">
        <v>1655</v>
      </c>
      <c r="B369" s="10" t="s">
        <v>4727</v>
      </c>
      <c r="C369" s="10" t="s">
        <v>247</v>
      </c>
      <c r="D369" s="10" t="s">
        <v>3955</v>
      </c>
      <c r="E369" s="31">
        <v>2345</v>
      </c>
      <c r="F369" s="10" t="s">
        <v>4608</v>
      </c>
      <c r="G369" s="10" t="s">
        <v>4224</v>
      </c>
      <c r="H369" s="10" t="s">
        <v>4488</v>
      </c>
      <c r="I369" s="10" t="s">
        <v>4728</v>
      </c>
      <c r="J369" s="10" t="s">
        <v>1244</v>
      </c>
      <c r="K369" s="10" t="s">
        <v>123</v>
      </c>
      <c r="L369" s="10" t="s">
        <v>189</v>
      </c>
      <c r="M369" s="31">
        <v>47228</v>
      </c>
    </row>
    <row r="370" spans="1:13" x14ac:dyDescent="0.3">
      <c r="A370" s="10" t="s">
        <v>1655</v>
      </c>
      <c r="B370" s="10" t="s">
        <v>4729</v>
      </c>
      <c r="C370" s="10" t="s">
        <v>3963</v>
      </c>
      <c r="D370" s="10" t="s">
        <v>3955</v>
      </c>
      <c r="E370" s="31">
        <v>2345</v>
      </c>
      <c r="F370" s="10" t="s">
        <v>4608</v>
      </c>
      <c r="G370" s="10" t="s">
        <v>4224</v>
      </c>
      <c r="H370" s="10" t="s">
        <v>4055</v>
      </c>
      <c r="I370" s="10" t="s">
        <v>1239</v>
      </c>
      <c r="J370" s="10" t="s">
        <v>1239</v>
      </c>
      <c r="K370" s="10" t="s">
        <v>123</v>
      </c>
      <c r="L370" s="10" t="s">
        <v>195</v>
      </c>
      <c r="M370" s="31">
        <v>36000</v>
      </c>
    </row>
    <row r="371" spans="1:13" x14ac:dyDescent="0.3">
      <c r="A371" s="10" t="s">
        <v>1655</v>
      </c>
      <c r="B371" s="10" t="s">
        <v>4730</v>
      </c>
      <c r="C371" s="10" t="s">
        <v>3963</v>
      </c>
      <c r="D371" s="10" t="s">
        <v>3955</v>
      </c>
      <c r="E371" s="31">
        <v>2345</v>
      </c>
      <c r="F371" s="10" t="s">
        <v>4608</v>
      </c>
      <c r="G371" s="10" t="s">
        <v>4224</v>
      </c>
      <c r="H371" s="10" t="s">
        <v>4055</v>
      </c>
      <c r="I371" s="10" t="s">
        <v>4731</v>
      </c>
      <c r="J371" s="10" t="s">
        <v>1412</v>
      </c>
      <c r="K371" s="10" t="s">
        <v>123</v>
      </c>
      <c r="L371" s="10" t="s">
        <v>193</v>
      </c>
      <c r="M371" s="31">
        <v>24000</v>
      </c>
    </row>
    <row r="372" spans="1:13" x14ac:dyDescent="0.3">
      <c r="A372" s="10" t="s">
        <v>1656</v>
      </c>
      <c r="B372" s="10" t="s">
        <v>4732</v>
      </c>
      <c r="C372" s="10" t="s">
        <v>247</v>
      </c>
      <c r="D372" s="10" t="s">
        <v>3955</v>
      </c>
      <c r="E372" s="31">
        <v>1775</v>
      </c>
      <c r="F372" s="10" t="s">
        <v>4733</v>
      </c>
      <c r="G372" s="10" t="s">
        <v>4734</v>
      </c>
      <c r="H372" s="10" t="s">
        <v>2120</v>
      </c>
      <c r="I372" s="10" t="s">
        <v>4735</v>
      </c>
      <c r="J372" s="10" t="s">
        <v>971</v>
      </c>
      <c r="K372" s="10" t="s">
        <v>115</v>
      </c>
      <c r="L372" s="10" t="s">
        <v>185</v>
      </c>
      <c r="M372" s="31">
        <v>72000</v>
      </c>
    </row>
    <row r="373" spans="1:13" x14ac:dyDescent="0.3">
      <c r="A373" s="10" t="s">
        <v>1657</v>
      </c>
      <c r="B373" s="10" t="s">
        <v>4736</v>
      </c>
      <c r="C373" s="10" t="s">
        <v>247</v>
      </c>
      <c r="D373" s="10" t="s">
        <v>3955</v>
      </c>
      <c r="E373" s="31">
        <v>1595</v>
      </c>
      <c r="F373" s="10" t="s">
        <v>4737</v>
      </c>
      <c r="G373" s="10" t="s">
        <v>4738</v>
      </c>
      <c r="H373" s="10" t="s">
        <v>3958</v>
      </c>
      <c r="I373" s="10" t="s">
        <v>2105</v>
      </c>
      <c r="J373" s="10" t="s">
        <v>269</v>
      </c>
      <c r="K373" s="10" t="s">
        <v>115</v>
      </c>
      <c r="L373" s="10" t="s">
        <v>185</v>
      </c>
      <c r="M373" s="31">
        <v>120000</v>
      </c>
    </row>
    <row r="374" spans="1:13" x14ac:dyDescent="0.3">
      <c r="A374" s="10" t="s">
        <v>1657</v>
      </c>
      <c r="B374" s="10" t="s">
        <v>4739</v>
      </c>
      <c r="C374" s="10" t="s">
        <v>3963</v>
      </c>
      <c r="D374" s="10" t="s">
        <v>3955</v>
      </c>
      <c r="E374" s="31">
        <v>1595</v>
      </c>
      <c r="F374" s="10" t="s">
        <v>4737</v>
      </c>
      <c r="G374" s="10" t="s">
        <v>4738</v>
      </c>
      <c r="H374" s="10" t="s">
        <v>2120</v>
      </c>
      <c r="I374" s="10" t="s">
        <v>4740</v>
      </c>
      <c r="J374" s="10" t="s">
        <v>269</v>
      </c>
      <c r="K374" s="10" t="s">
        <v>115</v>
      </c>
      <c r="L374" s="10" t="s">
        <v>185</v>
      </c>
      <c r="M374" s="31">
        <v>80000</v>
      </c>
    </row>
    <row r="375" spans="1:13" x14ac:dyDescent="0.3">
      <c r="A375" s="10" t="s">
        <v>1658</v>
      </c>
      <c r="B375" s="10" t="s">
        <v>4741</v>
      </c>
      <c r="C375" s="10" t="s">
        <v>247</v>
      </c>
      <c r="D375" s="10" t="s">
        <v>3955</v>
      </c>
      <c r="E375" s="31">
        <v>1775</v>
      </c>
      <c r="F375" s="10" t="s">
        <v>4742</v>
      </c>
      <c r="G375" s="10" t="s">
        <v>4743</v>
      </c>
      <c r="H375" s="10" t="s">
        <v>3958</v>
      </c>
      <c r="I375" s="10" t="s">
        <v>2890</v>
      </c>
      <c r="J375" s="10" t="s">
        <v>245</v>
      </c>
      <c r="K375" s="10" t="s">
        <v>113</v>
      </c>
      <c r="L375" s="10" t="s">
        <v>184</v>
      </c>
      <c r="M375" s="31">
        <v>104000</v>
      </c>
    </row>
    <row r="376" spans="1:13" x14ac:dyDescent="0.3">
      <c r="A376" s="10" t="s">
        <v>1658</v>
      </c>
      <c r="B376" s="10" t="s">
        <v>4744</v>
      </c>
      <c r="C376" s="10" t="s">
        <v>3963</v>
      </c>
      <c r="D376" s="10" t="s">
        <v>3955</v>
      </c>
      <c r="E376" s="31">
        <v>1775</v>
      </c>
      <c r="F376" s="10" t="s">
        <v>4742</v>
      </c>
      <c r="G376" s="10" t="s">
        <v>4743</v>
      </c>
      <c r="H376" s="10" t="s">
        <v>4269</v>
      </c>
      <c r="I376" s="10" t="s">
        <v>1377</v>
      </c>
      <c r="J376" s="10" t="s">
        <v>1377</v>
      </c>
      <c r="K376" s="10" t="s">
        <v>123</v>
      </c>
      <c r="L376" s="10" t="s">
        <v>192</v>
      </c>
      <c r="M376" s="31">
        <v>32640</v>
      </c>
    </row>
    <row r="377" spans="1:13" x14ac:dyDescent="0.3">
      <c r="A377" s="10" t="s">
        <v>1659</v>
      </c>
      <c r="B377" s="10" t="s">
        <v>4745</v>
      </c>
      <c r="C377" s="10" t="s">
        <v>247</v>
      </c>
      <c r="D377" s="10" t="s">
        <v>3955</v>
      </c>
      <c r="E377" s="31">
        <v>2000</v>
      </c>
      <c r="F377" s="10" t="s">
        <v>3982</v>
      </c>
      <c r="G377" s="10" t="s">
        <v>4103</v>
      </c>
      <c r="H377" s="10" t="s">
        <v>2120</v>
      </c>
      <c r="I377" s="10" t="s">
        <v>4746</v>
      </c>
      <c r="J377" s="10" t="s">
        <v>278</v>
      </c>
      <c r="K377" s="10" t="s">
        <v>115</v>
      </c>
      <c r="L377" s="10" t="s">
        <v>185</v>
      </c>
      <c r="M377" s="31">
        <v>136500</v>
      </c>
    </row>
    <row r="378" spans="1:13" x14ac:dyDescent="0.3">
      <c r="A378" s="10" t="s">
        <v>1659</v>
      </c>
      <c r="B378" s="10" t="s">
        <v>4747</v>
      </c>
      <c r="C378" s="10" t="s">
        <v>3963</v>
      </c>
      <c r="D378" s="10" t="s">
        <v>3955</v>
      </c>
      <c r="E378" s="31">
        <v>2000</v>
      </c>
      <c r="F378" s="10" t="s">
        <v>3982</v>
      </c>
      <c r="G378" s="10" t="s">
        <v>4103</v>
      </c>
      <c r="H378" s="10" t="s">
        <v>2120</v>
      </c>
      <c r="I378" s="10" t="s">
        <v>278</v>
      </c>
      <c r="J378" s="10" t="s">
        <v>278</v>
      </c>
      <c r="K378" s="10" t="s">
        <v>115</v>
      </c>
      <c r="L378" s="10" t="s">
        <v>185</v>
      </c>
      <c r="M378" s="31">
        <v>135200</v>
      </c>
    </row>
    <row r="379" spans="1:13" x14ac:dyDescent="0.3">
      <c r="A379" s="10" t="s">
        <v>1660</v>
      </c>
      <c r="B379" s="10" t="s">
        <v>4748</v>
      </c>
      <c r="C379" s="10" t="s">
        <v>247</v>
      </c>
      <c r="D379" s="10" t="s">
        <v>3986</v>
      </c>
      <c r="E379" s="31">
        <v>2000</v>
      </c>
      <c r="F379" s="10" t="s">
        <v>4749</v>
      </c>
      <c r="G379" s="10" t="s">
        <v>4750</v>
      </c>
      <c r="H379" s="10" t="s">
        <v>3498</v>
      </c>
      <c r="I379" s="10" t="s">
        <v>1115</v>
      </c>
      <c r="J379" s="10" t="s">
        <v>1115</v>
      </c>
      <c r="K379" s="10" t="s">
        <v>123</v>
      </c>
      <c r="L379" s="10" t="s">
        <v>189</v>
      </c>
      <c r="M379" s="31">
        <v>82000</v>
      </c>
    </row>
    <row r="380" spans="1:13" x14ac:dyDescent="0.3">
      <c r="A380" s="10" t="s">
        <v>1661</v>
      </c>
      <c r="B380" s="10" t="s">
        <v>4751</v>
      </c>
      <c r="C380" s="10" t="s">
        <v>247</v>
      </c>
      <c r="D380" s="10" t="s">
        <v>3955</v>
      </c>
      <c r="E380" s="31">
        <v>1595</v>
      </c>
      <c r="F380" s="10" t="s">
        <v>4200</v>
      </c>
      <c r="G380" s="10" t="s">
        <v>4752</v>
      </c>
      <c r="H380" s="10" t="s">
        <v>3958</v>
      </c>
      <c r="I380" s="10" t="s">
        <v>2890</v>
      </c>
      <c r="J380" s="10" t="s">
        <v>245</v>
      </c>
      <c r="K380" s="10" t="s">
        <v>113</v>
      </c>
      <c r="L380" s="10" t="s">
        <v>184</v>
      </c>
      <c r="M380" s="31">
        <v>83000</v>
      </c>
    </row>
    <row r="381" spans="1:13" x14ac:dyDescent="0.3">
      <c r="A381" s="10" t="s">
        <v>1662</v>
      </c>
      <c r="B381" s="10" t="s">
        <v>4753</v>
      </c>
      <c r="C381" s="10" t="s">
        <v>247</v>
      </c>
      <c r="D381" s="10" t="s">
        <v>3955</v>
      </c>
      <c r="E381" s="31">
        <v>2000</v>
      </c>
      <c r="F381" s="10" t="s">
        <v>4145</v>
      </c>
      <c r="G381" s="10" t="s">
        <v>4599</v>
      </c>
      <c r="H381" s="10" t="s">
        <v>2120</v>
      </c>
      <c r="I381" s="10" t="s">
        <v>4754</v>
      </c>
      <c r="J381" s="10" t="s">
        <v>276</v>
      </c>
      <c r="K381" s="10" t="s">
        <v>115</v>
      </c>
      <c r="L381" s="10" t="s">
        <v>185</v>
      </c>
      <c r="M381" s="31">
        <v>180000</v>
      </c>
    </row>
    <row r="382" spans="1:13" x14ac:dyDescent="0.3">
      <c r="A382" s="10" t="s">
        <v>1662</v>
      </c>
      <c r="B382" s="10" t="s">
        <v>4755</v>
      </c>
      <c r="C382" s="10" t="s">
        <v>3963</v>
      </c>
      <c r="D382" s="10" t="s">
        <v>3955</v>
      </c>
      <c r="E382" s="31">
        <v>2000</v>
      </c>
      <c r="F382" s="10" t="s">
        <v>4145</v>
      </c>
      <c r="G382" s="10" t="s">
        <v>4599</v>
      </c>
      <c r="H382" s="10" t="s">
        <v>2120</v>
      </c>
      <c r="I382" s="10" t="s">
        <v>2237</v>
      </c>
      <c r="J382" s="10" t="s">
        <v>276</v>
      </c>
      <c r="K382" s="10" t="s">
        <v>115</v>
      </c>
      <c r="L382" s="10" t="s">
        <v>185</v>
      </c>
      <c r="M382" s="31">
        <v>216000</v>
      </c>
    </row>
    <row r="383" spans="1:13" x14ac:dyDescent="0.3">
      <c r="A383" s="10" t="s">
        <v>1663</v>
      </c>
      <c r="B383" s="10" t="s">
        <v>4756</v>
      </c>
      <c r="C383" s="10" t="s">
        <v>247</v>
      </c>
      <c r="D383" s="10" t="s">
        <v>3955</v>
      </c>
      <c r="E383" s="31">
        <v>2000</v>
      </c>
      <c r="F383" s="10" t="s">
        <v>4749</v>
      </c>
      <c r="G383" s="10" t="s">
        <v>4757</v>
      </c>
      <c r="H383" s="10" t="s">
        <v>3958</v>
      </c>
      <c r="I383" s="10" t="s">
        <v>245</v>
      </c>
      <c r="J383" s="10" t="s">
        <v>245</v>
      </c>
      <c r="K383" s="10" t="s">
        <v>113</v>
      </c>
      <c r="L383" s="10" t="s">
        <v>184</v>
      </c>
      <c r="M383" s="31">
        <v>88239</v>
      </c>
    </row>
    <row r="384" spans="1:13" x14ac:dyDescent="0.3">
      <c r="A384" s="10" t="s">
        <v>1663</v>
      </c>
      <c r="B384" s="10" t="s">
        <v>4758</v>
      </c>
      <c r="C384" s="10" t="s">
        <v>3963</v>
      </c>
      <c r="D384" s="10" t="s">
        <v>3955</v>
      </c>
      <c r="E384" s="31">
        <v>2000</v>
      </c>
      <c r="F384" s="10" t="s">
        <v>4749</v>
      </c>
      <c r="G384" s="10" t="s">
        <v>4757</v>
      </c>
      <c r="H384" s="10" t="s">
        <v>3958</v>
      </c>
      <c r="I384" s="10" t="s">
        <v>245</v>
      </c>
      <c r="J384" s="10" t="s">
        <v>245</v>
      </c>
      <c r="K384" s="10" t="s">
        <v>113</v>
      </c>
      <c r="L384" s="10" t="s">
        <v>184</v>
      </c>
      <c r="M384" s="31">
        <v>95000</v>
      </c>
    </row>
    <row r="385" spans="1:13" x14ac:dyDescent="0.3">
      <c r="A385" s="10" t="s">
        <v>1664</v>
      </c>
      <c r="B385" s="10" t="s">
        <v>4759</v>
      </c>
      <c r="C385" s="10" t="s">
        <v>247</v>
      </c>
      <c r="D385" s="10" t="s">
        <v>3986</v>
      </c>
      <c r="E385" s="31">
        <v>1920</v>
      </c>
      <c r="F385" s="10" t="s">
        <v>4760</v>
      </c>
      <c r="G385" s="10" t="s">
        <v>4320</v>
      </c>
      <c r="H385" s="10" t="s">
        <v>2120</v>
      </c>
      <c r="I385" s="10"/>
      <c r="J385" s="10"/>
      <c r="K385" s="10"/>
      <c r="L385" s="10" t="s">
        <v>2064</v>
      </c>
      <c r="M385" s="31">
        <v>98800</v>
      </c>
    </row>
    <row r="386" spans="1:13" x14ac:dyDescent="0.3">
      <c r="A386" s="10" t="s">
        <v>1664</v>
      </c>
      <c r="B386" s="10" t="s">
        <v>4761</v>
      </c>
      <c r="C386" s="10" t="s">
        <v>3963</v>
      </c>
      <c r="D386" s="10" t="s">
        <v>3986</v>
      </c>
      <c r="E386" s="31">
        <v>1920</v>
      </c>
      <c r="F386" s="10" t="s">
        <v>4760</v>
      </c>
      <c r="G386" s="10" t="s">
        <v>4320</v>
      </c>
      <c r="H386" s="10" t="s">
        <v>2120</v>
      </c>
      <c r="I386" s="10"/>
      <c r="J386" s="10"/>
      <c r="K386" s="10"/>
      <c r="L386" s="10" t="s">
        <v>2064</v>
      </c>
      <c r="M386" s="31">
        <v>104000</v>
      </c>
    </row>
    <row r="387" spans="1:13" x14ac:dyDescent="0.3">
      <c r="A387" s="10" t="s">
        <v>1665</v>
      </c>
      <c r="B387" s="10" t="s">
        <v>4762</v>
      </c>
      <c r="C387" s="10" t="s">
        <v>247</v>
      </c>
      <c r="D387" s="10" t="s">
        <v>3955</v>
      </c>
      <c r="E387" s="31">
        <v>1595</v>
      </c>
      <c r="F387" s="10" t="s">
        <v>4763</v>
      </c>
      <c r="G387" s="10" t="s">
        <v>4764</v>
      </c>
      <c r="H387" s="10" t="s">
        <v>3498</v>
      </c>
      <c r="I387" s="10" t="s">
        <v>1115</v>
      </c>
      <c r="J387" s="10" t="s">
        <v>1115</v>
      </c>
      <c r="K387" s="10" t="s">
        <v>123</v>
      </c>
      <c r="L387" s="10" t="s">
        <v>189</v>
      </c>
      <c r="M387" s="31">
        <v>72000</v>
      </c>
    </row>
    <row r="388" spans="1:13" x14ac:dyDescent="0.3">
      <c r="A388" s="10" t="s">
        <v>1666</v>
      </c>
      <c r="B388" s="10" t="s">
        <v>4765</v>
      </c>
      <c r="C388" s="10" t="s">
        <v>247</v>
      </c>
      <c r="D388" s="10" t="s">
        <v>3955</v>
      </c>
      <c r="E388" s="31">
        <v>1820</v>
      </c>
      <c r="F388" s="10" t="s">
        <v>4117</v>
      </c>
      <c r="G388" s="10" t="s">
        <v>4118</v>
      </c>
      <c r="H388" s="10" t="s">
        <v>2120</v>
      </c>
      <c r="I388" s="10"/>
      <c r="J388" s="10"/>
      <c r="K388" s="10"/>
      <c r="L388" s="10" t="s">
        <v>2064</v>
      </c>
      <c r="M388" s="31">
        <v>57996</v>
      </c>
    </row>
    <row r="389" spans="1:13" x14ac:dyDescent="0.3">
      <c r="A389" s="10" t="s">
        <v>1667</v>
      </c>
      <c r="B389" s="10" t="s">
        <v>4766</v>
      </c>
      <c r="C389" s="10" t="s">
        <v>247</v>
      </c>
      <c r="D389" s="10" t="s">
        <v>3955</v>
      </c>
      <c r="E389" s="31">
        <v>1595</v>
      </c>
      <c r="F389" s="10" t="s">
        <v>4767</v>
      </c>
      <c r="G389" s="10" t="s">
        <v>4768</v>
      </c>
      <c r="H389" s="10" t="s">
        <v>2120</v>
      </c>
      <c r="I389" s="10" t="s">
        <v>274</v>
      </c>
      <c r="J389" s="10" t="s">
        <v>274</v>
      </c>
      <c r="K389" s="10" t="s">
        <v>115</v>
      </c>
      <c r="L389" s="10" t="s">
        <v>185</v>
      </c>
      <c r="M389" s="31">
        <v>119600</v>
      </c>
    </row>
    <row r="390" spans="1:13" x14ac:dyDescent="0.3">
      <c r="A390" s="10" t="s">
        <v>1667</v>
      </c>
      <c r="B390" s="10" t="s">
        <v>4769</v>
      </c>
      <c r="C390" s="10" t="s">
        <v>3963</v>
      </c>
      <c r="D390" s="10" t="s">
        <v>3955</v>
      </c>
      <c r="E390" s="31">
        <v>1595</v>
      </c>
      <c r="F390" s="10" t="s">
        <v>4767</v>
      </c>
      <c r="G390" s="10" t="s">
        <v>4768</v>
      </c>
      <c r="H390" s="10" t="s">
        <v>3976</v>
      </c>
      <c r="I390" s="10"/>
      <c r="J390" s="10"/>
      <c r="K390" s="10"/>
      <c r="L390" s="10" t="s">
        <v>2064</v>
      </c>
      <c r="M390" s="31">
        <v>3600</v>
      </c>
    </row>
    <row r="391" spans="1:13" x14ac:dyDescent="0.3">
      <c r="A391" s="10" t="s">
        <v>1668</v>
      </c>
      <c r="B391" s="10" t="s">
        <v>4770</v>
      </c>
      <c r="C391" s="10" t="s">
        <v>247</v>
      </c>
      <c r="D391" s="10" t="s">
        <v>3955</v>
      </c>
      <c r="E391" s="31">
        <v>2375</v>
      </c>
      <c r="F391" s="10" t="s">
        <v>4771</v>
      </c>
      <c r="G391" s="10" t="s">
        <v>4772</v>
      </c>
      <c r="H391" s="10" t="s">
        <v>4173</v>
      </c>
      <c r="I391" s="10" t="s">
        <v>1271</v>
      </c>
      <c r="J391" s="10" t="s">
        <v>1271</v>
      </c>
      <c r="K391" s="10" t="s">
        <v>123</v>
      </c>
      <c r="L391" s="10" t="s">
        <v>194</v>
      </c>
      <c r="M391" s="31">
        <v>96000</v>
      </c>
    </row>
    <row r="392" spans="1:13" x14ac:dyDescent="0.3">
      <c r="A392" s="10" t="s">
        <v>1668</v>
      </c>
      <c r="B392" s="10" t="s">
        <v>4773</v>
      </c>
      <c r="C392" s="10" t="s">
        <v>3963</v>
      </c>
      <c r="D392" s="10" t="s">
        <v>3955</v>
      </c>
      <c r="E392" s="31">
        <v>2375</v>
      </c>
      <c r="F392" s="10" t="s">
        <v>4771</v>
      </c>
      <c r="G392" s="10" t="s">
        <v>4772</v>
      </c>
      <c r="H392" s="10" t="s">
        <v>3958</v>
      </c>
      <c r="I392" s="10" t="s">
        <v>994</v>
      </c>
      <c r="J392" s="10" t="s">
        <v>994</v>
      </c>
      <c r="K392" s="10" t="s">
        <v>117</v>
      </c>
      <c r="L392" s="10" t="s">
        <v>186</v>
      </c>
      <c r="M392" s="31">
        <v>205344</v>
      </c>
    </row>
    <row r="393" spans="1:13" x14ac:dyDescent="0.3">
      <c r="A393" s="10" t="s">
        <v>1669</v>
      </c>
      <c r="B393" s="10" t="s">
        <v>4774</v>
      </c>
      <c r="C393" s="10" t="s">
        <v>247</v>
      </c>
      <c r="D393" s="10" t="s">
        <v>3955</v>
      </c>
      <c r="E393" s="31">
        <v>2275</v>
      </c>
      <c r="F393" s="10" t="s">
        <v>4403</v>
      </c>
      <c r="G393" s="10" t="s">
        <v>4404</v>
      </c>
      <c r="H393" s="10" t="s">
        <v>4095</v>
      </c>
      <c r="I393" s="10" t="s">
        <v>245</v>
      </c>
      <c r="J393" s="10" t="s">
        <v>245</v>
      </c>
      <c r="K393" s="10" t="s">
        <v>113</v>
      </c>
      <c r="L393" s="10" t="s">
        <v>184</v>
      </c>
      <c r="M393" s="31">
        <v>130000</v>
      </c>
    </row>
    <row r="394" spans="1:13" x14ac:dyDescent="0.3">
      <c r="A394" s="10" t="s">
        <v>1669</v>
      </c>
      <c r="B394" s="10" t="s">
        <v>4775</v>
      </c>
      <c r="C394" s="10" t="s">
        <v>3963</v>
      </c>
      <c r="D394" s="10" t="s">
        <v>3955</v>
      </c>
      <c r="E394" s="31">
        <v>2275</v>
      </c>
      <c r="F394" s="10" t="s">
        <v>4403</v>
      </c>
      <c r="G394" s="10" t="s">
        <v>4404</v>
      </c>
      <c r="H394" s="10" t="s">
        <v>3958</v>
      </c>
      <c r="I394" s="10" t="s">
        <v>245</v>
      </c>
      <c r="J394" s="10" t="s">
        <v>245</v>
      </c>
      <c r="K394" s="10" t="s">
        <v>113</v>
      </c>
      <c r="L394" s="10" t="s">
        <v>184</v>
      </c>
      <c r="M394" s="31">
        <v>106000</v>
      </c>
    </row>
    <row r="395" spans="1:13" x14ac:dyDescent="0.3">
      <c r="A395" s="10" t="s">
        <v>1670</v>
      </c>
      <c r="B395" s="10" t="s">
        <v>4776</v>
      </c>
      <c r="C395" s="10" t="s">
        <v>247</v>
      </c>
      <c r="D395" s="10" t="s">
        <v>3955</v>
      </c>
      <c r="E395" s="31">
        <v>2450</v>
      </c>
      <c r="F395" s="10" t="s">
        <v>4777</v>
      </c>
      <c r="G395" s="10" t="s">
        <v>4778</v>
      </c>
      <c r="H395" s="10" t="s">
        <v>2477</v>
      </c>
      <c r="I395" s="10"/>
      <c r="J395" s="10"/>
      <c r="K395" s="10"/>
      <c r="L395" s="10" t="s">
        <v>2064</v>
      </c>
      <c r="M395" s="31">
        <v>200080</v>
      </c>
    </row>
    <row r="396" spans="1:13" x14ac:dyDescent="0.3">
      <c r="A396" s="10" t="s">
        <v>1671</v>
      </c>
      <c r="B396" s="10" t="s">
        <v>4779</v>
      </c>
      <c r="C396" s="10" t="s">
        <v>247</v>
      </c>
      <c r="D396" s="10" t="s">
        <v>3955</v>
      </c>
      <c r="E396" s="31">
        <v>2400</v>
      </c>
      <c r="F396" s="10" t="s">
        <v>4018</v>
      </c>
      <c r="G396" s="10" t="s">
        <v>4019</v>
      </c>
      <c r="H396" s="10" t="s">
        <v>4192</v>
      </c>
      <c r="I396" s="10" t="s">
        <v>4780</v>
      </c>
      <c r="J396" s="10" t="s">
        <v>1316</v>
      </c>
      <c r="K396" s="10" t="s">
        <v>123</v>
      </c>
      <c r="L396" s="10" t="s">
        <v>191</v>
      </c>
      <c r="M396" s="31">
        <v>100000</v>
      </c>
    </row>
    <row r="397" spans="1:13" x14ac:dyDescent="0.3">
      <c r="A397" s="10" t="s">
        <v>1672</v>
      </c>
      <c r="B397" s="10" t="s">
        <v>4781</v>
      </c>
      <c r="C397" s="10" t="s">
        <v>247</v>
      </c>
      <c r="D397" s="10" t="s">
        <v>3955</v>
      </c>
      <c r="E397" s="31">
        <v>1599</v>
      </c>
      <c r="F397" s="10" t="s">
        <v>4782</v>
      </c>
      <c r="G397" s="10" t="s">
        <v>4783</v>
      </c>
      <c r="H397" s="10" t="s">
        <v>3958</v>
      </c>
      <c r="I397" s="10" t="s">
        <v>4343</v>
      </c>
      <c r="J397" s="10" t="s">
        <v>789</v>
      </c>
      <c r="K397" s="10" t="s">
        <v>115</v>
      </c>
      <c r="L397" s="10" t="s">
        <v>185</v>
      </c>
      <c r="M397" s="31">
        <v>182400</v>
      </c>
    </row>
    <row r="398" spans="1:13" x14ac:dyDescent="0.3">
      <c r="A398" s="10" t="s">
        <v>1673</v>
      </c>
      <c r="B398" s="10" t="s">
        <v>4784</v>
      </c>
      <c r="C398" s="10" t="s">
        <v>247</v>
      </c>
      <c r="D398" s="10" t="s">
        <v>3955</v>
      </c>
      <c r="E398" s="31">
        <v>1745</v>
      </c>
      <c r="F398" s="10" t="s">
        <v>4785</v>
      </c>
      <c r="G398" s="10" t="s">
        <v>4786</v>
      </c>
      <c r="H398" s="10" t="s">
        <v>3958</v>
      </c>
      <c r="I398" s="10" t="s">
        <v>269</v>
      </c>
      <c r="J398" s="10" t="s">
        <v>269</v>
      </c>
      <c r="K398" s="10" t="s">
        <v>115</v>
      </c>
      <c r="L398" s="10" t="s">
        <v>185</v>
      </c>
      <c r="M398" s="31">
        <v>154024</v>
      </c>
    </row>
    <row r="399" spans="1:13" x14ac:dyDescent="0.3">
      <c r="A399" s="10" t="s">
        <v>1674</v>
      </c>
      <c r="B399" s="10" t="s">
        <v>4787</v>
      </c>
      <c r="C399" s="10" t="s">
        <v>247</v>
      </c>
      <c r="D399" s="10" t="s">
        <v>3955</v>
      </c>
      <c r="E399" s="31">
        <v>1599</v>
      </c>
      <c r="F399" s="10" t="s">
        <v>3997</v>
      </c>
      <c r="G399" s="10" t="s">
        <v>4006</v>
      </c>
      <c r="H399" s="10" t="s">
        <v>3958</v>
      </c>
      <c r="I399" s="10" t="s">
        <v>245</v>
      </c>
      <c r="J399" s="10" t="s">
        <v>245</v>
      </c>
      <c r="K399" s="10" t="s">
        <v>113</v>
      </c>
      <c r="L399" s="10" t="s">
        <v>184</v>
      </c>
      <c r="M399" s="31">
        <v>119425</v>
      </c>
    </row>
    <row r="400" spans="1:13" x14ac:dyDescent="0.3">
      <c r="A400" s="10" t="s">
        <v>1675</v>
      </c>
      <c r="B400" s="10" t="s">
        <v>4788</v>
      </c>
      <c r="C400" s="10" t="s">
        <v>247</v>
      </c>
      <c r="D400" s="10" t="s">
        <v>3955</v>
      </c>
      <c r="E400" s="31">
        <v>2055</v>
      </c>
      <c r="F400" s="10" t="s">
        <v>4718</v>
      </c>
      <c r="G400" s="10" t="s">
        <v>4616</v>
      </c>
      <c r="H400" s="10" t="s">
        <v>3958</v>
      </c>
      <c r="I400" s="10" t="s">
        <v>2890</v>
      </c>
      <c r="J400" s="10" t="s">
        <v>245</v>
      </c>
      <c r="K400" s="10" t="s">
        <v>113</v>
      </c>
      <c r="L400" s="10" t="s">
        <v>184</v>
      </c>
      <c r="M400" s="31">
        <v>104000</v>
      </c>
    </row>
    <row r="401" spans="1:13" x14ac:dyDescent="0.3">
      <c r="A401" s="10" t="s">
        <v>1675</v>
      </c>
      <c r="B401" s="10" t="s">
        <v>4789</v>
      </c>
      <c r="C401" s="10" t="s">
        <v>3963</v>
      </c>
      <c r="D401" s="10" t="s">
        <v>3955</v>
      </c>
      <c r="E401" s="31">
        <v>2055</v>
      </c>
      <c r="F401" s="10" t="s">
        <v>4718</v>
      </c>
      <c r="G401" s="10" t="s">
        <v>4616</v>
      </c>
      <c r="H401" s="10" t="s">
        <v>3958</v>
      </c>
      <c r="I401" s="10"/>
      <c r="J401" s="10"/>
      <c r="K401" s="10"/>
      <c r="L401" s="10" t="s">
        <v>2064</v>
      </c>
      <c r="M401" s="31">
        <v>75624</v>
      </c>
    </row>
    <row r="402" spans="1:13" x14ac:dyDescent="0.3">
      <c r="A402" s="10" t="s">
        <v>1676</v>
      </c>
      <c r="B402" s="10" t="s">
        <v>4790</v>
      </c>
      <c r="C402" s="10" t="s">
        <v>247</v>
      </c>
      <c r="D402" s="10" t="s">
        <v>3955</v>
      </c>
      <c r="E402" s="31">
        <v>2105</v>
      </c>
      <c r="F402" s="10" t="s">
        <v>4791</v>
      </c>
      <c r="G402" s="10" t="s">
        <v>4792</v>
      </c>
      <c r="H402" s="10" t="s">
        <v>2120</v>
      </c>
      <c r="I402" s="10" t="s">
        <v>4793</v>
      </c>
      <c r="J402" s="10" t="s">
        <v>957</v>
      </c>
      <c r="K402" s="10" t="s">
        <v>115</v>
      </c>
      <c r="L402" s="10" t="s">
        <v>185</v>
      </c>
      <c r="M402" s="31">
        <v>308400</v>
      </c>
    </row>
    <row r="403" spans="1:13" x14ac:dyDescent="0.3">
      <c r="A403" s="10" t="s">
        <v>1677</v>
      </c>
      <c r="B403" s="10" t="s">
        <v>4794</v>
      </c>
      <c r="C403" s="10" t="s">
        <v>247</v>
      </c>
      <c r="D403" s="10" t="s">
        <v>3955</v>
      </c>
      <c r="E403" s="31">
        <v>1699</v>
      </c>
      <c r="F403" s="10" t="s">
        <v>4145</v>
      </c>
      <c r="G403" s="10" t="s">
        <v>4146</v>
      </c>
      <c r="H403" s="10" t="s">
        <v>3958</v>
      </c>
      <c r="I403" s="10" t="s">
        <v>4795</v>
      </c>
      <c r="J403" s="10" t="s">
        <v>274</v>
      </c>
      <c r="K403" s="10" t="s">
        <v>115</v>
      </c>
      <c r="L403" s="10" t="s">
        <v>185</v>
      </c>
      <c r="M403" s="31">
        <v>75000</v>
      </c>
    </row>
    <row r="404" spans="1:13" x14ac:dyDescent="0.3">
      <c r="A404" s="10" t="s">
        <v>1678</v>
      </c>
      <c r="B404" s="10" t="s">
        <v>4796</v>
      </c>
      <c r="C404" s="10" t="s">
        <v>247</v>
      </c>
      <c r="D404" s="10" t="s">
        <v>3955</v>
      </c>
      <c r="E404" s="31">
        <v>2105</v>
      </c>
      <c r="F404" s="10" t="s">
        <v>4797</v>
      </c>
      <c r="G404" s="10" t="s">
        <v>4412</v>
      </c>
      <c r="H404" s="10" t="s">
        <v>2120</v>
      </c>
      <c r="I404" s="10" t="s">
        <v>4798</v>
      </c>
      <c r="J404" s="10" t="s">
        <v>802</v>
      </c>
      <c r="K404" s="10" t="s">
        <v>115</v>
      </c>
      <c r="L404" s="10" t="s">
        <v>185</v>
      </c>
      <c r="M404" s="31">
        <v>120000</v>
      </c>
    </row>
    <row r="405" spans="1:13" x14ac:dyDescent="0.3">
      <c r="A405" s="10" t="s">
        <v>1678</v>
      </c>
      <c r="B405" s="10" t="s">
        <v>4799</v>
      </c>
      <c r="C405" s="10" t="s">
        <v>3963</v>
      </c>
      <c r="D405" s="10" t="s">
        <v>3955</v>
      </c>
      <c r="E405" s="31">
        <v>2105</v>
      </c>
      <c r="F405" s="10" t="s">
        <v>4797</v>
      </c>
      <c r="G405" s="10" t="s">
        <v>4412</v>
      </c>
      <c r="H405" s="10" t="s">
        <v>2477</v>
      </c>
      <c r="I405" s="10"/>
      <c r="J405" s="10"/>
      <c r="K405" s="10"/>
      <c r="L405" s="10" t="s">
        <v>2064</v>
      </c>
      <c r="M405" s="31">
        <v>4056000</v>
      </c>
    </row>
    <row r="406" spans="1:13" x14ac:dyDescent="0.3">
      <c r="A406" s="10" t="s">
        <v>1679</v>
      </c>
      <c r="B406" s="10" t="s">
        <v>4800</v>
      </c>
      <c r="C406" s="10" t="s">
        <v>247</v>
      </c>
      <c r="D406" s="10" t="s">
        <v>3955</v>
      </c>
      <c r="E406" s="31">
        <v>2055</v>
      </c>
      <c r="F406" s="10" t="s">
        <v>4196</v>
      </c>
      <c r="G406" s="10" t="s">
        <v>4801</v>
      </c>
      <c r="H406" s="10" t="s">
        <v>3498</v>
      </c>
      <c r="I406" s="10" t="s">
        <v>3498</v>
      </c>
      <c r="J406" s="10" t="s">
        <v>1397</v>
      </c>
      <c r="K406" s="10" t="s">
        <v>123</v>
      </c>
      <c r="L406" s="10" t="s">
        <v>189</v>
      </c>
      <c r="M406" s="31">
        <v>40000</v>
      </c>
    </row>
    <row r="407" spans="1:13" x14ac:dyDescent="0.3">
      <c r="A407" s="10" t="s">
        <v>1679</v>
      </c>
      <c r="B407" s="10" t="s">
        <v>4802</v>
      </c>
      <c r="C407" s="10" t="s">
        <v>3963</v>
      </c>
      <c r="D407" s="10" t="s">
        <v>3955</v>
      </c>
      <c r="E407" s="31">
        <v>2055</v>
      </c>
      <c r="F407" s="10" t="s">
        <v>4196</v>
      </c>
      <c r="G407" s="10" t="s">
        <v>4801</v>
      </c>
      <c r="H407" s="10" t="s">
        <v>4055</v>
      </c>
      <c r="I407" s="10" t="s">
        <v>1230</v>
      </c>
      <c r="J407" s="10" t="s">
        <v>1230</v>
      </c>
      <c r="K407" s="10" t="s">
        <v>123</v>
      </c>
      <c r="L407" s="10" t="s">
        <v>194</v>
      </c>
      <c r="M407" s="31">
        <v>31680</v>
      </c>
    </row>
    <row r="408" spans="1:13" x14ac:dyDescent="0.3">
      <c r="A408" s="10" t="s">
        <v>1680</v>
      </c>
      <c r="B408" s="10" t="s">
        <v>4803</v>
      </c>
      <c r="C408" s="10" t="s">
        <v>247</v>
      </c>
      <c r="D408" s="10" t="s">
        <v>3955</v>
      </c>
      <c r="E408" s="31">
        <v>1795</v>
      </c>
      <c r="F408" s="10" t="s">
        <v>4486</v>
      </c>
      <c r="G408" s="10" t="s">
        <v>4487</v>
      </c>
      <c r="H408" s="10" t="s">
        <v>2120</v>
      </c>
      <c r="I408" s="10" t="s">
        <v>269</v>
      </c>
      <c r="J408" s="10" t="s">
        <v>269</v>
      </c>
      <c r="K408" s="10" t="s">
        <v>115</v>
      </c>
      <c r="L408" s="10" t="s">
        <v>185</v>
      </c>
      <c r="M408" s="31">
        <v>110000</v>
      </c>
    </row>
    <row r="409" spans="1:13" x14ac:dyDescent="0.3">
      <c r="A409" s="10" t="s">
        <v>1681</v>
      </c>
      <c r="B409" s="10" t="s">
        <v>4804</v>
      </c>
      <c r="C409" s="10" t="s">
        <v>247</v>
      </c>
      <c r="D409" s="10" t="s">
        <v>3955</v>
      </c>
      <c r="E409" s="31">
        <v>1599</v>
      </c>
      <c r="F409" s="10" t="s">
        <v>4805</v>
      </c>
      <c r="G409" s="10" t="s">
        <v>4806</v>
      </c>
      <c r="H409" s="10" t="s">
        <v>3958</v>
      </c>
      <c r="I409" s="10" t="s">
        <v>245</v>
      </c>
      <c r="J409" s="10" t="s">
        <v>245</v>
      </c>
      <c r="K409" s="10" t="s">
        <v>113</v>
      </c>
      <c r="L409" s="10" t="s">
        <v>184</v>
      </c>
      <c r="M409" s="31">
        <v>93070</v>
      </c>
    </row>
    <row r="410" spans="1:13" x14ac:dyDescent="0.3">
      <c r="A410" s="10" t="s">
        <v>1681</v>
      </c>
      <c r="B410" s="10" t="s">
        <v>4807</v>
      </c>
      <c r="C410" s="10" t="s">
        <v>3963</v>
      </c>
      <c r="D410" s="10" t="s">
        <v>3955</v>
      </c>
      <c r="E410" s="31">
        <v>1599</v>
      </c>
      <c r="F410" s="10" t="s">
        <v>4805</v>
      </c>
      <c r="G410" s="10" t="s">
        <v>4806</v>
      </c>
      <c r="H410" s="10" t="s">
        <v>3976</v>
      </c>
      <c r="I410" s="10"/>
      <c r="J410" s="10"/>
      <c r="K410" s="10"/>
      <c r="L410" s="10" t="s">
        <v>2064</v>
      </c>
      <c r="M410" s="31"/>
    </row>
    <row r="411" spans="1:13" x14ac:dyDescent="0.3">
      <c r="A411" s="10" t="s">
        <v>1682</v>
      </c>
      <c r="B411" s="10" t="s">
        <v>4808</v>
      </c>
      <c r="C411" s="10" t="s">
        <v>247</v>
      </c>
      <c r="D411" s="10" t="s">
        <v>3955</v>
      </c>
      <c r="E411" s="31">
        <v>1875</v>
      </c>
      <c r="F411" s="10" t="s">
        <v>4049</v>
      </c>
      <c r="G411" s="10" t="s">
        <v>4218</v>
      </c>
      <c r="H411" s="10" t="s">
        <v>2120</v>
      </c>
      <c r="I411" s="10" t="s">
        <v>848</v>
      </c>
      <c r="J411" s="10" t="s">
        <v>848</v>
      </c>
      <c r="K411" s="10" t="s">
        <v>115</v>
      </c>
      <c r="L411" s="10" t="s">
        <v>185</v>
      </c>
      <c r="M411" s="31">
        <v>335621</v>
      </c>
    </row>
    <row r="412" spans="1:13" x14ac:dyDescent="0.3">
      <c r="A412" s="10" t="s">
        <v>1682</v>
      </c>
      <c r="B412" s="10" t="s">
        <v>4809</v>
      </c>
      <c r="C412" s="10" t="s">
        <v>3963</v>
      </c>
      <c r="D412" s="10" t="s">
        <v>3955</v>
      </c>
      <c r="E412" s="31">
        <v>1875</v>
      </c>
      <c r="F412" s="10" t="s">
        <v>4049</v>
      </c>
      <c r="G412" s="10" t="s">
        <v>4218</v>
      </c>
      <c r="H412" s="10" t="s">
        <v>4192</v>
      </c>
      <c r="I412" s="10" t="s">
        <v>1325</v>
      </c>
      <c r="J412" s="10" t="s">
        <v>1325</v>
      </c>
      <c r="K412" s="10" t="s">
        <v>123</v>
      </c>
      <c r="L412" s="10" t="s">
        <v>193</v>
      </c>
      <c r="M412" s="31">
        <v>76000</v>
      </c>
    </row>
    <row r="413" spans="1:13" x14ac:dyDescent="0.3">
      <c r="A413" s="10" t="s">
        <v>1683</v>
      </c>
      <c r="B413" s="10" t="s">
        <v>4810</v>
      </c>
      <c r="C413" s="10" t="s">
        <v>247</v>
      </c>
      <c r="D413" s="10" t="s">
        <v>3955</v>
      </c>
      <c r="E413" s="31">
        <v>1830</v>
      </c>
      <c r="F413" s="10" t="s">
        <v>4811</v>
      </c>
      <c r="G413" s="10" t="s">
        <v>4812</v>
      </c>
      <c r="H413" s="10" t="s">
        <v>4055</v>
      </c>
      <c r="I413" s="10" t="s">
        <v>4813</v>
      </c>
      <c r="J413" s="10" t="s">
        <v>1135</v>
      </c>
      <c r="K413" s="10" t="s">
        <v>123</v>
      </c>
      <c r="L413" s="10" t="s">
        <v>190</v>
      </c>
      <c r="M413" s="31">
        <v>43680</v>
      </c>
    </row>
    <row r="414" spans="1:13" x14ac:dyDescent="0.3">
      <c r="A414" s="10" t="s">
        <v>1683</v>
      </c>
      <c r="B414" s="10" t="s">
        <v>4814</v>
      </c>
      <c r="C414" s="10" t="s">
        <v>3963</v>
      </c>
      <c r="D414" s="10" t="s">
        <v>3955</v>
      </c>
      <c r="E414" s="31">
        <v>1830</v>
      </c>
      <c r="F414" s="10" t="s">
        <v>4811</v>
      </c>
      <c r="G414" s="10" t="s">
        <v>4812</v>
      </c>
      <c r="H414" s="10" t="s">
        <v>2120</v>
      </c>
      <c r="I414" s="10" t="s">
        <v>4815</v>
      </c>
      <c r="J414" s="10" t="s">
        <v>983</v>
      </c>
      <c r="K414" s="10" t="s">
        <v>115</v>
      </c>
      <c r="L414" s="10" t="s">
        <v>185</v>
      </c>
      <c r="M414" s="31">
        <v>216320</v>
      </c>
    </row>
    <row r="415" spans="1:13" x14ac:dyDescent="0.3">
      <c r="A415" s="10" t="s">
        <v>1684</v>
      </c>
      <c r="B415" s="10" t="s">
        <v>4816</v>
      </c>
      <c r="C415" s="10" t="s">
        <v>247</v>
      </c>
      <c r="D415" s="10" t="s">
        <v>3955</v>
      </c>
      <c r="E415" s="31">
        <v>2430</v>
      </c>
      <c r="F415" s="10" t="s">
        <v>4817</v>
      </c>
      <c r="G415" s="10" t="s">
        <v>4257</v>
      </c>
      <c r="H415" s="10" t="s">
        <v>2120</v>
      </c>
      <c r="I415" s="10" t="s">
        <v>4818</v>
      </c>
      <c r="J415" s="10" t="s">
        <v>784</v>
      </c>
      <c r="K415" s="10" t="s">
        <v>115</v>
      </c>
      <c r="L415" s="10" t="s">
        <v>185</v>
      </c>
      <c r="M415" s="31">
        <v>220688</v>
      </c>
    </row>
    <row r="416" spans="1:13" x14ac:dyDescent="0.3">
      <c r="A416" s="10" t="s">
        <v>1685</v>
      </c>
      <c r="B416" s="10" t="s">
        <v>4819</v>
      </c>
      <c r="C416" s="10" t="s">
        <v>247</v>
      </c>
      <c r="D416" s="10" t="s">
        <v>3955</v>
      </c>
      <c r="E416" s="31">
        <v>2330</v>
      </c>
      <c r="F416" s="10" t="s">
        <v>4598</v>
      </c>
      <c r="G416" s="10" t="s">
        <v>4599</v>
      </c>
      <c r="H416" s="10" t="s">
        <v>2120</v>
      </c>
      <c r="I416" s="10" t="s">
        <v>4820</v>
      </c>
      <c r="J416" s="10" t="s">
        <v>848</v>
      </c>
      <c r="K416" s="10" t="s">
        <v>115</v>
      </c>
      <c r="L416" s="10" t="s">
        <v>185</v>
      </c>
      <c r="M416" s="31">
        <v>421512</v>
      </c>
    </row>
    <row r="417" spans="1:13" x14ac:dyDescent="0.3">
      <c r="A417" s="10" t="s">
        <v>1686</v>
      </c>
      <c r="B417" s="10" t="s">
        <v>4821</v>
      </c>
      <c r="C417" s="10" t="s">
        <v>247</v>
      </c>
      <c r="D417" s="10" t="s">
        <v>3955</v>
      </c>
      <c r="E417" s="31">
        <v>2280</v>
      </c>
      <c r="F417" s="10" t="s">
        <v>4822</v>
      </c>
      <c r="G417" s="10" t="s">
        <v>4823</v>
      </c>
      <c r="H417" s="10" t="s">
        <v>3976</v>
      </c>
      <c r="I417" s="10"/>
      <c r="J417" s="10"/>
      <c r="K417" s="10"/>
      <c r="L417" s="10" t="s">
        <v>2064</v>
      </c>
      <c r="M417" s="31"/>
    </row>
    <row r="418" spans="1:13" x14ac:dyDescent="0.3">
      <c r="A418" s="10" t="s">
        <v>1686</v>
      </c>
      <c r="B418" s="10" t="s">
        <v>4824</v>
      </c>
      <c r="C418" s="10" t="s">
        <v>3963</v>
      </c>
      <c r="D418" s="10" t="s">
        <v>3955</v>
      </c>
      <c r="E418" s="31">
        <v>2280</v>
      </c>
      <c r="F418" s="10" t="s">
        <v>4822</v>
      </c>
      <c r="G418" s="10" t="s">
        <v>4823</v>
      </c>
      <c r="H418" s="10" t="s">
        <v>2120</v>
      </c>
      <c r="I418" s="10" t="s">
        <v>4825</v>
      </c>
      <c r="J418" s="10" t="s">
        <v>927</v>
      </c>
      <c r="K418" s="10" t="s">
        <v>115</v>
      </c>
      <c r="L418" s="10" t="s">
        <v>185</v>
      </c>
      <c r="M418" s="31">
        <v>182000</v>
      </c>
    </row>
    <row r="419" spans="1:13" x14ac:dyDescent="0.3">
      <c r="A419" s="10" t="s">
        <v>1687</v>
      </c>
      <c r="B419" s="10" t="s">
        <v>4826</v>
      </c>
      <c r="C419" s="10" t="s">
        <v>247</v>
      </c>
      <c r="D419" s="10" t="s">
        <v>3955</v>
      </c>
      <c r="E419" s="31">
        <v>1955</v>
      </c>
      <c r="F419" s="10" t="s">
        <v>4785</v>
      </c>
      <c r="G419" s="10" t="s">
        <v>4215</v>
      </c>
      <c r="H419" s="10" t="s">
        <v>3498</v>
      </c>
      <c r="I419" s="10" t="s">
        <v>4007</v>
      </c>
      <c r="J419" s="10" t="s">
        <v>1115</v>
      </c>
      <c r="K419" s="10" t="s">
        <v>123</v>
      </c>
      <c r="L419" s="10" t="s">
        <v>189</v>
      </c>
      <c r="M419" s="31">
        <v>129600</v>
      </c>
    </row>
    <row r="420" spans="1:13" x14ac:dyDescent="0.3">
      <c r="A420" s="10" t="s">
        <v>1687</v>
      </c>
      <c r="B420" s="10" t="s">
        <v>4827</v>
      </c>
      <c r="C420" s="10" t="s">
        <v>3963</v>
      </c>
      <c r="D420" s="10" t="s">
        <v>3955</v>
      </c>
      <c r="E420" s="31">
        <v>1955</v>
      </c>
      <c r="F420" s="10" t="s">
        <v>4785</v>
      </c>
      <c r="G420" s="10" t="s">
        <v>4215</v>
      </c>
      <c r="H420" s="10" t="s">
        <v>3976</v>
      </c>
      <c r="I420" s="10"/>
      <c r="J420" s="10"/>
      <c r="K420" s="10"/>
      <c r="L420" s="10" t="s">
        <v>2064</v>
      </c>
      <c r="M420" s="31"/>
    </row>
    <row r="421" spans="1:13" x14ac:dyDescent="0.3">
      <c r="A421" s="10" t="s">
        <v>1688</v>
      </c>
      <c r="B421" s="10" t="s">
        <v>4828</v>
      </c>
      <c r="C421" s="10" t="s">
        <v>247</v>
      </c>
      <c r="D421" s="10" t="s">
        <v>3955</v>
      </c>
      <c r="E421" s="31">
        <v>1780</v>
      </c>
      <c r="F421" s="10" t="s">
        <v>4684</v>
      </c>
      <c r="G421" s="10" t="s">
        <v>4829</v>
      </c>
      <c r="H421" s="10" t="s">
        <v>3958</v>
      </c>
      <c r="I421" s="10"/>
      <c r="J421" s="10"/>
      <c r="K421" s="10"/>
      <c r="L421" s="10" t="s">
        <v>2064</v>
      </c>
      <c r="M421" s="31">
        <v>1320000</v>
      </c>
    </row>
    <row r="422" spans="1:13" x14ac:dyDescent="0.3">
      <c r="A422" s="10" t="s">
        <v>1689</v>
      </c>
      <c r="B422" s="10" t="s">
        <v>4830</v>
      </c>
      <c r="C422" s="10" t="s">
        <v>247</v>
      </c>
      <c r="D422" s="10" t="s">
        <v>3955</v>
      </c>
      <c r="E422" s="31">
        <v>1495</v>
      </c>
      <c r="F422" s="10" t="s">
        <v>4831</v>
      </c>
      <c r="G422" s="10" t="s">
        <v>4397</v>
      </c>
      <c r="H422" s="10" t="s">
        <v>3958</v>
      </c>
      <c r="I422" s="10" t="s">
        <v>4370</v>
      </c>
      <c r="J422" s="10" t="s">
        <v>820</v>
      </c>
      <c r="K422" s="10" t="s">
        <v>115</v>
      </c>
      <c r="L422" s="10" t="s">
        <v>185</v>
      </c>
      <c r="M422" s="31">
        <v>95000</v>
      </c>
    </row>
    <row r="423" spans="1:13" x14ac:dyDescent="0.3">
      <c r="A423" s="10" t="s">
        <v>1690</v>
      </c>
      <c r="B423" s="10" t="s">
        <v>4832</v>
      </c>
      <c r="C423" s="10" t="s">
        <v>247</v>
      </c>
      <c r="D423" s="10" t="s">
        <v>3955</v>
      </c>
      <c r="E423" s="31">
        <v>1780</v>
      </c>
      <c r="F423" s="10" t="s">
        <v>4833</v>
      </c>
      <c r="G423" s="10" t="s">
        <v>4834</v>
      </c>
      <c r="H423" s="10" t="s">
        <v>2120</v>
      </c>
      <c r="I423" s="10" t="s">
        <v>4835</v>
      </c>
      <c r="J423" s="10" t="s">
        <v>784</v>
      </c>
      <c r="K423" s="10" t="s">
        <v>115</v>
      </c>
      <c r="L423" s="10" t="s">
        <v>185</v>
      </c>
      <c r="M423" s="31">
        <v>170400</v>
      </c>
    </row>
    <row r="424" spans="1:13" x14ac:dyDescent="0.3">
      <c r="A424" s="10" t="s">
        <v>1691</v>
      </c>
      <c r="B424" s="10" t="s">
        <v>4836</v>
      </c>
      <c r="C424" s="10" t="s">
        <v>247</v>
      </c>
      <c r="D424" s="10" t="s">
        <v>3955</v>
      </c>
      <c r="E424" s="31">
        <v>1725</v>
      </c>
      <c r="F424" s="10" t="s">
        <v>4837</v>
      </c>
      <c r="G424" s="10" t="s">
        <v>4838</v>
      </c>
      <c r="H424" s="10" t="s">
        <v>2120</v>
      </c>
      <c r="I424" s="10" t="s">
        <v>888</v>
      </c>
      <c r="J424" s="10" t="s">
        <v>888</v>
      </c>
      <c r="K424" s="10" t="s">
        <v>115</v>
      </c>
      <c r="L424" s="10" t="s">
        <v>185</v>
      </c>
      <c r="M424" s="31">
        <v>166400</v>
      </c>
    </row>
    <row r="425" spans="1:13" x14ac:dyDescent="0.3">
      <c r="A425" s="10" t="s">
        <v>1692</v>
      </c>
      <c r="B425" s="10" t="s">
        <v>4839</v>
      </c>
      <c r="C425" s="10" t="s">
        <v>247</v>
      </c>
      <c r="D425" s="10" t="s">
        <v>3955</v>
      </c>
      <c r="E425" s="31">
        <v>1960</v>
      </c>
      <c r="F425" s="10" t="s">
        <v>4340</v>
      </c>
      <c r="G425" s="10" t="s">
        <v>3975</v>
      </c>
      <c r="H425" s="10" t="s">
        <v>2120</v>
      </c>
      <c r="I425" s="10" t="s">
        <v>4840</v>
      </c>
      <c r="J425" s="10" t="s">
        <v>877</v>
      </c>
      <c r="K425" s="10" t="s">
        <v>115</v>
      </c>
      <c r="L425" s="10" t="s">
        <v>185</v>
      </c>
      <c r="M425" s="31">
        <v>144000</v>
      </c>
    </row>
    <row r="426" spans="1:13" x14ac:dyDescent="0.3">
      <c r="A426" s="10" t="s">
        <v>1693</v>
      </c>
      <c r="B426" s="10" t="s">
        <v>4841</v>
      </c>
      <c r="C426" s="10" t="s">
        <v>247</v>
      </c>
      <c r="D426" s="10" t="s">
        <v>3955</v>
      </c>
      <c r="E426" s="31">
        <v>2280</v>
      </c>
      <c r="F426" s="10" t="s">
        <v>4842</v>
      </c>
      <c r="G426" s="10" t="s">
        <v>4843</v>
      </c>
      <c r="H426" s="10" t="s">
        <v>2120</v>
      </c>
      <c r="I426" s="10" t="s">
        <v>2237</v>
      </c>
      <c r="J426" s="10" t="s">
        <v>276</v>
      </c>
      <c r="K426" s="10" t="s">
        <v>115</v>
      </c>
      <c r="L426" s="10" t="s">
        <v>185</v>
      </c>
      <c r="M426" s="31">
        <v>225000</v>
      </c>
    </row>
    <row r="427" spans="1:13" x14ac:dyDescent="0.3">
      <c r="A427" s="10" t="s">
        <v>1693</v>
      </c>
      <c r="B427" s="10" t="s">
        <v>4844</v>
      </c>
      <c r="C427" s="10" t="s">
        <v>3963</v>
      </c>
      <c r="D427" s="10" t="s">
        <v>3955</v>
      </c>
      <c r="E427" s="31">
        <v>2280</v>
      </c>
      <c r="F427" s="10" t="s">
        <v>4842</v>
      </c>
      <c r="G427" s="10" t="s">
        <v>4843</v>
      </c>
      <c r="H427" s="10" t="s">
        <v>4845</v>
      </c>
      <c r="I427" s="10"/>
      <c r="J427" s="10"/>
      <c r="K427" s="10"/>
      <c r="L427" s="10" t="s">
        <v>2064</v>
      </c>
      <c r="M427" s="31">
        <v>126000</v>
      </c>
    </row>
    <row r="428" spans="1:13" x14ac:dyDescent="0.3">
      <c r="A428" s="10" t="s">
        <v>1694</v>
      </c>
      <c r="B428" s="10" t="s">
        <v>4846</v>
      </c>
      <c r="C428" s="10" t="s">
        <v>247</v>
      </c>
      <c r="D428" s="10" t="s">
        <v>3955</v>
      </c>
      <c r="E428" s="31">
        <v>1800</v>
      </c>
      <c r="F428" s="10" t="s">
        <v>4713</v>
      </c>
      <c r="G428" s="10" t="s">
        <v>4714</v>
      </c>
      <c r="H428" s="10" t="s">
        <v>3958</v>
      </c>
      <c r="I428" s="10" t="s">
        <v>3936</v>
      </c>
      <c r="J428" s="10" t="s">
        <v>245</v>
      </c>
      <c r="K428" s="10" t="s">
        <v>113</v>
      </c>
      <c r="L428" s="10" t="s">
        <v>184</v>
      </c>
      <c r="M428" s="31">
        <v>100000</v>
      </c>
    </row>
    <row r="429" spans="1:13" x14ac:dyDescent="0.3">
      <c r="A429" s="10" t="s">
        <v>1695</v>
      </c>
      <c r="B429" s="10" t="s">
        <v>4847</v>
      </c>
      <c r="C429" s="10" t="s">
        <v>247</v>
      </c>
      <c r="D429" s="10" t="s">
        <v>3955</v>
      </c>
      <c r="E429" s="31">
        <v>2225</v>
      </c>
      <c r="F429" s="10" t="s">
        <v>4421</v>
      </c>
      <c r="G429" s="10" t="s">
        <v>4848</v>
      </c>
      <c r="H429" s="10" t="s">
        <v>3958</v>
      </c>
      <c r="I429" s="10" t="s">
        <v>245</v>
      </c>
      <c r="J429" s="10" t="s">
        <v>245</v>
      </c>
      <c r="K429" s="10" t="s">
        <v>113</v>
      </c>
      <c r="L429" s="10" t="s">
        <v>184</v>
      </c>
      <c r="M429" s="31">
        <v>110000</v>
      </c>
    </row>
    <row r="430" spans="1:13" x14ac:dyDescent="0.3">
      <c r="A430" s="10" t="s">
        <v>1695</v>
      </c>
      <c r="B430" s="10" t="s">
        <v>4849</v>
      </c>
      <c r="C430" s="10" t="s">
        <v>3963</v>
      </c>
      <c r="D430" s="10" t="s">
        <v>3955</v>
      </c>
      <c r="E430" s="31">
        <v>2225</v>
      </c>
      <c r="F430" s="10" t="s">
        <v>4421</v>
      </c>
      <c r="G430" s="10" t="s">
        <v>4848</v>
      </c>
      <c r="H430" s="10" t="s">
        <v>3958</v>
      </c>
      <c r="I430" s="10" t="s">
        <v>2890</v>
      </c>
      <c r="J430" s="10" t="s">
        <v>245</v>
      </c>
      <c r="K430" s="10" t="s">
        <v>113</v>
      </c>
      <c r="L430" s="10" t="s">
        <v>184</v>
      </c>
      <c r="M430" s="31">
        <v>115000</v>
      </c>
    </row>
    <row r="431" spans="1:13" x14ac:dyDescent="0.3">
      <c r="A431" s="10" t="s">
        <v>1695</v>
      </c>
      <c r="B431" s="10" t="s">
        <v>4850</v>
      </c>
      <c r="C431" s="10" t="s">
        <v>3963</v>
      </c>
      <c r="D431" s="10" t="s">
        <v>3955</v>
      </c>
      <c r="E431" s="31">
        <v>2225</v>
      </c>
      <c r="F431" s="10" t="s">
        <v>4421</v>
      </c>
      <c r="G431" s="10" t="s">
        <v>4848</v>
      </c>
      <c r="H431" s="10" t="s">
        <v>3958</v>
      </c>
      <c r="I431" s="10" t="s">
        <v>4851</v>
      </c>
      <c r="J431" s="10" t="s">
        <v>989</v>
      </c>
      <c r="K431" s="10" t="s">
        <v>117</v>
      </c>
      <c r="L431" s="10" t="s">
        <v>186</v>
      </c>
      <c r="M431" s="31">
        <v>80000</v>
      </c>
    </row>
    <row r="432" spans="1:13" x14ac:dyDescent="0.3">
      <c r="A432" s="10" t="s">
        <v>1696</v>
      </c>
      <c r="B432" s="10" t="s">
        <v>4852</v>
      </c>
      <c r="C432" s="10" t="s">
        <v>247</v>
      </c>
      <c r="D432" s="10" t="s">
        <v>3955</v>
      </c>
      <c r="E432" s="31">
        <v>1775</v>
      </c>
      <c r="F432" s="10" t="s">
        <v>4853</v>
      </c>
      <c r="G432" s="10" t="s">
        <v>4854</v>
      </c>
      <c r="H432" s="10" t="s">
        <v>3958</v>
      </c>
      <c r="I432" s="10" t="s">
        <v>2890</v>
      </c>
      <c r="J432" s="10" t="s">
        <v>245</v>
      </c>
      <c r="K432" s="10" t="s">
        <v>113</v>
      </c>
      <c r="L432" s="10" t="s">
        <v>184</v>
      </c>
      <c r="M432" s="31">
        <v>111000</v>
      </c>
    </row>
    <row r="433" spans="1:13" x14ac:dyDescent="0.3">
      <c r="A433" s="10" t="s">
        <v>1697</v>
      </c>
      <c r="B433" s="10" t="s">
        <v>4855</v>
      </c>
      <c r="C433" s="10" t="s">
        <v>247</v>
      </c>
      <c r="D433" s="10" t="s">
        <v>3955</v>
      </c>
      <c r="E433" s="31">
        <v>1565</v>
      </c>
      <c r="F433" s="10" t="s">
        <v>4018</v>
      </c>
      <c r="G433" s="10" t="s">
        <v>4509</v>
      </c>
      <c r="H433" s="10" t="s">
        <v>3958</v>
      </c>
      <c r="I433" s="10" t="s">
        <v>1075</v>
      </c>
      <c r="J433" s="10" t="s">
        <v>1075</v>
      </c>
      <c r="K433" s="10" t="s">
        <v>119</v>
      </c>
      <c r="L433" s="10" t="s">
        <v>187</v>
      </c>
      <c r="M433" s="31">
        <v>85000</v>
      </c>
    </row>
    <row r="434" spans="1:13" x14ac:dyDescent="0.3">
      <c r="A434" s="10" t="s">
        <v>1697</v>
      </c>
      <c r="B434" s="10" t="s">
        <v>4856</v>
      </c>
      <c r="C434" s="10" t="s">
        <v>3963</v>
      </c>
      <c r="D434" s="10" t="s">
        <v>3955</v>
      </c>
      <c r="E434" s="31">
        <v>1565</v>
      </c>
      <c r="F434" s="10" t="s">
        <v>4018</v>
      </c>
      <c r="G434" s="10" t="s">
        <v>4509</v>
      </c>
      <c r="H434" s="10" t="s">
        <v>2477</v>
      </c>
      <c r="I434" s="10"/>
      <c r="J434" s="10"/>
      <c r="K434" s="10"/>
      <c r="L434" s="10" t="s">
        <v>2064</v>
      </c>
      <c r="M434" s="31">
        <v>24000</v>
      </c>
    </row>
    <row r="435" spans="1:13" x14ac:dyDescent="0.3">
      <c r="A435" s="10" t="s">
        <v>1698</v>
      </c>
      <c r="B435" s="10" t="s">
        <v>4857</v>
      </c>
      <c r="C435" s="10" t="s">
        <v>247</v>
      </c>
      <c r="D435" s="10" t="s">
        <v>3955</v>
      </c>
      <c r="E435" s="31">
        <v>1775</v>
      </c>
      <c r="F435" s="10" t="s">
        <v>4858</v>
      </c>
      <c r="G435" s="10" t="s">
        <v>4783</v>
      </c>
      <c r="H435" s="10" t="s">
        <v>3958</v>
      </c>
      <c r="I435" s="10" t="s">
        <v>245</v>
      </c>
      <c r="J435" s="10" t="s">
        <v>245</v>
      </c>
      <c r="K435" s="10" t="s">
        <v>113</v>
      </c>
      <c r="L435" s="10" t="s">
        <v>184</v>
      </c>
      <c r="M435" s="31">
        <v>72000</v>
      </c>
    </row>
    <row r="436" spans="1:13" x14ac:dyDescent="0.3">
      <c r="A436" s="10" t="s">
        <v>1699</v>
      </c>
      <c r="B436" s="10" t="s">
        <v>4859</v>
      </c>
      <c r="C436" s="10" t="s">
        <v>247</v>
      </c>
      <c r="D436" s="10" t="s">
        <v>3955</v>
      </c>
      <c r="E436" s="31">
        <v>1595</v>
      </c>
      <c r="F436" s="10" t="s">
        <v>4860</v>
      </c>
      <c r="G436" s="10" t="s">
        <v>4861</v>
      </c>
      <c r="H436" s="10" t="s">
        <v>4095</v>
      </c>
      <c r="I436" s="10" t="s">
        <v>4862</v>
      </c>
      <c r="J436" s="10" t="s">
        <v>989</v>
      </c>
      <c r="K436" s="10" t="s">
        <v>117</v>
      </c>
      <c r="L436" s="10" t="s">
        <v>186</v>
      </c>
      <c r="M436" s="31">
        <v>90000</v>
      </c>
    </row>
    <row r="437" spans="1:13" x14ac:dyDescent="0.3">
      <c r="A437" s="10" t="s">
        <v>1700</v>
      </c>
      <c r="B437" s="10" t="s">
        <v>4863</v>
      </c>
      <c r="C437" s="10" t="s">
        <v>247</v>
      </c>
      <c r="D437" s="10" t="s">
        <v>3955</v>
      </c>
      <c r="E437" s="31">
        <v>1925</v>
      </c>
      <c r="F437" s="10" t="s">
        <v>4864</v>
      </c>
      <c r="G437" s="10" t="s">
        <v>4389</v>
      </c>
      <c r="H437" s="10" t="s">
        <v>4192</v>
      </c>
      <c r="I437" s="10" t="s">
        <v>1313</v>
      </c>
      <c r="J437" s="10" t="s">
        <v>1313</v>
      </c>
      <c r="K437" s="10" t="s">
        <v>123</v>
      </c>
      <c r="L437" s="10" t="s">
        <v>193</v>
      </c>
      <c r="M437" s="31">
        <v>64896</v>
      </c>
    </row>
    <row r="438" spans="1:13" x14ac:dyDescent="0.3">
      <c r="A438" s="10" t="s">
        <v>1701</v>
      </c>
      <c r="B438" s="10" t="s">
        <v>4865</v>
      </c>
      <c r="C438" s="10" t="s">
        <v>247</v>
      </c>
      <c r="D438" s="10" t="s">
        <v>3955</v>
      </c>
      <c r="E438" s="31">
        <v>1955</v>
      </c>
      <c r="F438" s="10" t="s">
        <v>4057</v>
      </c>
      <c r="G438" s="10" t="s">
        <v>4058</v>
      </c>
      <c r="H438" s="10" t="s">
        <v>2120</v>
      </c>
      <c r="I438" s="10" t="s">
        <v>4866</v>
      </c>
      <c r="J438" s="10" t="s">
        <v>802</v>
      </c>
      <c r="K438" s="10" t="s">
        <v>115</v>
      </c>
      <c r="L438" s="10" t="s">
        <v>185</v>
      </c>
      <c r="M438" s="31">
        <v>166400</v>
      </c>
    </row>
    <row r="439" spans="1:13" x14ac:dyDescent="0.3">
      <c r="A439" s="10" t="s">
        <v>1702</v>
      </c>
      <c r="B439" s="10" t="s">
        <v>4867</v>
      </c>
      <c r="C439" s="10" t="s">
        <v>247</v>
      </c>
      <c r="D439" s="10" t="s">
        <v>3955</v>
      </c>
      <c r="E439" s="31">
        <v>2575</v>
      </c>
      <c r="F439" s="10" t="s">
        <v>4072</v>
      </c>
      <c r="G439" s="10" t="s">
        <v>4533</v>
      </c>
      <c r="H439" s="10" t="s">
        <v>2120</v>
      </c>
      <c r="I439" s="10" t="s">
        <v>867</v>
      </c>
      <c r="J439" s="10" t="s">
        <v>867</v>
      </c>
      <c r="K439" s="10" t="s">
        <v>115</v>
      </c>
      <c r="L439" s="10" t="s">
        <v>185</v>
      </c>
      <c r="M439" s="31">
        <v>144000</v>
      </c>
    </row>
    <row r="440" spans="1:13" x14ac:dyDescent="0.3">
      <c r="A440" s="10" t="s">
        <v>1702</v>
      </c>
      <c r="B440" s="10" t="s">
        <v>4868</v>
      </c>
      <c r="C440" s="10" t="s">
        <v>3963</v>
      </c>
      <c r="D440" s="10" t="s">
        <v>3955</v>
      </c>
      <c r="E440" s="31">
        <v>2575</v>
      </c>
      <c r="F440" s="10" t="s">
        <v>4072</v>
      </c>
      <c r="G440" s="10" t="s">
        <v>4533</v>
      </c>
      <c r="H440" s="10" t="s">
        <v>2120</v>
      </c>
      <c r="I440" s="10" t="s">
        <v>867</v>
      </c>
      <c r="J440" s="10" t="s">
        <v>867</v>
      </c>
      <c r="K440" s="10" t="s">
        <v>115</v>
      </c>
      <c r="L440" s="10" t="s">
        <v>185</v>
      </c>
      <c r="M440" s="31">
        <v>240000</v>
      </c>
    </row>
    <row r="441" spans="1:13" x14ac:dyDescent="0.3">
      <c r="A441" s="10" t="s">
        <v>1703</v>
      </c>
      <c r="B441" s="10" t="s">
        <v>4869</v>
      </c>
      <c r="C441" s="10" t="s">
        <v>247</v>
      </c>
      <c r="D441" s="10" t="s">
        <v>3955</v>
      </c>
      <c r="E441" s="31">
        <v>2225</v>
      </c>
      <c r="F441" s="10" t="s">
        <v>4870</v>
      </c>
      <c r="G441" s="10" t="s">
        <v>4871</v>
      </c>
      <c r="H441" s="10" t="s">
        <v>3999</v>
      </c>
      <c r="I441" s="10"/>
      <c r="J441" s="10"/>
      <c r="K441" s="10"/>
      <c r="L441" s="10" t="s">
        <v>2064</v>
      </c>
      <c r="M441" s="31"/>
    </row>
    <row r="442" spans="1:13" x14ac:dyDescent="0.3">
      <c r="A442" s="10" t="s">
        <v>1703</v>
      </c>
      <c r="B442" s="10" t="s">
        <v>4872</v>
      </c>
      <c r="C442" s="10" t="s">
        <v>3963</v>
      </c>
      <c r="D442" s="10" t="s">
        <v>3955</v>
      </c>
      <c r="E442" s="31">
        <v>2225</v>
      </c>
      <c r="F442" s="10" t="s">
        <v>4870</v>
      </c>
      <c r="G442" s="10" t="s">
        <v>4871</v>
      </c>
      <c r="H442" s="10" t="s">
        <v>3958</v>
      </c>
      <c r="I442" s="10" t="s">
        <v>4873</v>
      </c>
      <c r="J442" s="10" t="s">
        <v>1177</v>
      </c>
      <c r="K442" s="10" t="s">
        <v>123</v>
      </c>
      <c r="L442" s="10" t="s">
        <v>200</v>
      </c>
      <c r="M442" s="31">
        <v>130000</v>
      </c>
    </row>
    <row r="443" spans="1:13" x14ac:dyDescent="0.3">
      <c r="A443" s="10" t="s">
        <v>1704</v>
      </c>
      <c r="B443" s="10" t="s">
        <v>4874</v>
      </c>
      <c r="C443" s="10" t="s">
        <v>247</v>
      </c>
      <c r="D443" s="10" t="s">
        <v>3955</v>
      </c>
      <c r="E443" s="31">
        <v>1975</v>
      </c>
      <c r="F443" s="10" t="s">
        <v>4875</v>
      </c>
      <c r="G443" s="10" t="s">
        <v>4876</v>
      </c>
      <c r="H443" s="10" t="s">
        <v>4097</v>
      </c>
      <c r="I443" s="10" t="s">
        <v>1299</v>
      </c>
      <c r="J443" s="10" t="s">
        <v>1299</v>
      </c>
      <c r="K443" s="10" t="s">
        <v>123</v>
      </c>
      <c r="L443" s="10" t="s">
        <v>197</v>
      </c>
      <c r="M443" s="31">
        <v>128340</v>
      </c>
    </row>
    <row r="444" spans="1:13" x14ac:dyDescent="0.3">
      <c r="A444" s="10" t="s">
        <v>1705</v>
      </c>
      <c r="B444" s="10" t="s">
        <v>4877</v>
      </c>
      <c r="C444" s="10" t="s">
        <v>247</v>
      </c>
      <c r="D444" s="10" t="s">
        <v>3955</v>
      </c>
      <c r="E444" s="31">
        <v>1565</v>
      </c>
      <c r="F444" s="10" t="s">
        <v>4878</v>
      </c>
      <c r="G444" s="10" t="s">
        <v>4879</v>
      </c>
      <c r="H444" s="10" t="s">
        <v>2120</v>
      </c>
      <c r="I444" s="10"/>
      <c r="J444" s="10"/>
      <c r="K444" s="10"/>
      <c r="L444" s="10" t="s">
        <v>2064</v>
      </c>
      <c r="M444" s="31">
        <v>120000</v>
      </c>
    </row>
    <row r="445" spans="1:13" x14ac:dyDescent="0.3">
      <c r="A445" s="10" t="s">
        <v>1705</v>
      </c>
      <c r="B445" s="10" t="s">
        <v>4880</v>
      </c>
      <c r="C445" s="10" t="s">
        <v>3963</v>
      </c>
      <c r="D445" s="10" t="s">
        <v>3955</v>
      </c>
      <c r="E445" s="31">
        <v>1565</v>
      </c>
      <c r="F445" s="10" t="s">
        <v>4878</v>
      </c>
      <c r="G445" s="10" t="s">
        <v>4879</v>
      </c>
      <c r="H445" s="10" t="s">
        <v>2477</v>
      </c>
      <c r="I445" s="10"/>
      <c r="J445" s="10"/>
      <c r="K445" s="10"/>
      <c r="L445" s="10" t="s">
        <v>2064</v>
      </c>
      <c r="M445" s="31">
        <v>60000</v>
      </c>
    </row>
    <row r="446" spans="1:13" x14ac:dyDescent="0.3">
      <c r="A446" s="10" t="s">
        <v>1706</v>
      </c>
      <c r="B446" s="10" t="s">
        <v>4881</v>
      </c>
      <c r="C446" s="10" t="s">
        <v>247</v>
      </c>
      <c r="D446" s="10" t="s">
        <v>3955</v>
      </c>
      <c r="E446" s="31">
        <v>2000</v>
      </c>
      <c r="F446" s="10" t="s">
        <v>4138</v>
      </c>
      <c r="G446" s="10" t="s">
        <v>4139</v>
      </c>
      <c r="H446" s="10" t="s">
        <v>4352</v>
      </c>
      <c r="I446" s="10" t="s">
        <v>4882</v>
      </c>
      <c r="J446" s="10" t="s">
        <v>1160</v>
      </c>
      <c r="K446" s="10" t="s">
        <v>123</v>
      </c>
      <c r="L446" s="10" t="s">
        <v>190</v>
      </c>
      <c r="M446" s="31">
        <v>173000</v>
      </c>
    </row>
    <row r="447" spans="1:13" x14ac:dyDescent="0.3">
      <c r="A447" s="10" t="s">
        <v>1707</v>
      </c>
      <c r="B447" s="10" t="s">
        <v>4883</v>
      </c>
      <c r="C447" s="10" t="s">
        <v>247</v>
      </c>
      <c r="D447" s="10" t="s">
        <v>3955</v>
      </c>
      <c r="E447" s="31">
        <v>1690</v>
      </c>
      <c r="F447" s="10" t="s">
        <v>4884</v>
      </c>
      <c r="G447" s="10" t="s">
        <v>4509</v>
      </c>
      <c r="H447" s="10" t="s">
        <v>2120</v>
      </c>
      <c r="I447" s="10" t="s">
        <v>2105</v>
      </c>
      <c r="J447" s="10" t="s">
        <v>269</v>
      </c>
      <c r="K447" s="10" t="s">
        <v>115</v>
      </c>
      <c r="L447" s="10" t="s">
        <v>185</v>
      </c>
      <c r="M447" s="31">
        <v>200000</v>
      </c>
    </row>
    <row r="448" spans="1:13" x14ac:dyDescent="0.3">
      <c r="A448" s="10" t="s">
        <v>1708</v>
      </c>
      <c r="B448" s="10" t="s">
        <v>4885</v>
      </c>
      <c r="C448" s="10" t="s">
        <v>247</v>
      </c>
      <c r="D448" s="10" t="s">
        <v>3955</v>
      </c>
      <c r="E448" s="31">
        <v>2055</v>
      </c>
      <c r="F448" s="10" t="s">
        <v>4875</v>
      </c>
      <c r="G448" s="10" t="s">
        <v>4876</v>
      </c>
      <c r="H448" s="10" t="s">
        <v>2120</v>
      </c>
      <c r="I448" s="10" t="s">
        <v>784</v>
      </c>
      <c r="J448" s="10" t="s">
        <v>784</v>
      </c>
      <c r="K448" s="10" t="s">
        <v>115</v>
      </c>
      <c r="L448" s="10" t="s">
        <v>185</v>
      </c>
      <c r="M448" s="31">
        <v>107100</v>
      </c>
    </row>
    <row r="449" spans="1:13" x14ac:dyDescent="0.3">
      <c r="A449" s="10" t="s">
        <v>1709</v>
      </c>
      <c r="B449" s="10" t="s">
        <v>4886</v>
      </c>
      <c r="C449" s="10" t="s">
        <v>247</v>
      </c>
      <c r="D449" s="10" t="s">
        <v>3955</v>
      </c>
      <c r="E449" s="31">
        <v>1955</v>
      </c>
      <c r="F449" s="10" t="s">
        <v>4296</v>
      </c>
      <c r="G449" s="10" t="s">
        <v>4297</v>
      </c>
      <c r="H449" s="10" t="s">
        <v>4192</v>
      </c>
      <c r="I449" s="10" t="s">
        <v>1200</v>
      </c>
      <c r="J449" s="10" t="s">
        <v>1200</v>
      </c>
      <c r="K449" s="10" t="s">
        <v>123</v>
      </c>
      <c r="L449" s="10" t="s">
        <v>193</v>
      </c>
      <c r="M449" s="31">
        <v>85000</v>
      </c>
    </row>
    <row r="450" spans="1:13" x14ac:dyDescent="0.3">
      <c r="A450" s="10" t="s">
        <v>1709</v>
      </c>
      <c r="B450" s="10" t="s">
        <v>4887</v>
      </c>
      <c r="C450" s="10" t="s">
        <v>3963</v>
      </c>
      <c r="D450" s="10" t="s">
        <v>3955</v>
      </c>
      <c r="E450" s="31">
        <v>1955</v>
      </c>
      <c r="F450" s="10" t="s">
        <v>4296</v>
      </c>
      <c r="G450" s="10" t="s">
        <v>4297</v>
      </c>
      <c r="H450" s="10" t="s">
        <v>4352</v>
      </c>
      <c r="I450" s="10" t="s">
        <v>1135</v>
      </c>
      <c r="J450" s="10" t="s">
        <v>1135</v>
      </c>
      <c r="K450" s="10" t="s">
        <v>123</v>
      </c>
      <c r="L450" s="10" t="s">
        <v>190</v>
      </c>
      <c r="M450" s="31">
        <v>77500</v>
      </c>
    </row>
    <row r="451" spans="1:13" x14ac:dyDescent="0.3">
      <c r="A451" s="10" t="s">
        <v>1710</v>
      </c>
      <c r="B451" s="10" t="s">
        <v>4888</v>
      </c>
      <c r="C451" s="10" t="s">
        <v>247</v>
      </c>
      <c r="D451" s="10" t="s">
        <v>3955</v>
      </c>
      <c r="E451" s="31">
        <v>2535</v>
      </c>
      <c r="F451" s="10" t="s">
        <v>4163</v>
      </c>
      <c r="G451" s="10" t="s">
        <v>4164</v>
      </c>
      <c r="H451" s="10" t="s">
        <v>768</v>
      </c>
      <c r="I451" s="10"/>
      <c r="J451" s="10"/>
      <c r="K451" s="10"/>
      <c r="L451" s="10" t="s">
        <v>2064</v>
      </c>
      <c r="M451" s="31"/>
    </row>
    <row r="452" spans="1:13" x14ac:dyDescent="0.3">
      <c r="A452" s="10" t="s">
        <v>1710</v>
      </c>
      <c r="B452" s="10" t="s">
        <v>4596</v>
      </c>
      <c r="C452" s="10" t="s">
        <v>3963</v>
      </c>
      <c r="D452" s="10" t="s">
        <v>3955</v>
      </c>
      <c r="E452" s="31">
        <v>2535</v>
      </c>
      <c r="F452" s="10" t="s">
        <v>4163</v>
      </c>
      <c r="G452" s="10" t="s">
        <v>4164</v>
      </c>
      <c r="H452" s="10" t="s">
        <v>2120</v>
      </c>
      <c r="I452" s="10" t="s">
        <v>862</v>
      </c>
      <c r="J452" s="10" t="s">
        <v>862</v>
      </c>
      <c r="K452" s="10" t="s">
        <v>115</v>
      </c>
      <c r="L452" s="10" t="s">
        <v>185</v>
      </c>
      <c r="M452" s="31">
        <v>182000</v>
      </c>
    </row>
    <row r="453" spans="1:13" x14ac:dyDescent="0.3">
      <c r="A453" s="10" t="s">
        <v>1710</v>
      </c>
      <c r="B453" s="10" t="s">
        <v>4889</v>
      </c>
      <c r="C453" s="10" t="s">
        <v>3963</v>
      </c>
      <c r="D453" s="10" t="s">
        <v>3955</v>
      </c>
      <c r="E453" s="31">
        <v>2535</v>
      </c>
      <c r="F453" s="10" t="s">
        <v>4163</v>
      </c>
      <c r="G453" s="10" t="s">
        <v>4164</v>
      </c>
      <c r="H453" s="10" t="s">
        <v>4269</v>
      </c>
      <c r="I453" s="10" t="s">
        <v>1352</v>
      </c>
      <c r="J453" s="10" t="s">
        <v>1352</v>
      </c>
      <c r="K453" s="10" t="s">
        <v>123</v>
      </c>
      <c r="L453" s="10" t="s">
        <v>194</v>
      </c>
      <c r="M453" s="31">
        <v>196000</v>
      </c>
    </row>
    <row r="454" spans="1:13" x14ac:dyDescent="0.3">
      <c r="A454" s="10" t="s">
        <v>1711</v>
      </c>
      <c r="B454" s="10" t="s">
        <v>4890</v>
      </c>
      <c r="C454" s="10" t="s">
        <v>247</v>
      </c>
      <c r="D454" s="10" t="s">
        <v>3955</v>
      </c>
      <c r="E454" s="31">
        <v>2280</v>
      </c>
      <c r="F454" s="10" t="s">
        <v>4037</v>
      </c>
      <c r="G454" s="10" t="s">
        <v>4891</v>
      </c>
      <c r="H454" s="10" t="s">
        <v>4192</v>
      </c>
      <c r="I454" s="10" t="s">
        <v>4892</v>
      </c>
      <c r="J454" s="10" t="s">
        <v>1258</v>
      </c>
      <c r="K454" s="10" t="s">
        <v>123</v>
      </c>
      <c r="L454" s="10" t="s">
        <v>190</v>
      </c>
      <c r="M454" s="31">
        <v>180000</v>
      </c>
    </row>
    <row r="455" spans="1:13" x14ac:dyDescent="0.3">
      <c r="A455" s="10" t="s">
        <v>1712</v>
      </c>
      <c r="B455" s="10" t="s">
        <v>4893</v>
      </c>
      <c r="C455" s="10" t="s">
        <v>247</v>
      </c>
      <c r="D455" s="10" t="s">
        <v>3955</v>
      </c>
      <c r="E455" s="31">
        <v>2085</v>
      </c>
      <c r="F455" s="10" t="s">
        <v>4684</v>
      </c>
      <c r="G455" s="10" t="s">
        <v>4829</v>
      </c>
      <c r="H455" s="10" t="s">
        <v>2120</v>
      </c>
      <c r="I455" s="10" t="s">
        <v>4438</v>
      </c>
      <c r="J455" s="10" t="s">
        <v>276</v>
      </c>
      <c r="K455" s="10" t="s">
        <v>115</v>
      </c>
      <c r="L455" s="10" t="s">
        <v>185</v>
      </c>
      <c r="M455" s="31">
        <v>250000</v>
      </c>
    </row>
    <row r="456" spans="1:13" x14ac:dyDescent="0.3">
      <c r="A456" s="10" t="s">
        <v>1713</v>
      </c>
      <c r="B456" s="10" t="s">
        <v>4894</v>
      </c>
      <c r="C456" s="10" t="s">
        <v>247</v>
      </c>
      <c r="D456" s="10" t="s">
        <v>3955</v>
      </c>
      <c r="E456" s="31">
        <v>1780</v>
      </c>
      <c r="F456" s="10" t="s">
        <v>4895</v>
      </c>
      <c r="G456" s="10" t="s">
        <v>4896</v>
      </c>
      <c r="H456" s="10" t="s">
        <v>3958</v>
      </c>
      <c r="I456" s="10" t="s">
        <v>4161</v>
      </c>
      <c r="J456" s="10" t="s">
        <v>245</v>
      </c>
      <c r="K456" s="10" t="s">
        <v>113</v>
      </c>
      <c r="L456" s="10" t="s">
        <v>184</v>
      </c>
      <c r="M456" s="31">
        <v>100000</v>
      </c>
    </row>
    <row r="457" spans="1:13" x14ac:dyDescent="0.3">
      <c r="A457" s="10" t="s">
        <v>1714</v>
      </c>
      <c r="B457" s="10" t="s">
        <v>4897</v>
      </c>
      <c r="C457" s="10" t="s">
        <v>247</v>
      </c>
      <c r="D457" s="10" t="s">
        <v>3955</v>
      </c>
      <c r="E457" s="31">
        <v>1985</v>
      </c>
      <c r="F457" s="10" t="s">
        <v>4072</v>
      </c>
      <c r="G457" s="10" t="s">
        <v>4898</v>
      </c>
      <c r="H457" s="10" t="s">
        <v>4097</v>
      </c>
      <c r="I457" s="10" t="s">
        <v>2890</v>
      </c>
      <c r="J457" s="10" t="s">
        <v>245</v>
      </c>
      <c r="K457" s="10" t="s">
        <v>113</v>
      </c>
      <c r="L457" s="10" t="s">
        <v>184</v>
      </c>
      <c r="M457" s="31">
        <v>122000</v>
      </c>
    </row>
    <row r="458" spans="1:13" x14ac:dyDescent="0.3">
      <c r="A458" s="10" t="s">
        <v>1715</v>
      </c>
      <c r="B458" s="10" t="s">
        <v>4899</v>
      </c>
      <c r="C458" s="10" t="s">
        <v>247</v>
      </c>
      <c r="D458" s="10" t="s">
        <v>3955</v>
      </c>
      <c r="E458" s="31">
        <v>1599</v>
      </c>
      <c r="F458" s="10" t="s">
        <v>4900</v>
      </c>
      <c r="G458" s="10" t="s">
        <v>4901</v>
      </c>
      <c r="H458" s="10" t="s">
        <v>2120</v>
      </c>
      <c r="I458" s="10" t="s">
        <v>962</v>
      </c>
      <c r="J458" s="10" t="s">
        <v>962</v>
      </c>
      <c r="K458" s="10" t="s">
        <v>115</v>
      </c>
      <c r="L458" s="10" t="s">
        <v>185</v>
      </c>
      <c r="M458" s="31">
        <v>90720</v>
      </c>
    </row>
    <row r="459" spans="1:13" x14ac:dyDescent="0.3">
      <c r="A459" s="10" t="s">
        <v>1716</v>
      </c>
      <c r="B459" s="10" t="s">
        <v>4902</v>
      </c>
      <c r="C459" s="10" t="s">
        <v>247</v>
      </c>
      <c r="D459" s="10" t="s">
        <v>3955</v>
      </c>
      <c r="E459" s="31">
        <v>2215</v>
      </c>
      <c r="F459" s="10" t="s">
        <v>4903</v>
      </c>
      <c r="G459" s="10" t="s">
        <v>4904</v>
      </c>
      <c r="H459" s="10" t="s">
        <v>2120</v>
      </c>
      <c r="I459" s="10" t="s">
        <v>4905</v>
      </c>
      <c r="J459" s="10" t="s">
        <v>276</v>
      </c>
      <c r="K459" s="10" t="s">
        <v>115</v>
      </c>
      <c r="L459" s="10" t="s">
        <v>185</v>
      </c>
      <c r="M459" s="31">
        <v>361848</v>
      </c>
    </row>
    <row r="460" spans="1:13" x14ac:dyDescent="0.3">
      <c r="A460" s="10" t="s">
        <v>1717</v>
      </c>
      <c r="B460" s="10" t="s">
        <v>4906</v>
      </c>
      <c r="C460" s="10" t="s">
        <v>247</v>
      </c>
      <c r="D460" s="10" t="s">
        <v>3955</v>
      </c>
      <c r="E460" s="31">
        <v>2280</v>
      </c>
      <c r="F460" s="10" t="s">
        <v>4853</v>
      </c>
      <c r="G460" s="10" t="s">
        <v>4854</v>
      </c>
      <c r="H460" s="10" t="s">
        <v>2120</v>
      </c>
      <c r="I460" s="10" t="s">
        <v>4907</v>
      </c>
      <c r="J460" s="10" t="s">
        <v>784</v>
      </c>
      <c r="K460" s="10" t="s">
        <v>115</v>
      </c>
      <c r="L460" s="10" t="s">
        <v>185</v>
      </c>
      <c r="M460" s="31">
        <v>166400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7E317ADC-0539-4750-A480-6789440484E6}"/>
</file>

<file path=customXml/itemProps2.xml><?xml version="1.0" encoding="utf-8"?>
<ds:datastoreItem xmlns:ds="http://schemas.openxmlformats.org/officeDocument/2006/customXml" ds:itemID="{3893D565-3556-4322-B039-B9AC0A0CABEE}"/>
</file>

<file path=customXml/itemProps3.xml><?xml version="1.0" encoding="utf-8"?>
<ds:datastoreItem xmlns:ds="http://schemas.openxmlformats.org/officeDocument/2006/customXml" ds:itemID="{F6674E4D-894B-4B5D-A00E-CF267E03DA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Overview</vt:lpstr>
      <vt:lpstr>Tier Summary</vt:lpstr>
      <vt:lpstr>Income &amp; Coverage</vt:lpstr>
      <vt:lpstr>Industry Mix</vt:lpstr>
      <vt:lpstr>Lease-Up &amp; Churn</vt:lpstr>
      <vt:lpstr>Micron Detail - Seasons</vt:lpstr>
      <vt:lpstr>Employers - Seasons</vt:lpstr>
      <vt:lpstr>Employers - Canyon Ridge</vt:lpstr>
      <vt:lpstr>Unit Coverage Detail</vt:lpstr>
      <vt:lpstr>Seasons Data</vt:lpstr>
      <vt:lpstr>Name Map - Seasons</vt:lpstr>
      <vt:lpstr>CR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Richard Ritter</cp:lastModifiedBy>
  <cp:revision>0</cp:revision>
  <dcterms:created xsi:type="dcterms:W3CDTF">2026-07-20T12:58:50Z</dcterms:created>
  <dcterms:modified xsi:type="dcterms:W3CDTF">2026-07-20T13:41:54Z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